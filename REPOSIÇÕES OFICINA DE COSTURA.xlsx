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300080130\Documents\"/>
    </mc:Choice>
  </mc:AlternateContent>
  <xr:revisionPtr revIDLastSave="0" documentId="8_{1351C47B-0788-48C9-8A84-17596FED6F2A}" xr6:coauthVersionLast="47" xr6:coauthVersionMax="47" xr10:uidLastSave="{00000000-0000-0000-0000-000000000000}"/>
  <bookViews>
    <workbookView xWindow="0" yWindow="0" windowWidth="21600" windowHeight="8355" xr2:uid="{00000000-000D-0000-FFFF-FFFF00000000}"/>
  </bookViews>
  <sheets>
    <sheet name="REPOSIÇÕES" sheetId="1" r:id="rId1"/>
    <sheet name="RESUMO" sheetId="3" r:id="rId2"/>
    <sheet name="LT" sheetId="2" r:id="rId3"/>
    <sheet name="NEGADAS" sheetId="4" r:id="rId4"/>
  </sheets>
  <calcPr calcId="191028"/>
  <pivotCaches>
    <pivotCache cacheId="1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61" i="1" l="1"/>
  <c r="R2861" i="1"/>
  <c r="Q2860" i="1"/>
  <c r="R2860" i="1"/>
  <c r="Q2859" i="1"/>
  <c r="R2859" i="1"/>
  <c r="Q2858" i="1"/>
  <c r="R2858" i="1"/>
  <c r="Q2857" i="1"/>
  <c r="R2857" i="1"/>
  <c r="Q2856" i="1"/>
  <c r="R2856" i="1"/>
  <c r="Q2855" i="1"/>
  <c r="R2855" i="1"/>
  <c r="Q2854" i="1"/>
  <c r="R2854" i="1"/>
  <c r="Q2853" i="1"/>
  <c r="R2853" i="1"/>
  <c r="Q2852" i="1"/>
  <c r="R2852" i="1"/>
  <c r="Q2851" i="1"/>
  <c r="R2851" i="1"/>
  <c r="Q2850" i="1"/>
  <c r="R2850" i="1"/>
  <c r="Q2849" i="1"/>
  <c r="R2849" i="1"/>
  <c r="Q2848" i="1"/>
  <c r="R2848" i="1"/>
  <c r="Q2847" i="1"/>
  <c r="R2847" i="1"/>
  <c r="Q2846" i="1"/>
  <c r="R2846" i="1"/>
  <c r="Q2845" i="1"/>
  <c r="R2845" i="1"/>
  <c r="Q2844" i="1"/>
  <c r="R2844" i="1"/>
  <c r="Q2843" i="1"/>
  <c r="R2843" i="1"/>
  <c r="Q2842" i="1"/>
  <c r="R2842" i="1"/>
  <c r="Q2841" i="1"/>
  <c r="R2841" i="1"/>
  <c r="Q2840" i="1"/>
  <c r="R2840" i="1"/>
  <c r="Q2839" i="1"/>
  <c r="R2839" i="1"/>
  <c r="Q2838" i="1"/>
  <c r="R2838" i="1"/>
  <c r="Q2837" i="1"/>
  <c r="R2837" i="1"/>
  <c r="Q2836" i="1"/>
  <c r="R2836" i="1"/>
  <c r="Q2835" i="1"/>
  <c r="R2835" i="1"/>
  <c r="Q2834" i="1"/>
  <c r="R2834" i="1"/>
  <c r="Q2833" i="1"/>
  <c r="R2833" i="1"/>
  <c r="Q2832" i="1"/>
  <c r="R2832" i="1"/>
  <c r="Q2831" i="1"/>
  <c r="R2831" i="1"/>
  <c r="Q2830" i="1"/>
  <c r="R2830" i="1"/>
  <c r="Q2829" i="1"/>
  <c r="R2829" i="1"/>
  <c r="Q2828" i="1"/>
  <c r="R2828" i="1"/>
  <c r="Q2827" i="1"/>
  <c r="R2827" i="1"/>
  <c r="Q2826" i="1"/>
  <c r="R2826" i="1"/>
  <c r="Q2825" i="1"/>
  <c r="R2825" i="1"/>
  <c r="Q2824" i="1"/>
  <c r="R2824" i="1"/>
  <c r="Q2823" i="1"/>
  <c r="R2823" i="1"/>
  <c r="Q2822" i="1"/>
  <c r="R2822" i="1"/>
  <c r="Q2821" i="1"/>
  <c r="R2821" i="1"/>
  <c r="Q2820" i="1"/>
  <c r="R2820" i="1"/>
  <c r="Q2819" i="1"/>
  <c r="R2819" i="1"/>
  <c r="Q2818" i="1"/>
  <c r="R2818" i="1"/>
  <c r="Q2817" i="1"/>
  <c r="R2817" i="1"/>
  <c r="Q2816" i="1"/>
  <c r="R2816" i="1"/>
  <c r="Q2815" i="1"/>
  <c r="R2815" i="1"/>
  <c r="Q2814" i="1"/>
  <c r="R2814" i="1"/>
  <c r="Q2813" i="1"/>
  <c r="R2813" i="1"/>
  <c r="Q2812" i="1"/>
  <c r="R2812" i="1"/>
  <c r="Q2811" i="1"/>
  <c r="R2811" i="1"/>
  <c r="Q2810" i="1"/>
  <c r="R2810" i="1"/>
  <c r="Q2809" i="1"/>
  <c r="R2809" i="1"/>
  <c r="Q2808" i="1"/>
  <c r="R2808" i="1"/>
  <c r="Q2807" i="1"/>
  <c r="R2807" i="1"/>
  <c r="Q2806" i="1"/>
  <c r="R2806" i="1"/>
  <c r="Q2805" i="1"/>
  <c r="R2805" i="1"/>
  <c r="Q2804" i="1"/>
  <c r="R2804" i="1"/>
  <c r="Q2803" i="1"/>
  <c r="R2803" i="1"/>
  <c r="Q2802" i="1"/>
  <c r="R2802" i="1" s="1"/>
  <c r="Q2801" i="1"/>
  <c r="R2801" i="1" s="1"/>
  <c r="Q2800" i="1"/>
  <c r="R2800" i="1" s="1"/>
  <c r="Q2799" i="1"/>
  <c r="R2799" i="1" s="1"/>
  <c r="Q2798" i="1"/>
  <c r="R2798" i="1" s="1"/>
  <c r="Q2797" i="1"/>
  <c r="R2797" i="1" s="1"/>
  <c r="Q2796" i="1"/>
  <c r="R2796" i="1" s="1"/>
  <c r="Q2795" i="1"/>
  <c r="R2795" i="1"/>
  <c r="Q2794" i="1"/>
  <c r="R2794" i="1"/>
  <c r="Q2793" i="1"/>
  <c r="R2793" i="1"/>
  <c r="Q2792" i="1"/>
  <c r="R2792" i="1"/>
  <c r="Q2791" i="1"/>
  <c r="R2791" i="1"/>
  <c r="Q2790" i="1"/>
  <c r="R2790" i="1"/>
  <c r="Q2789" i="1"/>
  <c r="R2789" i="1"/>
  <c r="Q2788" i="1"/>
  <c r="R2788" i="1"/>
  <c r="Q2787" i="1"/>
  <c r="R2787" i="1"/>
  <c r="Q2786" i="1"/>
  <c r="R2786" i="1"/>
  <c r="Q2785" i="1"/>
  <c r="R2785" i="1"/>
  <c r="Q2784" i="1"/>
  <c r="R2784" i="1"/>
  <c r="Q2783" i="1"/>
  <c r="R2783" i="1"/>
  <c r="Q2782" i="1"/>
  <c r="R2782" i="1"/>
  <c r="Q2781" i="1"/>
  <c r="R2781" i="1"/>
  <c r="Q2780" i="1"/>
  <c r="R2780" i="1"/>
  <c r="Q2779" i="1"/>
  <c r="R2779" i="1"/>
  <c r="Q2778" i="1"/>
  <c r="R2778" i="1"/>
  <c r="Q2777" i="1"/>
  <c r="R2777" i="1"/>
  <c r="Q2776" i="1"/>
  <c r="R2776" i="1"/>
  <c r="Q2775" i="1"/>
  <c r="R2775" i="1"/>
  <c r="Q2774" i="1"/>
  <c r="R2774" i="1"/>
  <c r="Q2773" i="1"/>
  <c r="R2773" i="1"/>
  <c r="Q2772" i="1"/>
  <c r="R2772" i="1"/>
  <c r="Q2771" i="1"/>
  <c r="R2771" i="1"/>
  <c r="Q2770" i="1"/>
  <c r="R2770" i="1"/>
  <c r="Q2769" i="1"/>
  <c r="R2769" i="1"/>
  <c r="Q2768" i="1"/>
  <c r="R2768" i="1"/>
  <c r="Q2767" i="1"/>
  <c r="R2767" i="1"/>
  <c r="Q2766" i="1"/>
  <c r="R2766" i="1"/>
  <c r="Q2765" i="1"/>
  <c r="R2765" i="1"/>
  <c r="Q2764" i="1"/>
  <c r="R2764" i="1"/>
  <c r="Q2763" i="1"/>
  <c r="R2763" i="1"/>
  <c r="Q2762" i="1"/>
  <c r="R2762" i="1"/>
  <c r="Q2761" i="1"/>
  <c r="R2761" i="1"/>
  <c r="Q2760" i="1"/>
  <c r="R2760" i="1"/>
  <c r="Q2759" i="1"/>
  <c r="R2759" i="1"/>
  <c r="Q2758" i="1"/>
  <c r="R2758" i="1"/>
  <c r="Q2757" i="1"/>
  <c r="R2757" i="1"/>
  <c r="Q2756" i="1"/>
  <c r="R2756" i="1"/>
  <c r="Q2755" i="1"/>
  <c r="R2755" i="1"/>
  <c r="Q2754" i="1"/>
  <c r="R2754" i="1"/>
  <c r="Q2753" i="1"/>
  <c r="R2753" i="1"/>
  <c r="Q2752" i="1"/>
  <c r="R2752" i="1"/>
  <c r="Q2751" i="1"/>
  <c r="R2751" i="1"/>
  <c r="Q2750" i="1"/>
  <c r="R2750" i="1"/>
  <c r="Q2749" i="1"/>
  <c r="R2749" i="1"/>
  <c r="Q2748" i="1"/>
  <c r="R2748" i="1"/>
  <c r="Q2747" i="1"/>
  <c r="R2747" i="1"/>
  <c r="Q2746" i="1"/>
  <c r="R2746" i="1"/>
  <c r="Q2745" i="1"/>
  <c r="R2745" i="1"/>
  <c r="Q2744" i="1"/>
  <c r="R2744" i="1"/>
  <c r="Q2743" i="1"/>
  <c r="R2743" i="1"/>
  <c r="Q2742" i="1"/>
  <c r="R2742" i="1"/>
  <c r="Q2741" i="1"/>
  <c r="R2741" i="1"/>
  <c r="Q2740" i="1"/>
  <c r="R2740" i="1"/>
  <c r="Q2739" i="1"/>
  <c r="R2739" i="1"/>
  <c r="Q2738" i="1"/>
  <c r="R2738" i="1"/>
  <c r="Q2737" i="1"/>
  <c r="R2737" i="1"/>
  <c r="Q2736" i="1"/>
  <c r="R2736" i="1"/>
  <c r="Q2735" i="1"/>
  <c r="R2735" i="1"/>
  <c r="Q2734" i="1"/>
  <c r="R2734" i="1" s="1"/>
  <c r="Q2733" i="1"/>
  <c r="R2733" i="1" s="1"/>
  <c r="Q2732" i="1"/>
  <c r="R2732" i="1" s="1"/>
  <c r="Q2731" i="1"/>
  <c r="R2731" i="1" s="1"/>
  <c r="Q2730" i="1"/>
  <c r="R2730" i="1" s="1"/>
  <c r="Q2729" i="1"/>
  <c r="R2729" i="1" s="1"/>
  <c r="Q2728" i="1"/>
  <c r="R2728" i="1" s="1"/>
  <c r="Q2727" i="1"/>
  <c r="R2727" i="1"/>
  <c r="Q2726" i="1"/>
  <c r="R2726" i="1"/>
  <c r="Q2725" i="1"/>
  <c r="R2725" i="1"/>
  <c r="Q2724" i="1"/>
  <c r="R2724" i="1"/>
  <c r="Q2723" i="1"/>
  <c r="R2723" i="1"/>
  <c r="Q2722" i="1"/>
  <c r="R2722" i="1"/>
  <c r="Q2721" i="1"/>
  <c r="R2721" i="1"/>
  <c r="Q2720" i="1"/>
  <c r="R2720" i="1"/>
  <c r="Q2719" i="1"/>
  <c r="R2719" i="1"/>
  <c r="Q2718" i="1"/>
  <c r="R2718" i="1"/>
  <c r="Q2717" i="1"/>
  <c r="R2717" i="1"/>
  <c r="Q2716" i="1"/>
  <c r="R2716" i="1"/>
  <c r="Q2715" i="1"/>
  <c r="R2715" i="1"/>
  <c r="Q2714" i="1"/>
  <c r="R2714" i="1"/>
  <c r="Q2713" i="1"/>
  <c r="R2713" i="1"/>
  <c r="Q2712" i="1"/>
  <c r="R2712" i="1"/>
  <c r="Q2711" i="1"/>
  <c r="R2711" i="1"/>
  <c r="Q2710" i="1"/>
  <c r="R2710" i="1"/>
  <c r="Q2709" i="1"/>
  <c r="R2709" i="1"/>
  <c r="Q2708" i="1"/>
  <c r="R2708" i="1"/>
  <c r="Q2707" i="1"/>
  <c r="R2707" i="1"/>
  <c r="Q2706" i="1"/>
  <c r="R2706" i="1"/>
  <c r="Q2705" i="1"/>
  <c r="R2705" i="1"/>
  <c r="Q2704" i="1"/>
  <c r="R2704" i="1"/>
  <c r="Q2703" i="1"/>
  <c r="R2703" i="1"/>
  <c r="Q2702" i="1"/>
  <c r="R2702" i="1"/>
  <c r="Q2701" i="1"/>
  <c r="R2701" i="1"/>
  <c r="Q2699" i="1"/>
  <c r="Q2700" i="1"/>
  <c r="R2699" i="1"/>
  <c r="R2700" i="1"/>
  <c r="Q2698" i="1"/>
  <c r="R2698" i="1"/>
  <c r="Q2697" i="1"/>
  <c r="R2697" i="1"/>
  <c r="A381" i="4" a="1"/>
  <c r="A381" i="4"/>
  <c r="C381" i="4"/>
  <c r="D381" i="4"/>
  <c r="E381" i="4"/>
  <c r="F381" i="4"/>
  <c r="G381" i="4"/>
  <c r="I381" i="4"/>
  <c r="A380" i="4" a="1"/>
  <c r="A380" i="4"/>
  <c r="C380" i="4"/>
  <c r="D380" i="4"/>
  <c r="E380" i="4"/>
  <c r="F380" i="4"/>
  <c r="G380" i="4"/>
  <c r="I380" i="4"/>
  <c r="Q2696" i="1"/>
  <c r="R2696" i="1"/>
  <c r="A379" i="4" a="1"/>
  <c r="A379" i="4"/>
  <c r="C379" i="4"/>
  <c r="D379" i="4"/>
  <c r="E379" i="4"/>
  <c r="F379" i="4"/>
  <c r="G379" i="4"/>
  <c r="I379" i="4"/>
  <c r="Q2695" i="1"/>
  <c r="R2695" i="1"/>
  <c r="Q2694" i="1"/>
  <c r="R2694" i="1"/>
  <c r="Q2693" i="1"/>
  <c r="R2693" i="1"/>
  <c r="Q2692" i="1"/>
  <c r="R2692" i="1"/>
  <c r="Q2691" i="1"/>
  <c r="R2691" i="1"/>
  <c r="Q2690" i="1"/>
  <c r="R2690" i="1"/>
  <c r="Q2689" i="1"/>
  <c r="R2689" i="1"/>
  <c r="Q2688" i="1"/>
  <c r="R2688" i="1"/>
  <c r="Q2687" i="1"/>
  <c r="R2687" i="1"/>
  <c r="Q2686" i="1"/>
  <c r="R2686" i="1"/>
  <c r="Q2685" i="1"/>
  <c r="R2685" i="1"/>
  <c r="A378" i="4" a="1"/>
  <c r="A378" i="4"/>
  <c r="C378" i="4"/>
  <c r="D378" i="4"/>
  <c r="E378" i="4"/>
  <c r="F378" i="4"/>
  <c r="G378" i="4"/>
  <c r="I378" i="4"/>
  <c r="A377" i="4" a="1"/>
  <c r="A377" i="4"/>
  <c r="C377" i="4"/>
  <c r="D377" i="4"/>
  <c r="E377" i="4"/>
  <c r="F377" i="4"/>
  <c r="G377" i="4"/>
  <c r="I377" i="4"/>
  <c r="Q2684" i="1"/>
  <c r="R2684" i="1"/>
  <c r="Q2683" i="1"/>
  <c r="R2683" i="1"/>
  <c r="Q2682" i="1"/>
  <c r="R2682" i="1"/>
  <c r="Q2681" i="1"/>
  <c r="R2681" i="1"/>
  <c r="Q2680" i="1"/>
  <c r="R2680" i="1"/>
  <c r="Q2679" i="1"/>
  <c r="R2679" i="1"/>
  <c r="Q2678" i="1"/>
  <c r="R2678" i="1"/>
  <c r="Q2677" i="1"/>
  <c r="R2677" i="1"/>
  <c r="A376" i="4" a="1"/>
  <c r="A376" i="4"/>
  <c r="C376" i="4"/>
  <c r="D376" i="4"/>
  <c r="E376" i="4"/>
  <c r="F376" i="4"/>
  <c r="G376" i="4"/>
  <c r="I376" i="4"/>
  <c r="A375" i="4" a="1"/>
  <c r="A375" i="4"/>
  <c r="C375" i="4"/>
  <c r="D375" i="4"/>
  <c r="E375" i="4"/>
  <c r="F375" i="4"/>
  <c r="G375" i="4"/>
  <c r="I375" i="4"/>
  <c r="A374" i="4" a="1"/>
  <c r="A374" i="4"/>
  <c r="C374" i="4"/>
  <c r="D374" i="4"/>
  <c r="E374" i="4"/>
  <c r="F374" i="4"/>
  <c r="G374" i="4"/>
  <c r="I374" i="4"/>
  <c r="A373" i="4" a="1"/>
  <c r="A373" i="4"/>
  <c r="C373" i="4"/>
  <c r="D373" i="4"/>
  <c r="E373" i="4"/>
  <c r="F373" i="4"/>
  <c r="G373" i="4"/>
  <c r="I373" i="4"/>
  <c r="A372" i="4" a="1"/>
  <c r="A372" i="4"/>
  <c r="C372" i="4"/>
  <c r="D372" i="4"/>
  <c r="E372" i="4"/>
  <c r="F372" i="4"/>
  <c r="G372" i="4"/>
  <c r="I372" i="4"/>
  <c r="A371" i="4" a="1"/>
  <c r="A371" i="4"/>
  <c r="C371" i="4"/>
  <c r="D371" i="4"/>
  <c r="E371" i="4"/>
  <c r="F371" i="4"/>
  <c r="G371" i="4"/>
  <c r="I371" i="4"/>
  <c r="A370" i="4" a="1"/>
  <c r="A370" i="4"/>
  <c r="C370" i="4"/>
  <c r="D370" i="4"/>
  <c r="E370" i="4"/>
  <c r="F370" i="4"/>
  <c r="G370" i="4"/>
  <c r="I370" i="4"/>
  <c r="A369" i="4" a="1"/>
  <c r="A369" i="4"/>
  <c r="C369" i="4"/>
  <c r="D369" i="4"/>
  <c r="E369" i="4"/>
  <c r="F369" i="4"/>
  <c r="G369" i="4"/>
  <c r="I369" i="4"/>
  <c r="A368" i="4" a="1"/>
  <c r="A368" i="4"/>
  <c r="C368" i="4"/>
  <c r="D368" i="4"/>
  <c r="E368" i="4"/>
  <c r="F368" i="4"/>
  <c r="G368" i="4"/>
  <c r="I368" i="4"/>
  <c r="A367" i="4" a="1"/>
  <c r="A367" i="4"/>
  <c r="C367" i="4"/>
  <c r="D367" i="4"/>
  <c r="E367" i="4"/>
  <c r="F367" i="4"/>
  <c r="G367" i="4"/>
  <c r="I367" i="4"/>
  <c r="A366" i="4" a="1"/>
  <c r="A366" i="4"/>
  <c r="C366" i="4"/>
  <c r="D366" i="4"/>
  <c r="E366" i="4"/>
  <c r="F366" i="4"/>
  <c r="G366" i="4"/>
  <c r="I366" i="4"/>
  <c r="A365" i="4" a="1"/>
  <c r="A365" i="4"/>
  <c r="C365" i="4"/>
  <c r="D365" i="4"/>
  <c r="E365" i="4"/>
  <c r="F365" i="4"/>
  <c r="G365" i="4"/>
  <c r="I365" i="4"/>
  <c r="A364" i="4" a="1"/>
  <c r="A364" i="4"/>
  <c r="C364" i="4"/>
  <c r="D364" i="4"/>
  <c r="E364" i="4"/>
  <c r="F364" i="4"/>
  <c r="G364" i="4"/>
  <c r="I364" i="4"/>
  <c r="A363" i="4" a="1"/>
  <c r="A363" i="4"/>
  <c r="C363" i="4"/>
  <c r="D363" i="4"/>
  <c r="E363" i="4"/>
  <c r="F363" i="4"/>
  <c r="G363" i="4"/>
  <c r="I363" i="4"/>
  <c r="A362" i="4" a="1"/>
  <c r="A362" i="4"/>
  <c r="C362" i="4"/>
  <c r="D362" i="4"/>
  <c r="E362" i="4"/>
  <c r="F362" i="4"/>
  <c r="G362" i="4"/>
  <c r="I362" i="4"/>
  <c r="A361" i="4" a="1"/>
  <c r="A361" i="4"/>
  <c r="C361" i="4"/>
  <c r="D361" i="4"/>
  <c r="E361" i="4"/>
  <c r="F361" i="4"/>
  <c r="G361" i="4"/>
  <c r="I361" i="4"/>
  <c r="A360" i="4" a="1"/>
  <c r="A360" i="4"/>
  <c r="C360" i="4"/>
  <c r="D360" i="4"/>
  <c r="E360" i="4"/>
  <c r="F360" i="4"/>
  <c r="G360" i="4"/>
  <c r="I360" i="4"/>
  <c r="A359" i="4" a="1"/>
  <c r="A359" i="4"/>
  <c r="C359" i="4"/>
  <c r="D359" i="4"/>
  <c r="E359" i="4"/>
  <c r="F359" i="4"/>
  <c r="G359" i="4"/>
  <c r="I359" i="4"/>
  <c r="A358" i="4" a="1"/>
  <c r="A358" i="4"/>
  <c r="C358" i="4"/>
  <c r="D358" i="4"/>
  <c r="E358" i="4"/>
  <c r="F358" i="4"/>
  <c r="G358" i="4"/>
  <c r="I358" i="4"/>
  <c r="A357" i="4" a="1"/>
  <c r="A357" i="4"/>
  <c r="C357" i="4"/>
  <c r="D357" i="4"/>
  <c r="E357" i="4"/>
  <c r="F357" i="4"/>
  <c r="G357" i="4"/>
  <c r="I357" i="4"/>
  <c r="A356" i="4" a="1"/>
  <c r="A356" i="4"/>
  <c r="C356" i="4"/>
  <c r="D356" i="4"/>
  <c r="E356" i="4"/>
  <c r="F356" i="4"/>
  <c r="G356" i="4"/>
  <c r="I356" i="4"/>
  <c r="Q2676" i="1"/>
  <c r="R2676" i="1"/>
  <c r="A355" i="4" a="1"/>
  <c r="A355" i="4"/>
  <c r="C355" i="4"/>
  <c r="D355" i="4"/>
  <c r="E355" i="4"/>
  <c r="F355" i="4"/>
  <c r="G355" i="4"/>
  <c r="I355" i="4"/>
  <c r="Q2675" i="1"/>
  <c r="R2675" i="1"/>
  <c r="A354" i="4" a="1"/>
  <c r="A354" i="4"/>
  <c r="C354" i="4"/>
  <c r="D354" i="4"/>
  <c r="E354" i="4"/>
  <c r="F354" i="4"/>
  <c r="G354" i="4"/>
  <c r="I354" i="4"/>
  <c r="A353" i="4" a="1"/>
  <c r="A353" i="4"/>
  <c r="C353" i="4"/>
  <c r="D353" i="4"/>
  <c r="E353" i="4"/>
  <c r="F353" i="4"/>
  <c r="G353" i="4"/>
  <c r="I353" i="4"/>
  <c r="Q2674" i="1"/>
  <c r="R2674" i="1"/>
  <c r="A352" i="4" a="1"/>
  <c r="A352" i="4"/>
  <c r="C352" i="4"/>
  <c r="D352" i="4"/>
  <c r="E352" i="4"/>
  <c r="F352" i="4"/>
  <c r="G352" i="4"/>
  <c r="I352" i="4"/>
  <c r="A351" i="4" a="1"/>
  <c r="A351" i="4"/>
  <c r="C351" i="4"/>
  <c r="D351" i="4"/>
  <c r="E351" i="4"/>
  <c r="F351" i="4"/>
  <c r="G351" i="4"/>
  <c r="I351" i="4"/>
  <c r="A350" i="4" a="1"/>
  <c r="A350" i="4"/>
  <c r="C350" i="4"/>
  <c r="D350" i="4"/>
  <c r="E350" i="4"/>
  <c r="F350" i="4"/>
  <c r="G350" i="4"/>
  <c r="I350" i="4"/>
  <c r="C349" i="4"/>
  <c r="D349" i="4"/>
  <c r="E349" i="4"/>
  <c r="F349" i="4"/>
  <c r="G349" i="4"/>
  <c r="I349" i="4"/>
  <c r="C348" i="4"/>
  <c r="D348" i="4"/>
  <c r="E348" i="4"/>
  <c r="F348" i="4"/>
  <c r="G348" i="4"/>
  <c r="I348" i="4"/>
  <c r="C347" i="4"/>
  <c r="D347" i="4"/>
  <c r="E347" i="4"/>
  <c r="F347" i="4"/>
  <c r="G347" i="4"/>
  <c r="I347" i="4"/>
  <c r="C346" i="4"/>
  <c r="D346" i="4"/>
  <c r="E346" i="4"/>
  <c r="F346" i="4"/>
  <c r="G346" i="4"/>
  <c r="I346" i="4"/>
  <c r="C345" i="4"/>
  <c r="D345" i="4"/>
  <c r="E345" i="4"/>
  <c r="F345" i="4"/>
  <c r="G345" i="4"/>
  <c r="I345" i="4"/>
  <c r="C344" i="4"/>
  <c r="D344" i="4"/>
  <c r="E344" i="4"/>
  <c r="F344" i="4"/>
  <c r="G344" i="4"/>
  <c r="I344" i="4"/>
  <c r="C343" i="4"/>
  <c r="D343" i="4"/>
  <c r="E343" i="4"/>
  <c r="F343" i="4"/>
  <c r="G343" i="4"/>
  <c r="I343" i="4"/>
  <c r="C342" i="4"/>
  <c r="D342" i="4"/>
  <c r="E342" i="4"/>
  <c r="F342" i="4"/>
  <c r="G342" i="4"/>
  <c r="I342" i="4"/>
  <c r="C341" i="4"/>
  <c r="D341" i="4"/>
  <c r="E341" i="4"/>
  <c r="F341" i="4"/>
  <c r="G341" i="4"/>
  <c r="I341" i="4"/>
  <c r="C340" i="4"/>
  <c r="D340" i="4"/>
  <c r="E340" i="4"/>
  <c r="F340" i="4"/>
  <c r="G340" i="4"/>
  <c r="I340" i="4"/>
  <c r="A339" i="4" a="1"/>
  <c r="A339" i="4"/>
  <c r="C339" i="4"/>
  <c r="D339" i="4"/>
  <c r="E339" i="4"/>
  <c r="F339" i="4"/>
  <c r="G339" i="4"/>
  <c r="I339" i="4"/>
  <c r="C338" i="4"/>
  <c r="D338" i="4"/>
  <c r="E338" i="4"/>
  <c r="F338" i="4"/>
  <c r="G338" i="4"/>
  <c r="I338" i="4"/>
  <c r="C337" i="4"/>
  <c r="D337" i="4"/>
  <c r="E337" i="4"/>
  <c r="F337" i="4"/>
  <c r="G337" i="4"/>
  <c r="I337" i="4"/>
  <c r="C336" i="4"/>
  <c r="D336" i="4"/>
  <c r="E336" i="4"/>
  <c r="F336" i="4"/>
  <c r="G336" i="4"/>
  <c r="I336" i="4"/>
  <c r="C335" i="4"/>
  <c r="D335" i="4"/>
  <c r="E335" i="4"/>
  <c r="F335" i="4"/>
  <c r="G335" i="4"/>
  <c r="I335" i="4"/>
  <c r="C334" i="4"/>
  <c r="D334" i="4"/>
  <c r="E334" i="4"/>
  <c r="F334" i="4"/>
  <c r="G334" i="4"/>
  <c r="I334" i="4"/>
  <c r="C333" i="4"/>
  <c r="D333" i="4"/>
  <c r="E333" i="4"/>
  <c r="F333" i="4"/>
  <c r="G333" i="4"/>
  <c r="I333" i="4"/>
  <c r="C332" i="4"/>
  <c r="D332" i="4"/>
  <c r="E332" i="4"/>
  <c r="F332" i="4"/>
  <c r="G332" i="4"/>
  <c r="I332" i="4"/>
  <c r="C331" i="4"/>
  <c r="D331" i="4"/>
  <c r="E331" i="4"/>
  <c r="F331" i="4"/>
  <c r="G331" i="4"/>
  <c r="I331" i="4"/>
  <c r="C330" i="4"/>
  <c r="D330" i="4"/>
  <c r="E330" i="4"/>
  <c r="F330" i="4"/>
  <c r="G330" i="4"/>
  <c r="I330" i="4"/>
  <c r="C329" i="4"/>
  <c r="D329" i="4"/>
  <c r="E329" i="4"/>
  <c r="F329" i="4"/>
  <c r="G329" i="4"/>
  <c r="I329" i="4"/>
  <c r="C328" i="4"/>
  <c r="D328" i="4"/>
  <c r="E328" i="4"/>
  <c r="F328" i="4"/>
  <c r="G328" i="4"/>
  <c r="I328" i="4"/>
  <c r="C327" i="4"/>
  <c r="D327" i="4"/>
  <c r="E327" i="4"/>
  <c r="F327" i="4"/>
  <c r="G327" i="4"/>
  <c r="I327" i="4"/>
  <c r="C326" i="4"/>
  <c r="D326" i="4"/>
  <c r="E326" i="4"/>
  <c r="F326" i="4"/>
  <c r="G326" i="4"/>
  <c r="I326" i="4"/>
  <c r="C325" i="4"/>
  <c r="D325" i="4"/>
  <c r="E325" i="4"/>
  <c r="F325" i="4"/>
  <c r="G325" i="4"/>
  <c r="I325" i="4"/>
  <c r="C324" i="4"/>
  <c r="D324" i="4"/>
  <c r="E324" i="4"/>
  <c r="F324" i="4"/>
  <c r="G324" i="4"/>
  <c r="I324" i="4"/>
  <c r="C323" i="4"/>
  <c r="D323" i="4"/>
  <c r="E323" i="4"/>
  <c r="F323" i="4"/>
  <c r="G323" i="4"/>
  <c r="I323" i="4"/>
  <c r="C322" i="4"/>
  <c r="D322" i="4"/>
  <c r="E322" i="4"/>
  <c r="F322" i="4"/>
  <c r="G322" i="4"/>
  <c r="I322" i="4"/>
  <c r="C321" i="4"/>
  <c r="D321" i="4"/>
  <c r="E321" i="4"/>
  <c r="F321" i="4"/>
  <c r="G321" i="4"/>
  <c r="I321" i="4"/>
  <c r="C320" i="4"/>
  <c r="D320" i="4"/>
  <c r="E320" i="4"/>
  <c r="F320" i="4"/>
  <c r="G320" i="4"/>
  <c r="I320" i="4"/>
  <c r="C319" i="4"/>
  <c r="D319" i="4"/>
  <c r="E319" i="4"/>
  <c r="F319" i="4"/>
  <c r="G319" i="4"/>
  <c r="I319" i="4"/>
  <c r="C318" i="4"/>
  <c r="D318" i="4"/>
  <c r="E318" i="4"/>
  <c r="F318" i="4"/>
  <c r="G318" i="4"/>
  <c r="I318" i="4"/>
  <c r="C317" i="4"/>
  <c r="D317" i="4"/>
  <c r="E317" i="4"/>
  <c r="F317" i="4"/>
  <c r="G317" i="4"/>
  <c r="I317" i="4"/>
  <c r="C316" i="4"/>
  <c r="D316" i="4"/>
  <c r="E316" i="4"/>
  <c r="F316" i="4"/>
  <c r="G316" i="4"/>
  <c r="I316" i="4"/>
  <c r="C315" i="4"/>
  <c r="D315" i="4"/>
  <c r="E315" i="4"/>
  <c r="F315" i="4"/>
  <c r="G315" i="4"/>
  <c r="I315" i="4"/>
  <c r="C314" i="4"/>
  <c r="D314" i="4"/>
  <c r="E314" i="4"/>
  <c r="F314" i="4"/>
  <c r="G314" i="4"/>
  <c r="I314" i="4"/>
  <c r="C313" i="4"/>
  <c r="D313" i="4"/>
  <c r="E313" i="4"/>
  <c r="F313" i="4"/>
  <c r="G313" i="4"/>
  <c r="I313" i="4"/>
  <c r="C312" i="4"/>
  <c r="D312" i="4"/>
  <c r="E312" i="4"/>
  <c r="F312" i="4"/>
  <c r="G312" i="4"/>
  <c r="I312" i="4"/>
  <c r="C311" i="4"/>
  <c r="D311" i="4"/>
  <c r="E311" i="4"/>
  <c r="F311" i="4"/>
  <c r="G311" i="4"/>
  <c r="I311" i="4"/>
  <c r="C310" i="4"/>
  <c r="D310" i="4"/>
  <c r="E310" i="4"/>
  <c r="F310" i="4"/>
  <c r="G310" i="4"/>
  <c r="I310" i="4"/>
  <c r="C309" i="4"/>
  <c r="D309" i="4"/>
  <c r="E309" i="4"/>
  <c r="F309" i="4"/>
  <c r="G309" i="4"/>
  <c r="I309" i="4"/>
  <c r="C308" i="4"/>
  <c r="D308" i="4"/>
  <c r="E308" i="4"/>
  <c r="F308" i="4"/>
  <c r="G308" i="4"/>
  <c r="I308" i="4"/>
  <c r="C307" i="4"/>
  <c r="D307" i="4"/>
  <c r="E307" i="4"/>
  <c r="F307" i="4"/>
  <c r="G307" i="4"/>
  <c r="I307" i="4"/>
  <c r="C306" i="4"/>
  <c r="D306" i="4"/>
  <c r="E306" i="4"/>
  <c r="F306" i="4"/>
  <c r="G306" i="4"/>
  <c r="I306" i="4"/>
  <c r="C305" i="4"/>
  <c r="D305" i="4"/>
  <c r="E305" i="4"/>
  <c r="F305" i="4"/>
  <c r="G305" i="4"/>
  <c r="I305" i="4"/>
  <c r="A304" i="4" a="1"/>
  <c r="A304" i="4"/>
  <c r="C304" i="4"/>
  <c r="D304" i="4"/>
  <c r="E304" i="4"/>
  <c r="F304" i="4"/>
  <c r="G304" i="4"/>
  <c r="I304" i="4"/>
  <c r="C303" i="4"/>
  <c r="D303" i="4"/>
  <c r="E303" i="4"/>
  <c r="F303" i="4"/>
  <c r="G303" i="4"/>
  <c r="I303" i="4"/>
  <c r="C302" i="4"/>
  <c r="D302" i="4"/>
  <c r="E302" i="4"/>
  <c r="F302" i="4"/>
  <c r="G302" i="4"/>
  <c r="I302" i="4"/>
  <c r="C301" i="4"/>
  <c r="D301" i="4"/>
  <c r="E301" i="4"/>
  <c r="F301" i="4"/>
  <c r="G301" i="4"/>
  <c r="I301" i="4"/>
  <c r="C300" i="4"/>
  <c r="D300" i="4"/>
  <c r="E300" i="4"/>
  <c r="F300" i="4"/>
  <c r="G300" i="4"/>
  <c r="I300" i="4"/>
  <c r="C299" i="4"/>
  <c r="D299" i="4"/>
  <c r="E299" i="4"/>
  <c r="F299" i="4"/>
  <c r="G299" i="4"/>
  <c r="I299" i="4"/>
  <c r="C298" i="4"/>
  <c r="D298" i="4"/>
  <c r="E298" i="4"/>
  <c r="F298" i="4"/>
  <c r="G298" i="4"/>
  <c r="I298" i="4"/>
  <c r="C297" i="4"/>
  <c r="D297" i="4"/>
  <c r="E297" i="4"/>
  <c r="F297" i="4"/>
  <c r="G297" i="4"/>
  <c r="I297" i="4"/>
  <c r="C296" i="4"/>
  <c r="D296" i="4"/>
  <c r="E296" i="4"/>
  <c r="F296" i="4"/>
  <c r="G296" i="4"/>
  <c r="I296" i="4"/>
  <c r="A295" i="4" a="1"/>
  <c r="A295" i="4"/>
  <c r="C295" i="4"/>
  <c r="D295" i="4"/>
  <c r="E295" i="4"/>
  <c r="F295" i="4"/>
  <c r="G295" i="4"/>
  <c r="I295" i="4"/>
  <c r="Q2673" i="1"/>
  <c r="R2673" i="1"/>
  <c r="Q2672" i="1"/>
  <c r="R2672" i="1" s="1"/>
  <c r="A294" i="4" a="1"/>
  <c r="A294" i="4"/>
  <c r="I294" i="4"/>
  <c r="G294" i="4"/>
  <c r="F294" i="4"/>
  <c r="E294" i="4"/>
  <c r="D294" i="4"/>
  <c r="C294" i="4"/>
  <c r="A293" i="4" a="1"/>
  <c r="A293" i="4"/>
  <c r="I293" i="4"/>
  <c r="G293" i="4"/>
  <c r="F293" i="4"/>
  <c r="E293" i="4"/>
  <c r="D293" i="4"/>
  <c r="C293" i="4"/>
  <c r="A292" i="4" a="1"/>
  <c r="A292" i="4"/>
  <c r="I292" i="4"/>
  <c r="G292" i="4"/>
  <c r="F292" i="4"/>
  <c r="E292" i="4"/>
  <c r="D292" i="4"/>
  <c r="C292" i="4"/>
  <c r="Q2671" i="1"/>
  <c r="R2671" i="1"/>
  <c r="A291" i="4" a="1"/>
  <c r="A291" i="4"/>
  <c r="C291" i="4"/>
  <c r="D291" i="4"/>
  <c r="E291" i="4"/>
  <c r="F291" i="4"/>
  <c r="G291" i="4"/>
  <c r="I291" i="4"/>
  <c r="A290" i="4" a="1"/>
  <c r="A290" i="4"/>
  <c r="C290" i="4"/>
  <c r="D290" i="4"/>
  <c r="E290" i="4"/>
  <c r="F290" i="4"/>
  <c r="G290" i="4"/>
  <c r="I290" i="4"/>
  <c r="A289" i="4" a="1"/>
  <c r="A289" i="4"/>
  <c r="C289" i="4"/>
  <c r="D289" i="4"/>
  <c r="E289" i="4"/>
  <c r="F289" i="4"/>
  <c r="G289" i="4"/>
  <c r="I289" i="4"/>
  <c r="Q2670" i="1"/>
  <c r="R2670" i="1"/>
  <c r="Q2669" i="1"/>
  <c r="R2669" i="1"/>
  <c r="Q2668" i="1"/>
  <c r="R2668" i="1"/>
  <c r="A288" i="4" a="1"/>
  <c r="A288" i="4"/>
  <c r="C288" i="4"/>
  <c r="D288" i="4"/>
  <c r="E288" i="4"/>
  <c r="F288" i="4"/>
  <c r="G288" i="4"/>
  <c r="I288" i="4"/>
  <c r="A287" i="4" a="1"/>
  <c r="A287" i="4"/>
  <c r="C287" i="4"/>
  <c r="D287" i="4"/>
  <c r="E287" i="4"/>
  <c r="F287" i="4"/>
  <c r="G287" i="4"/>
  <c r="I287" i="4"/>
  <c r="A286" i="4" a="1"/>
  <c r="A286" i="4"/>
  <c r="C286" i="4"/>
  <c r="D286" i="4"/>
  <c r="E286" i="4"/>
  <c r="F286" i="4"/>
  <c r="G286" i="4"/>
  <c r="I286" i="4"/>
  <c r="Q2667" i="1"/>
  <c r="R2667" i="1"/>
  <c r="A284" i="4" a="1"/>
  <c r="A284" i="4"/>
  <c r="A285" i="4" a="1"/>
  <c r="A285" i="4"/>
  <c r="C284" i="4"/>
  <c r="C285" i="4"/>
  <c r="D284" i="4"/>
  <c r="D285" i="4"/>
  <c r="E284" i="4"/>
  <c r="E285" i="4"/>
  <c r="F284" i="4"/>
  <c r="F285" i="4"/>
  <c r="G284" i="4"/>
  <c r="G285" i="4"/>
  <c r="I284" i="4"/>
  <c r="I285" i="4"/>
  <c r="A283" i="4" a="1"/>
  <c r="A283" i="4"/>
  <c r="C283" i="4"/>
  <c r="D283" i="4"/>
  <c r="E283" i="4"/>
  <c r="F283" i="4"/>
  <c r="G283" i="4"/>
  <c r="I283" i="4"/>
  <c r="C282" i="4"/>
  <c r="D282" i="4"/>
  <c r="E282" i="4"/>
  <c r="F282" i="4"/>
  <c r="G282" i="4"/>
  <c r="I282" i="4"/>
  <c r="C281" i="4"/>
  <c r="D281" i="4"/>
  <c r="E281" i="4"/>
  <c r="F281" i="4"/>
  <c r="G281" i="4"/>
  <c r="I281" i="4"/>
  <c r="C280" i="4"/>
  <c r="D280" i="4"/>
  <c r="E280" i="4"/>
  <c r="F280" i="4"/>
  <c r="G280" i="4"/>
  <c r="I280" i="4"/>
  <c r="C279" i="4"/>
  <c r="D279" i="4"/>
  <c r="E279" i="4"/>
  <c r="F279" i="4"/>
  <c r="G279" i="4"/>
  <c r="I279" i="4"/>
  <c r="C277" i="4"/>
  <c r="C278" i="4"/>
  <c r="D277" i="4"/>
  <c r="D278" i="4"/>
  <c r="E277" i="4"/>
  <c r="E278" i="4"/>
  <c r="F277" i="4"/>
  <c r="F278" i="4"/>
  <c r="G277" i="4"/>
  <c r="G278" i="4"/>
  <c r="I277" i="4"/>
  <c r="I278" i="4"/>
  <c r="C275" i="4"/>
  <c r="C276" i="4"/>
  <c r="D275" i="4"/>
  <c r="D276" i="4"/>
  <c r="E275" i="4"/>
  <c r="E276" i="4"/>
  <c r="F275" i="4"/>
  <c r="F276" i="4"/>
  <c r="G275" i="4"/>
  <c r="G276" i="4"/>
  <c r="I275" i="4"/>
  <c r="I276" i="4"/>
  <c r="C273" i="4"/>
  <c r="C274" i="4"/>
  <c r="D273" i="4"/>
  <c r="D274" i="4"/>
  <c r="E273" i="4"/>
  <c r="E274" i="4"/>
  <c r="F273" i="4"/>
  <c r="F274" i="4"/>
  <c r="G273" i="4"/>
  <c r="G274" i="4"/>
  <c r="I273" i="4"/>
  <c r="I274" i="4"/>
  <c r="C271" i="4"/>
  <c r="C272" i="4"/>
  <c r="D271" i="4"/>
  <c r="D272" i="4"/>
  <c r="E271" i="4"/>
  <c r="E272" i="4"/>
  <c r="F271" i="4"/>
  <c r="F272" i="4"/>
  <c r="G271" i="4"/>
  <c r="G272" i="4"/>
  <c r="I271" i="4"/>
  <c r="I272" i="4"/>
  <c r="C270" i="4"/>
  <c r="D270" i="4"/>
  <c r="E270" i="4"/>
  <c r="F270" i="4"/>
  <c r="G270" i="4"/>
  <c r="I270" i="4"/>
  <c r="A269" i="4" a="1"/>
  <c r="A269" i="4"/>
  <c r="C269" i="4"/>
  <c r="D269" i="4"/>
  <c r="E269" i="4"/>
  <c r="F269" i="4"/>
  <c r="G269" i="4"/>
  <c r="I269" i="4"/>
  <c r="C267" i="4"/>
  <c r="C268" i="4"/>
  <c r="D267" i="4"/>
  <c r="D268" i="4"/>
  <c r="E267" i="4"/>
  <c r="E268" i="4"/>
  <c r="F267" i="4"/>
  <c r="F268" i="4"/>
  <c r="G267" i="4"/>
  <c r="G268" i="4"/>
  <c r="I267" i="4"/>
  <c r="I268" i="4"/>
  <c r="C265" i="4"/>
  <c r="C266" i="4"/>
  <c r="D265" i="4"/>
  <c r="D266" i="4"/>
  <c r="E265" i="4"/>
  <c r="E266" i="4"/>
  <c r="F265" i="4"/>
  <c r="F266" i="4"/>
  <c r="G265" i="4"/>
  <c r="G266" i="4"/>
  <c r="I265" i="4"/>
  <c r="I266" i="4"/>
  <c r="A263" i="4" a="1"/>
  <c r="A263" i="4"/>
  <c r="C263" i="4"/>
  <c r="C264" i="4"/>
  <c r="D263" i="4"/>
  <c r="D264" i="4"/>
  <c r="E263" i="4"/>
  <c r="E264" i="4"/>
  <c r="F263" i="4"/>
  <c r="F264" i="4"/>
  <c r="G263" i="4"/>
  <c r="G264" i="4"/>
  <c r="I263" i="4"/>
  <c r="I264" i="4"/>
  <c r="C262" i="4"/>
  <c r="D262" i="4"/>
  <c r="E262" i="4"/>
  <c r="F262" i="4"/>
  <c r="G262" i="4"/>
  <c r="I262" i="4"/>
  <c r="C261" i="4"/>
  <c r="D261" i="4"/>
  <c r="E261" i="4"/>
  <c r="F261" i="4"/>
  <c r="G261" i="4"/>
  <c r="I261" i="4"/>
  <c r="C259" i="4"/>
  <c r="C260" i="4"/>
  <c r="D259" i="4"/>
  <c r="D260" i="4"/>
  <c r="E259" i="4"/>
  <c r="E260" i="4"/>
  <c r="F259" i="4"/>
  <c r="F260" i="4"/>
  <c r="G259" i="4"/>
  <c r="G260" i="4"/>
  <c r="I259" i="4"/>
  <c r="I260" i="4"/>
  <c r="C257" i="4"/>
  <c r="C258" i="4"/>
  <c r="D257" i="4"/>
  <c r="D258" i="4"/>
  <c r="E257" i="4"/>
  <c r="E258" i="4"/>
  <c r="F257" i="4"/>
  <c r="F258" i="4"/>
  <c r="G257" i="4"/>
  <c r="G258" i="4"/>
  <c r="I257" i="4"/>
  <c r="I258" i="4"/>
  <c r="C255" i="4"/>
  <c r="C256" i="4"/>
  <c r="D255" i="4"/>
  <c r="D256" i="4"/>
  <c r="E255" i="4"/>
  <c r="E256" i="4"/>
  <c r="F255" i="4"/>
  <c r="F256" i="4"/>
  <c r="G255" i="4"/>
  <c r="G256" i="4"/>
  <c r="I255" i="4"/>
  <c r="I256" i="4"/>
  <c r="C253" i="4"/>
  <c r="C254" i="4"/>
  <c r="D253" i="4"/>
  <c r="D254" i="4"/>
  <c r="E253" i="4"/>
  <c r="E254" i="4"/>
  <c r="F253" i="4"/>
  <c r="F254" i="4"/>
  <c r="G253" i="4"/>
  <c r="G254" i="4"/>
  <c r="I253" i="4"/>
  <c r="I254" i="4"/>
  <c r="C251" i="4"/>
  <c r="C252" i="4"/>
  <c r="D251" i="4"/>
  <c r="D252" i="4"/>
  <c r="E251" i="4"/>
  <c r="E252" i="4"/>
  <c r="F251" i="4"/>
  <c r="F252" i="4"/>
  <c r="G251" i="4"/>
  <c r="G252" i="4"/>
  <c r="I251" i="4"/>
  <c r="I252" i="4"/>
  <c r="C250" i="4"/>
  <c r="D250" i="4"/>
  <c r="E250" i="4"/>
  <c r="F250" i="4"/>
  <c r="G250" i="4"/>
  <c r="I250" i="4"/>
  <c r="C249" i="4"/>
  <c r="D249" i="4"/>
  <c r="E249" i="4"/>
  <c r="F249" i="4"/>
  <c r="G249" i="4"/>
  <c r="I249" i="4"/>
  <c r="C247" i="4"/>
  <c r="C248" i="4"/>
  <c r="D247" i="4"/>
  <c r="D248" i="4"/>
  <c r="E247" i="4"/>
  <c r="E248" i="4"/>
  <c r="F247" i="4"/>
  <c r="F248" i="4"/>
  <c r="G247" i="4"/>
  <c r="G248" i="4"/>
  <c r="I247" i="4"/>
  <c r="I248" i="4"/>
  <c r="A245" i="4" a="1"/>
  <c r="A245" i="4"/>
  <c r="C245" i="4"/>
  <c r="C246" i="4"/>
  <c r="D245" i="4"/>
  <c r="D246" i="4"/>
  <c r="E245" i="4"/>
  <c r="E246" i="4"/>
  <c r="F245" i="4"/>
  <c r="F246" i="4"/>
  <c r="G245" i="4"/>
  <c r="G246" i="4"/>
  <c r="I245" i="4"/>
  <c r="I246" i="4"/>
  <c r="A244" i="4" a="1"/>
  <c r="A244" i="4"/>
  <c r="C243" i="4"/>
  <c r="C244" i="4"/>
  <c r="D243" i="4"/>
  <c r="D244" i="4"/>
  <c r="E243" i="4"/>
  <c r="E244" i="4"/>
  <c r="F243" i="4"/>
  <c r="F244" i="4"/>
  <c r="G243" i="4"/>
  <c r="G244" i="4"/>
  <c r="I243" i="4"/>
  <c r="I244" i="4"/>
  <c r="C242" i="4"/>
  <c r="D242" i="4"/>
  <c r="E242" i="4"/>
  <c r="F242" i="4"/>
  <c r="G242" i="4"/>
  <c r="I242" i="4"/>
  <c r="C241" i="4"/>
  <c r="D241" i="4"/>
  <c r="E241" i="4"/>
  <c r="F241" i="4"/>
  <c r="G241" i="4"/>
  <c r="I241" i="4"/>
  <c r="C239" i="4"/>
  <c r="C240" i="4"/>
  <c r="D239" i="4"/>
  <c r="D240" i="4"/>
  <c r="E239" i="4"/>
  <c r="E240" i="4"/>
  <c r="F239" i="4"/>
  <c r="F240" i="4"/>
  <c r="G239" i="4"/>
  <c r="G240" i="4"/>
  <c r="I239" i="4"/>
  <c r="I240" i="4"/>
  <c r="C237" i="4"/>
  <c r="C238" i="4"/>
  <c r="D237" i="4"/>
  <c r="D238" i="4"/>
  <c r="E237" i="4"/>
  <c r="E238" i="4"/>
  <c r="F237" i="4"/>
  <c r="F238" i="4"/>
  <c r="G237" i="4"/>
  <c r="G238" i="4"/>
  <c r="I237" i="4"/>
  <c r="I238" i="4"/>
  <c r="C236" i="4"/>
  <c r="D236" i="4"/>
  <c r="E236" i="4"/>
  <c r="F236" i="4"/>
  <c r="G236" i="4"/>
  <c r="I236" i="4"/>
  <c r="C235" i="4"/>
  <c r="D235" i="4"/>
  <c r="E235" i="4"/>
  <c r="F235" i="4"/>
  <c r="G235" i="4"/>
  <c r="I235" i="4"/>
  <c r="C234" i="4"/>
  <c r="D234" i="4"/>
  <c r="E234" i="4"/>
  <c r="F234" i="4"/>
  <c r="G234" i="4"/>
  <c r="I234" i="4"/>
  <c r="C232" i="4"/>
  <c r="C233" i="4"/>
  <c r="D232" i="4"/>
  <c r="D233" i="4"/>
  <c r="E232" i="4"/>
  <c r="E233" i="4"/>
  <c r="F232" i="4"/>
  <c r="F233" i="4"/>
  <c r="G232" i="4"/>
  <c r="G233" i="4"/>
  <c r="I232" i="4"/>
  <c r="I233" i="4"/>
  <c r="C231" i="4"/>
  <c r="D231" i="4"/>
  <c r="E231" i="4"/>
  <c r="F231" i="4"/>
  <c r="G231" i="4"/>
  <c r="I231" i="4"/>
  <c r="C230" i="4"/>
  <c r="D230" i="4"/>
  <c r="E230" i="4"/>
  <c r="F230" i="4"/>
  <c r="G230" i="4"/>
  <c r="I230" i="4"/>
  <c r="C229" i="4"/>
  <c r="D229" i="4"/>
  <c r="E229" i="4"/>
  <c r="F229" i="4"/>
  <c r="G229" i="4"/>
  <c r="I229" i="4"/>
  <c r="C228" i="4"/>
  <c r="D228" i="4"/>
  <c r="E228" i="4"/>
  <c r="F228" i="4"/>
  <c r="G228" i="4"/>
  <c r="I228" i="4"/>
  <c r="C226" i="4"/>
  <c r="C227" i="4"/>
  <c r="D226" i="4"/>
  <c r="D227" i="4"/>
  <c r="E226" i="4"/>
  <c r="E227" i="4"/>
  <c r="F226" i="4"/>
  <c r="F227" i="4"/>
  <c r="G226" i="4"/>
  <c r="G227" i="4"/>
  <c r="I226" i="4"/>
  <c r="I227" i="4"/>
  <c r="C224" i="4"/>
  <c r="C225" i="4"/>
  <c r="D224" i="4"/>
  <c r="D225" i="4"/>
  <c r="E224" i="4"/>
  <c r="E225" i="4"/>
  <c r="F224" i="4"/>
  <c r="F225" i="4"/>
  <c r="G224" i="4"/>
  <c r="G225" i="4"/>
  <c r="I224" i="4"/>
  <c r="I225" i="4"/>
  <c r="C222" i="4"/>
  <c r="C223" i="4"/>
  <c r="D222" i="4"/>
  <c r="D223" i="4"/>
  <c r="E222" i="4"/>
  <c r="E223" i="4"/>
  <c r="F222" i="4"/>
  <c r="F223" i="4"/>
  <c r="G222" i="4"/>
  <c r="G223" i="4"/>
  <c r="I222" i="4"/>
  <c r="I223" i="4"/>
  <c r="C221" i="4"/>
  <c r="D221" i="4"/>
  <c r="E221" i="4"/>
  <c r="F221" i="4"/>
  <c r="G221" i="4"/>
  <c r="I221" i="4"/>
  <c r="C220" i="4"/>
  <c r="D220" i="4"/>
  <c r="E220" i="4"/>
  <c r="F220" i="4"/>
  <c r="G220" i="4"/>
  <c r="I220" i="4"/>
  <c r="C218" i="4"/>
  <c r="C219" i="4"/>
  <c r="D218" i="4"/>
  <c r="D219" i="4"/>
  <c r="E218" i="4"/>
  <c r="E219" i="4"/>
  <c r="F218" i="4"/>
  <c r="F219" i="4"/>
  <c r="G218" i="4"/>
  <c r="G219" i="4"/>
  <c r="I218" i="4"/>
  <c r="I219" i="4"/>
  <c r="C216" i="4"/>
  <c r="C217" i="4"/>
  <c r="D216" i="4"/>
  <c r="D217" i="4"/>
  <c r="E216" i="4"/>
  <c r="E217" i="4"/>
  <c r="F216" i="4"/>
  <c r="F217" i="4"/>
  <c r="G216" i="4"/>
  <c r="G217" i="4"/>
  <c r="I216" i="4"/>
  <c r="I217" i="4"/>
  <c r="C215" i="4"/>
  <c r="D215" i="4"/>
  <c r="E215" i="4"/>
  <c r="F215" i="4"/>
  <c r="G215" i="4"/>
  <c r="I215" i="4"/>
  <c r="A214" i="4" a="1"/>
  <c r="A214" i="4"/>
  <c r="C214" i="4"/>
  <c r="D214" i="4"/>
  <c r="E214" i="4"/>
  <c r="F214" i="4"/>
  <c r="G214" i="4"/>
  <c r="I214" i="4"/>
  <c r="C212" i="4"/>
  <c r="C213" i="4"/>
  <c r="D212" i="4"/>
  <c r="D213" i="4"/>
  <c r="E212" i="4"/>
  <c r="E213" i="4"/>
  <c r="F212" i="4"/>
  <c r="F213" i="4"/>
  <c r="G212" i="4"/>
  <c r="G213" i="4"/>
  <c r="I212" i="4"/>
  <c r="I213" i="4"/>
  <c r="C211" i="4"/>
  <c r="D211" i="4"/>
  <c r="E211" i="4"/>
  <c r="F211" i="4"/>
  <c r="G211" i="4"/>
  <c r="I211" i="4"/>
  <c r="C209" i="4"/>
  <c r="C210" i="4"/>
  <c r="D209" i="4"/>
  <c r="D210" i="4"/>
  <c r="E209" i="4"/>
  <c r="E210" i="4"/>
  <c r="F209" i="4"/>
  <c r="F210" i="4"/>
  <c r="G209" i="4"/>
  <c r="G210" i="4"/>
  <c r="I209" i="4"/>
  <c r="I210" i="4"/>
  <c r="C207" i="4"/>
  <c r="C208" i="4"/>
  <c r="D207" i="4"/>
  <c r="D208" i="4"/>
  <c r="E207" i="4"/>
  <c r="E208" i="4"/>
  <c r="F207" i="4"/>
  <c r="F208" i="4"/>
  <c r="G207" i="4"/>
  <c r="G208" i="4"/>
  <c r="I207" i="4"/>
  <c r="I208" i="4"/>
  <c r="C206" i="4"/>
  <c r="D206" i="4"/>
  <c r="E206" i="4"/>
  <c r="F206" i="4"/>
  <c r="G206" i="4"/>
  <c r="I206" i="4"/>
  <c r="C205" i="4"/>
  <c r="D205" i="4"/>
  <c r="E205" i="4"/>
  <c r="F205" i="4"/>
  <c r="G205" i="4"/>
  <c r="I205" i="4"/>
  <c r="C204" i="4"/>
  <c r="D204" i="4"/>
  <c r="E204" i="4"/>
  <c r="F204" i="4"/>
  <c r="G204" i="4"/>
  <c r="I204" i="4"/>
  <c r="C201" i="4"/>
  <c r="C202" i="4"/>
  <c r="C203" i="4"/>
  <c r="D201" i="4"/>
  <c r="D202" i="4"/>
  <c r="D203" i="4"/>
  <c r="E201" i="4"/>
  <c r="E202" i="4"/>
  <c r="E203" i="4"/>
  <c r="F201" i="4"/>
  <c r="F202" i="4"/>
  <c r="F203" i="4"/>
  <c r="G201" i="4"/>
  <c r="G202" i="4"/>
  <c r="G203" i="4"/>
  <c r="I201" i="4"/>
  <c r="I202" i="4"/>
  <c r="I203" i="4"/>
  <c r="C198" i="4"/>
  <c r="C199" i="4"/>
  <c r="C200" i="4"/>
  <c r="D198" i="4"/>
  <c r="D199" i="4"/>
  <c r="D200" i="4"/>
  <c r="E198" i="4"/>
  <c r="E199" i="4"/>
  <c r="E200" i="4"/>
  <c r="F198" i="4"/>
  <c r="F199" i="4"/>
  <c r="F200" i="4"/>
  <c r="G198" i="4"/>
  <c r="G199" i="4"/>
  <c r="G200" i="4"/>
  <c r="I198" i="4"/>
  <c r="I199" i="4"/>
  <c r="I200" i="4"/>
  <c r="C196" i="4"/>
  <c r="C197" i="4"/>
  <c r="D196" i="4"/>
  <c r="D197" i="4"/>
  <c r="E196" i="4"/>
  <c r="E197" i="4"/>
  <c r="F196" i="4"/>
  <c r="F197" i="4"/>
  <c r="G196" i="4"/>
  <c r="G197" i="4"/>
  <c r="I196" i="4"/>
  <c r="I197" i="4"/>
  <c r="C194" i="4"/>
  <c r="C195" i="4"/>
  <c r="D194" i="4"/>
  <c r="D195" i="4"/>
  <c r="E194" i="4"/>
  <c r="E195" i="4"/>
  <c r="F194" i="4"/>
  <c r="F195" i="4"/>
  <c r="G194" i="4"/>
  <c r="G195" i="4"/>
  <c r="I194" i="4"/>
  <c r="I195" i="4"/>
  <c r="C193" i="4"/>
  <c r="D193" i="4"/>
  <c r="E193" i="4"/>
  <c r="F193" i="4"/>
  <c r="G193" i="4"/>
  <c r="I193" i="4"/>
  <c r="C192" i="4"/>
  <c r="D192" i="4"/>
  <c r="E192" i="4"/>
  <c r="F192" i="4"/>
  <c r="G192" i="4"/>
  <c r="I192" i="4"/>
  <c r="C190" i="4"/>
  <c r="C191" i="4"/>
  <c r="D190" i="4"/>
  <c r="D191" i="4"/>
  <c r="E190" i="4"/>
  <c r="E191" i="4"/>
  <c r="F190" i="4"/>
  <c r="F191" i="4"/>
  <c r="G190" i="4"/>
  <c r="G191" i="4"/>
  <c r="I190" i="4"/>
  <c r="I191" i="4"/>
  <c r="C189" i="4"/>
  <c r="D189" i="4"/>
  <c r="E189" i="4"/>
  <c r="F189" i="4"/>
  <c r="G189" i="4"/>
  <c r="I189" i="4"/>
  <c r="C187" i="4"/>
  <c r="C188" i="4"/>
  <c r="D187" i="4"/>
  <c r="D188" i="4"/>
  <c r="E187" i="4"/>
  <c r="E188" i="4"/>
  <c r="F187" i="4"/>
  <c r="F188" i="4"/>
  <c r="G187" i="4"/>
  <c r="G188" i="4"/>
  <c r="I187" i="4"/>
  <c r="I188" i="4"/>
  <c r="C184" i="4"/>
  <c r="C185" i="4"/>
  <c r="C186" i="4"/>
  <c r="D184" i="4"/>
  <c r="D185" i="4"/>
  <c r="D186" i="4"/>
  <c r="E184" i="4"/>
  <c r="E185" i="4"/>
  <c r="E186" i="4"/>
  <c r="F184" i="4"/>
  <c r="F185" i="4"/>
  <c r="F186" i="4"/>
  <c r="G184" i="4"/>
  <c r="G185" i="4"/>
  <c r="G186" i="4"/>
  <c r="I184" i="4"/>
  <c r="I185" i="4"/>
  <c r="I186" i="4"/>
  <c r="C182" i="4"/>
  <c r="C183" i="4"/>
  <c r="D182" i="4"/>
  <c r="D183" i="4"/>
  <c r="E182" i="4"/>
  <c r="E183" i="4"/>
  <c r="F182" i="4"/>
  <c r="F183" i="4"/>
  <c r="G182" i="4"/>
  <c r="G183" i="4"/>
  <c r="I182" i="4"/>
  <c r="I183" i="4"/>
  <c r="C181" i="4"/>
  <c r="D181" i="4"/>
  <c r="E181" i="4"/>
  <c r="F181" i="4"/>
  <c r="G181" i="4"/>
  <c r="I181" i="4"/>
  <c r="C180" i="4"/>
  <c r="D180" i="4"/>
  <c r="E180" i="4"/>
  <c r="F180" i="4"/>
  <c r="G180" i="4"/>
  <c r="I180" i="4"/>
  <c r="C178" i="4"/>
  <c r="C179" i="4"/>
  <c r="D178" i="4"/>
  <c r="D179" i="4"/>
  <c r="E178" i="4"/>
  <c r="E179" i="4"/>
  <c r="F178" i="4"/>
  <c r="F179" i="4"/>
  <c r="G178" i="4"/>
  <c r="G179" i="4"/>
  <c r="I178" i="4"/>
  <c r="I179" i="4"/>
  <c r="C177" i="4"/>
  <c r="D177" i="4"/>
  <c r="E177" i="4"/>
  <c r="F177" i="4"/>
  <c r="G177" i="4"/>
  <c r="I177" i="4"/>
  <c r="C175" i="4"/>
  <c r="C176" i="4"/>
  <c r="D175" i="4"/>
  <c r="D176" i="4"/>
  <c r="E175" i="4"/>
  <c r="E176" i="4"/>
  <c r="F175" i="4"/>
  <c r="F176" i="4"/>
  <c r="G175" i="4"/>
  <c r="G176" i="4"/>
  <c r="I175" i="4"/>
  <c r="I176" i="4"/>
  <c r="C174" i="4"/>
  <c r="D174" i="4"/>
  <c r="E174" i="4"/>
  <c r="F174" i="4"/>
  <c r="G174" i="4"/>
  <c r="I174" i="4"/>
  <c r="C173" i="4"/>
  <c r="D173" i="4"/>
  <c r="E173" i="4"/>
  <c r="F173" i="4"/>
  <c r="G173" i="4"/>
  <c r="I173" i="4"/>
  <c r="C172" i="4"/>
  <c r="D172" i="4"/>
  <c r="E172" i="4"/>
  <c r="F172" i="4"/>
  <c r="G172" i="4"/>
  <c r="I172" i="4"/>
  <c r="C171" i="4"/>
  <c r="D171" i="4"/>
  <c r="E171" i="4"/>
  <c r="F171" i="4"/>
  <c r="G171" i="4"/>
  <c r="I171" i="4"/>
  <c r="C169" i="4"/>
  <c r="C170" i="4"/>
  <c r="D169" i="4"/>
  <c r="D170" i="4"/>
  <c r="E169" i="4"/>
  <c r="E170" i="4"/>
  <c r="F169" i="4"/>
  <c r="F170" i="4"/>
  <c r="G169" i="4"/>
  <c r="G170" i="4"/>
  <c r="I169" i="4"/>
  <c r="I170" i="4"/>
  <c r="C167" i="4"/>
  <c r="C168" i="4"/>
  <c r="D167" i="4"/>
  <c r="D168" i="4"/>
  <c r="E167" i="4"/>
  <c r="E168" i="4"/>
  <c r="F167" i="4"/>
  <c r="F168" i="4"/>
  <c r="G167" i="4"/>
  <c r="G168" i="4"/>
  <c r="I167" i="4"/>
  <c r="I168" i="4"/>
  <c r="C166" i="4"/>
  <c r="D166" i="4"/>
  <c r="E166" i="4"/>
  <c r="F166" i="4"/>
  <c r="G166" i="4"/>
  <c r="I166" i="4"/>
  <c r="C165" i="4"/>
  <c r="D165" i="4"/>
  <c r="E165" i="4"/>
  <c r="F165" i="4"/>
  <c r="G165" i="4"/>
  <c r="I165" i="4"/>
  <c r="C164" i="4"/>
  <c r="D164" i="4"/>
  <c r="E164" i="4"/>
  <c r="F164" i="4"/>
  <c r="G164" i="4"/>
  <c r="I164" i="4"/>
  <c r="C163" i="4"/>
  <c r="D163" i="4"/>
  <c r="E163" i="4"/>
  <c r="F163" i="4"/>
  <c r="G163" i="4"/>
  <c r="I163" i="4"/>
  <c r="C162" i="4"/>
  <c r="D162" i="4"/>
  <c r="E162" i="4"/>
  <c r="F162" i="4"/>
  <c r="G162" i="4"/>
  <c r="I162" i="4"/>
  <c r="C161" i="4"/>
  <c r="D161" i="4"/>
  <c r="E161" i="4"/>
  <c r="F161" i="4"/>
  <c r="G161" i="4"/>
  <c r="I161" i="4"/>
  <c r="C159" i="4"/>
  <c r="C160" i="4"/>
  <c r="D159" i="4"/>
  <c r="D160" i="4"/>
  <c r="E159" i="4"/>
  <c r="E160" i="4"/>
  <c r="F159" i="4"/>
  <c r="F160" i="4"/>
  <c r="G159" i="4"/>
  <c r="G160" i="4"/>
  <c r="I159" i="4"/>
  <c r="I160" i="4"/>
  <c r="C156" i="4"/>
  <c r="C157" i="4"/>
  <c r="C158" i="4"/>
  <c r="D156" i="4"/>
  <c r="D157" i="4"/>
  <c r="D158" i="4"/>
  <c r="E156" i="4"/>
  <c r="E157" i="4"/>
  <c r="E158" i="4"/>
  <c r="F156" i="4"/>
  <c r="F157" i="4"/>
  <c r="F158" i="4"/>
  <c r="G156" i="4"/>
  <c r="G157" i="4"/>
  <c r="G158" i="4"/>
  <c r="I156" i="4"/>
  <c r="I157" i="4"/>
  <c r="I158" i="4"/>
  <c r="C153" i="4"/>
  <c r="C154" i="4"/>
  <c r="C155" i="4"/>
  <c r="D153" i="4"/>
  <c r="D154" i="4"/>
  <c r="D155" i="4"/>
  <c r="E153" i="4"/>
  <c r="E154" i="4"/>
  <c r="E155" i="4"/>
  <c r="F153" i="4"/>
  <c r="F154" i="4"/>
  <c r="F155" i="4"/>
  <c r="G153" i="4"/>
  <c r="G154" i="4"/>
  <c r="G155" i="4"/>
  <c r="I153" i="4"/>
  <c r="I154" i="4"/>
  <c r="I155" i="4"/>
  <c r="C151" i="4"/>
  <c r="C152" i="4"/>
  <c r="D151" i="4"/>
  <c r="D152" i="4"/>
  <c r="E151" i="4"/>
  <c r="E152" i="4"/>
  <c r="F151" i="4"/>
  <c r="F152" i="4"/>
  <c r="G151" i="4"/>
  <c r="G152" i="4"/>
  <c r="I151" i="4"/>
  <c r="I152" i="4"/>
  <c r="C150" i="4"/>
  <c r="D150" i="4"/>
  <c r="E150" i="4"/>
  <c r="F150" i="4"/>
  <c r="G150" i="4"/>
  <c r="I150" i="4"/>
  <c r="C148" i="4"/>
  <c r="C149" i="4"/>
  <c r="D148" i="4"/>
  <c r="D149" i="4"/>
  <c r="E148" i="4"/>
  <c r="E149" i="4"/>
  <c r="F148" i="4"/>
  <c r="F149" i="4"/>
  <c r="G148" i="4"/>
  <c r="G149" i="4"/>
  <c r="I148" i="4"/>
  <c r="I149" i="4"/>
  <c r="C147" i="4"/>
  <c r="D147" i="4"/>
  <c r="E147" i="4"/>
  <c r="F147" i="4"/>
  <c r="G147" i="4"/>
  <c r="I147" i="4"/>
  <c r="C146" i="4"/>
  <c r="D146" i="4"/>
  <c r="E146" i="4"/>
  <c r="F146" i="4"/>
  <c r="G146" i="4"/>
  <c r="I146" i="4"/>
  <c r="C144" i="4"/>
  <c r="C145" i="4"/>
  <c r="D144" i="4"/>
  <c r="D145" i="4"/>
  <c r="E144" i="4"/>
  <c r="E145" i="4"/>
  <c r="F144" i="4"/>
  <c r="F145" i="4"/>
  <c r="G144" i="4"/>
  <c r="G145" i="4"/>
  <c r="I144" i="4"/>
  <c r="I145" i="4"/>
  <c r="C143" i="4"/>
  <c r="D143" i="4"/>
  <c r="E143" i="4"/>
  <c r="F143" i="4"/>
  <c r="G143" i="4"/>
  <c r="I143" i="4"/>
  <c r="C141" i="4"/>
  <c r="C142" i="4"/>
  <c r="D141" i="4"/>
  <c r="D142" i="4"/>
  <c r="E141" i="4"/>
  <c r="E142" i="4"/>
  <c r="F141" i="4"/>
  <c r="F142" i="4"/>
  <c r="G141" i="4"/>
  <c r="G142" i="4"/>
  <c r="I141" i="4"/>
  <c r="I142" i="4"/>
  <c r="C138" i="4"/>
  <c r="C139" i="4"/>
  <c r="C140" i="4"/>
  <c r="D138" i="4"/>
  <c r="D139" i="4"/>
  <c r="D140" i="4"/>
  <c r="E138" i="4"/>
  <c r="E139" i="4"/>
  <c r="E140" i="4"/>
  <c r="F138" i="4"/>
  <c r="F139" i="4"/>
  <c r="F140" i="4"/>
  <c r="G138" i="4"/>
  <c r="G139" i="4"/>
  <c r="G140" i="4"/>
  <c r="I138" i="4"/>
  <c r="I139" i="4"/>
  <c r="I140" i="4"/>
  <c r="C135" i="4"/>
  <c r="C136" i="4"/>
  <c r="C137" i="4"/>
  <c r="D135" i="4"/>
  <c r="D136" i="4"/>
  <c r="D137" i="4"/>
  <c r="E135" i="4"/>
  <c r="E136" i="4"/>
  <c r="E137" i="4"/>
  <c r="F135" i="4"/>
  <c r="F136" i="4"/>
  <c r="F137" i="4"/>
  <c r="G135" i="4"/>
  <c r="G136" i="4"/>
  <c r="G137" i="4"/>
  <c r="I135" i="4"/>
  <c r="I136" i="4"/>
  <c r="I137" i="4"/>
  <c r="C132" i="4"/>
  <c r="C133" i="4"/>
  <c r="C134" i="4"/>
  <c r="D132" i="4"/>
  <c r="D133" i="4"/>
  <c r="D134" i="4"/>
  <c r="E132" i="4"/>
  <c r="E133" i="4"/>
  <c r="E134" i="4"/>
  <c r="F132" i="4"/>
  <c r="F133" i="4"/>
  <c r="F134" i="4"/>
  <c r="G132" i="4"/>
  <c r="G133" i="4"/>
  <c r="G134" i="4"/>
  <c r="I132" i="4"/>
  <c r="I133" i="4"/>
  <c r="I134" i="4"/>
  <c r="C130" i="4"/>
  <c r="C131" i="4"/>
  <c r="D130" i="4"/>
  <c r="D131" i="4"/>
  <c r="E130" i="4"/>
  <c r="E131" i="4"/>
  <c r="F130" i="4"/>
  <c r="F131" i="4"/>
  <c r="G130" i="4"/>
  <c r="G131" i="4"/>
  <c r="I130" i="4"/>
  <c r="I131" i="4"/>
  <c r="C129" i="4"/>
  <c r="D129" i="4"/>
  <c r="E129" i="4"/>
  <c r="F129" i="4"/>
  <c r="G129" i="4"/>
  <c r="I129" i="4"/>
  <c r="C128" i="4"/>
  <c r="D128" i="4"/>
  <c r="E128" i="4"/>
  <c r="F128" i="4"/>
  <c r="G128" i="4"/>
  <c r="I128" i="4"/>
  <c r="C126" i="4"/>
  <c r="C127" i="4"/>
  <c r="D126" i="4"/>
  <c r="D127" i="4"/>
  <c r="E126" i="4"/>
  <c r="E127" i="4"/>
  <c r="F126" i="4"/>
  <c r="F127" i="4"/>
  <c r="G126" i="4"/>
  <c r="G127" i="4"/>
  <c r="I126" i="4"/>
  <c r="I127" i="4"/>
  <c r="C124" i="4"/>
  <c r="C125" i="4"/>
  <c r="D124" i="4"/>
  <c r="D125" i="4"/>
  <c r="E124" i="4"/>
  <c r="E125" i="4"/>
  <c r="F124" i="4"/>
  <c r="F125" i="4"/>
  <c r="G124" i="4"/>
  <c r="G125" i="4"/>
  <c r="I124" i="4"/>
  <c r="I125" i="4"/>
  <c r="C123" i="4"/>
  <c r="D123" i="4"/>
  <c r="E123" i="4"/>
  <c r="F123" i="4"/>
  <c r="G123" i="4"/>
  <c r="I123" i="4"/>
  <c r="C121" i="4"/>
  <c r="C122" i="4"/>
  <c r="D121" i="4"/>
  <c r="D122" i="4"/>
  <c r="E121" i="4"/>
  <c r="E122" i="4"/>
  <c r="F121" i="4"/>
  <c r="F122" i="4"/>
  <c r="G121" i="4"/>
  <c r="G122" i="4"/>
  <c r="I121" i="4"/>
  <c r="I122" i="4"/>
  <c r="C120" i="4"/>
  <c r="D120" i="4"/>
  <c r="E120" i="4"/>
  <c r="F120" i="4"/>
  <c r="G120" i="4"/>
  <c r="I120" i="4"/>
  <c r="C119" i="4"/>
  <c r="D119" i="4"/>
  <c r="E119" i="4"/>
  <c r="F119" i="4"/>
  <c r="G119" i="4"/>
  <c r="I119" i="4"/>
  <c r="C117" i="4"/>
  <c r="C118" i="4"/>
  <c r="D117" i="4"/>
  <c r="D118" i="4"/>
  <c r="E117" i="4"/>
  <c r="E118" i="4"/>
  <c r="F117" i="4"/>
  <c r="F118" i="4"/>
  <c r="G117" i="4"/>
  <c r="G118" i="4"/>
  <c r="I117" i="4"/>
  <c r="I118" i="4"/>
  <c r="C116" i="4"/>
  <c r="D116" i="4"/>
  <c r="E116" i="4"/>
  <c r="F116" i="4"/>
  <c r="G116" i="4"/>
  <c r="I116" i="4"/>
  <c r="C115" i="4"/>
  <c r="D115" i="4"/>
  <c r="E115" i="4"/>
  <c r="F115" i="4"/>
  <c r="G115" i="4"/>
  <c r="I115" i="4"/>
  <c r="A114" i="4" a="1"/>
  <c r="A114" i="4"/>
  <c r="C114" i="4"/>
  <c r="D114" i="4"/>
  <c r="E114" i="4"/>
  <c r="F114" i="4"/>
  <c r="G114" i="4"/>
  <c r="I114" i="4"/>
  <c r="C113" i="4"/>
  <c r="D113" i="4"/>
  <c r="E113" i="4"/>
  <c r="F113" i="4"/>
  <c r="G113" i="4"/>
  <c r="I113" i="4"/>
  <c r="C111" i="4"/>
  <c r="C112" i="4"/>
  <c r="D111" i="4"/>
  <c r="D112" i="4"/>
  <c r="E111" i="4"/>
  <c r="E112" i="4"/>
  <c r="F111" i="4"/>
  <c r="F112" i="4"/>
  <c r="G111" i="4"/>
  <c r="G112" i="4"/>
  <c r="I111" i="4"/>
  <c r="I112" i="4"/>
  <c r="C110" i="4"/>
  <c r="D110" i="4"/>
  <c r="E110" i="4"/>
  <c r="F110" i="4"/>
  <c r="G110" i="4"/>
  <c r="I110" i="4"/>
  <c r="C109" i="4"/>
  <c r="D109" i="4"/>
  <c r="E109" i="4"/>
  <c r="F109" i="4"/>
  <c r="G109" i="4"/>
  <c r="I109" i="4"/>
  <c r="C108" i="4"/>
  <c r="D108" i="4"/>
  <c r="E108" i="4"/>
  <c r="F108" i="4"/>
  <c r="G108" i="4"/>
  <c r="I108" i="4"/>
  <c r="C107" i="4"/>
  <c r="D107" i="4"/>
  <c r="E107" i="4"/>
  <c r="F107" i="4"/>
  <c r="G107" i="4"/>
  <c r="I107" i="4"/>
  <c r="C106" i="4"/>
  <c r="D106" i="4"/>
  <c r="E106" i="4"/>
  <c r="F106" i="4"/>
  <c r="G106" i="4"/>
  <c r="I106" i="4"/>
  <c r="A105" i="4" a="1"/>
  <c r="A105" i="4"/>
  <c r="C104" i="4"/>
  <c r="C105" i="4"/>
  <c r="D104" i="4"/>
  <c r="D105" i="4"/>
  <c r="E104" i="4"/>
  <c r="E105" i="4"/>
  <c r="F104" i="4"/>
  <c r="F105" i="4"/>
  <c r="G104" i="4"/>
  <c r="G105" i="4"/>
  <c r="I104" i="4"/>
  <c r="I105" i="4"/>
  <c r="C101" i="4"/>
  <c r="C102" i="4"/>
  <c r="C103" i="4"/>
  <c r="D101" i="4"/>
  <c r="D102" i="4"/>
  <c r="D103" i="4"/>
  <c r="E101" i="4"/>
  <c r="E102" i="4"/>
  <c r="E103" i="4"/>
  <c r="F101" i="4"/>
  <c r="F102" i="4"/>
  <c r="F103" i="4"/>
  <c r="G101" i="4"/>
  <c r="G102" i="4"/>
  <c r="G103" i="4"/>
  <c r="I101" i="4"/>
  <c r="I102" i="4"/>
  <c r="I103" i="4"/>
  <c r="C100" i="4"/>
  <c r="D100" i="4"/>
  <c r="E100" i="4"/>
  <c r="F100" i="4"/>
  <c r="G100" i="4"/>
  <c r="I100" i="4"/>
  <c r="C99" i="4"/>
  <c r="D99" i="4"/>
  <c r="E99" i="4"/>
  <c r="F99" i="4"/>
  <c r="G99" i="4"/>
  <c r="I99" i="4"/>
  <c r="C98" i="4"/>
  <c r="D98" i="4"/>
  <c r="E98" i="4"/>
  <c r="F98" i="4"/>
  <c r="G98" i="4"/>
  <c r="I98" i="4"/>
  <c r="C96" i="4"/>
  <c r="C97" i="4"/>
  <c r="D96" i="4"/>
  <c r="D97" i="4"/>
  <c r="E96" i="4"/>
  <c r="E97" i="4"/>
  <c r="F96" i="4"/>
  <c r="F97" i="4"/>
  <c r="G96" i="4"/>
  <c r="G97" i="4"/>
  <c r="I96" i="4"/>
  <c r="I97" i="4"/>
  <c r="C94" i="4"/>
  <c r="C95" i="4"/>
  <c r="D94" i="4"/>
  <c r="D95" i="4"/>
  <c r="E94" i="4"/>
  <c r="E95" i="4"/>
  <c r="F94" i="4"/>
  <c r="F95" i="4"/>
  <c r="G94" i="4"/>
  <c r="G95" i="4"/>
  <c r="I94" i="4"/>
  <c r="I95" i="4"/>
  <c r="C93" i="4"/>
  <c r="D93" i="4"/>
  <c r="E93" i="4"/>
  <c r="F93" i="4"/>
  <c r="G93" i="4"/>
  <c r="I93" i="4"/>
  <c r="C92" i="4"/>
  <c r="D92" i="4"/>
  <c r="E92" i="4"/>
  <c r="F92" i="4"/>
  <c r="G92" i="4"/>
  <c r="I92" i="4"/>
  <c r="C91" i="4"/>
  <c r="D91" i="4"/>
  <c r="E91" i="4"/>
  <c r="F91" i="4"/>
  <c r="G91" i="4"/>
  <c r="I91" i="4"/>
  <c r="C90" i="4"/>
  <c r="D90" i="4"/>
  <c r="E90" i="4"/>
  <c r="F90" i="4"/>
  <c r="G90" i="4"/>
  <c r="I90" i="4"/>
  <c r="A87" i="4" a="1"/>
  <c r="A87" i="4"/>
  <c r="C87" i="4"/>
  <c r="C88" i="4"/>
  <c r="C89" i="4"/>
  <c r="D87" i="4"/>
  <c r="D88" i="4"/>
  <c r="D89" i="4"/>
  <c r="E87" i="4"/>
  <c r="E88" i="4"/>
  <c r="E89" i="4"/>
  <c r="F87" i="4"/>
  <c r="F88" i="4"/>
  <c r="F89" i="4"/>
  <c r="G87" i="4"/>
  <c r="G88" i="4"/>
  <c r="G89" i="4"/>
  <c r="I87" i="4"/>
  <c r="I88" i="4"/>
  <c r="I89" i="4"/>
  <c r="C86" i="4"/>
  <c r="D86" i="4"/>
  <c r="E86" i="4"/>
  <c r="F86" i="4"/>
  <c r="G86" i="4"/>
  <c r="I86" i="4"/>
  <c r="C84" i="4"/>
  <c r="C85" i="4"/>
  <c r="D84" i="4"/>
  <c r="D85" i="4"/>
  <c r="E84" i="4"/>
  <c r="E85" i="4"/>
  <c r="F84" i="4"/>
  <c r="F85" i="4"/>
  <c r="G84" i="4"/>
  <c r="G85" i="4"/>
  <c r="I84" i="4"/>
  <c r="I85" i="4"/>
  <c r="C82" i="4"/>
  <c r="C83" i="4"/>
  <c r="D82" i="4"/>
  <c r="D83" i="4"/>
  <c r="E82" i="4"/>
  <c r="E83" i="4"/>
  <c r="F82" i="4"/>
  <c r="F83" i="4"/>
  <c r="G82" i="4"/>
  <c r="G83" i="4"/>
  <c r="I82" i="4"/>
  <c r="I83" i="4"/>
  <c r="C81" i="4"/>
  <c r="D81" i="4"/>
  <c r="E81" i="4"/>
  <c r="F81" i="4"/>
  <c r="G81" i="4"/>
  <c r="I81" i="4"/>
  <c r="C79" i="4"/>
  <c r="C80" i="4"/>
  <c r="D79" i="4"/>
  <c r="D80" i="4"/>
  <c r="E79" i="4"/>
  <c r="E80" i="4"/>
  <c r="F79" i="4"/>
  <c r="F80" i="4"/>
  <c r="G79" i="4"/>
  <c r="G80" i="4"/>
  <c r="I79" i="4"/>
  <c r="I80" i="4"/>
  <c r="C76" i="4"/>
  <c r="C77" i="4"/>
  <c r="C78" i="4"/>
  <c r="D76" i="4"/>
  <c r="D77" i="4"/>
  <c r="D78" i="4"/>
  <c r="E76" i="4"/>
  <c r="E77" i="4"/>
  <c r="E78" i="4"/>
  <c r="F76" i="4"/>
  <c r="F77" i="4"/>
  <c r="F78" i="4"/>
  <c r="G76" i="4"/>
  <c r="G77" i="4"/>
  <c r="G78" i="4"/>
  <c r="I76" i="4"/>
  <c r="I77" i="4"/>
  <c r="I78" i="4"/>
  <c r="C74" i="4"/>
  <c r="C75" i="4"/>
  <c r="D74" i="4"/>
  <c r="D75" i="4"/>
  <c r="E74" i="4"/>
  <c r="E75" i="4"/>
  <c r="F74" i="4"/>
  <c r="F75" i="4"/>
  <c r="G74" i="4"/>
  <c r="G75" i="4"/>
  <c r="I74" i="4"/>
  <c r="I75" i="4"/>
  <c r="C73" i="4"/>
  <c r="D73" i="4"/>
  <c r="E73" i="4"/>
  <c r="F73" i="4"/>
  <c r="G73" i="4"/>
  <c r="I73" i="4"/>
  <c r="C70" i="4"/>
  <c r="C71" i="4"/>
  <c r="C72" i="4"/>
  <c r="D70" i="4"/>
  <c r="D71" i="4"/>
  <c r="D72" i="4"/>
  <c r="E70" i="4"/>
  <c r="E71" i="4"/>
  <c r="E72" i="4"/>
  <c r="F70" i="4"/>
  <c r="F71" i="4"/>
  <c r="F72" i="4"/>
  <c r="G70" i="4"/>
  <c r="G71" i="4"/>
  <c r="G72" i="4"/>
  <c r="I70" i="4"/>
  <c r="I71" i="4"/>
  <c r="I72" i="4"/>
  <c r="C69" i="4"/>
  <c r="D69" i="4"/>
  <c r="E69" i="4"/>
  <c r="F69" i="4"/>
  <c r="G69" i="4"/>
  <c r="I69" i="4"/>
  <c r="C67" i="4"/>
  <c r="C68" i="4"/>
  <c r="D67" i="4"/>
  <c r="D68" i="4"/>
  <c r="E67" i="4"/>
  <c r="E68" i="4"/>
  <c r="F67" i="4"/>
  <c r="F68" i="4"/>
  <c r="G67" i="4"/>
  <c r="G68" i="4"/>
  <c r="I67" i="4"/>
  <c r="I68" i="4"/>
  <c r="C65" i="4"/>
  <c r="C66" i="4"/>
  <c r="D65" i="4"/>
  <c r="D66" i="4"/>
  <c r="E65" i="4"/>
  <c r="E66" i="4"/>
  <c r="F65" i="4"/>
  <c r="F66" i="4"/>
  <c r="G65" i="4"/>
  <c r="G66" i="4"/>
  <c r="I65" i="4"/>
  <c r="I66" i="4"/>
  <c r="C64" i="4"/>
  <c r="D64" i="4"/>
  <c r="E64" i="4"/>
  <c r="F64" i="4"/>
  <c r="G64" i="4"/>
  <c r="I64" i="4"/>
  <c r="C62" i="4"/>
  <c r="C63" i="4"/>
  <c r="D62" i="4"/>
  <c r="D63" i="4"/>
  <c r="E62" i="4"/>
  <c r="E63" i="4"/>
  <c r="F62" i="4"/>
  <c r="F63" i="4"/>
  <c r="G62" i="4"/>
  <c r="G63" i="4"/>
  <c r="I62" i="4"/>
  <c r="I63" i="4"/>
  <c r="C60" i="4"/>
  <c r="C61" i="4"/>
  <c r="D60" i="4"/>
  <c r="D61" i="4"/>
  <c r="E60" i="4"/>
  <c r="E61" i="4"/>
  <c r="F60" i="4"/>
  <c r="F61" i="4"/>
  <c r="G60" i="4"/>
  <c r="G61" i="4"/>
  <c r="I60" i="4"/>
  <c r="I61" i="4"/>
  <c r="C59" i="4"/>
  <c r="D59" i="4"/>
  <c r="E59" i="4"/>
  <c r="F59" i="4"/>
  <c r="G59" i="4"/>
  <c r="I59" i="4"/>
  <c r="C57" i="4"/>
  <c r="C58" i="4"/>
  <c r="D57" i="4"/>
  <c r="D58" i="4"/>
  <c r="E57" i="4"/>
  <c r="E58" i="4"/>
  <c r="F57" i="4"/>
  <c r="F58" i="4"/>
  <c r="G57" i="4"/>
  <c r="G58" i="4"/>
  <c r="I57" i="4"/>
  <c r="I58" i="4"/>
  <c r="C55" i="4"/>
  <c r="C56" i="4"/>
  <c r="D55" i="4"/>
  <c r="D56" i="4"/>
  <c r="E55" i="4"/>
  <c r="E56" i="4"/>
  <c r="F55" i="4"/>
  <c r="F56" i="4"/>
  <c r="G55" i="4"/>
  <c r="G56" i="4"/>
  <c r="I55" i="4"/>
  <c r="I56" i="4"/>
  <c r="C53" i="4"/>
  <c r="C54" i="4"/>
  <c r="D53" i="4"/>
  <c r="D54" i="4"/>
  <c r="E53" i="4"/>
  <c r="E54" i="4"/>
  <c r="F53" i="4"/>
  <c r="F54" i="4"/>
  <c r="G53" i="4"/>
  <c r="G54" i="4"/>
  <c r="I53" i="4"/>
  <c r="I54" i="4"/>
  <c r="C52" i="4"/>
  <c r="D52" i="4"/>
  <c r="E52" i="4"/>
  <c r="F52" i="4"/>
  <c r="G52" i="4"/>
  <c r="I52" i="4"/>
  <c r="C50" i="4"/>
  <c r="C51" i="4"/>
  <c r="D50" i="4"/>
  <c r="D51" i="4"/>
  <c r="E50" i="4"/>
  <c r="E51" i="4"/>
  <c r="F50" i="4"/>
  <c r="F51" i="4"/>
  <c r="G50" i="4"/>
  <c r="G51" i="4"/>
  <c r="I50" i="4"/>
  <c r="I51" i="4"/>
  <c r="C49" i="4"/>
  <c r="D49" i="4"/>
  <c r="E49" i="4"/>
  <c r="F49" i="4"/>
  <c r="G49" i="4"/>
  <c r="I49" i="4"/>
  <c r="C47" i="4"/>
  <c r="C48" i="4"/>
  <c r="D47" i="4"/>
  <c r="D48" i="4"/>
  <c r="E47" i="4"/>
  <c r="E48" i="4"/>
  <c r="F47" i="4"/>
  <c r="F48" i="4"/>
  <c r="G47" i="4"/>
  <c r="G48" i="4"/>
  <c r="I47" i="4"/>
  <c r="I48" i="4"/>
  <c r="C44" i="4"/>
  <c r="C45" i="4"/>
  <c r="C46" i="4"/>
  <c r="D44" i="4"/>
  <c r="D45" i="4"/>
  <c r="D46" i="4"/>
  <c r="E44" i="4"/>
  <c r="E45" i="4"/>
  <c r="E46" i="4"/>
  <c r="F44" i="4"/>
  <c r="F45" i="4"/>
  <c r="F46" i="4"/>
  <c r="G44" i="4"/>
  <c r="G45" i="4"/>
  <c r="G46" i="4"/>
  <c r="I44" i="4"/>
  <c r="I45" i="4"/>
  <c r="I46" i="4"/>
  <c r="C41" i="4"/>
  <c r="C42" i="4"/>
  <c r="C43" i="4"/>
  <c r="D41" i="4"/>
  <c r="D42" i="4"/>
  <c r="D43" i="4"/>
  <c r="E41" i="4"/>
  <c r="E42" i="4"/>
  <c r="E43" i="4"/>
  <c r="F41" i="4"/>
  <c r="F42" i="4"/>
  <c r="F43" i="4"/>
  <c r="G41" i="4"/>
  <c r="G42" i="4"/>
  <c r="G43" i="4"/>
  <c r="I41" i="4"/>
  <c r="I42" i="4"/>
  <c r="I43" i="4"/>
  <c r="C40" i="4"/>
  <c r="D40" i="4"/>
  <c r="E40" i="4"/>
  <c r="F40" i="4"/>
  <c r="G40" i="4"/>
  <c r="I40" i="4"/>
  <c r="C39" i="4"/>
  <c r="D39" i="4"/>
  <c r="E39" i="4"/>
  <c r="F39" i="4"/>
  <c r="G39" i="4"/>
  <c r="I39" i="4"/>
  <c r="C38" i="4"/>
  <c r="D38" i="4"/>
  <c r="E38" i="4"/>
  <c r="F38" i="4"/>
  <c r="G38" i="4"/>
  <c r="I38" i="4"/>
  <c r="C36" i="4"/>
  <c r="C37" i="4"/>
  <c r="D36" i="4"/>
  <c r="D37" i="4"/>
  <c r="E36" i="4"/>
  <c r="E37" i="4"/>
  <c r="F36" i="4"/>
  <c r="F37" i="4"/>
  <c r="G36" i="4"/>
  <c r="G37" i="4"/>
  <c r="I36" i="4"/>
  <c r="I37" i="4"/>
  <c r="C35" i="4"/>
  <c r="D35" i="4"/>
  <c r="E35" i="4"/>
  <c r="F35" i="4"/>
  <c r="G35" i="4"/>
  <c r="I35" i="4"/>
  <c r="C32" i="4"/>
  <c r="C33" i="4"/>
  <c r="C34" i="4"/>
  <c r="D32" i="4"/>
  <c r="D33" i="4"/>
  <c r="D34" i="4"/>
  <c r="E32" i="4"/>
  <c r="E33" i="4"/>
  <c r="E34" i="4"/>
  <c r="F32" i="4"/>
  <c r="F33" i="4"/>
  <c r="F34" i="4"/>
  <c r="G32" i="4"/>
  <c r="G33" i="4"/>
  <c r="G34" i="4"/>
  <c r="I32" i="4"/>
  <c r="I33" i="4"/>
  <c r="I34" i="4"/>
  <c r="C31" i="4"/>
  <c r="D31" i="4"/>
  <c r="E31" i="4"/>
  <c r="F31" i="4"/>
  <c r="G31" i="4"/>
  <c r="I31" i="4"/>
  <c r="C30" i="4"/>
  <c r="D30" i="4"/>
  <c r="E30" i="4"/>
  <c r="F30" i="4"/>
  <c r="G30" i="4"/>
  <c r="I30" i="4"/>
  <c r="C28" i="4"/>
  <c r="C29" i="4"/>
  <c r="D28" i="4"/>
  <c r="D29" i="4"/>
  <c r="E28" i="4"/>
  <c r="E29" i="4"/>
  <c r="F28" i="4"/>
  <c r="F29" i="4"/>
  <c r="G28" i="4"/>
  <c r="G29" i="4"/>
  <c r="I28" i="4"/>
  <c r="I29" i="4"/>
  <c r="C26" i="4"/>
  <c r="C27" i="4"/>
  <c r="D26" i="4"/>
  <c r="D27" i="4"/>
  <c r="E26" i="4"/>
  <c r="E27" i="4"/>
  <c r="F26" i="4"/>
  <c r="F27" i="4"/>
  <c r="G26" i="4"/>
  <c r="G27" i="4"/>
  <c r="I26" i="4"/>
  <c r="I27" i="4"/>
  <c r="C25" i="4"/>
  <c r="D25" i="4"/>
  <c r="E25" i="4"/>
  <c r="F25" i="4"/>
  <c r="G25" i="4"/>
  <c r="I25" i="4"/>
  <c r="C23" i="4"/>
  <c r="C24" i="4"/>
  <c r="D23" i="4"/>
  <c r="D24" i="4"/>
  <c r="E23" i="4"/>
  <c r="E24" i="4"/>
  <c r="F23" i="4"/>
  <c r="F24" i="4"/>
  <c r="G23" i="4"/>
  <c r="G24" i="4"/>
  <c r="I23" i="4"/>
  <c r="I24" i="4"/>
  <c r="C22" i="4"/>
  <c r="D22" i="4"/>
  <c r="E22" i="4"/>
  <c r="F22" i="4"/>
  <c r="G22" i="4"/>
  <c r="I22" i="4"/>
  <c r="C20" i="4"/>
  <c r="C21" i="4"/>
  <c r="D20" i="4"/>
  <c r="D21" i="4"/>
  <c r="E20" i="4"/>
  <c r="E21" i="4"/>
  <c r="F20" i="4"/>
  <c r="F21" i="4"/>
  <c r="G20" i="4"/>
  <c r="G21" i="4"/>
  <c r="I20" i="4"/>
  <c r="I21" i="4"/>
  <c r="C19" i="4"/>
  <c r="D19" i="4"/>
  <c r="E19" i="4"/>
  <c r="F19" i="4"/>
  <c r="G19" i="4"/>
  <c r="I19" i="4"/>
  <c r="C18" i="4"/>
  <c r="D18" i="4"/>
  <c r="E18" i="4"/>
  <c r="F18" i="4"/>
  <c r="G18" i="4"/>
  <c r="I18" i="4"/>
  <c r="C16" i="4"/>
  <c r="C17" i="4"/>
  <c r="D16" i="4"/>
  <c r="D17" i="4"/>
  <c r="E16" i="4"/>
  <c r="E17" i="4"/>
  <c r="F16" i="4"/>
  <c r="F17" i="4"/>
  <c r="G16" i="4"/>
  <c r="G17" i="4"/>
  <c r="I16" i="4"/>
  <c r="I17" i="4"/>
  <c r="C14" i="4"/>
  <c r="C15" i="4"/>
  <c r="D14" i="4"/>
  <c r="D15" i="4"/>
  <c r="E14" i="4"/>
  <c r="E15" i="4"/>
  <c r="F14" i="4"/>
  <c r="F15" i="4"/>
  <c r="G14" i="4"/>
  <c r="G15" i="4"/>
  <c r="I14" i="4"/>
  <c r="I15" i="4"/>
  <c r="C12" i="4"/>
  <c r="C13" i="4"/>
  <c r="D12" i="4"/>
  <c r="D13" i="4"/>
  <c r="E12" i="4"/>
  <c r="E13" i="4"/>
  <c r="F12" i="4"/>
  <c r="F13" i="4"/>
  <c r="G12" i="4"/>
  <c r="G13" i="4"/>
  <c r="I12" i="4"/>
  <c r="I13" i="4"/>
  <c r="C10" i="4"/>
  <c r="C11" i="4"/>
  <c r="D10" i="4"/>
  <c r="D11" i="4"/>
  <c r="E10" i="4"/>
  <c r="E11" i="4"/>
  <c r="F10" i="4"/>
  <c r="F11" i="4"/>
  <c r="G10" i="4"/>
  <c r="G11" i="4"/>
  <c r="I10" i="4"/>
  <c r="I11" i="4"/>
  <c r="C8" i="4"/>
  <c r="C9" i="4"/>
  <c r="D8" i="4"/>
  <c r="D9" i="4"/>
  <c r="E8" i="4"/>
  <c r="E9" i="4"/>
  <c r="F8" i="4"/>
  <c r="F9" i="4"/>
  <c r="G8" i="4"/>
  <c r="G9" i="4"/>
  <c r="I8" i="4"/>
  <c r="I9" i="4"/>
  <c r="C6" i="4"/>
  <c r="C7" i="4"/>
  <c r="D6" i="4"/>
  <c r="D7" i="4"/>
  <c r="E6" i="4"/>
  <c r="E7" i="4"/>
  <c r="F6" i="4"/>
  <c r="F7" i="4"/>
  <c r="G6" i="4"/>
  <c r="G7" i="4"/>
  <c r="I6" i="4"/>
  <c r="I7" i="4"/>
  <c r="A4" i="4" a="1"/>
  <c r="A4" i="4"/>
  <c r="C4" i="4"/>
  <c r="C5" i="4"/>
  <c r="D4" i="4"/>
  <c r="D5" i="4"/>
  <c r="E4" i="4"/>
  <c r="E5" i="4"/>
  <c r="F4" i="4"/>
  <c r="F5" i="4"/>
  <c r="G4" i="4"/>
  <c r="G5" i="4"/>
  <c r="I4" i="4"/>
  <c r="I5" i="4"/>
  <c r="C2" i="4"/>
  <c r="C3" i="4"/>
  <c r="D2" i="4"/>
  <c r="D3" i="4"/>
  <c r="E2" i="4"/>
  <c r="E3" i="4"/>
  <c r="F2" i="4"/>
  <c r="F3" i="4"/>
  <c r="G2" i="4"/>
  <c r="G3" i="4"/>
  <c r="I2" i="4"/>
  <c r="I3" i="4"/>
  <c r="Q2666" i="1"/>
  <c r="R2666" i="1"/>
  <c r="Q2665" i="1"/>
  <c r="R2665" i="1"/>
  <c r="Q2664" i="1"/>
  <c r="R2664" i="1"/>
  <c r="Q2663" i="1"/>
  <c r="R2663" i="1"/>
  <c r="Q2662" i="1"/>
  <c r="R2662" i="1"/>
  <c r="Q2661" i="1"/>
  <c r="R2661" i="1"/>
  <c r="Q2660" i="1"/>
  <c r="R2660" i="1"/>
  <c r="Q2659" i="1"/>
  <c r="R2659" i="1" s="1"/>
  <c r="Q2658" i="1"/>
  <c r="R2658" i="1"/>
  <c r="Q2657" i="1"/>
  <c r="R2657" i="1"/>
  <c r="Q2656" i="1"/>
  <c r="R2656" i="1"/>
  <c r="Q2655" i="1"/>
  <c r="R2655" i="1"/>
  <c r="Q2654" i="1"/>
  <c r="R2654" i="1" s="1"/>
  <c r="Q2653" i="1"/>
  <c r="R2653" i="1" s="1"/>
  <c r="Q2652" i="1"/>
  <c r="R2652" i="1" s="1"/>
  <c r="Q2651" i="1"/>
  <c r="R2651" i="1" s="1"/>
  <c r="Q2650" i="1"/>
  <c r="R2650" i="1" s="1"/>
  <c r="Q2649" i="1"/>
  <c r="R2649" i="1" s="1"/>
  <c r="Q2648" i="1"/>
  <c r="R2648" i="1"/>
  <c r="Q2647" i="1"/>
  <c r="R2647" i="1"/>
  <c r="Q2646" i="1"/>
  <c r="R2646" i="1"/>
  <c r="Q2645" i="1"/>
  <c r="R2645" i="1" s="1"/>
  <c r="Q2644" i="1"/>
  <c r="R2644" i="1"/>
  <c r="Q2643" i="1"/>
  <c r="R2643" i="1" s="1"/>
  <c r="Q2642" i="1"/>
  <c r="R2642" i="1" s="1"/>
  <c r="Q2641" i="1"/>
  <c r="R2641" i="1" s="1"/>
  <c r="Q2640" i="1"/>
  <c r="R2640" i="1" s="1"/>
  <c r="Q2639" i="1"/>
  <c r="R2639" i="1" s="1"/>
  <c r="Q2638" i="1"/>
  <c r="R2638" i="1"/>
  <c r="Q2637" i="1"/>
  <c r="R2637" i="1"/>
  <c r="Q2636" i="1"/>
  <c r="R2636" i="1" s="1"/>
  <c r="Q2635" i="1"/>
  <c r="R2635" i="1" s="1"/>
  <c r="Q2634" i="1"/>
  <c r="R2634" i="1" s="1"/>
  <c r="Q2633" i="1"/>
  <c r="R2633" i="1" s="1"/>
  <c r="Q2632" i="1"/>
  <c r="R2632" i="1" s="1"/>
  <c r="Q2631" i="1"/>
  <c r="R2631" i="1"/>
  <c r="Q2630" i="1"/>
  <c r="R2630" i="1"/>
  <c r="Q2629" i="1"/>
  <c r="R2629" i="1"/>
  <c r="Q2628" i="1"/>
  <c r="R2628" i="1"/>
  <c r="Q2627" i="1"/>
  <c r="R2627" i="1"/>
  <c r="Q2626" i="1"/>
  <c r="R2626" i="1"/>
  <c r="Q2625" i="1"/>
  <c r="R2625" i="1"/>
  <c r="Q2624" i="1"/>
  <c r="R2624" i="1"/>
  <c r="Q2623" i="1"/>
  <c r="R2623" i="1"/>
  <c r="Q2622" i="1"/>
  <c r="R2622" i="1"/>
  <c r="Q2621" i="1"/>
  <c r="R2621" i="1" s="1"/>
  <c r="Q2620" i="1"/>
  <c r="R2620" i="1"/>
  <c r="Q2619" i="1"/>
  <c r="R2619" i="1"/>
  <c r="Q2618" i="1"/>
  <c r="R2618" i="1"/>
  <c r="Q2617" i="1"/>
  <c r="R2617" i="1"/>
  <c r="Q2616" i="1"/>
  <c r="R2616" i="1"/>
  <c r="Q2615" i="1"/>
  <c r="R2615" i="1"/>
  <c r="Q2614" i="1"/>
  <c r="R2614" i="1"/>
  <c r="Q2613" i="1"/>
  <c r="R2613" i="1"/>
  <c r="Q2612" i="1"/>
  <c r="R2612" i="1"/>
  <c r="Q2611" i="1"/>
  <c r="R2611" i="1"/>
  <c r="Q2610" i="1"/>
  <c r="R2610" i="1"/>
  <c r="Q2609" i="1"/>
  <c r="R2609" i="1"/>
  <c r="Q2608" i="1"/>
  <c r="R2608" i="1"/>
  <c r="Q2607" i="1"/>
  <c r="R2607" i="1"/>
  <c r="Q2606" i="1"/>
  <c r="R2606" i="1"/>
  <c r="Q2605" i="1"/>
  <c r="R2605" i="1"/>
  <c r="Q2604" i="1"/>
  <c r="R2604" i="1"/>
  <c r="Q2603" i="1"/>
  <c r="R2603" i="1"/>
  <c r="Q2602" i="1"/>
  <c r="R2602" i="1"/>
  <c r="Q2601" i="1"/>
  <c r="R2601" i="1"/>
  <c r="Q2600" i="1"/>
  <c r="R2600" i="1"/>
  <c r="Q2599" i="1"/>
  <c r="R2599" i="1"/>
  <c r="Q2598" i="1"/>
  <c r="R2598" i="1"/>
  <c r="Q2597" i="1"/>
  <c r="R2597" i="1"/>
  <c r="Q2596" i="1"/>
  <c r="R2596" i="1"/>
  <c r="Q2595" i="1"/>
  <c r="R2595" i="1"/>
  <c r="Q2594" i="1"/>
  <c r="R2594" i="1"/>
  <c r="Q2592" i="1"/>
  <c r="Q2593" i="1"/>
  <c r="R2592" i="1"/>
  <c r="R2593" i="1"/>
  <c r="Q2591" i="1"/>
  <c r="R2591" i="1"/>
  <c r="Q2590" i="1"/>
  <c r="R2590" i="1"/>
  <c r="Q2589" i="1"/>
  <c r="R2589" i="1"/>
  <c r="Q2588" i="1"/>
  <c r="R2588" i="1"/>
  <c r="Q2587" i="1"/>
  <c r="R2587" i="1"/>
  <c r="Q2586" i="1"/>
  <c r="R2586" i="1"/>
  <c r="Q2585" i="1"/>
  <c r="R2585" i="1"/>
  <c r="Q2584" i="1"/>
  <c r="R2584" i="1"/>
  <c r="Q2583" i="1"/>
  <c r="R2583" i="1"/>
  <c r="Q2582" i="1"/>
  <c r="R2582" i="1"/>
  <c r="Q2581" i="1"/>
  <c r="R2581" i="1"/>
  <c r="Q2580" i="1"/>
  <c r="R2580" i="1"/>
  <c r="Q2579" i="1"/>
  <c r="R2579" i="1"/>
  <c r="Q2578" i="1"/>
  <c r="R2578" i="1"/>
  <c r="Q2577" i="1"/>
  <c r="R2577" i="1"/>
  <c r="Q2576" i="1"/>
  <c r="R2576" i="1"/>
  <c r="Q2575" i="1"/>
  <c r="R2575" i="1"/>
  <c r="Q2574" i="1"/>
  <c r="R2574" i="1"/>
  <c r="Q2573" i="1"/>
  <c r="R2573" i="1"/>
  <c r="Q2572" i="1"/>
  <c r="R2572" i="1"/>
  <c r="Q2571" i="1"/>
  <c r="R2571" i="1"/>
  <c r="Q2570" i="1"/>
  <c r="R2570" i="1"/>
  <c r="Q2569" i="1"/>
  <c r="R2569" i="1"/>
  <c r="Q2568" i="1"/>
  <c r="R2568" i="1"/>
  <c r="Q2567" i="1"/>
  <c r="R2567" i="1"/>
  <c r="Q2566" i="1"/>
  <c r="R2566" i="1"/>
  <c r="Q2565" i="1"/>
  <c r="R2565" i="1"/>
  <c r="Q2564" i="1"/>
  <c r="R2564" i="1"/>
  <c r="Q2563" i="1"/>
  <c r="R2563" i="1"/>
  <c r="Q2562" i="1"/>
  <c r="R2562" i="1"/>
  <c r="Q2561" i="1"/>
  <c r="R2561" i="1"/>
  <c r="Q2560" i="1"/>
  <c r="R2560" i="1"/>
  <c r="Q2559" i="1"/>
  <c r="R2559" i="1"/>
  <c r="Q2558" i="1"/>
  <c r="R2558" i="1"/>
  <c r="Q2557" i="1"/>
  <c r="R2557" i="1"/>
  <c r="Q2556" i="1"/>
  <c r="R2556" i="1"/>
  <c r="Q2555" i="1"/>
  <c r="R2555" i="1"/>
  <c r="Q2554" i="1"/>
  <c r="R2554" i="1"/>
  <c r="Q2553" i="1"/>
  <c r="R2553" i="1"/>
  <c r="Q2552" i="1"/>
  <c r="R2552" i="1"/>
  <c r="Q2551" i="1"/>
  <c r="R2551" i="1"/>
  <c r="Q2550" i="1"/>
  <c r="R2550" i="1"/>
  <c r="Q2549" i="1"/>
  <c r="R2549" i="1"/>
  <c r="Q2548" i="1"/>
  <c r="R2548" i="1"/>
  <c r="Q2547" i="1"/>
  <c r="R2547" i="1"/>
  <c r="Q2546" i="1"/>
  <c r="R2546" i="1"/>
  <c r="Q2545" i="1"/>
  <c r="R2545" i="1"/>
  <c r="Q2544" i="1"/>
  <c r="R2544" i="1"/>
  <c r="Q2543" i="1"/>
  <c r="R2543" i="1"/>
  <c r="Q2542" i="1"/>
  <c r="R2542" i="1"/>
  <c r="Q2541" i="1"/>
  <c r="R2541" i="1"/>
  <c r="Q2540" i="1"/>
  <c r="R2540" i="1"/>
  <c r="Q2539" i="1"/>
  <c r="R2539" i="1"/>
  <c r="Q2538" i="1"/>
  <c r="R2538" i="1"/>
  <c r="Q2537" i="1"/>
  <c r="R2537" i="1"/>
  <c r="Q2536" i="1"/>
  <c r="R2536" i="1"/>
  <c r="Q2535" i="1"/>
  <c r="R2535" i="1"/>
  <c r="Q2534" i="1"/>
  <c r="R2534" i="1"/>
  <c r="Q2533" i="1"/>
  <c r="R2533" i="1"/>
  <c r="Q2532" i="1"/>
  <c r="R2532" i="1" s="1"/>
  <c r="Q2531" i="1"/>
  <c r="R2531" i="1" s="1"/>
  <c r="Q2530" i="1"/>
  <c r="R2530" i="1" s="1"/>
  <c r="Q2529" i="1"/>
  <c r="R2529" i="1" s="1"/>
  <c r="Q2528" i="1"/>
  <c r="R2528" i="1"/>
  <c r="Q2527" i="1"/>
  <c r="R2527" i="1"/>
  <c r="Q2526" i="1"/>
  <c r="R2526" i="1"/>
  <c r="Q2525" i="1"/>
  <c r="R2525" i="1"/>
  <c r="Q2524" i="1"/>
  <c r="R2524" i="1"/>
  <c r="Q2523" i="1"/>
  <c r="R2523" i="1"/>
  <c r="Q2522" i="1"/>
  <c r="R2522" i="1"/>
  <c r="Q2521" i="1"/>
  <c r="R2521" i="1"/>
  <c r="Q2520" i="1"/>
  <c r="R2520" i="1"/>
  <c r="Q2519" i="1"/>
  <c r="R2519" i="1"/>
  <c r="Q2518" i="1"/>
  <c r="R2518" i="1"/>
  <c r="Q2517" i="1"/>
  <c r="R2517" i="1"/>
  <c r="Q2516" i="1"/>
  <c r="R2516" i="1"/>
  <c r="Q2515" i="1"/>
  <c r="R2515" i="1"/>
  <c r="Q2514" i="1"/>
  <c r="R2514" i="1"/>
  <c r="Q2513" i="1"/>
  <c r="R2513" i="1"/>
  <c r="Q2512" i="1"/>
  <c r="R2512" i="1"/>
  <c r="Q2511" i="1"/>
  <c r="R2511" i="1"/>
  <c r="Q2510" i="1"/>
  <c r="R2510" i="1"/>
  <c r="Q2509" i="1"/>
  <c r="R2509" i="1"/>
  <c r="Q2508" i="1"/>
  <c r="R2508" i="1"/>
  <c r="Q2507" i="1"/>
  <c r="R2507" i="1"/>
  <c r="Q2506" i="1"/>
  <c r="R2506" i="1"/>
  <c r="Q2505" i="1"/>
  <c r="R2505" i="1"/>
  <c r="Q2504" i="1"/>
  <c r="R2504" i="1"/>
  <c r="Q2503" i="1"/>
  <c r="R2503" i="1"/>
  <c r="Q2502" i="1"/>
  <c r="R2502" i="1"/>
  <c r="Q2501" i="1"/>
  <c r="R2501" i="1"/>
  <c r="Q2500" i="1"/>
  <c r="R2500" i="1"/>
  <c r="Q2499" i="1"/>
  <c r="R2499" i="1"/>
  <c r="Q2498" i="1"/>
  <c r="R2498" i="1" s="1"/>
  <c r="Q2497" i="1"/>
  <c r="R2497" i="1" s="1"/>
  <c r="Q2496" i="1"/>
  <c r="R2496" i="1" s="1"/>
  <c r="Q2495" i="1"/>
  <c r="R2495" i="1"/>
  <c r="Q2494" i="1"/>
  <c r="R2494" i="1"/>
  <c r="Q2493" i="1"/>
  <c r="R2493" i="1"/>
  <c r="B2" i="3"/>
  <c r="Q2492" i="1"/>
  <c r="R2492" i="1"/>
  <c r="Q2491" i="1"/>
  <c r="R2491" i="1"/>
  <c r="Q2490" i="1"/>
  <c r="R2490" i="1"/>
  <c r="Q2489" i="1"/>
  <c r="R2489" i="1"/>
  <c r="Q2488" i="1"/>
  <c r="R2488" i="1"/>
  <c r="Q2487" i="1"/>
  <c r="R2487" i="1"/>
  <c r="Q2486" i="1"/>
  <c r="R2486" i="1"/>
  <c r="Q2485" i="1"/>
  <c r="R2485" i="1"/>
  <c r="Q2484" i="1"/>
  <c r="R2484" i="1" s="1"/>
  <c r="Q2483" i="1"/>
  <c r="R2483" i="1" s="1"/>
  <c r="Q2482" i="1"/>
  <c r="R2482" i="1" s="1"/>
  <c r="Q2443" i="1"/>
  <c r="R2443" i="1"/>
  <c r="Q2481" i="1"/>
  <c r="R2481" i="1" s="1"/>
  <c r="Q2480" i="1"/>
  <c r="R2480" i="1" s="1"/>
  <c r="Q2479" i="1"/>
  <c r="R2479" i="1"/>
  <c r="Q2478" i="1"/>
  <c r="R2478" i="1"/>
  <c r="Q2477" i="1"/>
  <c r="R2477" i="1"/>
  <c r="Q2476" i="1"/>
  <c r="R2476" i="1"/>
  <c r="Q2475" i="1"/>
  <c r="R2475" i="1"/>
  <c r="Q2474" i="1"/>
  <c r="R2474" i="1"/>
  <c r="Q2473" i="1"/>
  <c r="R2473" i="1"/>
  <c r="Q2472" i="1"/>
  <c r="R2472" i="1"/>
  <c r="Q2471" i="1"/>
  <c r="R2471" i="1"/>
  <c r="Q2470" i="1"/>
  <c r="R2470" i="1"/>
  <c r="Q2469" i="1"/>
  <c r="R2469" i="1"/>
  <c r="Q2468" i="1"/>
  <c r="R2468" i="1"/>
  <c r="Q2467" i="1"/>
  <c r="R2467" i="1"/>
  <c r="Q2466" i="1"/>
  <c r="R2466" i="1"/>
  <c r="Q2465" i="1"/>
  <c r="R2465" i="1"/>
  <c r="Q2464" i="1"/>
  <c r="R2464" i="1"/>
  <c r="Q2463" i="1"/>
  <c r="R2463" i="1"/>
  <c r="Q2462" i="1"/>
  <c r="R2462" i="1"/>
  <c r="Q2461" i="1"/>
  <c r="R2461" i="1"/>
  <c r="Q2460" i="1"/>
  <c r="R2460" i="1"/>
  <c r="Q2459" i="1"/>
  <c r="R2459" i="1"/>
  <c r="Q2458" i="1"/>
  <c r="R2458" i="1"/>
  <c r="Q2457" i="1"/>
  <c r="R2457" i="1"/>
  <c r="Q2456" i="1"/>
  <c r="R2456" i="1"/>
  <c r="Q2455" i="1"/>
  <c r="R2455" i="1"/>
  <c r="Q2454" i="1"/>
  <c r="R2454" i="1"/>
  <c r="Q2453" i="1"/>
  <c r="R2453" i="1"/>
  <c r="Q2452" i="1"/>
  <c r="R2452" i="1"/>
  <c r="Q2451" i="1"/>
  <c r="R2451" i="1"/>
  <c r="Q2450" i="1"/>
  <c r="R2450" i="1"/>
  <c r="Q2449" i="1"/>
  <c r="R2449" i="1"/>
  <c r="Q2448" i="1"/>
  <c r="R2448" i="1"/>
  <c r="Q2447" i="1"/>
  <c r="R2447" i="1"/>
  <c r="Q2446" i="1"/>
  <c r="R2446" i="1"/>
  <c r="Q2445" i="1"/>
  <c r="R2445" i="1"/>
  <c r="Q2444" i="1"/>
  <c r="R2444" i="1"/>
  <c r="Q2442" i="1"/>
  <c r="R2442" i="1"/>
  <c r="Q2441" i="1"/>
  <c r="R2441" i="1"/>
  <c r="Q2440" i="1"/>
  <c r="R2440" i="1"/>
  <c r="Q2439" i="1"/>
  <c r="R2439" i="1"/>
  <c r="Q2438" i="1"/>
  <c r="R2438" i="1"/>
  <c r="Q2437" i="1"/>
  <c r="R2437" i="1"/>
  <c r="Q2436" i="1"/>
  <c r="R2436" i="1"/>
  <c r="Q2435" i="1"/>
  <c r="R2435" i="1"/>
  <c r="Q2434" i="1"/>
  <c r="R2434" i="1"/>
  <c r="Q2433" i="1"/>
  <c r="R2433" i="1"/>
  <c r="Q2432" i="1"/>
  <c r="R2432" i="1"/>
  <c r="Q2431" i="1"/>
  <c r="R2431" i="1"/>
  <c r="Q2430" i="1"/>
  <c r="R2430" i="1"/>
  <c r="Q2429" i="1"/>
  <c r="R2429" i="1"/>
  <c r="Q2428" i="1"/>
  <c r="R2428" i="1"/>
  <c r="Q2427" i="1"/>
  <c r="R2427" i="1"/>
  <c r="Q2426" i="1"/>
  <c r="R2426" i="1"/>
  <c r="Q2425" i="1"/>
  <c r="R2425" i="1"/>
  <c r="Q2424" i="1"/>
  <c r="R2424" i="1"/>
  <c r="Q2423" i="1"/>
  <c r="R2423" i="1"/>
  <c r="Q2422" i="1"/>
  <c r="R2422" i="1"/>
  <c r="Q2421" i="1"/>
  <c r="R2421" i="1"/>
  <c r="Q2420" i="1"/>
  <c r="R2420" i="1"/>
  <c r="Q2419" i="1"/>
  <c r="R2419" i="1" s="1"/>
  <c r="Q2418" i="1"/>
  <c r="R2418" i="1"/>
  <c r="Q2417" i="1"/>
  <c r="R2417" i="1"/>
  <c r="Q2416" i="1"/>
  <c r="R2416" i="1"/>
  <c r="Q2415" i="1"/>
  <c r="R2415" i="1"/>
  <c r="Q2414" i="1"/>
  <c r="R2414" i="1"/>
  <c r="Q2413" i="1"/>
  <c r="R2413" i="1"/>
  <c r="Q2412" i="1"/>
  <c r="R2412" i="1"/>
  <c r="Q2411" i="1"/>
  <c r="R2411" i="1"/>
  <c r="Q2410" i="1"/>
  <c r="R2410" i="1"/>
  <c r="Q2409" i="1"/>
  <c r="R2409" i="1"/>
  <c r="Q2408" i="1"/>
  <c r="R2408" i="1"/>
  <c r="Q2407" i="1"/>
  <c r="R2407" i="1"/>
  <c r="Q2406" i="1"/>
  <c r="R2406" i="1"/>
  <c r="Q2405" i="1"/>
  <c r="R2405" i="1"/>
  <c r="Q2404" i="1"/>
  <c r="R2404" i="1"/>
  <c r="Q2403" i="1"/>
  <c r="R2403" i="1"/>
  <c r="Q2402" i="1"/>
  <c r="R2402" i="1"/>
  <c r="Q2401" i="1"/>
  <c r="R2401" i="1"/>
  <c r="Q2400" i="1"/>
  <c r="R2400" i="1"/>
  <c r="Q2399" i="1"/>
  <c r="R2399" i="1"/>
  <c r="Q2398" i="1"/>
  <c r="R2398" i="1"/>
  <c r="Q2397" i="1"/>
  <c r="R2397" i="1"/>
  <c r="Q2396" i="1"/>
  <c r="R2396" i="1"/>
  <c r="Q2395" i="1"/>
  <c r="R2395" i="1"/>
  <c r="Q2394" i="1"/>
  <c r="R2394" i="1"/>
  <c r="Q2393" i="1"/>
  <c r="R2393" i="1"/>
  <c r="Q2392" i="1"/>
  <c r="R2392" i="1"/>
  <c r="Q2391" i="1"/>
  <c r="R2391" i="1"/>
  <c r="Q2390" i="1"/>
  <c r="R2390" i="1"/>
  <c r="Q2389" i="1"/>
  <c r="R2389" i="1"/>
  <c r="Q2388" i="1"/>
  <c r="R2388" i="1"/>
  <c r="Q2387" i="1"/>
  <c r="R2387" i="1"/>
  <c r="Q2386" i="1"/>
  <c r="R2386" i="1"/>
  <c r="Q2385" i="1"/>
  <c r="R2385" i="1"/>
  <c r="Q2384" i="1"/>
  <c r="R2384" i="1"/>
  <c r="Q2383" i="1"/>
  <c r="R2383" i="1"/>
  <c r="Q2382" i="1"/>
  <c r="R2382" i="1"/>
  <c r="Q2381" i="1"/>
  <c r="R2381" i="1"/>
  <c r="Q2380" i="1"/>
  <c r="R2380" i="1"/>
  <c r="Q2379" i="1"/>
  <c r="R2379" i="1"/>
  <c r="Q2378" i="1"/>
  <c r="R2378" i="1"/>
  <c r="Q2377" i="1"/>
  <c r="R2377" i="1"/>
  <c r="Q2376" i="1"/>
  <c r="R2376" i="1"/>
  <c r="Q2375" i="1"/>
  <c r="R2375" i="1"/>
  <c r="Q2374" i="1"/>
  <c r="R2374" i="1"/>
  <c r="Q2373" i="1"/>
  <c r="R2373" i="1"/>
  <c r="B8" i="3"/>
  <c r="Q2372" i="1"/>
  <c r="R2372" i="1"/>
  <c r="Q2371" i="1"/>
  <c r="R2371" i="1"/>
  <c r="Q2370" i="1"/>
  <c r="R2370" i="1"/>
  <c r="Q2369" i="1"/>
  <c r="R2369" i="1"/>
  <c r="Q2368" i="1"/>
  <c r="R2368" i="1"/>
  <c r="Q2367" i="1"/>
  <c r="R2367" i="1"/>
  <c r="Q2366" i="1"/>
  <c r="R2366" i="1"/>
  <c r="Q2365" i="1"/>
  <c r="R2365" i="1"/>
  <c r="Q2364" i="1"/>
  <c r="R2364" i="1"/>
  <c r="Q2363" i="1"/>
  <c r="R2363" i="1"/>
  <c r="Q2362" i="1"/>
  <c r="R2362" i="1"/>
  <c r="Q2361" i="1"/>
  <c r="R2361" i="1"/>
  <c r="Q2360" i="1"/>
  <c r="R2360" i="1"/>
  <c r="Q2359" i="1"/>
  <c r="R2359" i="1"/>
  <c r="Q2358" i="1"/>
  <c r="R2358" i="1"/>
  <c r="Q2357" i="1"/>
  <c r="R2357" i="1"/>
  <c r="Q2356" i="1"/>
  <c r="R2356" i="1"/>
  <c r="Q2355" i="1"/>
  <c r="R2355" i="1"/>
  <c r="Q2354" i="1"/>
  <c r="R2354" i="1"/>
  <c r="Q2353" i="1"/>
  <c r="R2353" i="1"/>
  <c r="Q2352" i="1"/>
  <c r="R2352" i="1"/>
  <c r="Q2351" i="1"/>
  <c r="R2351" i="1"/>
  <c r="Q2350" i="1"/>
  <c r="R2350" i="1"/>
  <c r="Q2349" i="1"/>
  <c r="R2349" i="1"/>
  <c r="Q2348" i="1"/>
  <c r="R2348" i="1"/>
  <c r="Q2347" i="1"/>
  <c r="R2347" i="1"/>
  <c r="Q2346" i="1"/>
  <c r="R2346" i="1"/>
  <c r="Q2345" i="1"/>
  <c r="R2345" i="1"/>
  <c r="Q2344" i="1"/>
  <c r="R2344" i="1"/>
  <c r="Q2343" i="1"/>
  <c r="R2343" i="1"/>
  <c r="Q2342" i="1"/>
  <c r="R2342" i="1"/>
  <c r="Q2341" i="1"/>
  <c r="R2341" i="1"/>
  <c r="Q2340" i="1"/>
  <c r="R2340" i="1"/>
  <c r="Q2339" i="1"/>
  <c r="R2339" i="1"/>
  <c r="Q2338" i="1"/>
  <c r="R2338" i="1" s="1"/>
  <c r="Q2337" i="1"/>
  <c r="R2337" i="1" s="1"/>
  <c r="Q2336" i="1"/>
  <c r="R2336" i="1" s="1"/>
  <c r="Q2335" i="1"/>
  <c r="R2335" i="1" s="1"/>
  <c r="Q2334" i="1"/>
  <c r="R2334" i="1" s="1"/>
  <c r="Q2333" i="1"/>
  <c r="R2333" i="1"/>
  <c r="Q2332" i="1"/>
  <c r="R2332" i="1"/>
  <c r="Q2331" i="1"/>
  <c r="R2331" i="1"/>
  <c r="Q2330" i="1"/>
  <c r="R2330" i="1"/>
  <c r="Q2329" i="1"/>
  <c r="R2329" i="1"/>
  <c r="Q2328" i="1"/>
  <c r="R2328" i="1"/>
  <c r="Q2327" i="1"/>
  <c r="R2327" i="1"/>
  <c r="Q2326" i="1"/>
  <c r="R2326" i="1"/>
  <c r="Q2325" i="1"/>
  <c r="R2325" i="1"/>
  <c r="Q2324" i="1"/>
  <c r="R2324" i="1"/>
  <c r="Q2323" i="1"/>
  <c r="R2323" i="1"/>
  <c r="Q2322" i="1"/>
  <c r="R2322" i="1"/>
  <c r="Q2321" i="1"/>
  <c r="R2321" i="1"/>
  <c r="Q2320" i="1"/>
  <c r="R2320" i="1"/>
  <c r="Q2319" i="1"/>
  <c r="R2319" i="1"/>
  <c r="Q2318" i="1"/>
  <c r="R2318" i="1"/>
  <c r="Q2317" i="1"/>
  <c r="R2317" i="1"/>
  <c r="Q2316" i="1"/>
  <c r="R2316" i="1"/>
  <c r="Q2315" i="1"/>
  <c r="R2315" i="1"/>
  <c r="Q2314" i="1"/>
  <c r="R2314" i="1"/>
  <c r="Q2313" i="1"/>
  <c r="R2313" i="1" s="1"/>
  <c r="AI3" i="3"/>
  <c r="AM3" i="3"/>
  <c r="AK3" i="3"/>
  <c r="AL3" i="3"/>
  <c r="AJ3" i="3"/>
  <c r="AH3" i="3"/>
  <c r="AG3" i="3"/>
  <c r="AF3" i="3"/>
  <c r="AE3" i="3"/>
  <c r="AD3" i="3"/>
  <c r="AC3" i="3"/>
  <c r="AB3" i="3"/>
  <c r="Q2312" i="1"/>
  <c r="R2312" i="1" s="1"/>
  <c r="Q2252" i="1"/>
  <c r="R2252" i="1"/>
  <c r="Q2311" i="1"/>
  <c r="R2311" i="1" s="1"/>
  <c r="Q2310" i="1"/>
  <c r="R2310" i="1" s="1"/>
  <c r="Q2309" i="1"/>
  <c r="R2309" i="1" s="1"/>
  <c r="Q2308" i="1"/>
  <c r="R2308" i="1" s="1"/>
  <c r="Q2307" i="1"/>
  <c r="R2307" i="1" s="1"/>
  <c r="Q2306" i="1"/>
  <c r="R2306" i="1" s="1"/>
  <c r="Q2305" i="1"/>
  <c r="R2305" i="1" s="1"/>
  <c r="Q2304" i="1"/>
  <c r="R2304" i="1" s="1"/>
  <c r="Q2303" i="1"/>
  <c r="R2303" i="1" s="1"/>
  <c r="Q2302" i="1"/>
  <c r="R2302" i="1" s="1"/>
  <c r="Q2301" i="1"/>
  <c r="R2301" i="1"/>
  <c r="Q2300" i="1"/>
  <c r="R2300" i="1"/>
  <c r="Q2299" i="1"/>
  <c r="R2299" i="1"/>
  <c r="Q2298" i="1"/>
  <c r="R2298" i="1"/>
  <c r="Q2297" i="1"/>
  <c r="R2297" i="1"/>
  <c r="Q2296" i="1"/>
  <c r="R2296" i="1"/>
  <c r="Q2295" i="1"/>
  <c r="R2295" i="1"/>
  <c r="Q2294" i="1"/>
  <c r="R2294" i="1"/>
  <c r="Q2293" i="1"/>
  <c r="R2293" i="1"/>
  <c r="Q2292" i="1"/>
  <c r="R2292" i="1"/>
  <c r="Q2291" i="1"/>
  <c r="R2291" i="1"/>
  <c r="Q2290" i="1"/>
  <c r="R2290" i="1"/>
  <c r="Q2289" i="1"/>
  <c r="R2289" i="1"/>
  <c r="Q2288" i="1"/>
  <c r="R2288" i="1"/>
  <c r="Q2287" i="1"/>
  <c r="R2287" i="1"/>
  <c r="Q2286" i="1"/>
  <c r="R2286" i="1"/>
  <c r="Q2285" i="1"/>
  <c r="R2285" i="1"/>
  <c r="Q2284" i="1"/>
  <c r="R2284" i="1"/>
  <c r="Q2283" i="1"/>
  <c r="R2283" i="1"/>
  <c r="Q2282" i="1"/>
  <c r="R2282" i="1"/>
  <c r="Q2281" i="1"/>
  <c r="R2281" i="1"/>
  <c r="Q2280" i="1"/>
  <c r="R2280" i="1"/>
  <c r="Q2279" i="1"/>
  <c r="R2279" i="1"/>
  <c r="N3" i="3"/>
  <c r="W3" i="3"/>
  <c r="B14" i="3"/>
  <c r="AA3" i="3" s="1"/>
  <c r="B13" i="3"/>
  <c r="Z3" i="3" s="1"/>
  <c r="B12" i="3"/>
  <c r="Y3" i="3" s="1"/>
  <c r="B11" i="3"/>
  <c r="X3" i="3" s="1"/>
  <c r="F3" i="3"/>
  <c r="B7" i="3"/>
  <c r="Q2278" i="1"/>
  <c r="R2278" i="1"/>
  <c r="Q2277" i="1"/>
  <c r="R2277" i="1"/>
  <c r="Q2276" i="1"/>
  <c r="R2276" i="1"/>
  <c r="Q2275" i="1"/>
  <c r="R2275" i="1"/>
  <c r="Q2274" i="1"/>
  <c r="R2274" i="1"/>
  <c r="Q2273" i="1"/>
  <c r="R2273" i="1"/>
  <c r="Q2272" i="1"/>
  <c r="R2272" i="1"/>
  <c r="Q2271" i="1"/>
  <c r="R2271" i="1"/>
  <c r="Q2270" i="1"/>
  <c r="R2270" i="1"/>
  <c r="Q2269" i="1"/>
  <c r="R2269" i="1"/>
  <c r="Q2268" i="1"/>
  <c r="R2268" i="1"/>
  <c r="Q2267" i="1"/>
  <c r="R2267" i="1"/>
  <c r="Q2266" i="1"/>
  <c r="R2266" i="1"/>
  <c r="Q2265" i="1"/>
  <c r="R2265" i="1"/>
  <c r="Q2264" i="1"/>
  <c r="R2264" i="1"/>
  <c r="Q2263" i="1"/>
  <c r="R2263" i="1"/>
  <c r="Q2262" i="1"/>
  <c r="R2262" i="1"/>
  <c r="Q2261" i="1"/>
  <c r="R2261" i="1"/>
  <c r="Q2260" i="1"/>
  <c r="R2260" i="1" s="1"/>
  <c r="Q2259" i="1"/>
  <c r="R2259" i="1" s="1"/>
  <c r="Q2258" i="1"/>
  <c r="R2258" i="1" s="1"/>
  <c r="Q2257" i="1"/>
  <c r="R2257" i="1" s="1"/>
  <c r="Q2256" i="1"/>
  <c r="R2256" i="1" s="1"/>
  <c r="Q2255" i="1"/>
  <c r="R2255" i="1" s="1"/>
  <c r="Q2254" i="1"/>
  <c r="R2254" i="1" s="1"/>
  <c r="Q2253" i="1"/>
  <c r="R2253" i="1" s="1"/>
  <c r="Q2251" i="1"/>
  <c r="R2251" i="1" s="1"/>
  <c r="Q2250" i="1"/>
  <c r="R2250" i="1" s="1"/>
  <c r="Q2249" i="1"/>
  <c r="R2249" i="1" s="1"/>
  <c r="Q2248" i="1"/>
  <c r="R2248" i="1" s="1"/>
  <c r="Q2247" i="1"/>
  <c r="R2247" i="1" s="1"/>
  <c r="Q2246" i="1"/>
  <c r="R2246" i="1" s="1"/>
  <c r="Q2245" i="1"/>
  <c r="R2245" i="1" s="1"/>
  <c r="Q2244" i="1"/>
  <c r="R2244" i="1"/>
  <c r="Q2243" i="1"/>
  <c r="R2243" i="1"/>
  <c r="Q2242" i="1"/>
  <c r="R2242" i="1"/>
  <c r="Q2241" i="1"/>
  <c r="R2241" i="1"/>
  <c r="Q2240" i="1"/>
  <c r="R2240" i="1"/>
  <c r="Q2239" i="1"/>
  <c r="R2239" i="1"/>
  <c r="Q2238" i="1"/>
  <c r="R2238" i="1"/>
  <c r="Q2237" i="1"/>
  <c r="R2237" i="1"/>
  <c r="Q2236" i="1"/>
  <c r="R2236" i="1"/>
  <c r="Q2235" i="1"/>
  <c r="R2235" i="1"/>
  <c r="Q2234" i="1"/>
  <c r="R2234" i="1"/>
  <c r="Q2233" i="1"/>
  <c r="R2233" i="1"/>
  <c r="Q2232" i="1"/>
  <c r="R2232" i="1"/>
  <c r="Q2231" i="1"/>
  <c r="R2231" i="1"/>
  <c r="Q2230" i="1"/>
  <c r="R2230" i="1"/>
  <c r="Q2229" i="1"/>
  <c r="R2229" i="1"/>
  <c r="Q2228" i="1"/>
  <c r="R2228" i="1"/>
  <c r="Q2227" i="1"/>
  <c r="R2227" i="1"/>
  <c r="Q2226" i="1"/>
  <c r="R2226" i="1"/>
  <c r="Q2225" i="1"/>
  <c r="R2225" i="1"/>
  <c r="Q2224" i="1"/>
  <c r="R2224" i="1"/>
  <c r="Q2223" i="1"/>
  <c r="R2223" i="1"/>
  <c r="Q2222" i="1"/>
  <c r="R2222" i="1"/>
  <c r="Q2221" i="1"/>
  <c r="R2221" i="1"/>
  <c r="Q2220" i="1"/>
  <c r="R2220" i="1"/>
  <c r="Q2219" i="1"/>
  <c r="R2219" i="1"/>
  <c r="Q2218" i="1"/>
  <c r="R2218" i="1"/>
  <c r="Q2217" i="1"/>
  <c r="R2217" i="1"/>
  <c r="Q2216" i="1"/>
  <c r="R2216" i="1"/>
  <c r="Q2215" i="1"/>
  <c r="R2215" i="1"/>
  <c r="Q2214" i="1"/>
  <c r="R2214" i="1"/>
  <c r="Q2213" i="1"/>
  <c r="R2213" i="1"/>
  <c r="Q2212" i="1"/>
  <c r="R2212" i="1"/>
  <c r="Q2211" i="1"/>
  <c r="R2211" i="1"/>
  <c r="Q2210" i="1"/>
  <c r="R2210" i="1"/>
  <c r="Q2209" i="1"/>
  <c r="R2209" i="1"/>
  <c r="Q2208" i="1"/>
  <c r="R2208" i="1"/>
  <c r="Q2207" i="1"/>
  <c r="R2207" i="1"/>
  <c r="Q2206" i="1"/>
  <c r="R2206" i="1"/>
  <c r="Q2205" i="1"/>
  <c r="R2205" i="1"/>
  <c r="Q2204" i="1"/>
  <c r="R2204" i="1"/>
  <c r="Q2203" i="1"/>
  <c r="R2203" i="1"/>
  <c r="Q2202" i="1"/>
  <c r="R2202" i="1" s="1"/>
  <c r="Q2201" i="1"/>
  <c r="R2201" i="1"/>
  <c r="Q2200" i="1"/>
  <c r="R2200" i="1"/>
  <c r="Q2199" i="1"/>
  <c r="R2199" i="1"/>
  <c r="Q2198" i="1"/>
  <c r="R2198" i="1"/>
  <c r="Q2197" i="1"/>
  <c r="R2197" i="1"/>
  <c r="Q2196" i="1"/>
  <c r="R2196" i="1"/>
  <c r="Q2195" i="1"/>
  <c r="R2195" i="1"/>
  <c r="Q2194" i="1"/>
  <c r="R2194" i="1"/>
  <c r="Q2193" i="1"/>
  <c r="R2193" i="1"/>
  <c r="Q2192" i="1"/>
  <c r="R2192" i="1"/>
  <c r="Q2191" i="1"/>
  <c r="R2191" i="1"/>
  <c r="Q2190" i="1"/>
  <c r="R2190" i="1"/>
  <c r="Q2189" i="1"/>
  <c r="R2189" i="1"/>
  <c r="Q2188" i="1"/>
  <c r="R2188" i="1"/>
  <c r="Q2187" i="1"/>
  <c r="R2187" i="1"/>
  <c r="Q2186" i="1"/>
  <c r="R2186" i="1"/>
  <c r="Q2185" i="1"/>
  <c r="R2185" i="1"/>
  <c r="Q2184" i="1"/>
  <c r="R2184" i="1"/>
  <c r="Q2183" i="1"/>
  <c r="R2183" i="1"/>
  <c r="Q2182" i="1"/>
  <c r="R2182" i="1"/>
  <c r="Q2181" i="1"/>
  <c r="R2181" i="1"/>
  <c r="Q2180" i="1"/>
  <c r="R2180" i="1"/>
  <c r="Q2179" i="1"/>
  <c r="R2179" i="1"/>
  <c r="Q2178" i="1"/>
  <c r="R2178" i="1"/>
  <c r="Q2177" i="1"/>
  <c r="R2177" i="1"/>
  <c r="Q2176" i="1"/>
  <c r="R2176" i="1"/>
  <c r="Q2175" i="1"/>
  <c r="R2175" i="1"/>
  <c r="Q2174" i="1"/>
  <c r="R2174" i="1"/>
  <c r="Q2173" i="1"/>
  <c r="R2173" i="1"/>
  <c r="Q2172" i="1"/>
  <c r="R2172" i="1"/>
  <c r="Q2171" i="1"/>
  <c r="R2171" i="1"/>
  <c r="Q2170" i="1"/>
  <c r="R2170" i="1"/>
  <c r="Q2168" i="1"/>
  <c r="Q2169" i="1"/>
  <c r="R2168" i="1"/>
  <c r="R2169" i="1"/>
  <c r="Q2167" i="1"/>
  <c r="R2167" i="1"/>
  <c r="Q2166" i="1"/>
  <c r="R2166" i="1"/>
  <c r="Q2165" i="1"/>
  <c r="R2165" i="1"/>
  <c r="Q2164" i="1"/>
  <c r="R2164" i="1"/>
  <c r="Q2163" i="1"/>
  <c r="R2163" i="1"/>
  <c r="Q2162" i="1"/>
  <c r="R2162" i="1"/>
  <c r="Q2161" i="1"/>
  <c r="R2161" i="1"/>
  <c r="Q2160" i="1"/>
  <c r="R2160" i="1"/>
  <c r="Q2159" i="1"/>
  <c r="R2159" i="1"/>
  <c r="Q2158" i="1"/>
  <c r="R2158" i="1"/>
  <c r="Q2157" i="1"/>
  <c r="R2157" i="1"/>
  <c r="Q2156" i="1"/>
  <c r="R2156" i="1"/>
  <c r="Q2155" i="1"/>
  <c r="R2155" i="1"/>
  <c r="Q2154" i="1"/>
  <c r="R2154" i="1"/>
  <c r="Q2153" i="1"/>
  <c r="R2153" i="1"/>
  <c r="Q2152" i="1"/>
  <c r="R2152" i="1"/>
  <c r="Q2151" i="1"/>
  <c r="R2151" i="1"/>
  <c r="Q2150" i="1"/>
  <c r="R2150" i="1"/>
  <c r="Q2149" i="1"/>
  <c r="R2149" i="1"/>
  <c r="Q2148" i="1"/>
  <c r="R2148" i="1"/>
  <c r="Q2147" i="1"/>
  <c r="R2147" i="1"/>
  <c r="Q2146" i="1"/>
  <c r="R2146" i="1"/>
  <c r="Q2145" i="1"/>
  <c r="R2145" i="1"/>
  <c r="Q2144" i="1"/>
  <c r="R2144" i="1"/>
  <c r="Q2143" i="1"/>
  <c r="R2143" i="1"/>
  <c r="Q2142" i="1"/>
  <c r="R2142" i="1"/>
  <c r="Q2141" i="1"/>
  <c r="R2141" i="1"/>
  <c r="Q2140" i="1"/>
  <c r="R2140" i="1"/>
  <c r="Q2139" i="1"/>
  <c r="R2139" i="1"/>
  <c r="Q2138" i="1"/>
  <c r="R2138" i="1"/>
  <c r="Q2137" i="1"/>
  <c r="R2137" i="1"/>
  <c r="Q2136" i="1"/>
  <c r="R2136" i="1"/>
  <c r="Q2135" i="1"/>
  <c r="R2135" i="1"/>
  <c r="Q2134" i="1"/>
  <c r="R2134" i="1"/>
  <c r="Q3" i="3"/>
  <c r="P3" i="3"/>
  <c r="O3" i="3"/>
  <c r="M3" i="3"/>
  <c r="L3" i="3"/>
  <c r="Q2133" i="1"/>
  <c r="R2133" i="1"/>
  <c r="Q2132" i="1"/>
  <c r="R2132" i="1"/>
  <c r="Q2131" i="1"/>
  <c r="R2131" i="1"/>
  <c r="Q2130" i="1"/>
  <c r="R2130" i="1"/>
  <c r="Q2129" i="1"/>
  <c r="R2129" i="1"/>
  <c r="Q2128" i="1"/>
  <c r="R2128" i="1"/>
  <c r="Q2127" i="1"/>
  <c r="R2127" i="1"/>
  <c r="Q2126" i="1"/>
  <c r="R2126" i="1"/>
  <c r="Q2125" i="1"/>
  <c r="R2125" i="1"/>
  <c r="Q2124" i="1"/>
  <c r="R2124" i="1"/>
  <c r="Q2123" i="1"/>
  <c r="R2123" i="1"/>
  <c r="Q2122" i="1"/>
  <c r="R2122" i="1"/>
  <c r="Q2121" i="1"/>
  <c r="R2121" i="1"/>
  <c r="Q2120" i="1"/>
  <c r="R2120" i="1"/>
  <c r="Q2119" i="1"/>
  <c r="R2119" i="1"/>
  <c r="Q2117" i="1"/>
  <c r="Q2118" i="1"/>
  <c r="R2117" i="1"/>
  <c r="R2118" i="1"/>
  <c r="Q2116" i="1"/>
  <c r="R2116" i="1"/>
  <c r="Q2115" i="1"/>
  <c r="R2115" i="1"/>
  <c r="Q2114" i="1"/>
  <c r="R2114" i="1"/>
  <c r="Q2113" i="1"/>
  <c r="R2113" i="1"/>
  <c r="Q2112" i="1"/>
  <c r="R2112" i="1"/>
  <c r="Q2111" i="1"/>
  <c r="R2111" i="1"/>
  <c r="Q2110" i="1"/>
  <c r="R2110" i="1"/>
  <c r="Q2109" i="1"/>
  <c r="R2109" i="1"/>
  <c r="Q2108" i="1"/>
  <c r="R2108" i="1"/>
  <c r="Q2107" i="1"/>
  <c r="R2107" i="1"/>
  <c r="Q2106" i="1"/>
  <c r="R2106" i="1"/>
  <c r="Q2105" i="1"/>
  <c r="R2105" i="1"/>
  <c r="Q2104" i="1"/>
  <c r="R2104" i="1"/>
  <c r="Q2103" i="1"/>
  <c r="R2103" i="1"/>
  <c r="Q2102" i="1"/>
  <c r="R2102" i="1"/>
  <c r="Q2101" i="1"/>
  <c r="R2101" i="1"/>
  <c r="Q2100" i="1"/>
  <c r="R2100" i="1"/>
  <c r="Q2099" i="1"/>
  <c r="R2099" i="1"/>
  <c r="Q2098" i="1"/>
  <c r="R2098" i="1"/>
  <c r="U3" i="3"/>
  <c r="V3" i="3"/>
  <c r="T3" i="3"/>
  <c r="S3" i="3"/>
  <c r="R3" i="3"/>
  <c r="Q2097" i="1"/>
  <c r="R2097" i="1" s="1"/>
  <c r="Q2096" i="1"/>
  <c r="R2096" i="1" s="1"/>
  <c r="Q2095" i="1"/>
  <c r="R2095" i="1" s="1"/>
  <c r="Q2094" i="1"/>
  <c r="R2094" i="1" s="1"/>
  <c r="Q2093" i="1"/>
  <c r="R2093" i="1" s="1"/>
  <c r="Q2092" i="1"/>
  <c r="R2092" i="1" s="1"/>
  <c r="Q2091" i="1"/>
  <c r="R2091" i="1" s="1"/>
  <c r="Q2090" i="1"/>
  <c r="R2090" i="1" s="1"/>
  <c r="Q2089" i="1"/>
  <c r="R2089" i="1" s="1"/>
  <c r="Q2088" i="1"/>
  <c r="R2088" i="1" s="1"/>
  <c r="Q2087" i="1"/>
  <c r="R2087" i="1" s="1"/>
  <c r="Q2086" i="1"/>
  <c r="R2086" i="1" s="1"/>
  <c r="Q2085" i="1"/>
  <c r="R2085" i="1" s="1"/>
  <c r="Q2084" i="1"/>
  <c r="R2084" i="1" s="1"/>
  <c r="Q2083" i="1"/>
  <c r="R2083" i="1" s="1"/>
  <c r="Q2082" i="1"/>
  <c r="R2082" i="1" s="1"/>
  <c r="Q2081" i="1"/>
  <c r="R2081" i="1" s="1"/>
  <c r="Q2080" i="1"/>
  <c r="R2080" i="1" s="1"/>
  <c r="Q2079" i="1"/>
  <c r="R2079" i="1" s="1"/>
  <c r="Q2078" i="1"/>
  <c r="R2078" i="1" s="1"/>
  <c r="Q2077" i="1"/>
  <c r="R2077" i="1" s="1"/>
  <c r="Q2076" i="1"/>
  <c r="R2076" i="1" s="1"/>
  <c r="Q2075" i="1"/>
  <c r="R2075" i="1" s="1"/>
  <c r="Q2074" i="1"/>
  <c r="R2074" i="1" s="1"/>
  <c r="Q2073" i="1"/>
  <c r="R2073" i="1" s="1"/>
  <c r="Q2072" i="1"/>
  <c r="R2072" i="1" s="1"/>
  <c r="Q2071" i="1"/>
  <c r="R2071" i="1" s="1"/>
  <c r="Q2070" i="1"/>
  <c r="R2070" i="1" s="1"/>
  <c r="Q2069" i="1"/>
  <c r="R2069" i="1" s="1"/>
  <c r="Q2068" i="1"/>
  <c r="R2068" i="1" s="1"/>
  <c r="Q2067" i="1"/>
  <c r="R2067" i="1" s="1"/>
  <c r="Q2066" i="1"/>
  <c r="R2066" i="1" s="1"/>
  <c r="Q2065" i="1"/>
  <c r="R2065" i="1" s="1"/>
  <c r="Q2064" i="1"/>
  <c r="R2064" i="1" s="1"/>
  <c r="Q2063" i="1"/>
  <c r="R2063" i="1" s="1"/>
  <c r="Q2062" i="1"/>
  <c r="R2062" i="1" s="1"/>
  <c r="Q2061" i="1"/>
  <c r="R2061" i="1" s="1"/>
  <c r="Q2060" i="1"/>
  <c r="R2060" i="1" s="1"/>
  <c r="Q2059" i="1"/>
  <c r="R2059" i="1" s="1"/>
  <c r="Q2058" i="1"/>
  <c r="R2058" i="1" s="1"/>
  <c r="Q2057" i="1"/>
  <c r="R2057" i="1" s="1"/>
  <c r="Q2056" i="1"/>
  <c r="R2056" i="1" s="1"/>
  <c r="Q2055" i="1"/>
  <c r="R2055" i="1" s="1"/>
  <c r="Q2054" i="1"/>
  <c r="R2054" i="1" s="1"/>
  <c r="Q2053" i="1"/>
  <c r="R2053" i="1" s="1"/>
  <c r="Q2052" i="1"/>
  <c r="R2052" i="1" s="1"/>
  <c r="Q2051" i="1"/>
  <c r="R2051" i="1" s="1"/>
  <c r="Q2050" i="1"/>
  <c r="R2050" i="1" s="1"/>
  <c r="Q2049" i="1"/>
  <c r="R2049" i="1" s="1"/>
  <c r="Q2048" i="1"/>
  <c r="R2048" i="1" s="1"/>
  <c r="Q2047" i="1"/>
  <c r="R2047" i="1" s="1"/>
  <c r="Q2046" i="1"/>
  <c r="R2046" i="1" s="1"/>
  <c r="Q2045" i="1"/>
  <c r="R2045" i="1" s="1"/>
  <c r="Q2044" i="1"/>
  <c r="R2044" i="1" s="1"/>
  <c r="Q2043" i="1"/>
  <c r="R2043" i="1" s="1"/>
  <c r="Q2042" i="1"/>
  <c r="R2042" i="1" s="1"/>
  <c r="Q2041" i="1"/>
  <c r="R2041" i="1" s="1"/>
  <c r="Q2040" i="1"/>
  <c r="R2040" i="1" s="1"/>
  <c r="Q2039" i="1"/>
  <c r="R2039" i="1" s="1"/>
  <c r="Q2038" i="1"/>
  <c r="R2038" i="1" s="1"/>
  <c r="Q2037" i="1"/>
  <c r="R2037" i="1" s="1"/>
  <c r="Q2036" i="1"/>
  <c r="R2036" i="1" s="1"/>
  <c r="Q2035" i="1"/>
  <c r="R2035" i="1" s="1"/>
  <c r="Q2034" i="1"/>
  <c r="R2034" i="1" s="1"/>
  <c r="Q2033" i="1"/>
  <c r="R2033" i="1" s="1"/>
  <c r="Q2032" i="1"/>
  <c r="R2032" i="1" s="1"/>
  <c r="Q2031" i="1"/>
  <c r="R2031" i="1" s="1"/>
  <c r="Q2030" i="1"/>
  <c r="R2030" i="1" s="1"/>
  <c r="Q2029" i="1"/>
  <c r="R2029" i="1" s="1"/>
  <c r="Q2028" i="1"/>
  <c r="R2028" i="1" s="1"/>
  <c r="Q2027" i="1"/>
  <c r="R2027" i="1" s="1"/>
  <c r="Q2026" i="1"/>
  <c r="R2026" i="1" s="1"/>
  <c r="Q2025" i="1"/>
  <c r="R2025" i="1" s="1"/>
  <c r="Q2024" i="1"/>
  <c r="R2024" i="1" s="1"/>
  <c r="Q2023" i="1"/>
  <c r="R2023" i="1" s="1"/>
  <c r="Q2022" i="1"/>
  <c r="R2022" i="1" s="1"/>
  <c r="Q2021" i="1"/>
  <c r="R2021" i="1" s="1"/>
  <c r="Q2020" i="1"/>
  <c r="R2020" i="1" s="1"/>
  <c r="Q2019" i="1"/>
  <c r="R2019" i="1" s="1"/>
  <c r="Q2018" i="1"/>
  <c r="R2018" i="1" s="1"/>
  <c r="Q2017" i="1"/>
  <c r="R2017" i="1" s="1"/>
  <c r="Q2016" i="1"/>
  <c r="R2016" i="1" s="1"/>
  <c r="Q2015" i="1"/>
  <c r="R2015" i="1" s="1"/>
  <c r="Q2014" i="1"/>
  <c r="R2014" i="1" s="1"/>
  <c r="Q2013" i="1"/>
  <c r="R2013" i="1" s="1"/>
  <c r="Q2012" i="1"/>
  <c r="R2012" i="1" s="1"/>
  <c r="Q2011" i="1"/>
  <c r="R2011" i="1" s="1"/>
  <c r="Q2010" i="1"/>
  <c r="R2010" i="1" s="1"/>
  <c r="Q2009" i="1"/>
  <c r="R2009" i="1" s="1"/>
  <c r="Q2008" i="1"/>
  <c r="R2008" i="1" s="1"/>
  <c r="Q2007" i="1"/>
  <c r="R2007" i="1" s="1"/>
  <c r="Q2006" i="1"/>
  <c r="R2006" i="1" s="1"/>
  <c r="Q2005" i="1"/>
  <c r="R2005" i="1" s="1"/>
  <c r="Q2004" i="1"/>
  <c r="R2004" i="1" s="1"/>
  <c r="Q2003" i="1"/>
  <c r="R2003" i="1" s="1"/>
  <c r="Q2002" i="1"/>
  <c r="R2002" i="1" s="1"/>
  <c r="Q2001" i="1"/>
  <c r="R2001" i="1" s="1"/>
  <c r="Q2000" i="1"/>
  <c r="R2000" i="1" s="1"/>
  <c r="Q1999" i="1"/>
  <c r="R1999" i="1" s="1"/>
  <c r="Q1998" i="1"/>
  <c r="R1998" i="1" s="1"/>
  <c r="Q1997" i="1"/>
  <c r="R1997" i="1" s="1"/>
  <c r="Q1996" i="1"/>
  <c r="R1996" i="1" s="1"/>
  <c r="Q1995" i="1"/>
  <c r="R1995" i="1" s="1"/>
  <c r="Q1994" i="1"/>
  <c r="R1994" i="1" s="1"/>
  <c r="Q1993" i="1"/>
  <c r="R1993" i="1" s="1"/>
  <c r="Q1992" i="1"/>
  <c r="R1992" i="1" s="1"/>
  <c r="Q1991" i="1"/>
  <c r="R1991" i="1" s="1"/>
  <c r="Q1990" i="1"/>
  <c r="R1990" i="1" s="1"/>
  <c r="Q1989" i="1"/>
  <c r="R1989" i="1" s="1"/>
  <c r="Q1988" i="1"/>
  <c r="R1988" i="1" s="1"/>
  <c r="Q1987" i="1"/>
  <c r="R1987" i="1" s="1"/>
  <c r="Q1986" i="1"/>
  <c r="R1986" i="1" s="1"/>
  <c r="Q1985" i="1"/>
  <c r="R1985" i="1" s="1"/>
  <c r="Q1984" i="1"/>
  <c r="R1984" i="1" s="1"/>
  <c r="Q1983" i="1"/>
  <c r="R1983" i="1" s="1"/>
  <c r="Q1982" i="1"/>
  <c r="R1982" i="1" s="1"/>
  <c r="Q1981" i="1"/>
  <c r="R1981" i="1" s="1"/>
  <c r="Q1980" i="1"/>
  <c r="R1980" i="1" s="1"/>
  <c r="Q1979" i="1"/>
  <c r="R1979" i="1" s="1"/>
  <c r="Q1978" i="1"/>
  <c r="R1978" i="1" s="1"/>
  <c r="Q1977" i="1"/>
  <c r="R1977" i="1" s="1"/>
  <c r="Q1976" i="1"/>
  <c r="R1976" i="1" s="1"/>
  <c r="Q1975" i="1"/>
  <c r="R1975" i="1" s="1"/>
  <c r="Q1974" i="1"/>
  <c r="R1974" i="1" s="1"/>
  <c r="Q1973" i="1"/>
  <c r="R1973" i="1" s="1"/>
  <c r="Q1972" i="1"/>
  <c r="R1972" i="1" s="1"/>
  <c r="Q1971" i="1"/>
  <c r="R1971" i="1" s="1"/>
  <c r="Q1970" i="1"/>
  <c r="R1970" i="1" s="1"/>
  <c r="Q1969" i="1"/>
  <c r="R1969" i="1" s="1"/>
  <c r="Q1968" i="1"/>
  <c r="R1968" i="1" s="1"/>
  <c r="Q1967" i="1"/>
  <c r="R1967" i="1" s="1"/>
  <c r="Q1966" i="1"/>
  <c r="R1966" i="1" s="1"/>
  <c r="Q1965" i="1"/>
  <c r="R1965" i="1" s="1"/>
  <c r="Q1964" i="1"/>
  <c r="R1964" i="1" s="1"/>
  <c r="Q1963" i="1"/>
  <c r="R1963" i="1" s="1"/>
  <c r="Q1962" i="1"/>
  <c r="R1962" i="1" s="1"/>
  <c r="Q1961" i="1"/>
  <c r="R1961" i="1" s="1"/>
  <c r="Q1960" i="1"/>
  <c r="R1960" i="1" s="1"/>
  <c r="Q1959" i="1"/>
  <c r="R1959" i="1" s="1"/>
  <c r="Q1958" i="1"/>
  <c r="R1958" i="1" s="1"/>
  <c r="Q1957" i="1"/>
  <c r="R1957" i="1" s="1"/>
  <c r="Q1956" i="1"/>
  <c r="R1956" i="1" s="1"/>
  <c r="Q1955" i="1"/>
  <c r="R1955" i="1" s="1"/>
  <c r="Q1954" i="1"/>
  <c r="R1954" i="1" s="1"/>
  <c r="Q1953" i="1"/>
  <c r="R1953" i="1" s="1"/>
  <c r="Q1952" i="1"/>
  <c r="R1952" i="1" s="1"/>
  <c r="Q1951" i="1"/>
  <c r="R1951" i="1" s="1"/>
  <c r="Q1950" i="1"/>
  <c r="R1950" i="1" s="1"/>
  <c r="Q1949" i="1"/>
  <c r="R1949" i="1" s="1"/>
  <c r="Q1948" i="1"/>
  <c r="R1948" i="1" s="1"/>
  <c r="Q1947" i="1"/>
  <c r="R1947" i="1" s="1"/>
  <c r="Q1946" i="1"/>
  <c r="R1946" i="1" s="1"/>
  <c r="Q1945" i="1"/>
  <c r="R1945" i="1" s="1"/>
  <c r="Q1944" i="1"/>
  <c r="R1944" i="1" s="1"/>
  <c r="Q1943" i="1"/>
  <c r="R1943" i="1" s="1"/>
  <c r="Q1942" i="1"/>
  <c r="R1942" i="1" s="1"/>
  <c r="Q1941" i="1"/>
  <c r="R1941" i="1" s="1"/>
  <c r="Q1940" i="1"/>
  <c r="R1940" i="1" s="1"/>
  <c r="Q1939" i="1"/>
  <c r="R1939" i="1" s="1"/>
  <c r="Q1938" i="1"/>
  <c r="R1938" i="1" s="1"/>
  <c r="Q1937" i="1"/>
  <c r="R1937" i="1" s="1"/>
  <c r="Q1936" i="1"/>
  <c r="R1936" i="1" s="1"/>
  <c r="Q1935" i="1"/>
  <c r="R1935" i="1" s="1"/>
  <c r="Q1934" i="1"/>
  <c r="R1934" i="1" s="1"/>
  <c r="Q1933" i="1"/>
  <c r="R1933" i="1" s="1"/>
  <c r="Q1932" i="1"/>
  <c r="R1932" i="1" s="1"/>
  <c r="Q1931" i="1"/>
  <c r="R1931" i="1" s="1"/>
  <c r="Q1930" i="1"/>
  <c r="R1930" i="1" s="1"/>
  <c r="Q1929" i="1"/>
  <c r="R1929" i="1" s="1"/>
  <c r="Q1928" i="1"/>
  <c r="R1928" i="1" s="1"/>
  <c r="Q1927" i="1"/>
  <c r="R1927" i="1" s="1"/>
  <c r="Q1926" i="1"/>
  <c r="R1926" i="1" s="1"/>
  <c r="Q1925" i="1"/>
  <c r="R1925" i="1" s="1"/>
  <c r="Q1924" i="1"/>
  <c r="R1924" i="1" s="1"/>
  <c r="Q1923" i="1"/>
  <c r="R1923" i="1" s="1"/>
  <c r="Q1922" i="1"/>
  <c r="R1922" i="1" s="1"/>
  <c r="Q1921" i="1"/>
  <c r="R1921" i="1" s="1"/>
  <c r="Q1920" i="1"/>
  <c r="R1920" i="1" s="1"/>
  <c r="Q1919" i="1"/>
  <c r="R1919" i="1" s="1"/>
  <c r="Q1918" i="1"/>
  <c r="R1918" i="1" s="1"/>
  <c r="Q1917" i="1"/>
  <c r="R1917" i="1" s="1"/>
  <c r="Q1916" i="1"/>
  <c r="R1916" i="1" s="1"/>
  <c r="Q1915" i="1"/>
  <c r="R1915" i="1" s="1"/>
  <c r="Q1914" i="1"/>
  <c r="R1914" i="1" s="1"/>
  <c r="Q1913" i="1"/>
  <c r="R1913" i="1" s="1"/>
  <c r="Q1912" i="1"/>
  <c r="R1912" i="1" s="1"/>
  <c r="Q1911" i="1"/>
  <c r="R1911" i="1" s="1"/>
  <c r="Q1910" i="1"/>
  <c r="R1910" i="1" s="1"/>
  <c r="Q1909" i="1"/>
  <c r="R1909" i="1" s="1"/>
  <c r="Q1908" i="1"/>
  <c r="R1908" i="1" s="1"/>
  <c r="Q1907" i="1"/>
  <c r="R1907" i="1" s="1"/>
  <c r="Q1906" i="1"/>
  <c r="R1906" i="1" s="1"/>
  <c r="Q1905" i="1"/>
  <c r="R1905" i="1" s="1"/>
  <c r="Q1904" i="1"/>
  <c r="R1904" i="1" s="1"/>
  <c r="Q1903" i="1"/>
  <c r="R1903" i="1" s="1"/>
  <c r="Q1902" i="1"/>
  <c r="R1902" i="1" s="1"/>
  <c r="Q1901" i="1"/>
  <c r="R1901" i="1" s="1"/>
  <c r="Q1900" i="1"/>
  <c r="R1900" i="1" s="1"/>
  <c r="Q1899" i="1"/>
  <c r="R1899" i="1" s="1"/>
  <c r="Q1898" i="1"/>
  <c r="R1898" i="1" s="1"/>
  <c r="Q1897" i="1"/>
  <c r="R1897" i="1" s="1"/>
  <c r="Q1896" i="1"/>
  <c r="R1896" i="1" s="1"/>
  <c r="Q1895" i="1"/>
  <c r="R1895" i="1" s="1"/>
  <c r="Q1894" i="1"/>
  <c r="R1894" i="1" s="1"/>
  <c r="Q1893" i="1"/>
  <c r="R1893" i="1" s="1"/>
  <c r="Q1892" i="1"/>
  <c r="R1892" i="1" s="1"/>
  <c r="Q1891" i="1"/>
  <c r="R1891" i="1" s="1"/>
  <c r="Q1890" i="1"/>
  <c r="R1890" i="1" s="1"/>
  <c r="Q1889" i="1"/>
  <c r="R1889" i="1" s="1"/>
  <c r="Q1888" i="1"/>
  <c r="R1888" i="1" s="1"/>
  <c r="Q1887" i="1"/>
  <c r="R1887" i="1" s="1"/>
  <c r="Q1886" i="1"/>
  <c r="R1886" i="1" s="1"/>
  <c r="Q1885" i="1"/>
  <c r="R1885" i="1" s="1"/>
  <c r="Q1884" i="1"/>
  <c r="R1884" i="1" s="1"/>
  <c r="Q1883" i="1"/>
  <c r="R1883" i="1" s="1"/>
  <c r="Q1882" i="1"/>
  <c r="R1882" i="1" s="1"/>
  <c r="Q1881" i="1"/>
  <c r="R1881" i="1" s="1"/>
  <c r="Q1880" i="1"/>
  <c r="R1880" i="1" s="1"/>
  <c r="Q1879" i="1"/>
  <c r="R1879" i="1" s="1"/>
  <c r="Q1878" i="1"/>
  <c r="R1878" i="1" s="1"/>
  <c r="Q1877" i="1"/>
  <c r="R1877" i="1" s="1"/>
  <c r="Q1876" i="1"/>
  <c r="R1876" i="1" s="1"/>
  <c r="Q1875" i="1"/>
  <c r="R1875" i="1" s="1"/>
  <c r="Q1874" i="1"/>
  <c r="R1874" i="1" s="1"/>
  <c r="Q1873" i="1"/>
  <c r="R1873" i="1" s="1"/>
  <c r="Q1872" i="1"/>
  <c r="R1872" i="1" s="1"/>
  <c r="Q1871" i="1"/>
  <c r="R1871" i="1" s="1"/>
  <c r="Q1870" i="1"/>
  <c r="R1870" i="1" s="1"/>
  <c r="Q1869" i="1"/>
  <c r="R1869" i="1" s="1"/>
  <c r="Q1868" i="1"/>
  <c r="R1868" i="1" s="1"/>
  <c r="Q1867" i="1"/>
  <c r="R1867" i="1" s="1"/>
  <c r="Q1866" i="1"/>
  <c r="R1866" i="1" s="1"/>
  <c r="Q1865" i="1"/>
  <c r="R1865" i="1" s="1"/>
  <c r="Q1864" i="1"/>
  <c r="R1864" i="1" s="1"/>
  <c r="Q1863" i="1"/>
  <c r="R1863" i="1" s="1"/>
  <c r="Q1862" i="1"/>
  <c r="R1862" i="1" s="1"/>
  <c r="Q1861" i="1"/>
  <c r="R1861" i="1" s="1"/>
  <c r="Q1860" i="1"/>
  <c r="R1860" i="1" s="1"/>
  <c r="Q1859" i="1"/>
  <c r="R1859" i="1" s="1"/>
  <c r="Q1858" i="1"/>
  <c r="R1858" i="1" s="1"/>
  <c r="Q1857" i="1"/>
  <c r="R1857" i="1" s="1"/>
  <c r="Q1856" i="1"/>
  <c r="R1856" i="1" s="1"/>
  <c r="Q1855" i="1"/>
  <c r="R1855" i="1" s="1"/>
  <c r="Q1854" i="1"/>
  <c r="R1854" i="1" s="1"/>
  <c r="Q1853" i="1"/>
  <c r="R1853" i="1" s="1"/>
  <c r="Q1852" i="1"/>
  <c r="R1852" i="1" s="1"/>
  <c r="Q1851" i="1"/>
  <c r="R1851" i="1" s="1"/>
  <c r="Q1850" i="1"/>
  <c r="R1850" i="1" s="1"/>
  <c r="Q1849" i="1"/>
  <c r="R1849" i="1" s="1"/>
  <c r="Q1848" i="1"/>
  <c r="R1848" i="1" s="1"/>
  <c r="Q1847" i="1"/>
  <c r="R1847" i="1" s="1"/>
  <c r="Q1846" i="1"/>
  <c r="R1846" i="1" s="1"/>
  <c r="Q1845" i="1"/>
  <c r="R1845" i="1" s="1"/>
  <c r="Q1844" i="1"/>
  <c r="R1844" i="1" s="1"/>
  <c r="Q1843" i="1"/>
  <c r="R1843" i="1" s="1"/>
  <c r="Q1842" i="1"/>
  <c r="R1842" i="1" s="1"/>
  <c r="Q1841" i="1"/>
  <c r="R1841" i="1" s="1"/>
  <c r="Q1840" i="1"/>
  <c r="R1840" i="1" s="1"/>
  <c r="Q1839" i="1"/>
  <c r="R1839" i="1" s="1"/>
  <c r="Q1838" i="1"/>
  <c r="R1838" i="1" s="1"/>
  <c r="Q1837" i="1"/>
  <c r="R1837" i="1" s="1"/>
  <c r="Q1836" i="1"/>
  <c r="R1836" i="1" s="1"/>
  <c r="Q1835" i="1"/>
  <c r="R1835" i="1" s="1"/>
  <c r="Q1834" i="1"/>
  <c r="R1834" i="1" s="1"/>
  <c r="Q1833" i="1"/>
  <c r="R1833" i="1" s="1"/>
  <c r="Q1832" i="1"/>
  <c r="R1832" i="1" s="1"/>
  <c r="Q1831" i="1"/>
  <c r="R1831" i="1" s="1"/>
  <c r="Q1830" i="1"/>
  <c r="R1830" i="1" s="1"/>
  <c r="Q1829" i="1"/>
  <c r="R1829" i="1" s="1"/>
  <c r="Q1828" i="1"/>
  <c r="R1828" i="1" s="1"/>
  <c r="Q1827" i="1"/>
  <c r="R1827" i="1" s="1"/>
  <c r="Q1826" i="1"/>
  <c r="R1826" i="1" s="1"/>
  <c r="Q1825" i="1"/>
  <c r="R1825" i="1" s="1"/>
  <c r="Q1824" i="1"/>
  <c r="R1824" i="1" s="1"/>
  <c r="Q1823" i="1"/>
  <c r="R1823" i="1" s="1"/>
  <c r="Q1822" i="1"/>
  <c r="R1822" i="1" s="1"/>
  <c r="Q1821" i="1"/>
  <c r="R1821" i="1" s="1"/>
  <c r="Q1820" i="1"/>
  <c r="R1820" i="1" s="1"/>
  <c r="Q1819" i="1"/>
  <c r="R1819" i="1" s="1"/>
  <c r="Q1818" i="1"/>
  <c r="R1818" i="1" s="1"/>
  <c r="Q1817" i="1"/>
  <c r="R1817" i="1" s="1"/>
  <c r="Q1816" i="1"/>
  <c r="R1816" i="1" s="1"/>
  <c r="Q1815" i="1"/>
  <c r="R1815" i="1" s="1"/>
  <c r="Q1814" i="1"/>
  <c r="R1814" i="1" s="1"/>
  <c r="Q1813" i="1"/>
  <c r="R1813" i="1" s="1"/>
  <c r="Q1812" i="1"/>
  <c r="R1812" i="1" s="1"/>
  <c r="Q1811" i="1"/>
  <c r="R1811" i="1" s="1"/>
  <c r="Q1810" i="1"/>
  <c r="R1810" i="1" s="1"/>
  <c r="Q1809" i="1"/>
  <c r="R1809" i="1" s="1"/>
  <c r="Q1808" i="1"/>
  <c r="R1808" i="1" s="1"/>
  <c r="Q1807" i="1"/>
  <c r="R1807" i="1" s="1"/>
  <c r="Q1806" i="1"/>
  <c r="R1806" i="1" s="1"/>
  <c r="Q1805" i="1"/>
  <c r="R1805" i="1" s="1"/>
  <c r="Q1804" i="1"/>
  <c r="R1804" i="1" s="1"/>
  <c r="Q1803" i="1"/>
  <c r="R1803" i="1" s="1"/>
  <c r="Q1802" i="1"/>
  <c r="R1802" i="1" s="1"/>
  <c r="Q1801" i="1"/>
  <c r="R1801" i="1" s="1"/>
  <c r="Q1800" i="1"/>
  <c r="R1800" i="1" s="1"/>
  <c r="Q1799" i="1"/>
  <c r="R1799" i="1" s="1"/>
  <c r="Q1798" i="1"/>
  <c r="R1798" i="1" s="1"/>
  <c r="Q1797" i="1"/>
  <c r="R1797" i="1" s="1"/>
  <c r="Q1796" i="1"/>
  <c r="R1796" i="1" s="1"/>
  <c r="Q1795" i="1"/>
  <c r="R1795" i="1" s="1"/>
  <c r="Q1794" i="1"/>
  <c r="R1794" i="1" s="1"/>
  <c r="Q1793" i="1"/>
  <c r="R1793" i="1" s="1"/>
  <c r="Q1792" i="1"/>
  <c r="R1792" i="1" s="1"/>
  <c r="Q1791" i="1"/>
  <c r="R1791" i="1" s="1"/>
  <c r="Q1790" i="1"/>
  <c r="R1790" i="1" s="1"/>
  <c r="Q1789" i="1"/>
  <c r="R1789" i="1" s="1"/>
  <c r="Q1788" i="1"/>
  <c r="R1788" i="1" s="1"/>
  <c r="Q1787" i="1"/>
  <c r="R1787" i="1" s="1"/>
  <c r="Q1786" i="1"/>
  <c r="R1786" i="1" s="1"/>
  <c r="Q1785" i="1"/>
  <c r="R1785" i="1" s="1"/>
  <c r="Q1784" i="1"/>
  <c r="R1784" i="1" s="1"/>
  <c r="Q1783" i="1"/>
  <c r="R1783" i="1" s="1"/>
  <c r="Q1782" i="1"/>
  <c r="R1782" i="1" s="1"/>
  <c r="Q1781" i="1"/>
  <c r="R1781" i="1" s="1"/>
  <c r="Q1780" i="1"/>
  <c r="R1780" i="1" s="1"/>
  <c r="Q1779" i="1"/>
  <c r="R1779" i="1" s="1"/>
  <c r="Q1778" i="1"/>
  <c r="R1778" i="1" s="1"/>
  <c r="Q1777" i="1"/>
  <c r="R1777" i="1" s="1"/>
  <c r="Q1776" i="1"/>
  <c r="R1776" i="1" s="1"/>
  <c r="Q1775" i="1"/>
  <c r="R1775" i="1" s="1"/>
  <c r="Q1774" i="1"/>
  <c r="R1774" i="1" s="1"/>
  <c r="Q1773" i="1"/>
  <c r="R1773" i="1" s="1"/>
  <c r="Q1772" i="1"/>
  <c r="R1772" i="1" s="1"/>
  <c r="Q1771" i="1"/>
  <c r="R1771" i="1" s="1"/>
  <c r="Q1770" i="1"/>
  <c r="R1770" i="1" s="1"/>
  <c r="Q1769" i="1"/>
  <c r="R1769" i="1" s="1"/>
  <c r="Q1768" i="1"/>
  <c r="R1768" i="1" s="1"/>
  <c r="Q1767" i="1"/>
  <c r="R1767" i="1" s="1"/>
  <c r="Q1766" i="1"/>
  <c r="R1766" i="1" s="1"/>
  <c r="Q1765" i="1"/>
  <c r="R1765" i="1" s="1"/>
  <c r="Q1764" i="1"/>
  <c r="R1764" i="1" s="1"/>
  <c r="Q1763" i="1"/>
  <c r="R1763" i="1" s="1"/>
  <c r="Q1762" i="1"/>
  <c r="R1762" i="1" s="1"/>
  <c r="Q1761" i="1"/>
  <c r="R1761" i="1" s="1"/>
  <c r="Q1760" i="1"/>
  <c r="R1760" i="1" s="1"/>
  <c r="Q1759" i="1"/>
  <c r="R1759" i="1" s="1"/>
  <c r="Q1758" i="1"/>
  <c r="R1758" i="1" s="1"/>
  <c r="Q1757" i="1"/>
  <c r="R1757" i="1" s="1"/>
  <c r="Q1756" i="1"/>
  <c r="R1756" i="1" s="1"/>
  <c r="Q1755" i="1"/>
  <c r="R1755" i="1" s="1"/>
  <c r="Q1754" i="1"/>
  <c r="R1754" i="1" s="1"/>
  <c r="Q1753" i="1"/>
  <c r="R1753" i="1" s="1"/>
  <c r="Q1752" i="1"/>
  <c r="R1752" i="1" s="1"/>
  <c r="Q1751" i="1"/>
  <c r="R1751" i="1" s="1"/>
  <c r="Q1750" i="1"/>
  <c r="R1750" i="1" s="1"/>
  <c r="Q1749" i="1"/>
  <c r="R1749" i="1" s="1"/>
  <c r="Q1748" i="1"/>
  <c r="R1748" i="1" s="1"/>
  <c r="Q1747" i="1"/>
  <c r="R1747" i="1" s="1"/>
  <c r="Q1746" i="1"/>
  <c r="R1746" i="1" s="1"/>
  <c r="Q1745" i="1"/>
  <c r="R1745" i="1" s="1"/>
  <c r="Q1744" i="1"/>
  <c r="R1744" i="1" s="1"/>
  <c r="Q1743" i="1"/>
  <c r="R1743" i="1" s="1"/>
  <c r="Q1742" i="1"/>
  <c r="R1742" i="1" s="1"/>
  <c r="Q1741" i="1"/>
  <c r="R1741" i="1" s="1"/>
  <c r="Q1740" i="1"/>
  <c r="R1740" i="1" s="1"/>
  <c r="Q1739" i="1"/>
  <c r="R1739" i="1" s="1"/>
  <c r="Q1738" i="1"/>
  <c r="R1738" i="1" s="1"/>
  <c r="Q1737" i="1"/>
  <c r="R1737" i="1" s="1"/>
  <c r="Q1736" i="1"/>
  <c r="R1736" i="1" s="1"/>
  <c r="Q1735" i="1"/>
  <c r="R1735" i="1" s="1"/>
  <c r="Q1734" i="1"/>
  <c r="R1734" i="1" s="1"/>
  <c r="Q1733" i="1"/>
  <c r="R1733" i="1" s="1"/>
  <c r="Q1732" i="1"/>
  <c r="R1732" i="1" s="1"/>
  <c r="Q1731" i="1"/>
  <c r="R1731" i="1" s="1"/>
  <c r="Q1730" i="1"/>
  <c r="R1730" i="1" s="1"/>
  <c r="Q1729" i="1"/>
  <c r="R1729" i="1" s="1"/>
  <c r="Q1728" i="1"/>
  <c r="R1728" i="1" s="1"/>
  <c r="Q1727" i="1"/>
  <c r="R1727" i="1" s="1"/>
  <c r="Q1726" i="1"/>
  <c r="R1726" i="1" s="1"/>
  <c r="Q1725" i="1"/>
  <c r="R1725" i="1" s="1"/>
  <c r="Q1724" i="1"/>
  <c r="R1724" i="1" s="1"/>
  <c r="Q1723" i="1"/>
  <c r="R1723" i="1" s="1"/>
  <c r="Q1722" i="1"/>
  <c r="R1722" i="1" s="1"/>
  <c r="Q1721" i="1"/>
  <c r="R1721" i="1" s="1"/>
  <c r="Q1720" i="1"/>
  <c r="R1720" i="1" s="1"/>
  <c r="Q1719" i="1"/>
  <c r="R1719" i="1" s="1"/>
  <c r="Q1718" i="1"/>
  <c r="R1718" i="1" s="1"/>
  <c r="Q1717" i="1"/>
  <c r="R1717" i="1" s="1"/>
  <c r="Q1716" i="1"/>
  <c r="R1716" i="1" s="1"/>
  <c r="Q1715" i="1"/>
  <c r="R1715" i="1" s="1"/>
  <c r="Q1714" i="1"/>
  <c r="R1714" i="1" s="1"/>
  <c r="Q1713" i="1"/>
  <c r="R1713" i="1" s="1"/>
  <c r="Q1712" i="1"/>
  <c r="R1712" i="1" s="1"/>
  <c r="Q1711" i="1"/>
  <c r="R1711" i="1" s="1"/>
  <c r="Q1710" i="1"/>
  <c r="R1710" i="1" s="1"/>
  <c r="Q1709" i="1"/>
  <c r="R1709" i="1" s="1"/>
  <c r="Q1708" i="1"/>
  <c r="R1708" i="1" s="1"/>
  <c r="Q1707" i="1"/>
  <c r="R1707" i="1" s="1"/>
  <c r="Q1706" i="1"/>
  <c r="R1706" i="1" s="1"/>
  <c r="Q1705" i="1"/>
  <c r="R1705" i="1" s="1"/>
  <c r="Q1704" i="1"/>
  <c r="R1704" i="1" s="1"/>
  <c r="Q1703" i="1"/>
  <c r="R1703" i="1" s="1"/>
  <c r="Q1702" i="1"/>
  <c r="R1702" i="1" s="1"/>
  <c r="Q1701" i="1"/>
  <c r="R1701" i="1" s="1"/>
  <c r="Q1700" i="1"/>
  <c r="R1700" i="1" s="1"/>
  <c r="Q1699" i="1"/>
  <c r="R1699" i="1" s="1"/>
  <c r="Q1698" i="1"/>
  <c r="R1698" i="1" s="1"/>
  <c r="Q1697" i="1"/>
  <c r="R1697" i="1" s="1"/>
  <c r="Q1696" i="1"/>
  <c r="R1696" i="1" s="1"/>
  <c r="Q1695" i="1"/>
  <c r="R1695" i="1" s="1"/>
  <c r="Q1694" i="1"/>
  <c r="R1694" i="1" s="1"/>
  <c r="Q1693" i="1"/>
  <c r="R1693" i="1" s="1"/>
  <c r="Q1692" i="1"/>
  <c r="R1692" i="1" s="1"/>
  <c r="Q1691" i="1"/>
  <c r="R1691" i="1" s="1"/>
  <c r="Q1690" i="1"/>
  <c r="R1690" i="1" s="1"/>
  <c r="Q1689" i="1"/>
  <c r="R1689" i="1" s="1"/>
  <c r="Q1688" i="1"/>
  <c r="R1688" i="1" s="1"/>
  <c r="Q1687" i="1"/>
  <c r="R1687" i="1" s="1"/>
  <c r="Q1686" i="1"/>
  <c r="R1686" i="1" s="1"/>
  <c r="Q1685" i="1"/>
  <c r="R1685" i="1" s="1"/>
  <c r="Q1684" i="1"/>
  <c r="R1684" i="1" s="1"/>
  <c r="Q1683" i="1"/>
  <c r="R1683" i="1" s="1"/>
  <c r="Q1682" i="1"/>
  <c r="R1682" i="1" s="1"/>
  <c r="Q1681" i="1"/>
  <c r="R1681" i="1" s="1"/>
  <c r="Q1680" i="1"/>
  <c r="R1680" i="1" s="1"/>
  <c r="Q1679" i="1"/>
  <c r="R1679" i="1" s="1"/>
  <c r="Q1678" i="1"/>
  <c r="R1678" i="1" s="1"/>
  <c r="Q1677" i="1"/>
  <c r="R1677" i="1" s="1"/>
  <c r="Q1676" i="1"/>
  <c r="R1676" i="1" s="1"/>
  <c r="Q1675" i="1"/>
  <c r="R1675" i="1" s="1"/>
  <c r="Q1674" i="1"/>
  <c r="R1674" i="1" s="1"/>
  <c r="Q1673" i="1"/>
  <c r="R1673" i="1" s="1"/>
  <c r="Q1672" i="1"/>
  <c r="R1672" i="1" s="1"/>
  <c r="Q1671" i="1"/>
  <c r="R1671" i="1" s="1"/>
  <c r="Q1670" i="1"/>
  <c r="R1670" i="1" s="1"/>
  <c r="Q1669" i="1"/>
  <c r="R1669" i="1" s="1"/>
  <c r="Q1668" i="1"/>
  <c r="R1668" i="1" s="1"/>
  <c r="Q1667" i="1"/>
  <c r="R1667" i="1" s="1"/>
  <c r="Q1666" i="1"/>
  <c r="R1666" i="1" s="1"/>
  <c r="Q1665" i="1"/>
  <c r="R1665" i="1" s="1"/>
  <c r="Q1664" i="1"/>
  <c r="R1664" i="1" s="1"/>
  <c r="Q1663" i="1"/>
  <c r="R1663" i="1" s="1"/>
  <c r="Q1662" i="1"/>
  <c r="R1662" i="1" s="1"/>
  <c r="Q1661" i="1"/>
  <c r="R1661" i="1" s="1"/>
  <c r="Q1660" i="1"/>
  <c r="R1660" i="1" s="1"/>
  <c r="Q1659" i="1"/>
  <c r="R1659" i="1" s="1"/>
  <c r="Q1658" i="1"/>
  <c r="R1658" i="1" s="1"/>
  <c r="Q1657" i="1"/>
  <c r="R1657" i="1" s="1"/>
  <c r="Q1656" i="1"/>
  <c r="R1656" i="1" s="1"/>
  <c r="Q1655" i="1"/>
  <c r="R1655" i="1" s="1"/>
  <c r="Q1654" i="1"/>
  <c r="R1654" i="1" s="1"/>
  <c r="Q1653" i="1"/>
  <c r="R1653" i="1" s="1"/>
  <c r="Q1652" i="1"/>
  <c r="R1652" i="1" s="1"/>
  <c r="Q1651" i="1"/>
  <c r="R1651" i="1" s="1"/>
  <c r="Q1650" i="1"/>
  <c r="R1650" i="1" s="1"/>
  <c r="Q1649" i="1"/>
  <c r="R1649" i="1" s="1"/>
  <c r="Q1648" i="1"/>
  <c r="R1648" i="1" s="1"/>
  <c r="Q1647" i="1"/>
  <c r="R1647" i="1" s="1"/>
  <c r="Q1646" i="1"/>
  <c r="R1646" i="1" s="1"/>
  <c r="Q1645" i="1"/>
  <c r="R1645" i="1" s="1"/>
  <c r="Q1644" i="1"/>
  <c r="R1644" i="1" s="1"/>
  <c r="Q1643" i="1"/>
  <c r="R1643" i="1" s="1"/>
  <c r="Q1642" i="1"/>
  <c r="R1642" i="1" s="1"/>
  <c r="Q1641" i="1"/>
  <c r="R1641" i="1" s="1"/>
  <c r="Q1640" i="1"/>
  <c r="R1640" i="1" s="1"/>
  <c r="Q1639" i="1"/>
  <c r="R1639" i="1" s="1"/>
  <c r="Q1638" i="1"/>
  <c r="R1638" i="1" s="1"/>
  <c r="Q1637" i="1"/>
  <c r="R1637" i="1" s="1"/>
  <c r="Q1636" i="1"/>
  <c r="R1636" i="1" s="1"/>
  <c r="Q1635" i="1"/>
  <c r="R1635" i="1" s="1"/>
  <c r="Q1634" i="1"/>
  <c r="R1634" i="1" s="1"/>
  <c r="Q1633" i="1"/>
  <c r="R1633" i="1" s="1"/>
  <c r="Q1632" i="1"/>
  <c r="R1632" i="1" s="1"/>
  <c r="Q1631" i="1"/>
  <c r="R1631" i="1" s="1"/>
  <c r="Q1630" i="1"/>
  <c r="R1630" i="1" s="1"/>
  <c r="Q1629" i="1"/>
  <c r="R1629" i="1" s="1"/>
  <c r="Q1628" i="1"/>
  <c r="R1628" i="1" s="1"/>
  <c r="Q1627" i="1"/>
  <c r="R1627" i="1" s="1"/>
  <c r="Q1626" i="1"/>
  <c r="R1626" i="1" s="1"/>
  <c r="Q1625" i="1"/>
  <c r="R1625" i="1" s="1"/>
  <c r="Q1624" i="1"/>
  <c r="R1624" i="1" s="1"/>
  <c r="Q1623" i="1"/>
  <c r="R1623" i="1" s="1"/>
  <c r="Q1622" i="1"/>
  <c r="R1622" i="1" s="1"/>
  <c r="Q1621" i="1"/>
  <c r="R1621" i="1" s="1"/>
  <c r="Q1620" i="1"/>
  <c r="R1620" i="1" s="1"/>
  <c r="Q1619" i="1"/>
  <c r="R1619" i="1" s="1"/>
  <c r="Q1618" i="1"/>
  <c r="R1618" i="1" s="1"/>
  <c r="Q1617" i="1"/>
  <c r="R1617" i="1" s="1"/>
  <c r="Q1616" i="1"/>
  <c r="R1616" i="1" s="1"/>
  <c r="Q1615" i="1"/>
  <c r="R1615" i="1" s="1"/>
  <c r="Q1614" i="1"/>
  <c r="R1614" i="1" s="1"/>
  <c r="Q1613" i="1"/>
  <c r="R1613" i="1" s="1"/>
  <c r="Q1612" i="1"/>
  <c r="R1612" i="1" s="1"/>
  <c r="Q1611" i="1"/>
  <c r="R1611" i="1" s="1"/>
  <c r="Q1610" i="1"/>
  <c r="R1610" i="1" s="1"/>
  <c r="Q1609" i="1"/>
  <c r="R1609" i="1" s="1"/>
  <c r="Q1608" i="1"/>
  <c r="R1608" i="1" s="1"/>
  <c r="Q1607" i="1"/>
  <c r="R1607" i="1" s="1"/>
  <c r="Q1606" i="1"/>
  <c r="R1606" i="1" s="1"/>
  <c r="Q1605" i="1"/>
  <c r="R1605" i="1" s="1"/>
  <c r="Q1604" i="1"/>
  <c r="R1604" i="1" s="1"/>
  <c r="Q1603" i="1"/>
  <c r="R1603" i="1" s="1"/>
  <c r="Q1602" i="1"/>
  <c r="R1602" i="1" s="1"/>
  <c r="Q1601" i="1"/>
  <c r="R1601" i="1" s="1"/>
  <c r="Q1600" i="1"/>
  <c r="R1600" i="1" s="1"/>
  <c r="Q1599" i="1"/>
  <c r="R1599" i="1" s="1"/>
  <c r="Q1598" i="1"/>
  <c r="R1598" i="1" s="1"/>
  <c r="Q1597" i="1"/>
  <c r="R1597" i="1" s="1"/>
  <c r="Q1596" i="1"/>
  <c r="R1596" i="1" s="1"/>
  <c r="Q1595" i="1"/>
  <c r="R1595" i="1" s="1"/>
  <c r="Q1594" i="1"/>
  <c r="R1594" i="1" s="1"/>
  <c r="Q1593" i="1"/>
  <c r="R1593" i="1" s="1"/>
  <c r="Q1592" i="1"/>
  <c r="R1592" i="1" s="1"/>
  <c r="Q1591" i="1"/>
  <c r="R1591" i="1" s="1"/>
  <c r="Q1590" i="1"/>
  <c r="R1590" i="1" s="1"/>
  <c r="Q1589" i="1"/>
  <c r="R1589" i="1" s="1"/>
  <c r="Q1588" i="1"/>
  <c r="R1588" i="1" s="1"/>
  <c r="Q1587" i="1"/>
  <c r="R1587" i="1" s="1"/>
  <c r="Q1586" i="1"/>
  <c r="R1586" i="1" s="1"/>
  <c r="Q1585" i="1"/>
  <c r="R1585" i="1" s="1"/>
  <c r="Q1584" i="1"/>
  <c r="R1584" i="1" s="1"/>
  <c r="Q1583" i="1"/>
  <c r="R1583" i="1" s="1"/>
  <c r="Q1582" i="1"/>
  <c r="R1582" i="1" s="1"/>
  <c r="Q1581" i="1"/>
  <c r="R1581" i="1" s="1"/>
  <c r="Q1580" i="1"/>
  <c r="R1580" i="1" s="1"/>
  <c r="Q1579" i="1"/>
  <c r="R1579" i="1" s="1"/>
  <c r="Q1578" i="1"/>
  <c r="R1578" i="1" s="1"/>
  <c r="Q1577" i="1"/>
  <c r="R1577" i="1" s="1"/>
  <c r="Q1576" i="1"/>
  <c r="R1576" i="1" s="1"/>
  <c r="Q1575" i="1"/>
  <c r="R1575" i="1" s="1"/>
  <c r="Q1574" i="1"/>
  <c r="R1574" i="1" s="1"/>
  <c r="Q1573" i="1"/>
  <c r="R1573" i="1" s="1"/>
  <c r="Q1572" i="1"/>
  <c r="R1572" i="1" s="1"/>
  <c r="Q1571" i="1"/>
  <c r="R1571" i="1" s="1"/>
  <c r="Q1570" i="1"/>
  <c r="R1570" i="1" s="1"/>
  <c r="Q1569" i="1"/>
  <c r="R1569" i="1" s="1"/>
  <c r="Q1568" i="1"/>
  <c r="R1568" i="1" s="1"/>
  <c r="Q1567" i="1"/>
  <c r="R1567" i="1" s="1"/>
  <c r="Q1566" i="1"/>
  <c r="R1566" i="1" s="1"/>
  <c r="Q1565" i="1"/>
  <c r="R1565" i="1" s="1"/>
  <c r="Q1564" i="1"/>
  <c r="R1564" i="1" s="1"/>
  <c r="Q1563" i="1"/>
  <c r="R1563" i="1" s="1"/>
  <c r="Q1562" i="1"/>
  <c r="R1562" i="1" s="1"/>
  <c r="Q1561" i="1"/>
  <c r="R1561" i="1" s="1"/>
  <c r="Q1560" i="1"/>
  <c r="R1560" i="1" s="1"/>
  <c r="Q1559" i="1"/>
  <c r="R1559" i="1" s="1"/>
  <c r="Q1558" i="1"/>
  <c r="R1558" i="1" s="1"/>
  <c r="Q1557" i="1"/>
  <c r="R1557" i="1" s="1"/>
  <c r="Q1556" i="1"/>
  <c r="R1556" i="1" s="1"/>
  <c r="Q1555" i="1"/>
  <c r="R1555" i="1" s="1"/>
  <c r="Q1554" i="1"/>
  <c r="R1554" i="1" s="1"/>
  <c r="Q1553" i="1"/>
  <c r="R1553" i="1" s="1"/>
  <c r="Q1552" i="1"/>
  <c r="R1552" i="1" s="1"/>
  <c r="Q1551" i="1"/>
  <c r="R1551" i="1" s="1"/>
  <c r="Q1550" i="1"/>
  <c r="R1550" i="1" s="1"/>
  <c r="Q1549" i="1"/>
  <c r="R1549" i="1" s="1"/>
  <c r="Q1548" i="1"/>
  <c r="R1548" i="1" s="1"/>
  <c r="Q1547" i="1"/>
  <c r="R1547" i="1" s="1"/>
  <c r="Q1546" i="1"/>
  <c r="R1546" i="1" s="1"/>
  <c r="Q1545" i="1"/>
  <c r="R1545" i="1" s="1"/>
  <c r="Q1544" i="1"/>
  <c r="R1544" i="1" s="1"/>
  <c r="Q1543" i="1"/>
  <c r="R1543" i="1" s="1"/>
  <c r="Q1542" i="1"/>
  <c r="R1542" i="1" s="1"/>
  <c r="Q1541" i="1"/>
  <c r="R1541" i="1" s="1"/>
  <c r="Q1540" i="1"/>
  <c r="R1540" i="1" s="1"/>
  <c r="Q1539" i="1"/>
  <c r="R1539" i="1" s="1"/>
  <c r="Q1538" i="1"/>
  <c r="R1538" i="1" s="1"/>
  <c r="Q1537" i="1"/>
  <c r="R1537" i="1" s="1"/>
  <c r="Q1536" i="1"/>
  <c r="R1536" i="1" s="1"/>
  <c r="Q1535" i="1"/>
  <c r="R1535" i="1" s="1"/>
  <c r="Q1534" i="1"/>
  <c r="R1534" i="1" s="1"/>
  <c r="Q1533" i="1"/>
  <c r="R1533" i="1" s="1"/>
  <c r="Q1532" i="1"/>
  <c r="R1532" i="1" s="1"/>
  <c r="Q1531" i="1"/>
  <c r="R1531" i="1" s="1"/>
  <c r="Q1530" i="1"/>
  <c r="R1530" i="1" s="1"/>
  <c r="Q1529" i="1"/>
  <c r="R1529" i="1" s="1"/>
  <c r="Q1528" i="1"/>
  <c r="R1528" i="1" s="1"/>
  <c r="Q1527" i="1"/>
  <c r="R1527" i="1" s="1"/>
  <c r="Q1526" i="1"/>
  <c r="R1526" i="1" s="1"/>
  <c r="Q1525" i="1"/>
  <c r="R1525" i="1" s="1"/>
  <c r="Q1524" i="1"/>
  <c r="R1524" i="1" s="1"/>
  <c r="Q1523" i="1"/>
  <c r="R1523" i="1" s="1"/>
  <c r="Q1522" i="1"/>
  <c r="R1522" i="1" s="1"/>
  <c r="Q1521" i="1"/>
  <c r="R1521" i="1" s="1"/>
  <c r="Q1520" i="1"/>
  <c r="R1520" i="1" s="1"/>
  <c r="Q1519" i="1"/>
  <c r="R1519" i="1" s="1"/>
  <c r="Q1518" i="1"/>
  <c r="R1518" i="1" s="1"/>
  <c r="Q1517" i="1"/>
  <c r="R1517" i="1" s="1"/>
  <c r="Q1516" i="1"/>
  <c r="R1516" i="1" s="1"/>
  <c r="Q1515" i="1"/>
  <c r="R1515" i="1" s="1"/>
  <c r="Q1514" i="1"/>
  <c r="R1514" i="1" s="1"/>
  <c r="Q1513" i="1"/>
  <c r="R1513" i="1" s="1"/>
  <c r="Q1512" i="1"/>
  <c r="R1512" i="1" s="1"/>
  <c r="Q1511" i="1"/>
  <c r="R1511" i="1" s="1"/>
  <c r="Q1510" i="1"/>
  <c r="R1510" i="1" s="1"/>
  <c r="Q1509" i="1"/>
  <c r="R1509" i="1" s="1"/>
  <c r="Q1508" i="1"/>
  <c r="R1508" i="1" s="1"/>
  <c r="Q1507" i="1"/>
  <c r="R1507" i="1" s="1"/>
  <c r="Q1506" i="1"/>
  <c r="R1506" i="1" s="1"/>
  <c r="Q1505" i="1"/>
  <c r="R1505" i="1" s="1"/>
  <c r="Q1504" i="1"/>
  <c r="R1504" i="1" s="1"/>
  <c r="Q1503" i="1"/>
  <c r="R1503" i="1" s="1"/>
  <c r="Q1502" i="1"/>
  <c r="R1502" i="1" s="1"/>
  <c r="Q1501" i="1"/>
  <c r="R1501" i="1" s="1"/>
  <c r="Q1500" i="1"/>
  <c r="R1500" i="1" s="1"/>
  <c r="Q1499" i="1"/>
  <c r="R1499" i="1" s="1"/>
  <c r="Q1498" i="1"/>
  <c r="R1498" i="1" s="1"/>
  <c r="Q1497" i="1"/>
  <c r="R1497" i="1" s="1"/>
  <c r="Q1496" i="1"/>
  <c r="R1496" i="1" s="1"/>
  <c r="Q1495" i="1"/>
  <c r="R1495" i="1" s="1"/>
  <c r="Q1494" i="1"/>
  <c r="R1494" i="1" s="1"/>
  <c r="Q1493" i="1"/>
  <c r="R1493" i="1" s="1"/>
  <c r="Q1492" i="1"/>
  <c r="R1492" i="1" s="1"/>
  <c r="Q1491" i="1"/>
  <c r="R1491" i="1" s="1"/>
  <c r="Q1490" i="1"/>
  <c r="R1490" i="1" s="1"/>
  <c r="Q1489" i="1"/>
  <c r="R1489" i="1" s="1"/>
  <c r="Q1488" i="1"/>
  <c r="R1488" i="1" s="1"/>
  <c r="Q1487" i="1"/>
  <c r="R1487" i="1" s="1"/>
  <c r="Q1486" i="1"/>
  <c r="R1486" i="1" s="1"/>
  <c r="Q1485" i="1"/>
  <c r="R1485" i="1" s="1"/>
  <c r="Q1484" i="1"/>
  <c r="R1484" i="1" s="1"/>
  <c r="Q1483" i="1"/>
  <c r="R1483" i="1" s="1"/>
  <c r="Q1482" i="1"/>
  <c r="R1482" i="1" s="1"/>
  <c r="Q1481" i="1"/>
  <c r="R1481" i="1" s="1"/>
  <c r="Q1480" i="1"/>
  <c r="R1480" i="1" s="1"/>
  <c r="Q1479" i="1"/>
  <c r="R1479" i="1" s="1"/>
  <c r="Q1478" i="1"/>
  <c r="R1478" i="1" s="1"/>
  <c r="Q1477" i="1"/>
  <c r="R1477" i="1" s="1"/>
  <c r="Q1476" i="1"/>
  <c r="R1476" i="1" s="1"/>
  <c r="Q1475" i="1"/>
  <c r="R1475" i="1" s="1"/>
  <c r="Q1474" i="1"/>
  <c r="R1474" i="1" s="1"/>
  <c r="Q1473" i="1"/>
  <c r="R1473" i="1" s="1"/>
  <c r="Q1472" i="1"/>
  <c r="R1472" i="1" s="1"/>
  <c r="Q1471" i="1"/>
  <c r="R1471" i="1" s="1"/>
  <c r="Q1470" i="1"/>
  <c r="R1470" i="1" s="1"/>
  <c r="Q1469" i="1"/>
  <c r="R1469" i="1" s="1"/>
  <c r="Q1468" i="1"/>
  <c r="R1468" i="1" s="1"/>
  <c r="Q1467" i="1"/>
  <c r="R1467" i="1" s="1"/>
  <c r="Q1466" i="1"/>
  <c r="R1466" i="1" s="1"/>
  <c r="Q1465" i="1"/>
  <c r="R1465" i="1" s="1"/>
  <c r="Q1464" i="1"/>
  <c r="R1464" i="1" s="1"/>
  <c r="Q1463" i="1"/>
  <c r="R1463" i="1" s="1"/>
  <c r="Q1462" i="1"/>
  <c r="R1462" i="1" s="1"/>
  <c r="Q1461" i="1"/>
  <c r="R1461" i="1" s="1"/>
  <c r="Q1460" i="1"/>
  <c r="R1460" i="1" s="1"/>
  <c r="Q1459" i="1"/>
  <c r="R1459" i="1" s="1"/>
  <c r="Q1458" i="1"/>
  <c r="R1458" i="1" s="1"/>
  <c r="Q1457" i="1"/>
  <c r="R1457" i="1" s="1"/>
  <c r="Q1456" i="1"/>
  <c r="R1456" i="1" s="1"/>
  <c r="Q1455" i="1"/>
  <c r="R1455" i="1" s="1"/>
  <c r="Q1454" i="1"/>
  <c r="R1454" i="1" s="1"/>
  <c r="Q1453" i="1"/>
  <c r="R1453" i="1" s="1"/>
  <c r="Q1452" i="1"/>
  <c r="R1452" i="1" s="1"/>
  <c r="Q1451" i="1"/>
  <c r="R1451" i="1" s="1"/>
  <c r="Q1450" i="1"/>
  <c r="R1450" i="1" s="1"/>
  <c r="Q1449" i="1"/>
  <c r="R1449" i="1" s="1"/>
  <c r="Q1448" i="1"/>
  <c r="R1448" i="1" s="1"/>
  <c r="Q1447" i="1"/>
  <c r="R1447" i="1" s="1"/>
  <c r="Q1446" i="1"/>
  <c r="R1446" i="1" s="1"/>
  <c r="Q1445" i="1"/>
  <c r="R1445" i="1" s="1"/>
  <c r="Q1444" i="1"/>
  <c r="R1444" i="1" s="1"/>
  <c r="Q1443" i="1"/>
  <c r="R1443" i="1" s="1"/>
  <c r="Q1442" i="1"/>
  <c r="R1442" i="1" s="1"/>
  <c r="Q1441" i="1"/>
  <c r="R1441" i="1" s="1"/>
  <c r="Q1440" i="1"/>
  <c r="R1440" i="1" s="1"/>
  <c r="Q1439" i="1"/>
  <c r="R1439" i="1" s="1"/>
  <c r="Q1438" i="1"/>
  <c r="R1438" i="1" s="1"/>
  <c r="Q1437" i="1"/>
  <c r="R1437" i="1" s="1"/>
  <c r="Q1436" i="1"/>
  <c r="R1436" i="1" s="1"/>
  <c r="Q1435" i="1"/>
  <c r="R1435" i="1" s="1"/>
  <c r="Q1434" i="1"/>
  <c r="R1434" i="1" s="1"/>
  <c r="Q1433" i="1"/>
  <c r="R1433" i="1" s="1"/>
  <c r="Q1432" i="1"/>
  <c r="R1432" i="1" s="1"/>
  <c r="Q1431" i="1"/>
  <c r="R1431" i="1" s="1"/>
  <c r="Q1430" i="1"/>
  <c r="R1430" i="1" s="1"/>
  <c r="Q1429" i="1"/>
  <c r="R1429" i="1" s="1"/>
  <c r="Q1428" i="1"/>
  <c r="R1428" i="1" s="1"/>
  <c r="Q1427" i="1"/>
  <c r="R1427" i="1" s="1"/>
  <c r="Q1426" i="1"/>
  <c r="R1426" i="1" s="1"/>
  <c r="Q1425" i="1"/>
  <c r="R1425" i="1" s="1"/>
  <c r="Q1424" i="1"/>
  <c r="R1424" i="1" s="1"/>
  <c r="Q1423" i="1"/>
  <c r="R1423" i="1" s="1"/>
  <c r="Q1422" i="1"/>
  <c r="R1422" i="1" s="1"/>
  <c r="Q1421" i="1"/>
  <c r="R1421" i="1" s="1"/>
  <c r="Q1420" i="1"/>
  <c r="R1420" i="1" s="1"/>
  <c r="Q1419" i="1"/>
  <c r="R1419" i="1" s="1"/>
  <c r="Q1418" i="1"/>
  <c r="R1418" i="1" s="1"/>
  <c r="Q1417" i="1"/>
  <c r="R1417" i="1" s="1"/>
  <c r="Q1416" i="1"/>
  <c r="R1416" i="1" s="1"/>
  <c r="Q1415" i="1"/>
  <c r="R1415" i="1" s="1"/>
  <c r="Q1414" i="1"/>
  <c r="R1414" i="1" s="1"/>
  <c r="Q1413" i="1"/>
  <c r="R1413" i="1" s="1"/>
  <c r="Q1412" i="1"/>
  <c r="R1412" i="1" s="1"/>
  <c r="Q1411" i="1"/>
  <c r="R1411" i="1" s="1"/>
  <c r="Q1410" i="1"/>
  <c r="R1410" i="1" s="1"/>
  <c r="Q1409" i="1"/>
  <c r="R1409" i="1" s="1"/>
  <c r="Q1408" i="1"/>
  <c r="R1408" i="1" s="1"/>
  <c r="Q1407" i="1"/>
  <c r="R1407" i="1" s="1"/>
  <c r="Q1406" i="1"/>
  <c r="R1406" i="1" s="1"/>
  <c r="Q1405" i="1"/>
  <c r="R1405" i="1" s="1"/>
  <c r="Q1404" i="1"/>
  <c r="R1404" i="1" s="1"/>
  <c r="Q1403" i="1"/>
  <c r="R1403" i="1" s="1"/>
  <c r="Q1402" i="1"/>
  <c r="R1402" i="1" s="1"/>
  <c r="Q1401" i="1"/>
  <c r="R1401" i="1" s="1"/>
  <c r="Q1400" i="1"/>
  <c r="R1400" i="1" s="1"/>
  <c r="Q1399" i="1"/>
  <c r="R1399" i="1" s="1"/>
  <c r="Q1398" i="1"/>
  <c r="R1398" i="1" s="1"/>
  <c r="Q1397" i="1"/>
  <c r="R1397" i="1" s="1"/>
  <c r="Q1396" i="1"/>
  <c r="R1396" i="1" s="1"/>
  <c r="Q1395" i="1"/>
  <c r="R1395" i="1" s="1"/>
  <c r="Q1394" i="1"/>
  <c r="R1394" i="1" s="1"/>
  <c r="Q1393" i="1"/>
  <c r="R1393" i="1" s="1"/>
  <c r="Q1392" i="1"/>
  <c r="R1392" i="1" s="1"/>
  <c r="Q1391" i="1"/>
  <c r="R1391" i="1" s="1"/>
  <c r="Q1390" i="1"/>
  <c r="R1390" i="1" s="1"/>
  <c r="Q1389" i="1"/>
  <c r="R1389" i="1" s="1"/>
  <c r="Q1388" i="1"/>
  <c r="R1388" i="1" s="1"/>
  <c r="Q1387" i="1"/>
  <c r="R1387" i="1" s="1"/>
  <c r="Q1386" i="1"/>
  <c r="R1386" i="1" s="1"/>
  <c r="Q1385" i="1"/>
  <c r="R1385" i="1" s="1"/>
  <c r="Q1384" i="1"/>
  <c r="R1384" i="1" s="1"/>
  <c r="Q1383" i="1"/>
  <c r="R1383" i="1" s="1"/>
  <c r="Q1382" i="1"/>
  <c r="R1382" i="1" s="1"/>
  <c r="Q1381" i="1"/>
  <c r="R1381" i="1" s="1"/>
  <c r="Q1380" i="1"/>
  <c r="R1380" i="1" s="1"/>
  <c r="Q1379" i="1"/>
  <c r="R1379" i="1" s="1"/>
  <c r="Q1378" i="1"/>
  <c r="R1378" i="1" s="1"/>
  <c r="Q1377" i="1"/>
  <c r="R1377" i="1" s="1"/>
  <c r="Q1376" i="1"/>
  <c r="R1376" i="1" s="1"/>
  <c r="Q1375" i="1"/>
  <c r="R1375" i="1" s="1"/>
  <c r="Q1374" i="1"/>
  <c r="R1374" i="1" s="1"/>
  <c r="Q1373" i="1"/>
  <c r="R1373" i="1" s="1"/>
  <c r="Q1372" i="1"/>
  <c r="R1372" i="1" s="1"/>
  <c r="Q1371" i="1"/>
  <c r="R1371" i="1" s="1"/>
  <c r="Q1370" i="1"/>
  <c r="R1370" i="1" s="1"/>
  <c r="Q1369" i="1"/>
  <c r="R1369" i="1" s="1"/>
  <c r="Q1368" i="1"/>
  <c r="R1368" i="1" s="1"/>
  <c r="Q1367" i="1"/>
  <c r="R1367" i="1" s="1"/>
  <c r="Q1366" i="1"/>
  <c r="R1366" i="1" s="1"/>
  <c r="Q1365" i="1"/>
  <c r="R1365" i="1" s="1"/>
  <c r="Q1364" i="1"/>
  <c r="R1364" i="1" s="1"/>
  <c r="Q1363" i="1"/>
  <c r="R1363" i="1" s="1"/>
  <c r="Q1362" i="1"/>
  <c r="R1362" i="1" s="1"/>
  <c r="Q1361" i="1"/>
  <c r="R1361" i="1" s="1"/>
  <c r="Q1360" i="1"/>
  <c r="R1360" i="1" s="1"/>
  <c r="Q1359" i="1"/>
  <c r="R1359" i="1" s="1"/>
  <c r="Q1358" i="1"/>
  <c r="R1358" i="1" s="1"/>
  <c r="Q1357" i="1"/>
  <c r="R1357" i="1" s="1"/>
  <c r="Q1356" i="1"/>
  <c r="R1356" i="1" s="1"/>
  <c r="Q1355" i="1"/>
  <c r="R1355" i="1" s="1"/>
  <c r="Q1354" i="1"/>
  <c r="R1354" i="1" s="1"/>
  <c r="Q1353" i="1"/>
  <c r="R1353" i="1" s="1"/>
  <c r="Q1352" i="1"/>
  <c r="R1352" i="1" s="1"/>
  <c r="Q1351" i="1"/>
  <c r="R1351" i="1" s="1"/>
  <c r="Q1350" i="1"/>
  <c r="R1350" i="1" s="1"/>
  <c r="Q1349" i="1"/>
  <c r="R1349" i="1" s="1"/>
  <c r="Q1348" i="1"/>
  <c r="R1348" i="1" s="1"/>
  <c r="Q1347" i="1"/>
  <c r="R1347" i="1" s="1"/>
  <c r="Q1346" i="1"/>
  <c r="R1346" i="1" s="1"/>
  <c r="Q1345" i="1"/>
  <c r="R1345" i="1" s="1"/>
  <c r="Q1344" i="1"/>
  <c r="R1344" i="1" s="1"/>
  <c r="Q1343" i="1"/>
  <c r="R1343" i="1" s="1"/>
  <c r="Q1342" i="1"/>
  <c r="R1342" i="1" s="1"/>
  <c r="Q1341" i="1"/>
  <c r="R1341" i="1" s="1"/>
  <c r="Q1340" i="1"/>
  <c r="R1340" i="1" s="1"/>
  <c r="Q1339" i="1"/>
  <c r="R1339" i="1" s="1"/>
  <c r="Q1338" i="1"/>
  <c r="R1338" i="1" s="1"/>
  <c r="Q1337" i="1"/>
  <c r="R1337" i="1" s="1"/>
  <c r="Q1336" i="1"/>
  <c r="R1336" i="1" s="1"/>
  <c r="Q1335" i="1"/>
  <c r="R1335" i="1" s="1"/>
  <c r="Q1334" i="1"/>
  <c r="R1334" i="1" s="1"/>
  <c r="Q1333" i="1"/>
  <c r="R1333" i="1" s="1"/>
  <c r="Q1332" i="1"/>
  <c r="R1332" i="1" s="1"/>
  <c r="Q1331" i="1"/>
  <c r="R1331" i="1" s="1"/>
  <c r="Q1330" i="1"/>
  <c r="R1330" i="1" s="1"/>
  <c r="Q1329" i="1"/>
  <c r="R1329" i="1" s="1"/>
  <c r="Q1328" i="1"/>
  <c r="R1328" i="1" s="1"/>
  <c r="Q1327" i="1"/>
  <c r="R1327" i="1" s="1"/>
  <c r="Q1326" i="1"/>
  <c r="R1326" i="1" s="1"/>
  <c r="Q1325" i="1"/>
  <c r="R1325" i="1" s="1"/>
  <c r="Q1324" i="1"/>
  <c r="R1324" i="1" s="1"/>
  <c r="Q1323" i="1"/>
  <c r="R1323" i="1" s="1"/>
  <c r="Q1322" i="1"/>
  <c r="R1322" i="1" s="1"/>
  <c r="Q1321" i="1"/>
  <c r="R1321" i="1" s="1"/>
  <c r="Q1320" i="1"/>
  <c r="R1320" i="1" s="1"/>
  <c r="Q1319" i="1"/>
  <c r="R1319" i="1" s="1"/>
  <c r="Q1318" i="1"/>
  <c r="R1318" i="1" s="1"/>
  <c r="Q1317" i="1"/>
  <c r="R1317" i="1" s="1"/>
  <c r="Q1316" i="1"/>
  <c r="R1316" i="1" s="1"/>
  <c r="Q1315" i="1"/>
  <c r="R1315" i="1" s="1"/>
  <c r="Q1314" i="1"/>
  <c r="R1314" i="1" s="1"/>
  <c r="Q1313" i="1"/>
  <c r="R1313" i="1" s="1"/>
  <c r="Q1312" i="1"/>
  <c r="R1312" i="1" s="1"/>
  <c r="Q1311" i="1"/>
  <c r="R1311" i="1" s="1"/>
  <c r="Q1310" i="1"/>
  <c r="R1310" i="1" s="1"/>
  <c r="Q1309" i="1"/>
  <c r="R1309" i="1" s="1"/>
  <c r="Q1308" i="1"/>
  <c r="R1308" i="1" s="1"/>
  <c r="Q1307" i="1"/>
  <c r="R1307" i="1" s="1"/>
  <c r="Q1306" i="1"/>
  <c r="R1306" i="1" s="1"/>
  <c r="Q1305" i="1"/>
  <c r="R1305" i="1" s="1"/>
  <c r="Q1304" i="1"/>
  <c r="R1304" i="1" s="1"/>
  <c r="Q1303" i="1"/>
  <c r="R1303" i="1" s="1"/>
  <c r="Q1302" i="1"/>
  <c r="R1302" i="1" s="1"/>
  <c r="Q1301" i="1"/>
  <c r="R1301" i="1" s="1"/>
  <c r="Q1300" i="1"/>
  <c r="R1300" i="1" s="1"/>
  <c r="Q1299" i="1"/>
  <c r="R1299" i="1" s="1"/>
  <c r="Q1298" i="1"/>
  <c r="R1298" i="1" s="1"/>
  <c r="Q1297" i="1"/>
  <c r="R1297" i="1" s="1"/>
  <c r="Q1296" i="1"/>
  <c r="R1296" i="1" s="1"/>
  <c r="Q1295" i="1"/>
  <c r="R1295" i="1" s="1"/>
  <c r="Q1294" i="1"/>
  <c r="R1294" i="1" s="1"/>
  <c r="Q1293" i="1"/>
  <c r="R1293" i="1" s="1"/>
  <c r="Q1292" i="1"/>
  <c r="R1292" i="1" s="1"/>
  <c r="Q1291" i="1"/>
  <c r="R1291" i="1" s="1"/>
  <c r="Q1290" i="1"/>
  <c r="R1290" i="1" s="1"/>
  <c r="Q1289" i="1"/>
  <c r="R1289" i="1" s="1"/>
  <c r="Q1288" i="1"/>
  <c r="R1288" i="1" s="1"/>
  <c r="Q1287" i="1"/>
  <c r="R1287" i="1" s="1"/>
  <c r="Q1286" i="1"/>
  <c r="R1286" i="1" s="1"/>
  <c r="Q1285" i="1"/>
  <c r="R1285" i="1" s="1"/>
  <c r="Q1284" i="1"/>
  <c r="R1284" i="1" s="1"/>
  <c r="Q1283" i="1"/>
  <c r="R1283" i="1" s="1"/>
  <c r="Q1282" i="1"/>
  <c r="R1282" i="1" s="1"/>
  <c r="Q1281" i="1"/>
  <c r="R1281" i="1" s="1"/>
  <c r="Q1280" i="1"/>
  <c r="R1280" i="1" s="1"/>
  <c r="Q1279" i="1"/>
  <c r="R1279" i="1" s="1"/>
  <c r="Q1278" i="1"/>
  <c r="R1278" i="1" s="1"/>
  <c r="Q1277" i="1"/>
  <c r="R1277" i="1" s="1"/>
  <c r="Q1276" i="1"/>
  <c r="R1276" i="1" s="1"/>
  <c r="Q1275" i="1"/>
  <c r="R1275" i="1" s="1"/>
  <c r="Q1274" i="1"/>
  <c r="R1274" i="1" s="1"/>
  <c r="Q1273" i="1"/>
  <c r="R1273" i="1" s="1"/>
  <c r="Q1272" i="1"/>
  <c r="R1272" i="1" s="1"/>
  <c r="Q1271" i="1"/>
  <c r="R1271" i="1" s="1"/>
  <c r="Q1270" i="1"/>
  <c r="R1270" i="1" s="1"/>
  <c r="Q1269" i="1"/>
  <c r="R1269" i="1" s="1"/>
  <c r="Q1268" i="1"/>
  <c r="R1268" i="1" s="1"/>
  <c r="Q1267" i="1"/>
  <c r="R1267" i="1" s="1"/>
  <c r="Q1266" i="1"/>
  <c r="R1266" i="1" s="1"/>
  <c r="Q1265" i="1"/>
  <c r="R1265" i="1" s="1"/>
  <c r="Q1264" i="1"/>
  <c r="R1264" i="1" s="1"/>
  <c r="Q1263" i="1"/>
  <c r="R1263" i="1" s="1"/>
  <c r="Q1262" i="1"/>
  <c r="R1262" i="1" s="1"/>
  <c r="Q1261" i="1"/>
  <c r="R1261" i="1" s="1"/>
  <c r="Q1260" i="1"/>
  <c r="R1260" i="1" s="1"/>
  <c r="Q1259" i="1"/>
  <c r="R1259" i="1" s="1"/>
  <c r="Q1258" i="1"/>
  <c r="R1258" i="1" s="1"/>
  <c r="Q1257" i="1"/>
  <c r="R1257" i="1" s="1"/>
  <c r="Q1256" i="1"/>
  <c r="R1256" i="1" s="1"/>
  <c r="Q1255" i="1"/>
  <c r="R1255" i="1" s="1"/>
  <c r="Q1254" i="1"/>
  <c r="R1254" i="1" s="1"/>
  <c r="Q1253" i="1"/>
  <c r="R1253" i="1" s="1"/>
  <c r="Q1252" i="1"/>
  <c r="R1252" i="1" s="1"/>
  <c r="Q1251" i="1"/>
  <c r="R1251" i="1" s="1"/>
  <c r="Q1250" i="1"/>
  <c r="R1250" i="1" s="1"/>
  <c r="Q1249" i="1"/>
  <c r="R1249" i="1" s="1"/>
  <c r="Q1248" i="1"/>
  <c r="R1248" i="1" s="1"/>
  <c r="Q1247" i="1"/>
  <c r="R1247" i="1" s="1"/>
  <c r="Q1246" i="1"/>
  <c r="R1246" i="1" s="1"/>
  <c r="Q1245" i="1"/>
  <c r="R1245" i="1" s="1"/>
  <c r="Q1244" i="1"/>
  <c r="R1244" i="1" s="1"/>
  <c r="Q1243" i="1"/>
  <c r="R1243" i="1" s="1"/>
  <c r="Q1242" i="1"/>
  <c r="R1242" i="1" s="1"/>
  <c r="Q1241" i="1"/>
  <c r="R1241" i="1" s="1"/>
  <c r="Q1240" i="1"/>
  <c r="R1240" i="1" s="1"/>
  <c r="Q1239" i="1"/>
  <c r="R1239" i="1" s="1"/>
  <c r="Q1238" i="1"/>
  <c r="R1238" i="1" s="1"/>
  <c r="Q1237" i="1"/>
  <c r="R1237" i="1" s="1"/>
  <c r="Q1236" i="1"/>
  <c r="R1236" i="1" s="1"/>
  <c r="Q1235" i="1"/>
  <c r="R1235" i="1" s="1"/>
  <c r="Q1234" i="1"/>
  <c r="R1234" i="1" s="1"/>
  <c r="Q1233" i="1"/>
  <c r="R1233" i="1" s="1"/>
  <c r="Q1232" i="1"/>
  <c r="R1232" i="1" s="1"/>
  <c r="Q1231" i="1"/>
  <c r="R1231" i="1" s="1"/>
  <c r="Q1230" i="1"/>
  <c r="R1230" i="1" s="1"/>
  <c r="Q1229" i="1"/>
  <c r="R1229" i="1" s="1"/>
  <c r="Q1228" i="1"/>
  <c r="R1228" i="1" s="1"/>
  <c r="Q1227" i="1"/>
  <c r="R1227" i="1" s="1"/>
  <c r="Q1226" i="1"/>
  <c r="R1226" i="1" s="1"/>
  <c r="Q1225" i="1"/>
  <c r="R1225" i="1" s="1"/>
  <c r="Q1224" i="1"/>
  <c r="R1224" i="1" s="1"/>
  <c r="Q1223" i="1"/>
  <c r="R1223" i="1" s="1"/>
  <c r="Q1222" i="1"/>
  <c r="R1222" i="1" s="1"/>
  <c r="Q1221" i="1"/>
  <c r="R1221" i="1" s="1"/>
  <c r="Q1220" i="1"/>
  <c r="R1220" i="1" s="1"/>
  <c r="Q1219" i="1"/>
  <c r="R1219" i="1" s="1"/>
  <c r="Q1218" i="1"/>
  <c r="R1218" i="1" s="1"/>
  <c r="Q1217" i="1"/>
  <c r="R1217" i="1" s="1"/>
  <c r="Q1216" i="1"/>
  <c r="R1216" i="1" s="1"/>
  <c r="Q1215" i="1"/>
  <c r="R1215" i="1" s="1"/>
  <c r="Q1214" i="1"/>
  <c r="R1214" i="1" s="1"/>
  <c r="Q1213" i="1"/>
  <c r="R1213" i="1" s="1"/>
  <c r="Q1212" i="1"/>
  <c r="R1212" i="1" s="1"/>
  <c r="Q1211" i="1"/>
  <c r="R1211" i="1" s="1"/>
  <c r="Q1210" i="1"/>
  <c r="R1210" i="1" s="1"/>
  <c r="Q1209" i="1"/>
  <c r="R1209" i="1" s="1"/>
  <c r="Q1208" i="1"/>
  <c r="R1208" i="1" s="1"/>
  <c r="Q1207" i="1"/>
  <c r="R1207" i="1" s="1"/>
  <c r="Q1206" i="1"/>
  <c r="R1206" i="1" s="1"/>
  <c r="Q1205" i="1"/>
  <c r="R1205" i="1" s="1"/>
  <c r="Q1204" i="1"/>
  <c r="R1204" i="1" s="1"/>
  <c r="Q1203" i="1"/>
  <c r="R1203" i="1" s="1"/>
  <c r="Q1202" i="1"/>
  <c r="R1202" i="1" s="1"/>
  <c r="Q1201" i="1"/>
  <c r="R1201" i="1" s="1"/>
  <c r="Q1200" i="1"/>
  <c r="R1200" i="1" s="1"/>
  <c r="Q1199" i="1"/>
  <c r="R1199" i="1" s="1"/>
  <c r="Q1198" i="1"/>
  <c r="R1198" i="1" s="1"/>
  <c r="Q1197" i="1"/>
  <c r="R1197" i="1" s="1"/>
  <c r="Q1196" i="1"/>
  <c r="R1196" i="1" s="1"/>
  <c r="Q1195" i="1"/>
  <c r="R1195" i="1" s="1"/>
  <c r="Q1194" i="1"/>
  <c r="R1194" i="1" s="1"/>
  <c r="Q1193" i="1"/>
  <c r="R1193" i="1" s="1"/>
  <c r="Q1192" i="1"/>
  <c r="R1192" i="1" s="1"/>
  <c r="Q1191" i="1"/>
  <c r="R1191" i="1" s="1"/>
  <c r="Q1190" i="1"/>
  <c r="R1190" i="1" s="1"/>
  <c r="Q1189" i="1"/>
  <c r="R1189" i="1" s="1"/>
  <c r="Q1188" i="1"/>
  <c r="R1188" i="1" s="1"/>
  <c r="Q1187" i="1"/>
  <c r="R1187" i="1" s="1"/>
  <c r="Q1186" i="1"/>
  <c r="R1186" i="1" s="1"/>
  <c r="Q1185" i="1"/>
  <c r="R1185" i="1" s="1"/>
  <c r="Q1184" i="1"/>
  <c r="R1184" i="1" s="1"/>
  <c r="Q1183" i="1"/>
  <c r="R1183" i="1" s="1"/>
  <c r="Q1182" i="1"/>
  <c r="R1182" i="1" s="1"/>
  <c r="Q1181" i="1"/>
  <c r="R1181" i="1" s="1"/>
  <c r="Q1180" i="1"/>
  <c r="R1180" i="1" s="1"/>
  <c r="Q1179" i="1"/>
  <c r="R1179" i="1" s="1"/>
  <c r="Q1178" i="1"/>
  <c r="R1178" i="1" s="1"/>
  <c r="Q1177" i="1"/>
  <c r="R1177" i="1" s="1"/>
  <c r="Q1176" i="1"/>
  <c r="R1176" i="1" s="1"/>
  <c r="Q1175" i="1"/>
  <c r="R1175" i="1" s="1"/>
  <c r="Q1174" i="1"/>
  <c r="R1174" i="1" s="1"/>
  <c r="Q1173" i="1"/>
  <c r="R1173" i="1" s="1"/>
  <c r="Q1172" i="1"/>
  <c r="R1172" i="1" s="1"/>
  <c r="Q1171" i="1"/>
  <c r="R1171" i="1" s="1"/>
  <c r="Q1170" i="1"/>
  <c r="R1170" i="1" s="1"/>
  <c r="Q1169" i="1"/>
  <c r="R1169" i="1" s="1"/>
  <c r="Q1168" i="1"/>
  <c r="R1168" i="1" s="1"/>
  <c r="Q1167" i="1"/>
  <c r="R1167" i="1" s="1"/>
  <c r="Q1166" i="1"/>
  <c r="R1166" i="1" s="1"/>
  <c r="Q1165" i="1"/>
  <c r="R1165" i="1" s="1"/>
  <c r="Q1164" i="1"/>
  <c r="R1164" i="1" s="1"/>
  <c r="Q1163" i="1"/>
  <c r="R1163" i="1" s="1"/>
  <c r="Q1162" i="1"/>
  <c r="R1162" i="1" s="1"/>
  <c r="Q1161" i="1"/>
  <c r="R1161" i="1" s="1"/>
  <c r="Q1160" i="1"/>
  <c r="R1160" i="1" s="1"/>
  <c r="Q1159" i="1"/>
  <c r="R1159" i="1" s="1"/>
  <c r="Q1158" i="1"/>
  <c r="R1158" i="1" s="1"/>
  <c r="Q1157" i="1"/>
  <c r="R1157" i="1" s="1"/>
  <c r="Q1156" i="1"/>
  <c r="R1156" i="1" s="1"/>
  <c r="Q1155" i="1"/>
  <c r="R1155" i="1" s="1"/>
  <c r="Q1154" i="1"/>
  <c r="R1154" i="1" s="1"/>
  <c r="Q1153" i="1"/>
  <c r="R1153" i="1" s="1"/>
  <c r="Q1152" i="1"/>
  <c r="R1152" i="1" s="1"/>
  <c r="Q1151" i="1"/>
  <c r="R1151" i="1" s="1"/>
  <c r="Q1150" i="1"/>
  <c r="R1150" i="1" s="1"/>
  <c r="Q1149" i="1"/>
  <c r="R1149" i="1" s="1"/>
  <c r="Q1148" i="1"/>
  <c r="R1148" i="1" s="1"/>
  <c r="Q1147" i="1"/>
  <c r="R1147" i="1" s="1"/>
  <c r="Q1146" i="1"/>
  <c r="R1146" i="1" s="1"/>
  <c r="Q1145" i="1"/>
  <c r="R1145" i="1" s="1"/>
  <c r="Q1144" i="1"/>
  <c r="R1144" i="1" s="1"/>
  <c r="Q1143" i="1"/>
  <c r="R1143" i="1" s="1"/>
  <c r="Q1142" i="1"/>
  <c r="R1142" i="1" s="1"/>
  <c r="Q1141" i="1"/>
  <c r="R1141" i="1" s="1"/>
  <c r="Q1140" i="1"/>
  <c r="R1140" i="1" s="1"/>
  <c r="Q1139" i="1"/>
  <c r="R1139" i="1" s="1"/>
  <c r="Q1138" i="1"/>
  <c r="R1138" i="1" s="1"/>
  <c r="Q1137" i="1"/>
  <c r="R1137" i="1" s="1"/>
  <c r="Q1136" i="1"/>
  <c r="R1136" i="1" s="1"/>
  <c r="Q1135" i="1"/>
  <c r="R1135" i="1" s="1"/>
  <c r="Q1134" i="1"/>
  <c r="R1134" i="1" s="1"/>
  <c r="Q1133" i="1"/>
  <c r="R1133" i="1" s="1"/>
  <c r="Q1132" i="1"/>
  <c r="R1132" i="1" s="1"/>
  <c r="Q1131" i="1"/>
  <c r="R1131" i="1" s="1"/>
  <c r="Q1130" i="1"/>
  <c r="R1130" i="1" s="1"/>
  <c r="Q1129" i="1"/>
  <c r="R1129" i="1" s="1"/>
  <c r="Q1128" i="1"/>
  <c r="R1128" i="1" s="1"/>
  <c r="Q1127" i="1"/>
  <c r="R1127" i="1" s="1"/>
  <c r="Q1126" i="1"/>
  <c r="R1126" i="1" s="1"/>
  <c r="Q1125" i="1"/>
  <c r="R1125" i="1" s="1"/>
  <c r="Q1124" i="1"/>
  <c r="R1124" i="1" s="1"/>
  <c r="Q1123" i="1"/>
  <c r="R1123" i="1" s="1"/>
  <c r="Q1122" i="1"/>
  <c r="R1122" i="1" s="1"/>
  <c r="Q1121" i="1"/>
  <c r="R1121" i="1" s="1"/>
  <c r="Q1120" i="1"/>
  <c r="R1120" i="1" s="1"/>
  <c r="Q1119" i="1"/>
  <c r="R1119" i="1" s="1"/>
  <c r="Q1118" i="1"/>
  <c r="R1118" i="1" s="1"/>
  <c r="Q1117" i="1"/>
  <c r="R1117" i="1" s="1"/>
  <c r="Q1116" i="1"/>
  <c r="R1116" i="1" s="1"/>
  <c r="Q1115" i="1"/>
  <c r="R1115" i="1" s="1"/>
  <c r="Q1114" i="1"/>
  <c r="R1114" i="1" s="1"/>
  <c r="Q1113" i="1"/>
  <c r="R1113" i="1" s="1"/>
  <c r="Q1112" i="1"/>
  <c r="R1112" i="1" s="1"/>
  <c r="Q1111" i="1"/>
  <c r="R1111" i="1" s="1"/>
  <c r="Q1110" i="1"/>
  <c r="R1110" i="1" s="1"/>
  <c r="Q1109" i="1"/>
  <c r="R1109" i="1" s="1"/>
  <c r="Q1108" i="1"/>
  <c r="R1108" i="1" s="1"/>
  <c r="Q1107" i="1"/>
  <c r="R1107" i="1" s="1"/>
  <c r="Q1106" i="1"/>
  <c r="R1106" i="1" s="1"/>
  <c r="Q1105" i="1"/>
  <c r="R1105" i="1" s="1"/>
  <c r="Q1104" i="1"/>
  <c r="R1104" i="1" s="1"/>
  <c r="Q1103" i="1"/>
  <c r="R1103" i="1" s="1"/>
  <c r="Q1102" i="1"/>
  <c r="R1102" i="1" s="1"/>
  <c r="Q1101" i="1"/>
  <c r="R1101" i="1" s="1"/>
  <c r="Q1100" i="1"/>
  <c r="R1100" i="1" s="1"/>
  <c r="Q1099" i="1"/>
  <c r="R1099" i="1" s="1"/>
  <c r="Q1098" i="1"/>
  <c r="R1098" i="1" s="1"/>
  <c r="Q1097" i="1"/>
  <c r="R1097" i="1" s="1"/>
  <c r="Q1096" i="1"/>
  <c r="R1096" i="1" s="1"/>
  <c r="Q1095" i="1"/>
  <c r="R1095" i="1" s="1"/>
  <c r="Q1094" i="1"/>
  <c r="R1094" i="1" s="1"/>
  <c r="Q1093" i="1"/>
  <c r="R1093" i="1" s="1"/>
  <c r="Q1092" i="1"/>
  <c r="R1092" i="1" s="1"/>
  <c r="Q1091" i="1"/>
  <c r="R1091" i="1" s="1"/>
  <c r="Q1090" i="1"/>
  <c r="R1090" i="1" s="1"/>
  <c r="Q1089" i="1"/>
  <c r="R1089" i="1" s="1"/>
  <c r="Q1088" i="1"/>
  <c r="R1088" i="1" s="1"/>
  <c r="Q1087" i="1"/>
  <c r="R1087" i="1" s="1"/>
  <c r="Q1086" i="1"/>
  <c r="R1086" i="1" s="1"/>
  <c r="Q1085" i="1"/>
  <c r="R1085" i="1" s="1"/>
  <c r="Q1084" i="1"/>
  <c r="R1084" i="1" s="1"/>
  <c r="Q1083" i="1"/>
  <c r="R1083" i="1" s="1"/>
  <c r="Q1082" i="1"/>
  <c r="R1082" i="1" s="1"/>
  <c r="Q1081" i="1"/>
  <c r="R1081" i="1" s="1"/>
  <c r="Q1080" i="1"/>
  <c r="R1080" i="1" s="1"/>
  <c r="Q1079" i="1"/>
  <c r="R1079" i="1" s="1"/>
  <c r="Q1078" i="1"/>
  <c r="R1078" i="1" s="1"/>
  <c r="Q1077" i="1"/>
  <c r="R1077" i="1" s="1"/>
  <c r="Q1076" i="1"/>
  <c r="R1076" i="1" s="1"/>
  <c r="Q1075" i="1"/>
  <c r="R1075" i="1" s="1"/>
  <c r="Q1074" i="1"/>
  <c r="R1074" i="1" s="1"/>
  <c r="Q1073" i="1"/>
  <c r="R1073" i="1" s="1"/>
  <c r="Q1072" i="1"/>
  <c r="R1072" i="1" s="1"/>
  <c r="Q1071" i="1"/>
  <c r="R1071" i="1" s="1"/>
  <c r="Q1070" i="1"/>
  <c r="R1070" i="1" s="1"/>
  <c r="Q1069" i="1"/>
  <c r="R1069" i="1" s="1"/>
  <c r="Q1068" i="1"/>
  <c r="R1068" i="1" s="1"/>
  <c r="Q1067" i="1"/>
  <c r="R1067" i="1" s="1"/>
  <c r="Q1066" i="1"/>
  <c r="R1066" i="1" s="1"/>
  <c r="Q1065" i="1"/>
  <c r="R1065" i="1" s="1"/>
  <c r="Q1064" i="1"/>
  <c r="R1064" i="1" s="1"/>
  <c r="Q1063" i="1"/>
  <c r="R1063" i="1" s="1"/>
  <c r="Q1062" i="1"/>
  <c r="R1062" i="1" s="1"/>
  <c r="Q1061" i="1"/>
  <c r="R1061" i="1" s="1"/>
  <c r="Q1060" i="1"/>
  <c r="R1060" i="1" s="1"/>
  <c r="Q1059" i="1"/>
  <c r="R1059" i="1" s="1"/>
  <c r="Q1058" i="1"/>
  <c r="R1058" i="1" s="1"/>
  <c r="Q1057" i="1"/>
  <c r="R1057" i="1" s="1"/>
  <c r="Q1056" i="1"/>
  <c r="R1056" i="1" s="1"/>
  <c r="Q1055" i="1"/>
  <c r="R1055" i="1" s="1"/>
  <c r="Q1054" i="1"/>
  <c r="R1054" i="1" s="1"/>
  <c r="Q1053" i="1"/>
  <c r="R1053" i="1" s="1"/>
  <c r="Q1052" i="1"/>
  <c r="R1052" i="1" s="1"/>
  <c r="Q1051" i="1"/>
  <c r="R1051" i="1" s="1"/>
  <c r="Q1050" i="1"/>
  <c r="R1050" i="1" s="1"/>
  <c r="Q1049" i="1"/>
  <c r="R1049" i="1" s="1"/>
  <c r="Q1048" i="1"/>
  <c r="R1048" i="1" s="1"/>
  <c r="Q1047" i="1"/>
  <c r="R1047" i="1" s="1"/>
  <c r="Q1046" i="1"/>
  <c r="R1046" i="1" s="1"/>
  <c r="Q1045" i="1"/>
  <c r="R1045" i="1" s="1"/>
  <c r="Q1044" i="1"/>
  <c r="R1044" i="1" s="1"/>
  <c r="Q1043" i="1"/>
  <c r="R1043" i="1" s="1"/>
  <c r="Q1042" i="1"/>
  <c r="R1042" i="1" s="1"/>
  <c r="Q1041" i="1"/>
  <c r="R1041" i="1" s="1"/>
  <c r="Q1040" i="1"/>
  <c r="R1040" i="1" s="1"/>
  <c r="Q1039" i="1"/>
  <c r="R1039" i="1" s="1"/>
  <c r="Q1038" i="1"/>
  <c r="R1038" i="1" s="1"/>
  <c r="Q1037" i="1"/>
  <c r="R1037" i="1" s="1"/>
  <c r="Q1036" i="1"/>
  <c r="R1036" i="1" s="1"/>
  <c r="Q1035" i="1"/>
  <c r="R1035" i="1" s="1"/>
  <c r="Q1034" i="1"/>
  <c r="R1034" i="1" s="1"/>
  <c r="Q1033" i="1"/>
  <c r="R1033" i="1" s="1"/>
  <c r="Q1032" i="1"/>
  <c r="R1032" i="1" s="1"/>
  <c r="Q1031" i="1"/>
  <c r="R1031" i="1" s="1"/>
  <c r="Q1030" i="1"/>
  <c r="R1030" i="1" s="1"/>
  <c r="Q1029" i="1"/>
  <c r="R1029" i="1" s="1"/>
  <c r="Q1028" i="1"/>
  <c r="R1028" i="1" s="1"/>
  <c r="Q1027" i="1"/>
  <c r="R1027" i="1" s="1"/>
  <c r="Q1026" i="1"/>
  <c r="R1026" i="1" s="1"/>
  <c r="Q1025" i="1"/>
  <c r="R1025" i="1" s="1"/>
  <c r="Q1024" i="1"/>
  <c r="R1024" i="1" s="1"/>
  <c r="Q1023" i="1"/>
  <c r="R1023" i="1" s="1"/>
  <c r="Q1022" i="1"/>
  <c r="R1022" i="1" s="1"/>
  <c r="Q1021" i="1"/>
  <c r="R1021" i="1" s="1"/>
  <c r="Q1020" i="1"/>
  <c r="R1020" i="1" s="1"/>
  <c r="Q1019" i="1"/>
  <c r="R1019" i="1" s="1"/>
  <c r="Q1018" i="1"/>
  <c r="R1018" i="1" s="1"/>
  <c r="Q1017" i="1"/>
  <c r="R1017" i="1" s="1"/>
  <c r="Q1016" i="1"/>
  <c r="R1016" i="1" s="1"/>
  <c r="Q1015" i="1"/>
  <c r="R1015" i="1" s="1"/>
  <c r="Q1014" i="1"/>
  <c r="R1014" i="1" s="1"/>
  <c r="Q1013" i="1"/>
  <c r="R1013" i="1" s="1"/>
  <c r="Q1012" i="1"/>
  <c r="R1012" i="1" s="1"/>
  <c r="Q1011" i="1"/>
  <c r="R1011" i="1" s="1"/>
  <c r="Q1010" i="1"/>
  <c r="R1010" i="1" s="1"/>
  <c r="Q1009" i="1"/>
  <c r="R1009" i="1" s="1"/>
  <c r="Q1008" i="1"/>
  <c r="R1008" i="1" s="1"/>
  <c r="Q1007" i="1"/>
  <c r="R1007" i="1" s="1"/>
  <c r="Q1006" i="1"/>
  <c r="R1006" i="1" s="1"/>
  <c r="Q1005" i="1"/>
  <c r="R1005" i="1" s="1"/>
  <c r="Q1004" i="1"/>
  <c r="R1004" i="1" s="1"/>
  <c r="Q1003" i="1"/>
  <c r="R1003" i="1" s="1"/>
  <c r="Q1002" i="1"/>
  <c r="R1002" i="1" s="1"/>
  <c r="Q1001" i="1"/>
  <c r="R1001" i="1" s="1"/>
  <c r="Q1000" i="1"/>
  <c r="R1000" i="1" s="1"/>
  <c r="Q999" i="1"/>
  <c r="R999" i="1" s="1"/>
  <c r="Q998" i="1"/>
  <c r="R998" i="1" s="1"/>
  <c r="Q997" i="1"/>
  <c r="R997" i="1" s="1"/>
  <c r="Q996" i="1"/>
  <c r="R996" i="1" s="1"/>
  <c r="Q995" i="1"/>
  <c r="R995" i="1" s="1"/>
  <c r="Q994" i="1"/>
  <c r="R994" i="1" s="1"/>
  <c r="Q993" i="1"/>
  <c r="R993" i="1" s="1"/>
  <c r="Q992" i="1"/>
  <c r="R992" i="1" s="1"/>
  <c r="Q991" i="1"/>
  <c r="R991" i="1" s="1"/>
  <c r="Q990" i="1"/>
  <c r="R990" i="1" s="1"/>
  <c r="Q989" i="1"/>
  <c r="R989" i="1" s="1"/>
  <c r="Q988" i="1"/>
  <c r="R988" i="1" s="1"/>
  <c r="Q987" i="1"/>
  <c r="R987" i="1" s="1"/>
  <c r="Q986" i="1"/>
  <c r="R986" i="1" s="1"/>
  <c r="Q985" i="1"/>
  <c r="R985" i="1" s="1"/>
  <c r="Q984" i="1"/>
  <c r="R984" i="1" s="1"/>
  <c r="Q983" i="1"/>
  <c r="R983" i="1" s="1"/>
  <c r="Q982" i="1"/>
  <c r="R982" i="1" s="1"/>
  <c r="Q981" i="1"/>
  <c r="R981" i="1" s="1"/>
  <c r="Q980" i="1"/>
  <c r="R980" i="1" s="1"/>
  <c r="Q979" i="1"/>
  <c r="R979" i="1" s="1"/>
  <c r="Q978" i="1"/>
  <c r="R978" i="1" s="1"/>
  <c r="Q977" i="1"/>
  <c r="R977" i="1" s="1"/>
  <c r="Q976" i="1"/>
  <c r="R976" i="1" s="1"/>
  <c r="Q975" i="1"/>
  <c r="R975" i="1" s="1"/>
  <c r="Q974" i="1"/>
  <c r="R974" i="1" s="1"/>
  <c r="Q973" i="1"/>
  <c r="R973" i="1" s="1"/>
  <c r="Q972" i="1"/>
  <c r="R972" i="1" s="1"/>
  <c r="Q971" i="1"/>
  <c r="R971" i="1" s="1"/>
  <c r="Q970" i="1"/>
  <c r="R970" i="1" s="1"/>
  <c r="Q969" i="1"/>
  <c r="R969" i="1" s="1"/>
  <c r="Q968" i="1"/>
  <c r="R968" i="1" s="1"/>
  <c r="Q967" i="1"/>
  <c r="R967" i="1" s="1"/>
  <c r="Q966" i="1"/>
  <c r="R966" i="1" s="1"/>
  <c r="Q965" i="1"/>
  <c r="R965" i="1" s="1"/>
  <c r="Q964" i="1"/>
  <c r="R964" i="1" s="1"/>
  <c r="Q963" i="1"/>
  <c r="R963" i="1" s="1"/>
  <c r="Q962" i="1"/>
  <c r="R962" i="1" s="1"/>
  <c r="Q961" i="1"/>
  <c r="R961" i="1" s="1"/>
  <c r="Q960" i="1"/>
  <c r="R960" i="1" s="1"/>
  <c r="Q959" i="1"/>
  <c r="R959" i="1" s="1"/>
  <c r="Q958" i="1"/>
  <c r="R958" i="1" s="1"/>
  <c r="Q957" i="1"/>
  <c r="R957" i="1" s="1"/>
  <c r="Q956" i="1"/>
  <c r="R956" i="1" s="1"/>
  <c r="Q955" i="1"/>
  <c r="R955" i="1" s="1"/>
  <c r="Q954" i="1"/>
  <c r="R954" i="1" s="1"/>
  <c r="Q953" i="1"/>
  <c r="R953" i="1" s="1"/>
  <c r="Q952" i="1"/>
  <c r="R952" i="1" s="1"/>
  <c r="Q951" i="1"/>
  <c r="R951" i="1" s="1"/>
  <c r="Q950" i="1"/>
  <c r="R950" i="1" s="1"/>
  <c r="Q949" i="1"/>
  <c r="R949" i="1" s="1"/>
  <c r="Q948" i="1"/>
  <c r="R948" i="1" s="1"/>
  <c r="Q947" i="1"/>
  <c r="R947" i="1" s="1"/>
  <c r="Q946" i="1"/>
  <c r="R946" i="1" s="1"/>
  <c r="Q945" i="1"/>
  <c r="R945" i="1" s="1"/>
  <c r="Q944" i="1"/>
  <c r="R944" i="1" s="1"/>
  <c r="Q943" i="1"/>
  <c r="R943" i="1" s="1"/>
  <c r="Q942" i="1"/>
  <c r="R942" i="1" s="1"/>
  <c r="Q941" i="1"/>
  <c r="R941" i="1" s="1"/>
  <c r="Q940" i="1"/>
  <c r="R940" i="1" s="1"/>
  <c r="Q939" i="1"/>
  <c r="R939" i="1" s="1"/>
  <c r="Q938" i="1"/>
  <c r="R938" i="1" s="1"/>
  <c r="Q937" i="1"/>
  <c r="R937" i="1" s="1"/>
  <c r="Q936" i="1"/>
  <c r="R936" i="1" s="1"/>
  <c r="Q935" i="1"/>
  <c r="R935" i="1" s="1"/>
  <c r="Q934" i="1"/>
  <c r="R934" i="1" s="1"/>
  <c r="Q933" i="1"/>
  <c r="R933" i="1" s="1"/>
  <c r="Q932" i="1"/>
  <c r="R932" i="1" s="1"/>
  <c r="Q931" i="1"/>
  <c r="R931" i="1" s="1"/>
  <c r="Q930" i="1"/>
  <c r="R930" i="1" s="1"/>
  <c r="Q929" i="1"/>
  <c r="R929" i="1" s="1"/>
  <c r="Q928" i="1"/>
  <c r="R928" i="1" s="1"/>
  <c r="Q927" i="1"/>
  <c r="R927" i="1" s="1"/>
  <c r="Q926" i="1"/>
  <c r="R926" i="1" s="1"/>
  <c r="Q925" i="1"/>
  <c r="R925" i="1" s="1"/>
  <c r="Q924" i="1"/>
  <c r="R924" i="1" s="1"/>
  <c r="Q923" i="1"/>
  <c r="R923" i="1" s="1"/>
  <c r="Q922" i="1"/>
  <c r="R922" i="1" s="1"/>
  <c r="Q921" i="1"/>
  <c r="R921" i="1" s="1"/>
  <c r="Q920" i="1"/>
  <c r="R920" i="1" s="1"/>
  <c r="Q919" i="1"/>
  <c r="R919" i="1" s="1"/>
  <c r="Q918" i="1"/>
  <c r="R918" i="1" s="1"/>
  <c r="Q917" i="1"/>
  <c r="R917" i="1" s="1"/>
  <c r="Q916" i="1"/>
  <c r="R916" i="1" s="1"/>
  <c r="Q915" i="1"/>
  <c r="R915" i="1" s="1"/>
  <c r="Q914" i="1"/>
  <c r="R914" i="1" s="1"/>
  <c r="Q913" i="1"/>
  <c r="R913" i="1" s="1"/>
  <c r="Q912" i="1"/>
  <c r="R912" i="1" s="1"/>
  <c r="Q911" i="1"/>
  <c r="R911" i="1" s="1"/>
  <c r="Q910" i="1"/>
  <c r="R910" i="1" s="1"/>
  <c r="Q909" i="1"/>
  <c r="R909" i="1" s="1"/>
  <c r="Q908" i="1"/>
  <c r="R908" i="1" s="1"/>
  <c r="Q907" i="1"/>
  <c r="R907" i="1" s="1"/>
  <c r="Q906" i="1"/>
  <c r="R906" i="1" s="1"/>
  <c r="Q905" i="1"/>
  <c r="R905" i="1" s="1"/>
  <c r="Q904" i="1"/>
  <c r="R904" i="1" s="1"/>
  <c r="Q903" i="1"/>
  <c r="R903" i="1" s="1"/>
  <c r="Q902" i="1"/>
  <c r="R902" i="1" s="1"/>
  <c r="Q901" i="1"/>
  <c r="R901" i="1" s="1"/>
  <c r="Q900" i="1"/>
  <c r="R900" i="1" s="1"/>
  <c r="Q899" i="1"/>
  <c r="R899" i="1" s="1"/>
  <c r="Q898" i="1"/>
  <c r="R898" i="1" s="1"/>
  <c r="Q897" i="1"/>
  <c r="R897" i="1" s="1"/>
  <c r="Q896" i="1"/>
  <c r="R896" i="1" s="1"/>
  <c r="Q895" i="1"/>
  <c r="R895" i="1" s="1"/>
  <c r="Q894" i="1"/>
  <c r="R894" i="1" s="1"/>
  <c r="Q893" i="1"/>
  <c r="R893" i="1" s="1"/>
  <c r="Q892" i="1"/>
  <c r="R892" i="1" s="1"/>
  <c r="Q891" i="1"/>
  <c r="R891" i="1" s="1"/>
  <c r="Q890" i="1"/>
  <c r="R890" i="1" s="1"/>
  <c r="Q889" i="1"/>
  <c r="R889" i="1" s="1"/>
  <c r="Q888" i="1"/>
  <c r="R888" i="1" s="1"/>
  <c r="Q887" i="1"/>
  <c r="R887" i="1" s="1"/>
  <c r="Q886" i="1"/>
  <c r="R886" i="1" s="1"/>
  <c r="Q885" i="1"/>
  <c r="R885" i="1" s="1"/>
  <c r="Q884" i="1"/>
  <c r="R884" i="1" s="1"/>
  <c r="Q883" i="1"/>
  <c r="R883" i="1" s="1"/>
  <c r="Q882" i="1"/>
  <c r="R882" i="1" s="1"/>
  <c r="Q881" i="1"/>
  <c r="R881" i="1" s="1"/>
  <c r="Q880" i="1"/>
  <c r="R880" i="1" s="1"/>
  <c r="Q879" i="1"/>
  <c r="R879" i="1" s="1"/>
  <c r="Q878" i="1"/>
  <c r="R878" i="1" s="1"/>
  <c r="Q877" i="1"/>
  <c r="R877" i="1" s="1"/>
  <c r="Q876" i="1"/>
  <c r="R876" i="1" s="1"/>
  <c r="Q875" i="1"/>
  <c r="R875" i="1" s="1"/>
  <c r="Q874" i="1"/>
  <c r="R874" i="1" s="1"/>
  <c r="Q873" i="1"/>
  <c r="R873" i="1" s="1"/>
  <c r="Q872" i="1"/>
  <c r="R872" i="1" s="1"/>
  <c r="Q871" i="1"/>
  <c r="R871" i="1" s="1"/>
  <c r="Q870" i="1"/>
  <c r="R870" i="1" s="1"/>
  <c r="Q869" i="1"/>
  <c r="R869" i="1" s="1"/>
  <c r="Q868" i="1"/>
  <c r="R868" i="1" s="1"/>
  <c r="Q867" i="1"/>
  <c r="R867" i="1" s="1"/>
  <c r="Q866" i="1"/>
  <c r="R866" i="1" s="1"/>
  <c r="Q865" i="1"/>
  <c r="R865" i="1" s="1"/>
  <c r="Q864" i="1"/>
  <c r="R864" i="1" s="1"/>
  <c r="Q863" i="1"/>
  <c r="R863" i="1" s="1"/>
  <c r="Q862" i="1"/>
  <c r="R862" i="1" s="1"/>
  <c r="Q861" i="1"/>
  <c r="R861" i="1" s="1"/>
  <c r="Q860" i="1"/>
  <c r="R860" i="1" s="1"/>
  <c r="Q859" i="1"/>
  <c r="R859" i="1" s="1"/>
  <c r="Q858" i="1"/>
  <c r="R858" i="1" s="1"/>
  <c r="Q857" i="1"/>
  <c r="R857" i="1" s="1"/>
  <c r="Q856" i="1"/>
  <c r="R856" i="1" s="1"/>
  <c r="Q855" i="1"/>
  <c r="R855" i="1" s="1"/>
  <c r="Q854" i="1"/>
  <c r="R854" i="1" s="1"/>
  <c r="Q853" i="1"/>
  <c r="R853" i="1" s="1"/>
  <c r="Q852" i="1"/>
  <c r="R852" i="1" s="1"/>
  <c r="Q851" i="1"/>
  <c r="R851" i="1" s="1"/>
  <c r="Q850" i="1"/>
  <c r="R850" i="1" s="1"/>
  <c r="Q849" i="1"/>
  <c r="R849" i="1" s="1"/>
  <c r="Q848" i="1"/>
  <c r="R848" i="1" s="1"/>
  <c r="Q847" i="1"/>
  <c r="R847" i="1" s="1"/>
  <c r="Q846" i="1"/>
  <c r="R846" i="1" s="1"/>
  <c r="Q845" i="1"/>
  <c r="R845" i="1" s="1"/>
  <c r="Q844" i="1"/>
  <c r="R844" i="1" s="1"/>
  <c r="Q843" i="1"/>
  <c r="R843" i="1" s="1"/>
  <c r="Q842" i="1"/>
  <c r="R842" i="1" s="1"/>
  <c r="Q841" i="1"/>
  <c r="R841" i="1" s="1"/>
  <c r="Q840" i="1"/>
  <c r="R840" i="1" s="1"/>
  <c r="Q839" i="1"/>
  <c r="R839" i="1" s="1"/>
  <c r="Q838" i="1"/>
  <c r="R838" i="1" s="1"/>
  <c r="Q837" i="1"/>
  <c r="R837" i="1" s="1"/>
  <c r="Q836" i="1"/>
  <c r="R836" i="1" s="1"/>
  <c r="Q835" i="1"/>
  <c r="R835" i="1" s="1"/>
  <c r="Q834" i="1"/>
  <c r="R834" i="1" s="1"/>
  <c r="Q833" i="1"/>
  <c r="R833" i="1" s="1"/>
  <c r="Q832" i="1"/>
  <c r="R832" i="1" s="1"/>
  <c r="Q831" i="1"/>
  <c r="R831" i="1" s="1"/>
  <c r="Q830" i="1"/>
  <c r="R830" i="1" s="1"/>
  <c r="Q829" i="1"/>
  <c r="R829" i="1" s="1"/>
  <c r="Q828" i="1"/>
  <c r="R828" i="1" s="1"/>
  <c r="Q827" i="1"/>
  <c r="R827" i="1" s="1"/>
  <c r="Q826" i="1"/>
  <c r="R826" i="1" s="1"/>
  <c r="Q825" i="1"/>
  <c r="R825" i="1" s="1"/>
  <c r="Q824" i="1"/>
  <c r="R824" i="1" s="1"/>
  <c r="Q823" i="1"/>
  <c r="R823" i="1" s="1"/>
  <c r="Q822" i="1"/>
  <c r="R822" i="1" s="1"/>
  <c r="Q821" i="1"/>
  <c r="R821" i="1" s="1"/>
  <c r="Q820" i="1"/>
  <c r="R820" i="1" s="1"/>
  <c r="Q819" i="1"/>
  <c r="R819" i="1" s="1"/>
  <c r="Q818" i="1"/>
  <c r="R818" i="1" s="1"/>
  <c r="Q817" i="1"/>
  <c r="R817" i="1" s="1"/>
  <c r="Q816" i="1"/>
  <c r="R816" i="1" s="1"/>
  <c r="Q815" i="1"/>
  <c r="R815" i="1" s="1"/>
  <c r="Q814" i="1"/>
  <c r="R814" i="1" s="1"/>
  <c r="Q813" i="1"/>
  <c r="R813" i="1" s="1"/>
  <c r="Q812" i="1"/>
  <c r="R812" i="1" s="1"/>
  <c r="Q811" i="1"/>
  <c r="R811" i="1" s="1"/>
  <c r="Q810" i="1"/>
  <c r="R810" i="1" s="1"/>
  <c r="Q809" i="1"/>
  <c r="R809" i="1" s="1"/>
  <c r="Q808" i="1"/>
  <c r="R808" i="1" s="1"/>
  <c r="Q807" i="1"/>
  <c r="R807" i="1" s="1"/>
  <c r="Q806" i="1"/>
  <c r="R806" i="1" s="1"/>
  <c r="Q805" i="1"/>
  <c r="R805" i="1" s="1"/>
  <c r="Q804" i="1"/>
  <c r="R804" i="1" s="1"/>
  <c r="Q803" i="1"/>
  <c r="R803" i="1" s="1"/>
  <c r="Q802" i="1"/>
  <c r="R802" i="1" s="1"/>
  <c r="Q801" i="1"/>
  <c r="R801" i="1" s="1"/>
  <c r="Q800" i="1"/>
  <c r="R800" i="1" s="1"/>
  <c r="Q799" i="1"/>
  <c r="R799" i="1" s="1"/>
  <c r="Q798" i="1"/>
  <c r="R798" i="1" s="1"/>
  <c r="Q797" i="1"/>
  <c r="R797" i="1" s="1"/>
  <c r="Q796" i="1"/>
  <c r="R796" i="1" s="1"/>
  <c r="Q795" i="1"/>
  <c r="R795" i="1" s="1"/>
  <c r="Q794" i="1"/>
  <c r="R794" i="1" s="1"/>
  <c r="Q793" i="1"/>
  <c r="R793" i="1" s="1"/>
  <c r="Q792" i="1"/>
  <c r="R792" i="1" s="1"/>
  <c r="Q791" i="1"/>
  <c r="R791" i="1" s="1"/>
  <c r="Q790" i="1"/>
  <c r="R790" i="1" s="1"/>
  <c r="Q789" i="1"/>
  <c r="R789" i="1" s="1"/>
  <c r="Q788" i="1"/>
  <c r="R788" i="1" s="1"/>
  <c r="Q787" i="1"/>
  <c r="R787" i="1" s="1"/>
  <c r="Q786" i="1"/>
  <c r="R786" i="1" s="1"/>
  <c r="Q785" i="1"/>
  <c r="R785" i="1" s="1"/>
  <c r="Q784" i="1"/>
  <c r="R784" i="1" s="1"/>
  <c r="Q783" i="1"/>
  <c r="R783" i="1" s="1"/>
  <c r="Q782" i="1"/>
  <c r="R782" i="1" s="1"/>
  <c r="Q781" i="1"/>
  <c r="R781" i="1" s="1"/>
  <c r="Q780" i="1"/>
  <c r="R780" i="1" s="1"/>
  <c r="Q779" i="1"/>
  <c r="R779" i="1" s="1"/>
  <c r="Q778" i="1"/>
  <c r="R778" i="1" s="1"/>
  <c r="Q777" i="1"/>
  <c r="R777" i="1" s="1"/>
  <c r="Q776" i="1"/>
  <c r="R776" i="1" s="1"/>
  <c r="Q775" i="1"/>
  <c r="R775" i="1" s="1"/>
  <c r="Q774" i="1"/>
  <c r="R774" i="1" s="1"/>
  <c r="Q773" i="1"/>
  <c r="R773" i="1" s="1"/>
  <c r="Q772" i="1"/>
  <c r="R772" i="1" s="1"/>
  <c r="Q771" i="1"/>
  <c r="R771" i="1" s="1"/>
  <c r="Q770" i="1"/>
  <c r="R770" i="1" s="1"/>
  <c r="Q769" i="1"/>
  <c r="R769" i="1" s="1"/>
  <c r="Q768" i="1"/>
  <c r="R768" i="1" s="1"/>
  <c r="Q767" i="1"/>
  <c r="R767" i="1" s="1"/>
  <c r="Q766" i="1"/>
  <c r="R766" i="1" s="1"/>
  <c r="Q765" i="1"/>
  <c r="R765" i="1" s="1"/>
  <c r="Q764" i="1"/>
  <c r="R764" i="1" s="1"/>
  <c r="Q763" i="1"/>
  <c r="R763" i="1" s="1"/>
  <c r="Q762" i="1"/>
  <c r="R762" i="1" s="1"/>
  <c r="Q761" i="1"/>
  <c r="R761" i="1" s="1"/>
  <c r="Q760" i="1"/>
  <c r="R760" i="1" s="1"/>
  <c r="Q759" i="1"/>
  <c r="R759" i="1" s="1"/>
  <c r="Q758" i="1"/>
  <c r="R758" i="1" s="1"/>
  <c r="Q757" i="1"/>
  <c r="R757" i="1" s="1"/>
  <c r="Q756" i="1"/>
  <c r="R756" i="1" s="1"/>
  <c r="Q755" i="1"/>
  <c r="R755" i="1" s="1"/>
  <c r="Q754" i="1"/>
  <c r="R754" i="1" s="1"/>
  <c r="Q753" i="1"/>
  <c r="R753" i="1" s="1"/>
  <c r="Q752" i="1"/>
  <c r="R752" i="1" s="1"/>
  <c r="Q751" i="1"/>
  <c r="R751" i="1" s="1"/>
  <c r="Q750" i="1"/>
  <c r="R750" i="1" s="1"/>
  <c r="Q749" i="1"/>
  <c r="R749" i="1" s="1"/>
  <c r="Q748" i="1"/>
  <c r="R748" i="1" s="1"/>
  <c r="Q747" i="1"/>
  <c r="R747" i="1" s="1"/>
  <c r="Q746" i="1"/>
  <c r="R746" i="1" s="1"/>
  <c r="Q745" i="1"/>
  <c r="R745" i="1" s="1"/>
  <c r="Q744" i="1"/>
  <c r="R744" i="1" s="1"/>
  <c r="Q743" i="1"/>
  <c r="R743" i="1" s="1"/>
  <c r="Q742" i="1"/>
  <c r="R742" i="1" s="1"/>
  <c r="Q741" i="1"/>
  <c r="R741" i="1" s="1"/>
  <c r="Q740" i="1"/>
  <c r="R740" i="1" s="1"/>
  <c r="Q739" i="1"/>
  <c r="R739" i="1" s="1"/>
  <c r="Q738" i="1"/>
  <c r="R738" i="1" s="1"/>
  <c r="Q737" i="1"/>
  <c r="R737" i="1" s="1"/>
  <c r="Q736" i="1"/>
  <c r="R736" i="1" s="1"/>
  <c r="Q735" i="1"/>
  <c r="R735" i="1" s="1"/>
  <c r="Q734" i="1"/>
  <c r="R734" i="1" s="1"/>
  <c r="Q733" i="1"/>
  <c r="R733" i="1" s="1"/>
  <c r="Q732" i="1"/>
  <c r="R732" i="1" s="1"/>
  <c r="Q731" i="1"/>
  <c r="R731" i="1" s="1"/>
  <c r="Q730" i="1"/>
  <c r="R730" i="1" s="1"/>
  <c r="Q729" i="1"/>
  <c r="R729" i="1" s="1"/>
  <c r="Q728" i="1"/>
  <c r="R728" i="1" s="1"/>
  <c r="Q727" i="1"/>
  <c r="R727" i="1" s="1"/>
  <c r="Q726" i="1"/>
  <c r="R726" i="1" s="1"/>
  <c r="Q725" i="1"/>
  <c r="R725" i="1" s="1"/>
  <c r="Q724" i="1"/>
  <c r="R724" i="1" s="1"/>
  <c r="Q723" i="1"/>
  <c r="R723" i="1" s="1"/>
  <c r="Q722" i="1"/>
  <c r="R722" i="1" s="1"/>
  <c r="Q721" i="1"/>
  <c r="R721" i="1" s="1"/>
  <c r="Q720" i="1"/>
  <c r="R720" i="1" s="1"/>
  <c r="Q719" i="1"/>
  <c r="R719" i="1" s="1"/>
  <c r="Q718" i="1"/>
  <c r="R718" i="1" s="1"/>
  <c r="Q717" i="1"/>
  <c r="R717" i="1" s="1"/>
  <c r="Q716" i="1"/>
  <c r="R716" i="1" s="1"/>
  <c r="Q715" i="1"/>
  <c r="R715" i="1" s="1"/>
  <c r="Q714" i="1"/>
  <c r="R714" i="1" s="1"/>
  <c r="Q713" i="1"/>
  <c r="R713" i="1" s="1"/>
  <c r="Q712" i="1"/>
  <c r="R712" i="1" s="1"/>
  <c r="Q711" i="1"/>
  <c r="R711" i="1" s="1"/>
  <c r="Q710" i="1"/>
  <c r="R710" i="1" s="1"/>
  <c r="Q709" i="1"/>
  <c r="R709" i="1" s="1"/>
  <c r="Q708" i="1"/>
  <c r="R708" i="1" s="1"/>
  <c r="Q707" i="1"/>
  <c r="R707" i="1" s="1"/>
  <c r="Q706" i="1"/>
  <c r="R706" i="1" s="1"/>
  <c r="Q705" i="1"/>
  <c r="R705" i="1" s="1"/>
  <c r="Q704" i="1"/>
  <c r="R704" i="1" s="1"/>
  <c r="Q703" i="1"/>
  <c r="R703" i="1" s="1"/>
  <c r="Q702" i="1"/>
  <c r="R702" i="1" s="1"/>
  <c r="Q701" i="1"/>
  <c r="R701" i="1" s="1"/>
  <c r="Q700" i="1"/>
  <c r="R700" i="1" s="1"/>
  <c r="Q699" i="1"/>
  <c r="R699" i="1" s="1"/>
  <c r="Q698" i="1"/>
  <c r="R698" i="1" s="1"/>
  <c r="Q697" i="1"/>
  <c r="R697" i="1" s="1"/>
  <c r="Q696" i="1"/>
  <c r="R696" i="1" s="1"/>
  <c r="Q695" i="1"/>
  <c r="R695" i="1" s="1"/>
  <c r="Q694" i="1"/>
  <c r="R694" i="1" s="1"/>
  <c r="Q693" i="1"/>
  <c r="R693" i="1" s="1"/>
  <c r="Q692" i="1"/>
  <c r="R692" i="1" s="1"/>
  <c r="Q691" i="1"/>
  <c r="R691" i="1" s="1"/>
  <c r="Q690" i="1"/>
  <c r="R690" i="1" s="1"/>
  <c r="Q689" i="1"/>
  <c r="R689" i="1" s="1"/>
  <c r="Q688" i="1"/>
  <c r="R688" i="1" s="1"/>
  <c r="Q687" i="1"/>
  <c r="R687" i="1" s="1"/>
  <c r="Q686" i="1"/>
  <c r="R686" i="1" s="1"/>
  <c r="Q685" i="1"/>
  <c r="R685" i="1" s="1"/>
  <c r="Q684" i="1"/>
  <c r="R684" i="1" s="1"/>
  <c r="Q683" i="1"/>
  <c r="R683" i="1" s="1"/>
  <c r="Q682" i="1"/>
  <c r="R682" i="1" s="1"/>
  <c r="Q681" i="1"/>
  <c r="R681" i="1" s="1"/>
  <c r="Q680" i="1"/>
  <c r="R680" i="1" s="1"/>
  <c r="Q679" i="1"/>
  <c r="R679" i="1" s="1"/>
  <c r="Q678" i="1"/>
  <c r="R678" i="1" s="1"/>
  <c r="Q677" i="1"/>
  <c r="R677" i="1" s="1"/>
  <c r="Q676" i="1"/>
  <c r="R676" i="1" s="1"/>
  <c r="Q675" i="1"/>
  <c r="R675" i="1" s="1"/>
  <c r="Q674" i="1"/>
  <c r="R674" i="1" s="1"/>
  <c r="Q673" i="1"/>
  <c r="R673" i="1" s="1"/>
  <c r="Q672" i="1"/>
  <c r="R672" i="1" s="1"/>
  <c r="Q671" i="1"/>
  <c r="R671" i="1" s="1"/>
  <c r="Q670" i="1"/>
  <c r="R670" i="1" s="1"/>
  <c r="Q669" i="1"/>
  <c r="R669" i="1" s="1"/>
  <c r="Q668" i="1"/>
  <c r="R668" i="1" s="1"/>
  <c r="Q667" i="1"/>
  <c r="R667" i="1" s="1"/>
  <c r="Q666" i="1"/>
  <c r="R666" i="1" s="1"/>
  <c r="Q665" i="1"/>
  <c r="R665" i="1" s="1"/>
  <c r="Q664" i="1"/>
  <c r="R664" i="1" s="1"/>
  <c r="Q663" i="1"/>
  <c r="R663" i="1" s="1"/>
  <c r="Q662" i="1"/>
  <c r="R662" i="1" s="1"/>
  <c r="Q661" i="1"/>
  <c r="R661" i="1" s="1"/>
  <c r="Q660" i="1"/>
  <c r="R660" i="1" s="1"/>
  <c r="Q659" i="1"/>
  <c r="R659" i="1" s="1"/>
  <c r="Q658" i="1"/>
  <c r="R658" i="1" s="1"/>
  <c r="Q657" i="1"/>
  <c r="R657" i="1" s="1"/>
  <c r="Q656" i="1"/>
  <c r="R656" i="1" s="1"/>
  <c r="Q655" i="1"/>
  <c r="R655" i="1" s="1"/>
  <c r="Q654" i="1"/>
  <c r="R654" i="1" s="1"/>
  <c r="Q653" i="1"/>
  <c r="R653" i="1" s="1"/>
  <c r="Q652" i="1"/>
  <c r="R652" i="1" s="1"/>
  <c r="Q651" i="1"/>
  <c r="R651" i="1" s="1"/>
  <c r="Q650" i="1"/>
  <c r="R650" i="1" s="1"/>
  <c r="Q649" i="1"/>
  <c r="R649" i="1" s="1"/>
  <c r="Q648" i="1"/>
  <c r="R648" i="1" s="1"/>
  <c r="Q647" i="1"/>
  <c r="R647" i="1" s="1"/>
  <c r="Q646" i="1"/>
  <c r="R646" i="1" s="1"/>
  <c r="Q645" i="1"/>
  <c r="R645" i="1" s="1"/>
  <c r="Q644" i="1"/>
  <c r="R644" i="1" s="1"/>
  <c r="Q643" i="1"/>
  <c r="R643" i="1" s="1"/>
  <c r="Q642" i="1"/>
  <c r="R642" i="1" s="1"/>
  <c r="Q641" i="1"/>
  <c r="R641" i="1" s="1"/>
  <c r="Q640" i="1"/>
  <c r="R640" i="1" s="1"/>
  <c r="Q639" i="1"/>
  <c r="R639" i="1" s="1"/>
  <c r="Q638" i="1"/>
  <c r="R638" i="1" s="1"/>
  <c r="Q637" i="1"/>
  <c r="R637" i="1" s="1"/>
  <c r="Q636" i="1"/>
  <c r="R636" i="1" s="1"/>
  <c r="Q635" i="1"/>
  <c r="R635" i="1" s="1"/>
  <c r="Q634" i="1"/>
  <c r="R634" i="1" s="1"/>
  <c r="Q633" i="1"/>
  <c r="R633" i="1" s="1"/>
  <c r="Q632" i="1"/>
  <c r="R632" i="1" s="1"/>
  <c r="Q631" i="1"/>
  <c r="R631" i="1" s="1"/>
  <c r="Q630" i="1"/>
  <c r="R630" i="1" s="1"/>
  <c r="Q629" i="1"/>
  <c r="R629" i="1" s="1"/>
  <c r="Q628" i="1"/>
  <c r="R628" i="1" s="1"/>
  <c r="Q627" i="1"/>
  <c r="R627" i="1" s="1"/>
  <c r="Q626" i="1"/>
  <c r="R626" i="1" s="1"/>
  <c r="Q625" i="1"/>
  <c r="R625" i="1" s="1"/>
  <c r="Q624" i="1"/>
  <c r="R624" i="1" s="1"/>
  <c r="Q623" i="1"/>
  <c r="R623" i="1" s="1"/>
  <c r="Q622" i="1"/>
  <c r="R622" i="1" s="1"/>
  <c r="Q621" i="1"/>
  <c r="R621" i="1" s="1"/>
  <c r="Q620" i="1"/>
  <c r="R620" i="1" s="1"/>
  <c r="Q619" i="1"/>
  <c r="R619" i="1" s="1"/>
  <c r="Q618" i="1"/>
  <c r="R618" i="1" s="1"/>
  <c r="Q617" i="1"/>
  <c r="R617" i="1" s="1"/>
  <c r="Q616" i="1"/>
  <c r="R616" i="1" s="1"/>
  <c r="Q615" i="1"/>
  <c r="R615" i="1" s="1"/>
  <c r="Q614" i="1"/>
  <c r="R614" i="1" s="1"/>
  <c r="Q613" i="1"/>
  <c r="R613" i="1" s="1"/>
  <c r="Q612" i="1"/>
  <c r="R612" i="1" s="1"/>
  <c r="Q611" i="1"/>
  <c r="R611" i="1" s="1"/>
  <c r="Q610" i="1"/>
  <c r="R610" i="1" s="1"/>
  <c r="Q609" i="1"/>
  <c r="R609" i="1" s="1"/>
  <c r="Q608" i="1"/>
  <c r="R608" i="1" s="1"/>
  <c r="Q607" i="1"/>
  <c r="R607" i="1" s="1"/>
  <c r="Q606" i="1"/>
  <c r="R606" i="1" s="1"/>
  <c r="Q605" i="1"/>
  <c r="R605" i="1" s="1"/>
  <c r="Q604" i="1"/>
  <c r="R604" i="1" s="1"/>
  <c r="Q603" i="1"/>
  <c r="R603" i="1" s="1"/>
  <c r="Q602" i="1"/>
  <c r="R602" i="1" s="1"/>
  <c r="Q601" i="1"/>
  <c r="R601" i="1" s="1"/>
  <c r="Q600" i="1"/>
  <c r="R600" i="1" s="1"/>
  <c r="Q599" i="1"/>
  <c r="R599" i="1" s="1"/>
  <c r="Q598" i="1"/>
  <c r="R598" i="1" s="1"/>
  <c r="Q597" i="1"/>
  <c r="R597" i="1" s="1"/>
  <c r="Q596" i="1"/>
  <c r="R596" i="1" s="1"/>
  <c r="Q595" i="1"/>
  <c r="R595" i="1" s="1"/>
  <c r="Q594" i="1"/>
  <c r="R594" i="1" s="1"/>
  <c r="Q593" i="1"/>
  <c r="R593" i="1" s="1"/>
  <c r="Q592" i="1"/>
  <c r="R592" i="1" s="1"/>
  <c r="Q591" i="1"/>
  <c r="R591" i="1" s="1"/>
  <c r="Q590" i="1"/>
  <c r="R590" i="1" s="1"/>
  <c r="Q589" i="1"/>
  <c r="R589" i="1" s="1"/>
  <c r="Q588" i="1"/>
  <c r="R588" i="1" s="1"/>
  <c r="Q587" i="1"/>
  <c r="R587" i="1" s="1"/>
  <c r="Q586" i="1"/>
  <c r="R586" i="1" s="1"/>
  <c r="Q585" i="1"/>
  <c r="R585" i="1" s="1"/>
  <c r="Q584" i="1"/>
  <c r="R584" i="1" s="1"/>
  <c r="Q583" i="1"/>
  <c r="R583" i="1" s="1"/>
  <c r="Q582" i="1"/>
  <c r="R582" i="1" s="1"/>
  <c r="Q581" i="1"/>
  <c r="R581" i="1" s="1"/>
  <c r="Q580" i="1"/>
  <c r="R580" i="1" s="1"/>
  <c r="Q579" i="1"/>
  <c r="R579" i="1" s="1"/>
  <c r="Q578" i="1"/>
  <c r="R578" i="1" s="1"/>
  <c r="Q577" i="1"/>
  <c r="R577" i="1" s="1"/>
  <c r="Q576" i="1"/>
  <c r="R576" i="1" s="1"/>
  <c r="Q575" i="1"/>
  <c r="R575" i="1" s="1"/>
  <c r="Q574" i="1"/>
  <c r="R574" i="1" s="1"/>
  <c r="Q573" i="1"/>
  <c r="R573" i="1" s="1"/>
  <c r="Q572" i="1"/>
  <c r="R572" i="1" s="1"/>
  <c r="Q571" i="1"/>
  <c r="R571" i="1" s="1"/>
  <c r="Q570" i="1"/>
  <c r="R570" i="1" s="1"/>
  <c r="Q569" i="1"/>
  <c r="R569" i="1" s="1"/>
  <c r="Q568" i="1"/>
  <c r="R568" i="1" s="1"/>
  <c r="Q567" i="1"/>
  <c r="R567" i="1" s="1"/>
  <c r="Q566" i="1"/>
  <c r="R566" i="1" s="1"/>
  <c r="Q565" i="1"/>
  <c r="R565" i="1" s="1"/>
  <c r="Q564" i="1"/>
  <c r="R564" i="1" s="1"/>
  <c r="Q563" i="1"/>
  <c r="R563" i="1" s="1"/>
  <c r="Q562" i="1"/>
  <c r="R562" i="1" s="1"/>
  <c r="Q561" i="1"/>
  <c r="R561" i="1" s="1"/>
  <c r="Q560" i="1"/>
  <c r="R560" i="1" s="1"/>
  <c r="Q559" i="1"/>
  <c r="R559" i="1" s="1"/>
  <c r="Q558" i="1"/>
  <c r="R558" i="1" s="1"/>
  <c r="Q557" i="1"/>
  <c r="R557" i="1" s="1"/>
  <c r="Q556" i="1"/>
  <c r="R556" i="1" s="1"/>
  <c r="Q555" i="1"/>
  <c r="R555" i="1" s="1"/>
  <c r="Q554" i="1"/>
  <c r="R554" i="1" s="1"/>
  <c r="Q553" i="1"/>
  <c r="R553" i="1" s="1"/>
  <c r="Q552" i="1"/>
  <c r="R552" i="1" s="1"/>
  <c r="Q551" i="1"/>
  <c r="R551" i="1" s="1"/>
  <c r="Q550" i="1"/>
  <c r="R550" i="1" s="1"/>
  <c r="Q549" i="1"/>
  <c r="R549" i="1" s="1"/>
  <c r="Q548" i="1"/>
  <c r="R548" i="1" s="1"/>
  <c r="Q547" i="1"/>
  <c r="R547" i="1" s="1"/>
  <c r="Q546" i="1"/>
  <c r="R546" i="1" s="1"/>
  <c r="Q545" i="1"/>
  <c r="R545" i="1" s="1"/>
  <c r="Q544" i="1"/>
  <c r="R544" i="1" s="1"/>
  <c r="Q543" i="1"/>
  <c r="R543" i="1" s="1"/>
  <c r="Q542" i="1"/>
  <c r="R542" i="1" s="1"/>
  <c r="Q541" i="1"/>
  <c r="R541" i="1" s="1"/>
  <c r="Q540" i="1"/>
  <c r="R540" i="1" s="1"/>
  <c r="Q539" i="1"/>
  <c r="R539" i="1" s="1"/>
  <c r="Q538" i="1"/>
  <c r="R538" i="1" s="1"/>
  <c r="Q537" i="1"/>
  <c r="R537" i="1" s="1"/>
  <c r="Q536" i="1"/>
  <c r="R536" i="1" s="1"/>
  <c r="Q535" i="1"/>
  <c r="R535" i="1" s="1"/>
  <c r="Q534" i="1"/>
  <c r="R534" i="1" s="1"/>
  <c r="Q533" i="1"/>
  <c r="R533" i="1" s="1"/>
  <c r="Q532" i="1"/>
  <c r="R532" i="1" s="1"/>
  <c r="Q531" i="1"/>
  <c r="R531" i="1" s="1"/>
  <c r="Q530" i="1"/>
  <c r="R530" i="1" s="1"/>
  <c r="Q529" i="1"/>
  <c r="R529" i="1" s="1"/>
  <c r="Q528" i="1"/>
  <c r="R528" i="1" s="1"/>
  <c r="Q527" i="1"/>
  <c r="R527" i="1" s="1"/>
  <c r="Q526" i="1"/>
  <c r="R526" i="1" s="1"/>
  <c r="Q525" i="1"/>
  <c r="R525" i="1" s="1"/>
  <c r="Q524" i="1"/>
  <c r="R524" i="1" s="1"/>
  <c r="Q523" i="1"/>
  <c r="R523" i="1" s="1"/>
  <c r="Q522" i="1"/>
  <c r="R522" i="1" s="1"/>
  <c r="Q521" i="1"/>
  <c r="R521" i="1" s="1"/>
  <c r="Q520" i="1"/>
  <c r="R520" i="1" s="1"/>
  <c r="Q519" i="1"/>
  <c r="R519" i="1" s="1"/>
  <c r="Q518" i="1"/>
  <c r="R518" i="1" s="1"/>
  <c r="Q517" i="1"/>
  <c r="R517" i="1" s="1"/>
  <c r="Q516" i="1"/>
  <c r="R516" i="1" s="1"/>
  <c r="Q515" i="1"/>
  <c r="R515" i="1" s="1"/>
  <c r="Q514" i="1"/>
  <c r="R514" i="1" s="1"/>
  <c r="Q513" i="1"/>
  <c r="R513" i="1" s="1"/>
  <c r="Q512" i="1"/>
  <c r="R512" i="1" s="1"/>
  <c r="Q511" i="1"/>
  <c r="R511" i="1" s="1"/>
  <c r="Q510" i="1"/>
  <c r="R510" i="1" s="1"/>
  <c r="Q509" i="1"/>
  <c r="R509" i="1" s="1"/>
  <c r="Q508" i="1"/>
  <c r="R508" i="1" s="1"/>
  <c r="Q507" i="1"/>
  <c r="R507" i="1" s="1"/>
  <c r="Q506" i="1"/>
  <c r="R506" i="1" s="1"/>
  <c r="Q505" i="1"/>
  <c r="R505" i="1" s="1"/>
  <c r="Q504" i="1"/>
  <c r="R504" i="1" s="1"/>
  <c r="Q503" i="1"/>
  <c r="R503" i="1" s="1"/>
  <c r="Q502" i="1"/>
  <c r="R502" i="1" s="1"/>
  <c r="Q501" i="1"/>
  <c r="R501" i="1" s="1"/>
  <c r="Q500" i="1"/>
  <c r="R500" i="1" s="1"/>
  <c r="Q499" i="1"/>
  <c r="R499" i="1" s="1"/>
  <c r="Q498" i="1"/>
  <c r="R498" i="1" s="1"/>
  <c r="Q497" i="1"/>
  <c r="R497" i="1" s="1"/>
  <c r="Q496" i="1"/>
  <c r="R496" i="1" s="1"/>
  <c r="Q495" i="1"/>
  <c r="R495" i="1" s="1"/>
  <c r="Q494" i="1"/>
  <c r="R494" i="1" s="1"/>
  <c r="Q493" i="1"/>
  <c r="R493" i="1" s="1"/>
  <c r="Q492" i="1"/>
  <c r="R492" i="1" s="1"/>
  <c r="Q491" i="1"/>
  <c r="R491" i="1" s="1"/>
  <c r="Q490" i="1"/>
  <c r="R490" i="1" s="1"/>
  <c r="Q489" i="1"/>
  <c r="R489" i="1" s="1"/>
  <c r="Q488" i="1"/>
  <c r="R488" i="1" s="1"/>
  <c r="Q487" i="1"/>
  <c r="R487" i="1" s="1"/>
  <c r="Q486" i="1"/>
  <c r="R486" i="1" s="1"/>
  <c r="Q485" i="1"/>
  <c r="R485" i="1" s="1"/>
  <c r="Q484" i="1"/>
  <c r="R484" i="1" s="1"/>
  <c r="Q483" i="1"/>
  <c r="R483" i="1" s="1"/>
  <c r="Q482" i="1"/>
  <c r="R482" i="1" s="1"/>
  <c r="Q481" i="1"/>
  <c r="R481" i="1" s="1"/>
  <c r="Q480" i="1"/>
  <c r="R480" i="1" s="1"/>
  <c r="Q479" i="1"/>
  <c r="R479" i="1" s="1"/>
  <c r="Q478" i="1"/>
  <c r="R478" i="1" s="1"/>
  <c r="Q477" i="1"/>
  <c r="R477" i="1" s="1"/>
  <c r="Q476" i="1"/>
  <c r="R476" i="1" s="1"/>
  <c r="Q475" i="1"/>
  <c r="R475" i="1" s="1"/>
  <c r="Q474" i="1"/>
  <c r="R474" i="1" s="1"/>
  <c r="Q473" i="1"/>
  <c r="R473" i="1" s="1"/>
  <c r="Q472" i="1"/>
  <c r="R472" i="1" s="1"/>
  <c r="Q471" i="1"/>
  <c r="R471" i="1" s="1"/>
  <c r="Q470" i="1"/>
  <c r="R470" i="1" s="1"/>
  <c r="Q469" i="1"/>
  <c r="R469" i="1" s="1"/>
  <c r="Q468" i="1"/>
  <c r="R468" i="1" s="1"/>
  <c r="Q467" i="1"/>
  <c r="R467" i="1" s="1"/>
  <c r="Q466" i="1"/>
  <c r="R466" i="1" s="1"/>
  <c r="Q465" i="1"/>
  <c r="R465" i="1" s="1"/>
  <c r="Q464" i="1"/>
  <c r="R464" i="1" s="1"/>
  <c r="Q463" i="1"/>
  <c r="R463" i="1" s="1"/>
  <c r="Q462" i="1"/>
  <c r="R462" i="1" s="1"/>
  <c r="Q461" i="1"/>
  <c r="R461" i="1" s="1"/>
  <c r="Q460" i="1"/>
  <c r="R460" i="1" s="1"/>
  <c r="Q459" i="1"/>
  <c r="R459" i="1" s="1"/>
  <c r="Q458" i="1"/>
  <c r="R458" i="1" s="1"/>
  <c r="Q457" i="1"/>
  <c r="R457" i="1" s="1"/>
  <c r="Q456" i="1"/>
  <c r="R456" i="1" s="1"/>
  <c r="Q455" i="1"/>
  <c r="R455" i="1" s="1"/>
  <c r="Q454" i="1"/>
  <c r="R454" i="1" s="1"/>
  <c r="Q453" i="1"/>
  <c r="R453" i="1" s="1"/>
  <c r="Q452" i="1"/>
  <c r="R452" i="1" s="1"/>
  <c r="Q451" i="1"/>
  <c r="R451" i="1" s="1"/>
  <c r="Q450" i="1"/>
  <c r="R450" i="1" s="1"/>
  <c r="Q449" i="1"/>
  <c r="R449" i="1" s="1"/>
  <c r="Q448" i="1"/>
  <c r="R448" i="1" s="1"/>
  <c r="Q447" i="1"/>
  <c r="R447" i="1" s="1"/>
  <c r="Q446" i="1"/>
  <c r="R446" i="1" s="1"/>
  <c r="Q445" i="1"/>
  <c r="R445" i="1" s="1"/>
  <c r="Q444" i="1"/>
  <c r="R444" i="1" s="1"/>
  <c r="Q443" i="1"/>
  <c r="R443" i="1" s="1"/>
  <c r="Q442" i="1"/>
  <c r="R442" i="1" s="1"/>
  <c r="Q441" i="1"/>
  <c r="R441" i="1" s="1"/>
  <c r="Q440" i="1"/>
  <c r="R440" i="1" s="1"/>
  <c r="Q439" i="1"/>
  <c r="R439" i="1" s="1"/>
  <c r="Q438" i="1"/>
  <c r="R438" i="1" s="1"/>
  <c r="Q437" i="1"/>
  <c r="R437" i="1" s="1"/>
  <c r="Q436" i="1"/>
  <c r="R436" i="1" s="1"/>
  <c r="Q435" i="1"/>
  <c r="R435" i="1" s="1"/>
  <c r="Q434" i="1"/>
  <c r="R434" i="1" s="1"/>
  <c r="Q433" i="1"/>
  <c r="R433" i="1" s="1"/>
  <c r="Q432" i="1"/>
  <c r="R432" i="1" s="1"/>
  <c r="Q431" i="1"/>
  <c r="R431" i="1" s="1"/>
  <c r="Q430" i="1"/>
  <c r="R430" i="1" s="1"/>
  <c r="Q429" i="1"/>
  <c r="R429" i="1" s="1"/>
  <c r="Q428" i="1"/>
  <c r="R428" i="1" s="1"/>
  <c r="Q427" i="1"/>
  <c r="R427" i="1" s="1"/>
  <c r="Q426" i="1"/>
  <c r="R426" i="1" s="1"/>
  <c r="Q425" i="1"/>
  <c r="R425" i="1" s="1"/>
  <c r="Q424" i="1"/>
  <c r="R424" i="1" s="1"/>
  <c r="Q423" i="1"/>
  <c r="R423" i="1" s="1"/>
  <c r="Q422" i="1"/>
  <c r="R422" i="1" s="1"/>
  <c r="Q421" i="1"/>
  <c r="R421" i="1" s="1"/>
  <c r="Q420" i="1"/>
  <c r="R420" i="1" s="1"/>
  <c r="Q419" i="1"/>
  <c r="R419" i="1" s="1"/>
  <c r="Q418" i="1"/>
  <c r="R418" i="1" s="1"/>
  <c r="Q417" i="1"/>
  <c r="R417" i="1" s="1"/>
  <c r="Q416" i="1"/>
  <c r="R416" i="1" s="1"/>
  <c r="Q415" i="1"/>
  <c r="R415" i="1" s="1"/>
  <c r="Q414" i="1"/>
  <c r="R414" i="1" s="1"/>
  <c r="Q413" i="1"/>
  <c r="R413" i="1" s="1"/>
  <c r="Q412" i="1"/>
  <c r="R412" i="1" s="1"/>
  <c r="Q411" i="1"/>
  <c r="R411" i="1" s="1"/>
  <c r="Q410" i="1"/>
  <c r="R410" i="1" s="1"/>
  <c r="Q409" i="1"/>
  <c r="R409" i="1" s="1"/>
  <c r="Q408" i="1"/>
  <c r="R408" i="1" s="1"/>
  <c r="Q407" i="1"/>
  <c r="R407" i="1" s="1"/>
  <c r="Q406" i="1"/>
  <c r="R406" i="1" s="1"/>
  <c r="Q405" i="1"/>
  <c r="R405" i="1" s="1"/>
  <c r="Q404" i="1"/>
  <c r="R404" i="1" s="1"/>
  <c r="Q403" i="1"/>
  <c r="R403" i="1" s="1"/>
  <c r="Q402" i="1"/>
  <c r="R402" i="1" s="1"/>
  <c r="Q401" i="1"/>
  <c r="R401" i="1" s="1"/>
  <c r="Q400" i="1"/>
  <c r="R400" i="1" s="1"/>
  <c r="Q399" i="1"/>
  <c r="R399" i="1" s="1"/>
  <c r="Q398" i="1"/>
  <c r="R398" i="1" s="1"/>
  <c r="Q397" i="1"/>
  <c r="R397" i="1" s="1"/>
  <c r="Q396" i="1"/>
  <c r="R396" i="1" s="1"/>
  <c r="Q395" i="1"/>
  <c r="R395" i="1" s="1"/>
  <c r="Q394" i="1"/>
  <c r="R394" i="1" s="1"/>
  <c r="Q393" i="1"/>
  <c r="R393" i="1" s="1"/>
  <c r="Q392" i="1"/>
  <c r="R392" i="1" s="1"/>
  <c r="Q391" i="1"/>
  <c r="R391" i="1" s="1"/>
  <c r="Q390" i="1"/>
  <c r="R390" i="1" s="1"/>
  <c r="Q389" i="1"/>
  <c r="R389" i="1" s="1"/>
  <c r="Q388" i="1"/>
  <c r="R388" i="1" s="1"/>
  <c r="Q387" i="1"/>
  <c r="R387" i="1" s="1"/>
  <c r="Q386" i="1"/>
  <c r="R386" i="1" s="1"/>
  <c r="Q385" i="1"/>
  <c r="R385" i="1" s="1"/>
  <c r="Q384" i="1"/>
  <c r="R384" i="1" s="1"/>
  <c r="Q383" i="1"/>
  <c r="R383" i="1" s="1"/>
  <c r="Q382" i="1"/>
  <c r="R382" i="1" s="1"/>
  <c r="Q381" i="1"/>
  <c r="R381" i="1" s="1"/>
  <c r="Q380" i="1"/>
  <c r="R380" i="1" s="1"/>
  <c r="Q379" i="1"/>
  <c r="R379" i="1" s="1"/>
  <c r="Q378" i="1"/>
  <c r="R378" i="1" s="1"/>
  <c r="Q377" i="1"/>
  <c r="R377" i="1" s="1"/>
  <c r="Q376" i="1"/>
  <c r="R376" i="1" s="1"/>
  <c r="Q375" i="1"/>
  <c r="R375" i="1" s="1"/>
  <c r="Q374" i="1"/>
  <c r="R374" i="1" s="1"/>
  <c r="Q373" i="1"/>
  <c r="R373" i="1" s="1"/>
  <c r="Q372" i="1"/>
  <c r="R372" i="1" s="1"/>
  <c r="Q371" i="1"/>
  <c r="R371" i="1" s="1"/>
  <c r="Q370" i="1"/>
  <c r="R370" i="1" s="1"/>
  <c r="Q369" i="1"/>
  <c r="R369" i="1" s="1"/>
  <c r="Q368" i="1"/>
  <c r="R368" i="1" s="1"/>
  <c r="Q367" i="1"/>
  <c r="R367" i="1" s="1"/>
  <c r="Q366" i="1"/>
  <c r="R366" i="1" s="1"/>
  <c r="Q365" i="1"/>
  <c r="R365" i="1" s="1"/>
  <c r="Q364" i="1"/>
  <c r="R364" i="1" s="1"/>
  <c r="Q363" i="1"/>
  <c r="R363" i="1" s="1"/>
  <c r="Q362" i="1"/>
  <c r="R362" i="1" s="1"/>
  <c r="Q361" i="1"/>
  <c r="R361" i="1" s="1"/>
  <c r="Q360" i="1"/>
  <c r="R360" i="1" s="1"/>
  <c r="Q359" i="1"/>
  <c r="R359" i="1" s="1"/>
  <c r="Q358" i="1"/>
  <c r="R358" i="1" s="1"/>
  <c r="Q357" i="1"/>
  <c r="R357" i="1" s="1"/>
  <c r="Q356" i="1"/>
  <c r="R356" i="1" s="1"/>
  <c r="Q355" i="1"/>
  <c r="R355" i="1" s="1"/>
  <c r="Q354" i="1"/>
  <c r="R354" i="1" s="1"/>
  <c r="Q353" i="1"/>
  <c r="R353" i="1" s="1"/>
  <c r="Q352" i="1"/>
  <c r="R352" i="1" s="1"/>
  <c r="Q351" i="1"/>
  <c r="R351" i="1" s="1"/>
  <c r="Q350" i="1"/>
  <c r="R350" i="1" s="1"/>
  <c r="Q349" i="1"/>
  <c r="R349" i="1" s="1"/>
  <c r="Q348" i="1"/>
  <c r="R348" i="1" s="1"/>
  <c r="Q347" i="1"/>
  <c r="R347" i="1" s="1"/>
  <c r="Q346" i="1"/>
  <c r="R346" i="1" s="1"/>
  <c r="Q345" i="1"/>
  <c r="R345" i="1" s="1"/>
  <c r="Q344" i="1"/>
  <c r="R344" i="1" s="1"/>
  <c r="Q343" i="1"/>
  <c r="R343" i="1" s="1"/>
  <c r="Q342" i="1"/>
  <c r="R342" i="1" s="1"/>
  <c r="Q341" i="1"/>
  <c r="R341" i="1" s="1"/>
  <c r="Q340" i="1"/>
  <c r="R340" i="1" s="1"/>
  <c r="Q339" i="1"/>
  <c r="R339" i="1" s="1"/>
  <c r="Q338" i="1"/>
  <c r="R338" i="1" s="1"/>
  <c r="Q337" i="1"/>
  <c r="R337" i="1" s="1"/>
  <c r="Q336" i="1"/>
  <c r="R336" i="1" s="1"/>
  <c r="Q335" i="1"/>
  <c r="R335" i="1" s="1"/>
  <c r="Q334" i="1"/>
  <c r="R334" i="1" s="1"/>
  <c r="Q333" i="1"/>
  <c r="R333" i="1" s="1"/>
  <c r="Q332" i="1"/>
  <c r="R332" i="1" s="1"/>
  <c r="Q331" i="1"/>
  <c r="R331" i="1" s="1"/>
  <c r="Q330" i="1"/>
  <c r="R330" i="1" s="1"/>
  <c r="Q329" i="1"/>
  <c r="R329" i="1" s="1"/>
  <c r="Q328" i="1"/>
  <c r="R328" i="1" s="1"/>
  <c r="Q327" i="1"/>
  <c r="R327" i="1" s="1"/>
  <c r="Q326" i="1"/>
  <c r="R326" i="1" s="1"/>
  <c r="Q325" i="1"/>
  <c r="R325" i="1" s="1"/>
  <c r="Q324" i="1"/>
  <c r="R324" i="1" s="1"/>
  <c r="Q323" i="1"/>
  <c r="R323" i="1" s="1"/>
  <c r="Q322" i="1"/>
  <c r="R322" i="1" s="1"/>
  <c r="Q321" i="1"/>
  <c r="R321" i="1" s="1"/>
  <c r="Q320" i="1"/>
  <c r="R320" i="1" s="1"/>
  <c r="Q319" i="1"/>
  <c r="R319" i="1" s="1"/>
  <c r="Q318" i="1"/>
  <c r="R318" i="1" s="1"/>
  <c r="Q317" i="1"/>
  <c r="R317" i="1" s="1"/>
  <c r="Q316" i="1"/>
  <c r="R316" i="1" s="1"/>
  <c r="Q315" i="1"/>
  <c r="R315" i="1" s="1"/>
  <c r="Q314" i="1"/>
  <c r="R314" i="1" s="1"/>
  <c r="Q313" i="1"/>
  <c r="R313" i="1" s="1"/>
  <c r="Q312" i="1"/>
  <c r="R312" i="1" s="1"/>
  <c r="Q311" i="1"/>
  <c r="R311" i="1" s="1"/>
  <c r="Q310" i="1"/>
  <c r="R310" i="1" s="1"/>
  <c r="Q309" i="1"/>
  <c r="R309" i="1" s="1"/>
  <c r="Q308" i="1"/>
  <c r="R308" i="1" s="1"/>
  <c r="Q307" i="1"/>
  <c r="R307" i="1" s="1"/>
  <c r="Q306" i="1"/>
  <c r="R306" i="1" s="1"/>
  <c r="Q305" i="1"/>
  <c r="R305" i="1" s="1"/>
  <c r="Q304" i="1"/>
  <c r="R304" i="1" s="1"/>
  <c r="Q303" i="1"/>
  <c r="R303" i="1" s="1"/>
  <c r="Q302" i="1"/>
  <c r="R302" i="1" s="1"/>
  <c r="Q301" i="1"/>
  <c r="R301" i="1" s="1"/>
  <c r="Q300" i="1"/>
  <c r="R300" i="1" s="1"/>
  <c r="Q299" i="1"/>
  <c r="R299" i="1" s="1"/>
  <c r="Q298" i="1"/>
  <c r="R298" i="1" s="1"/>
  <c r="Q297" i="1"/>
  <c r="R297" i="1" s="1"/>
  <c r="Q296" i="1"/>
  <c r="R296" i="1" s="1"/>
  <c r="Q295" i="1"/>
  <c r="R295" i="1" s="1"/>
  <c r="Q294" i="1"/>
  <c r="R294" i="1" s="1"/>
  <c r="Q293" i="1"/>
  <c r="R293" i="1" s="1"/>
  <c r="Q292" i="1"/>
  <c r="R292" i="1" s="1"/>
  <c r="Q291" i="1"/>
  <c r="R291" i="1" s="1"/>
  <c r="Q290" i="1"/>
  <c r="R290" i="1" s="1"/>
  <c r="Q289" i="1"/>
  <c r="R289" i="1" s="1"/>
  <c r="Q288" i="1"/>
  <c r="R288" i="1" s="1"/>
  <c r="Q287" i="1"/>
  <c r="R287" i="1" s="1"/>
  <c r="Q286" i="1"/>
  <c r="R286" i="1" s="1"/>
  <c r="Q285" i="1"/>
  <c r="R285" i="1" s="1"/>
  <c r="Q284" i="1"/>
  <c r="R284" i="1" s="1"/>
  <c r="Q283" i="1"/>
  <c r="R283" i="1" s="1"/>
  <c r="Q282" i="1"/>
  <c r="R282" i="1" s="1"/>
  <c r="Q281" i="1"/>
  <c r="R281" i="1" s="1"/>
  <c r="Q280" i="1"/>
  <c r="R280" i="1" s="1"/>
  <c r="Q279" i="1"/>
  <c r="R279" i="1" s="1"/>
  <c r="Q278" i="1"/>
  <c r="R278" i="1" s="1"/>
  <c r="Q277" i="1"/>
  <c r="R277" i="1" s="1"/>
  <c r="Q276" i="1"/>
  <c r="R276" i="1" s="1"/>
  <c r="Q275" i="1"/>
  <c r="R275" i="1" s="1"/>
  <c r="Q274" i="1"/>
  <c r="R274" i="1" s="1"/>
  <c r="Q273" i="1"/>
  <c r="R273" i="1" s="1"/>
  <c r="Q272" i="1"/>
  <c r="R272" i="1" s="1"/>
  <c r="Q271" i="1"/>
  <c r="R271" i="1" s="1"/>
  <c r="Q270" i="1"/>
  <c r="R270" i="1" s="1"/>
  <c r="Q269" i="1"/>
  <c r="R269" i="1" s="1"/>
  <c r="Q268" i="1"/>
  <c r="R268" i="1" s="1"/>
  <c r="Q267" i="1"/>
  <c r="R267" i="1" s="1"/>
  <c r="Q266" i="1"/>
  <c r="R266" i="1" s="1"/>
  <c r="Q265" i="1"/>
  <c r="R265" i="1" s="1"/>
  <c r="Q264" i="1"/>
  <c r="R264" i="1" s="1"/>
  <c r="Q263" i="1"/>
  <c r="R263" i="1" s="1"/>
  <c r="Q262" i="1"/>
  <c r="R262" i="1" s="1"/>
  <c r="Q261" i="1"/>
  <c r="R261" i="1" s="1"/>
  <c r="Q260" i="1"/>
  <c r="R260" i="1" s="1"/>
  <c r="Q259" i="1"/>
  <c r="R259" i="1" s="1"/>
  <c r="Q258" i="1"/>
  <c r="R258" i="1" s="1"/>
  <c r="Q257" i="1"/>
  <c r="R257" i="1" s="1"/>
  <c r="Q256" i="1"/>
  <c r="R256" i="1" s="1"/>
  <c r="Q255" i="1"/>
  <c r="R255" i="1" s="1"/>
  <c r="Q254" i="1"/>
  <c r="R254" i="1" s="1"/>
  <c r="Q253" i="1"/>
  <c r="R253" i="1" s="1"/>
  <c r="Q252" i="1"/>
  <c r="R252" i="1" s="1"/>
  <c r="Q251" i="1"/>
  <c r="R251" i="1" s="1"/>
  <c r="Q250" i="1"/>
  <c r="R250" i="1" s="1"/>
  <c r="Q249" i="1"/>
  <c r="R249" i="1" s="1"/>
  <c r="Q248" i="1"/>
  <c r="R248" i="1" s="1"/>
  <c r="Q247" i="1"/>
  <c r="R247" i="1" s="1"/>
  <c r="Q246" i="1"/>
  <c r="R246" i="1" s="1"/>
  <c r="Q245" i="1"/>
  <c r="R245" i="1" s="1"/>
  <c r="Q244" i="1"/>
  <c r="R244" i="1" s="1"/>
  <c r="Q243" i="1"/>
  <c r="R243" i="1" s="1"/>
  <c r="Q242" i="1"/>
  <c r="R242" i="1" s="1"/>
  <c r="Q241" i="1"/>
  <c r="R241" i="1" s="1"/>
  <c r="Q240" i="1"/>
  <c r="R240" i="1" s="1"/>
  <c r="Q239" i="1"/>
  <c r="R239" i="1" s="1"/>
  <c r="Q238" i="1"/>
  <c r="R238" i="1" s="1"/>
  <c r="Q237" i="1"/>
  <c r="R237" i="1" s="1"/>
  <c r="Q236" i="1"/>
  <c r="R236" i="1" s="1"/>
  <c r="Q235" i="1"/>
  <c r="R235" i="1" s="1"/>
  <c r="Q234" i="1"/>
  <c r="R234" i="1" s="1"/>
  <c r="Q233" i="1"/>
  <c r="R233" i="1" s="1"/>
  <c r="Q232" i="1"/>
  <c r="R232" i="1" s="1"/>
  <c r="Q231" i="1"/>
  <c r="Q230" i="1"/>
  <c r="R230" i="1" s="1"/>
  <c r="Q229" i="1"/>
  <c r="R229" i="1" s="1"/>
  <c r="Q228" i="1"/>
  <c r="Q227" i="1"/>
  <c r="R227" i="1" s="1"/>
  <c r="Q226" i="1"/>
  <c r="R226" i="1" s="1"/>
  <c r="Q225" i="1"/>
  <c r="R225" i="1" s="1"/>
  <c r="Q224" i="1"/>
  <c r="R224" i="1" s="1"/>
  <c r="Q223" i="1"/>
  <c r="R223" i="1" s="1"/>
  <c r="Q222" i="1"/>
  <c r="R222" i="1" s="1"/>
  <c r="Q221" i="1"/>
  <c r="R221" i="1" s="1"/>
  <c r="Q220" i="1"/>
  <c r="R220" i="1" s="1"/>
  <c r="Q219" i="1"/>
  <c r="R219" i="1" s="1"/>
  <c r="Q218" i="1"/>
  <c r="R218" i="1" s="1"/>
  <c r="Q217" i="1"/>
  <c r="R217" i="1" s="1"/>
  <c r="Q216" i="1"/>
  <c r="R216" i="1" s="1"/>
  <c r="Q215" i="1"/>
  <c r="R215" i="1" s="1"/>
  <c r="Q214" i="1"/>
  <c r="R214" i="1" s="1"/>
  <c r="Q213" i="1"/>
  <c r="R213" i="1" s="1"/>
  <c r="Q212" i="1"/>
  <c r="R212" i="1" s="1"/>
  <c r="Q211" i="1"/>
  <c r="R211" i="1" s="1"/>
  <c r="Q210" i="1"/>
  <c r="R210" i="1" s="1"/>
  <c r="Q209" i="1"/>
  <c r="R209" i="1" s="1"/>
  <c r="Q208" i="1"/>
  <c r="R208" i="1" s="1"/>
  <c r="Q207" i="1"/>
  <c r="R207" i="1" s="1"/>
  <c r="Q206" i="1"/>
  <c r="R206" i="1" s="1"/>
  <c r="Q205" i="1"/>
  <c r="R205" i="1" s="1"/>
  <c r="Q204" i="1"/>
  <c r="R204" i="1" s="1"/>
  <c r="Q203" i="1"/>
  <c r="R203" i="1" s="1"/>
  <c r="Q202" i="1"/>
  <c r="R202" i="1" s="1"/>
  <c r="Q201" i="1"/>
  <c r="R201" i="1" s="1"/>
  <c r="Q200" i="1"/>
  <c r="R200" i="1" s="1"/>
  <c r="Q199" i="1"/>
  <c r="R199" i="1" s="1"/>
  <c r="Q198" i="1"/>
  <c r="R198" i="1" s="1"/>
  <c r="Q197" i="1"/>
  <c r="R197" i="1" s="1"/>
  <c r="Q196" i="1"/>
  <c r="R196" i="1" s="1"/>
  <c r="Q195" i="1"/>
  <c r="R195" i="1" s="1"/>
  <c r="Q194" i="1"/>
  <c r="R194" i="1" s="1"/>
  <c r="Q193" i="1"/>
  <c r="R193" i="1" s="1"/>
  <c r="Q192" i="1"/>
  <c r="R192" i="1" s="1"/>
  <c r="Q191" i="1"/>
  <c r="R191" i="1" s="1"/>
  <c r="Q190" i="1"/>
  <c r="R190" i="1" s="1"/>
  <c r="Q189" i="1"/>
  <c r="R189" i="1" s="1"/>
  <c r="Q188" i="1"/>
  <c r="R188" i="1" s="1"/>
  <c r="Q187" i="1"/>
  <c r="R187" i="1" s="1"/>
  <c r="Q186" i="1"/>
  <c r="R186" i="1" s="1"/>
  <c r="Q185" i="1"/>
  <c r="R185" i="1" s="1"/>
  <c r="Q184" i="1"/>
  <c r="R184" i="1" s="1"/>
  <c r="Q183" i="1"/>
  <c r="R183" i="1" s="1"/>
  <c r="Q182" i="1"/>
  <c r="R182" i="1" s="1"/>
  <c r="Q181" i="1"/>
  <c r="R181" i="1" s="1"/>
  <c r="Q180" i="1"/>
  <c r="R180" i="1" s="1"/>
  <c r="Q179" i="1"/>
  <c r="R179" i="1" s="1"/>
  <c r="Q178" i="1"/>
  <c r="R178" i="1" s="1"/>
  <c r="Q177" i="1"/>
  <c r="R177" i="1" s="1"/>
  <c r="Q176" i="1"/>
  <c r="R176" i="1" s="1"/>
  <c r="Q175" i="1"/>
  <c r="R175" i="1" s="1"/>
  <c r="Q174" i="1"/>
  <c r="R174" i="1" s="1"/>
  <c r="Q173" i="1"/>
  <c r="R173" i="1" s="1"/>
  <c r="Q172" i="1"/>
  <c r="R172" i="1" s="1"/>
  <c r="Q171" i="1"/>
  <c r="R171" i="1" s="1"/>
  <c r="Q170" i="1"/>
  <c r="R170" i="1" s="1"/>
  <c r="Q169" i="1"/>
  <c r="R169" i="1" s="1"/>
  <c r="Q168" i="1"/>
  <c r="R168" i="1" s="1"/>
  <c r="Q167" i="1"/>
  <c r="R167" i="1" s="1"/>
  <c r="Q166" i="1"/>
  <c r="R166" i="1" s="1"/>
  <c r="Q165" i="1"/>
  <c r="R165" i="1" s="1"/>
  <c r="Q164" i="1"/>
  <c r="R164" i="1" s="1"/>
  <c r="Q163" i="1"/>
  <c r="R163" i="1" s="1"/>
  <c r="Q162" i="1"/>
  <c r="R162" i="1" s="1"/>
  <c r="Q161" i="1"/>
  <c r="R161" i="1" s="1"/>
  <c r="Q160" i="1"/>
  <c r="R160" i="1" s="1"/>
  <c r="Q159" i="1"/>
  <c r="R159" i="1" s="1"/>
  <c r="Q158" i="1"/>
  <c r="R158" i="1" s="1"/>
  <c r="Q157" i="1"/>
  <c r="R157" i="1" s="1"/>
  <c r="Q156" i="1"/>
  <c r="R156" i="1" s="1"/>
  <c r="Q155" i="1"/>
  <c r="R155" i="1" s="1"/>
  <c r="Q154" i="1"/>
  <c r="R154" i="1" s="1"/>
  <c r="Q153" i="1"/>
  <c r="R153" i="1" s="1"/>
  <c r="Q152" i="1"/>
  <c r="R152" i="1" s="1"/>
  <c r="Q151" i="1"/>
  <c r="R151" i="1" s="1"/>
  <c r="Q150" i="1"/>
  <c r="R150" i="1" s="1"/>
  <c r="Q149" i="1"/>
  <c r="R149" i="1" s="1"/>
  <c r="Q148" i="1"/>
  <c r="R148" i="1" s="1"/>
  <c r="Q147" i="1"/>
  <c r="R147" i="1" s="1"/>
  <c r="Q146" i="1"/>
  <c r="R146" i="1" s="1"/>
  <c r="Q145" i="1"/>
  <c r="R145" i="1" s="1"/>
  <c r="Q144" i="1"/>
  <c r="R144" i="1" s="1"/>
  <c r="Q143" i="1"/>
  <c r="R143" i="1" s="1"/>
  <c r="Q142" i="1"/>
  <c r="R142" i="1" s="1"/>
  <c r="Q141" i="1"/>
  <c r="R141" i="1" s="1"/>
  <c r="Q140" i="1"/>
  <c r="R140" i="1" s="1"/>
  <c r="Q139" i="1"/>
  <c r="R139" i="1" s="1"/>
  <c r="Q138" i="1"/>
  <c r="R138" i="1" s="1"/>
  <c r="Q137" i="1"/>
  <c r="R137" i="1" s="1"/>
  <c r="Q136" i="1"/>
  <c r="R136" i="1" s="1"/>
  <c r="Q135" i="1"/>
  <c r="R135" i="1" s="1"/>
  <c r="Q134" i="1"/>
  <c r="R134" i="1" s="1"/>
  <c r="Q133" i="1"/>
  <c r="R133" i="1" s="1"/>
  <c r="Q132" i="1"/>
  <c r="R132" i="1" s="1"/>
  <c r="Q131" i="1"/>
  <c r="R131" i="1" s="1"/>
  <c r="Q130" i="1"/>
  <c r="R130" i="1" s="1"/>
  <c r="Q129" i="1"/>
  <c r="R129" i="1" s="1"/>
  <c r="Q128" i="1"/>
  <c r="R128" i="1" s="1"/>
  <c r="Q127" i="1"/>
  <c r="R127" i="1" s="1"/>
  <c r="Q126" i="1"/>
  <c r="R126" i="1" s="1"/>
  <c r="Q125" i="1"/>
  <c r="R125" i="1" s="1"/>
  <c r="Q124" i="1"/>
  <c r="R124" i="1" s="1"/>
  <c r="Q123" i="1"/>
  <c r="R123" i="1" s="1"/>
  <c r="Q122" i="1"/>
  <c r="R122" i="1" s="1"/>
  <c r="Q121" i="1"/>
  <c r="R121" i="1" s="1"/>
  <c r="Q120" i="1"/>
  <c r="R120" i="1" s="1"/>
  <c r="Q119" i="1"/>
  <c r="R119" i="1" s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Q110" i="1"/>
  <c r="R110" i="1" s="1"/>
  <c r="Q109" i="1"/>
  <c r="R109" i="1" s="1"/>
  <c r="Q108" i="1"/>
  <c r="R108" i="1" s="1"/>
  <c r="Q107" i="1"/>
  <c r="R107" i="1" s="1"/>
  <c r="Q106" i="1"/>
  <c r="R106" i="1" s="1"/>
  <c r="Q105" i="1"/>
  <c r="R105" i="1" s="1"/>
  <c r="Q104" i="1"/>
  <c r="R104" i="1" s="1"/>
  <c r="Q103" i="1"/>
  <c r="R103" i="1" s="1"/>
  <c r="Q102" i="1"/>
  <c r="R102" i="1" s="1"/>
  <c r="Q101" i="1"/>
  <c r="R101" i="1" s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Q92" i="1"/>
  <c r="R92" i="1" s="1"/>
  <c r="Q91" i="1"/>
  <c r="R91" i="1" s="1"/>
  <c r="Q90" i="1"/>
  <c r="R90" i="1" s="1"/>
  <c r="Q89" i="1"/>
  <c r="R89" i="1" s="1"/>
  <c r="Q88" i="1"/>
  <c r="R88" i="1" s="1"/>
  <c r="Q87" i="1"/>
  <c r="R87" i="1" s="1"/>
  <c r="Q86" i="1"/>
  <c r="R86" i="1" s="1"/>
  <c r="Q85" i="1"/>
  <c r="R85" i="1" s="1"/>
  <c r="Q84" i="1"/>
  <c r="R84" i="1" s="1"/>
  <c r="Q83" i="1"/>
  <c r="R83" i="1" s="1"/>
  <c r="Q82" i="1"/>
  <c r="R82" i="1" s="1"/>
  <c r="Q81" i="1"/>
  <c r="R81" i="1" s="1"/>
  <c r="Q80" i="1"/>
  <c r="R80" i="1" s="1"/>
  <c r="Q79" i="1"/>
  <c r="R79" i="1" s="1"/>
  <c r="Q78" i="1"/>
  <c r="R78" i="1" s="1"/>
  <c r="Q77" i="1"/>
  <c r="R77" i="1" s="1"/>
  <c r="Q76" i="1"/>
  <c r="R76" i="1" s="1"/>
  <c r="Q75" i="1"/>
  <c r="R75" i="1" s="1"/>
  <c r="Q74" i="1"/>
  <c r="R74" i="1" s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Q65" i="1"/>
  <c r="R65" i="1" s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Q56" i="1"/>
  <c r="R56" i="1" s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9" i="1"/>
  <c r="R49" i="1" s="1"/>
  <c r="Q48" i="1"/>
  <c r="R48" i="1" s="1"/>
  <c r="Q47" i="1"/>
  <c r="R47" i="1" s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Q38" i="1"/>
  <c r="R38" i="1" s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Q29" i="1"/>
  <c r="R29" i="1" s="1"/>
  <c r="Q28" i="1"/>
  <c r="R28" i="1" s="1"/>
  <c r="Q27" i="1"/>
  <c r="R27" i="1" s="1"/>
  <c r="Q26" i="1"/>
  <c r="R26" i="1" s="1"/>
  <c r="Q25" i="1"/>
  <c r="R25" i="1" s="1"/>
  <c r="Q24" i="1"/>
  <c r="R24" i="1" s="1"/>
  <c r="Q23" i="1"/>
  <c r="R23" i="1" s="1"/>
  <c r="Q22" i="1"/>
  <c r="R22" i="1" s="1"/>
  <c r="Q21" i="1"/>
  <c r="R21" i="1" s="1"/>
  <c r="Q20" i="1"/>
  <c r="R20" i="1" s="1"/>
  <c r="Q19" i="1"/>
  <c r="R19" i="1" s="1"/>
  <c r="Q18" i="1"/>
  <c r="R18" i="1" s="1"/>
  <c r="Q17" i="1"/>
  <c r="R17" i="1" s="1"/>
  <c r="Q16" i="1"/>
  <c r="R16" i="1" s="1"/>
  <c r="Q15" i="1"/>
  <c r="R15" i="1" s="1"/>
  <c r="Q14" i="1"/>
  <c r="R14" i="1" s="1"/>
  <c r="Q13" i="1"/>
  <c r="R13" i="1" s="1"/>
  <c r="Q12" i="1"/>
  <c r="R12" i="1" s="1"/>
  <c r="Q11" i="1"/>
  <c r="R11" i="1" s="1"/>
  <c r="Q10" i="1"/>
  <c r="R10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3" i="1"/>
  <c r="R3" i="1" s="1"/>
  <c r="Q2" i="1"/>
  <c r="B9" i="3"/>
  <c r="K3" i="3" s="1"/>
  <c r="J3" i="3"/>
  <c r="I3" i="3"/>
  <c r="B4" i="3"/>
  <c r="H3" i="3" s="1"/>
  <c r="B3" i="3"/>
  <c r="G3" i="3" s="1"/>
  <c r="B24" i="3" l="1"/>
  <c r="K7" i="3" s="1"/>
  <c r="B23" i="3"/>
  <c r="B22" i="3"/>
  <c r="I7" i="3" s="1"/>
  <c r="B18" i="3"/>
  <c r="F7" i="3" s="1"/>
  <c r="B20" i="3"/>
  <c r="H7" i="3" s="1"/>
  <c r="R231" i="1"/>
  <c r="J7" i="3"/>
  <c r="B19" i="3"/>
  <c r="G7" i="3" s="1"/>
  <c r="R2" i="1"/>
  <c r="R2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<sst xmlns="http://schemas.openxmlformats.org/spreadsheetml/2006/main" count="25447" uniqueCount="8091">
  <si>
    <t>OFICINA</t>
  </si>
  <si>
    <t>EMAIL DA OFICINA</t>
  </si>
  <si>
    <t>ORDEM DE PRODUÇÃO</t>
  </si>
  <si>
    <t>NÚMERO DO MATERIAL</t>
  </si>
  <si>
    <t>MP</t>
  </si>
  <si>
    <t>PARTE DA PEÇA</t>
  </si>
  <si>
    <t>QUANTIDADE</t>
  </si>
  <si>
    <t>MOTIVO DA REPOSIÇÃO</t>
  </si>
  <si>
    <t>PROCESSO ANTERIOR?</t>
  </si>
  <si>
    <t>OBSERVAÇÕES</t>
  </si>
  <si>
    <t>DATA</t>
  </si>
  <si>
    <t>STATUS</t>
  </si>
  <si>
    <t xml:space="preserve">Reposição N°: </t>
  </si>
  <si>
    <t>REPOSIÇÃO</t>
  </si>
  <si>
    <t>CÓDIGO DO AVIAMENTO</t>
  </si>
  <si>
    <t>__PowerAppsId__</t>
  </si>
  <si>
    <t>DATA_RELATORIO</t>
  </si>
  <si>
    <t>SEMANA RELATÓRIO</t>
  </si>
  <si>
    <t>FREIRE SILVA CONFECÇÕES LTDA</t>
  </si>
  <si>
    <t>freiresilvaconfeccoes@gmail.com</t>
  </si>
  <si>
    <t>TEAR</t>
  </si>
  <si>
    <t>Capas de artok</t>
  </si>
  <si>
    <t>Quantidade insuficiente para terminar a ordem</t>
  </si>
  <si>
    <t>NÃO</t>
  </si>
  <si>
    <t xml:space="preserve">Estamos com.a OP pronta e não tem como enviar devido a falta de sacos. </t>
  </si>
  <si>
    <t>20/05/2026 11:01</t>
  </si>
  <si>
    <t>95db3f93-1f06-4102-9ee8-bd7f2c200774</t>
  </si>
  <si>
    <t>F &amp; L AZEVEDO CONFECCAO LTDA - ME MATRIZ</t>
  </si>
  <si>
    <t>felconfeccao@gmail.com</t>
  </si>
  <si>
    <t>POLO</t>
  </si>
  <si>
    <t>Etiqueta bandeirola</t>
  </si>
  <si>
    <t>8-9-15; 9-10-10; 11-12-10</t>
  </si>
  <si>
    <t>ETIQUETA NUMERICA, PARA PREGAR AO LADO DA DE MARCA</t>
  </si>
  <si>
    <t>20/05/2026 13:28</t>
  </si>
  <si>
    <t>ec38384d-384d-4751-8611-c43c6cab003f</t>
  </si>
  <si>
    <t>OFICINA DE COSTURA SANTOS LTDA</t>
  </si>
  <si>
    <t>oficinasantos08@outlook.com</t>
  </si>
  <si>
    <t>JEANS</t>
  </si>
  <si>
    <t>Etiqueta composição</t>
  </si>
  <si>
    <t>Material não enviado pela Guararapes</t>
  </si>
  <si>
    <t>as etiquetas são tamanho 34</t>
  </si>
  <si>
    <t>20/05/2026 09:08</t>
  </si>
  <si>
    <t>4e588439-f036-4270-9b9b-7cb293476609</t>
  </si>
  <si>
    <t>SOLY BRASIL LTDA</t>
  </si>
  <si>
    <t>qualidade@solybrasil.com.br</t>
  </si>
  <si>
    <t>MALHA</t>
  </si>
  <si>
    <t>gg-135/g-174/m-192/p-171/pp-114</t>
  </si>
  <si>
    <t>20/05/2026 10:17</t>
  </si>
  <si>
    <t>5d7e1426-c89b-41a0-b64c-da4514b2de37</t>
  </si>
  <si>
    <t>IVANILDO JOSE DE SOUSA - ME</t>
  </si>
  <si>
    <t>hiconfeccao@gmail.com</t>
  </si>
  <si>
    <t>Pedido de 15 etiquetas de composição, tamanhos 6-7.</t>
  </si>
  <si>
    <t>20/05/2026 10:44</t>
  </si>
  <si>
    <t>7cb5a7ee-0343-44e4-9bb7-842ca70e5fb2</t>
  </si>
  <si>
    <t>TENDENCIA CONFECCOES LTDA - ME</t>
  </si>
  <si>
    <t>tendenciaconfec@gmail.com</t>
  </si>
  <si>
    <t>13-14: 175; 11-12:140; 9-10: 140; 8-9: 105; 6-7: 70;</t>
  </si>
  <si>
    <t>Material diferente do especificado na ordem</t>
  </si>
  <si>
    <t>20/05/2026 14:08</t>
  </si>
  <si>
    <t>7e75b5c8-6a44-4950-9c36-80a622424358</t>
  </si>
  <si>
    <t>Etiqueta de marca/modelagem</t>
  </si>
  <si>
    <t>Faltou do tamanho 38 ao 50.</t>
  </si>
  <si>
    <t>20/05/2026 09:04</t>
  </si>
  <si>
    <t>21723a81-b7c8-4555-a4b4-7eaa9fffba85</t>
  </si>
  <si>
    <t>Etiqueta de preço</t>
  </si>
  <si>
    <t>Faltou para o tamanho 13-14</t>
  </si>
  <si>
    <t>20/05/2026 09:01</t>
  </si>
  <si>
    <t>8a90f40b-c347-4308-8ae9-5f85a15f86ea</t>
  </si>
  <si>
    <t>CONFECCAO G. B. DA S. JUNIOR &amp; CIA LTDA</t>
  </si>
  <si>
    <t>confeccoesgbdas@hotmail.com</t>
  </si>
  <si>
    <t>100 ETIQUETAS DE PREÇO TAM 6-7</t>
  </si>
  <si>
    <t>20/05/2026 09:52</t>
  </si>
  <si>
    <t>ebfd45ec-0451-4e4e-95f7-d229a71e838a</t>
  </si>
  <si>
    <t>CONFECCOES GENESIS LTDA ME</t>
  </si>
  <si>
    <t>confeccaogenesisltda@gmail.com</t>
  </si>
  <si>
    <t>G-110</t>
  </si>
  <si>
    <t>veio faltando etiqueta</t>
  </si>
  <si>
    <t>20/05/2026 09:53</t>
  </si>
  <si>
    <t>803684ba-870e-4689-a420-07a3ba95c580</t>
  </si>
  <si>
    <t>SERRANA TEXTIL LTDA</t>
  </si>
  <si>
    <t>tlcserranatextil@gmail.com</t>
  </si>
  <si>
    <t>P - 93 M - 186 G - 186 GG - 126 XG - 93</t>
  </si>
  <si>
    <t>veio faltando</t>
  </si>
  <si>
    <t>20/05/2026 10:07</t>
  </si>
  <si>
    <t>96547ca4-93eb-4d19-a85f-cd9636110b25</t>
  </si>
  <si>
    <t>P - 110 M - 330 G - 330 GG - 220 XG - 110</t>
  </si>
  <si>
    <t>20/05/2026 10:08</t>
  </si>
  <si>
    <t>2c698c0a-8ce6-4a5e-93fd-11f422354eca</t>
  </si>
  <si>
    <t>POEST INDUSTRIA COMERCIO VESTUARIO LTDA</t>
  </si>
  <si>
    <t>encantopoest@gmail.com</t>
  </si>
  <si>
    <t>Filme plástico</t>
  </si>
  <si>
    <t>filme plastico do estreito</t>
  </si>
  <si>
    <t>20/05/2026 10:38</t>
  </si>
  <si>
    <t>c27e49d0-504a-4fd9-85a9-1664a26ccaf3</t>
  </si>
  <si>
    <t>ACAUÃ CONFECÇÕES LTDA</t>
  </si>
  <si>
    <t>acauaconfeccoes@outlook.com</t>
  </si>
  <si>
    <t>Gola</t>
  </si>
  <si>
    <t xml:space="preserve">PP-30 P-10.   40 Golas </t>
  </si>
  <si>
    <t>Faltando 40 Golas . 30 PP e 10 P</t>
  </si>
  <si>
    <t>20/05/2026 09:43</t>
  </si>
  <si>
    <t>0a174cad-afa0-43a7-bc7d-7df82f07bf2b</t>
  </si>
  <si>
    <t>A S CONFECCOES LTDA</t>
  </si>
  <si>
    <t>S.a.confeccoesind@gmail.com</t>
  </si>
  <si>
    <t>Lacre</t>
  </si>
  <si>
    <t>20/05/2026 10:12</t>
  </si>
  <si>
    <t>54fa919c-b41b-43af-a3c9-70313807a04c</t>
  </si>
  <si>
    <t>LC TÊXTIL LTDA.</t>
  </si>
  <si>
    <t>lctextil@outlook.com.br</t>
  </si>
  <si>
    <t xml:space="preserve">Lacres da oficina acabou </t>
  </si>
  <si>
    <t>20/05/2026 10:22</t>
  </si>
  <si>
    <t>56a42912-73a4-4293-affc-d772aff645f8</t>
  </si>
  <si>
    <t>JOSENI MARIA DE MEDEIROS</t>
  </si>
  <si>
    <t>administrativo@zajaconfeccoes.com.br</t>
  </si>
  <si>
    <t>Linha</t>
  </si>
  <si>
    <t xml:space="preserve">800 peças </t>
  </si>
  <si>
    <t xml:space="preserve">As linhas enviadas foram insuficiente para finalizar a ordem </t>
  </si>
  <si>
    <t>20/05/2026 09:02</t>
  </si>
  <si>
    <t>3b8f7cc8-63b9-4d58-94d4-689790f15797</t>
  </si>
  <si>
    <t>ASA CONFECCOES LTDA - ME</t>
  </si>
  <si>
    <t>asaequador@gmail.com</t>
  </si>
  <si>
    <t>codigo: 10000062975 cor: s.759</t>
  </si>
  <si>
    <t>20/05/2026 10:50</t>
  </si>
  <si>
    <t>164ed524-e6d6-4641-8d90-efd65d49cbfb</t>
  </si>
  <si>
    <t>DANJAN CONFECCOES LTDA</t>
  </si>
  <si>
    <t>spauloazevedo@bol.com.br</t>
  </si>
  <si>
    <t>Linhas e fios</t>
  </si>
  <si>
    <t>300 pçs</t>
  </si>
  <si>
    <t>A linha veio insuficiente pra finalizar a op</t>
  </si>
  <si>
    <t>20/05/2026 09:44</t>
  </si>
  <si>
    <t>0bfaca47-84ad-4506-9f59-63fec81c8651</t>
  </si>
  <si>
    <t>F. W. DE SOUZA CONFECCOES</t>
  </si>
  <si>
    <t>arconfec-oes@hotmail.com</t>
  </si>
  <si>
    <t>Papelão para gabarito</t>
  </si>
  <si>
    <t>10 metros</t>
  </si>
  <si>
    <t>20/05/2026 09:55</t>
  </si>
  <si>
    <t>bbf5543a-7dd6-4480-aae1-940a40303cab</t>
  </si>
  <si>
    <t>FENIX INDUSTRIA TÊXTIL LTDA</t>
  </si>
  <si>
    <t>faccao_sales2010@hotmail.com</t>
  </si>
  <si>
    <t>-</t>
  </si>
  <si>
    <t>20/05/2026 10:09</t>
  </si>
  <si>
    <t>acf31ac4-76a9-4bfb-99fe-3bd4ba48cc2c</t>
  </si>
  <si>
    <t>20/05/2026 13:31</t>
  </si>
  <si>
    <t>5aa1fe67-9ec8-4ab6-8241-2fb1c743b1a4</t>
  </si>
  <si>
    <t>EBENEZER INDUSTRIA TEXTIL LTDA</t>
  </si>
  <si>
    <t>ebenezerindustriat@hotmail.com</t>
  </si>
  <si>
    <t>Pistola</t>
  </si>
  <si>
    <t>marquei a opção aleatoria</t>
  </si>
  <si>
    <t>20/05/2026 13:13</t>
  </si>
  <si>
    <t>c766fecd-41dd-49a4-8ca8-9e4cc6616b7e</t>
  </si>
  <si>
    <t>CONFECCOES FRANOELDA M. M. ARAUJO EIRELI</t>
  </si>
  <si>
    <t>falconconfeccoes@hotmail.com</t>
  </si>
  <si>
    <t>Traseiro</t>
  </si>
  <si>
    <t>BOLSO AUTOMÁTICO</t>
  </si>
  <si>
    <t>20/05/2026 08:59</t>
  </si>
  <si>
    <t>66e9756d-5e9a-4ccb-a2a4-48884c857b04</t>
  </si>
  <si>
    <t>XG-58</t>
  </si>
  <si>
    <t>Faltando 58 Traseiros XG</t>
  </si>
  <si>
    <t>20/05/2026 09:48</t>
  </si>
  <si>
    <t>e0c99c78-8f69-4ab8-a18b-600e4798ec0e</t>
  </si>
  <si>
    <t>CONFECÇÃO SÃO SEBASTIÃO LTDA</t>
  </si>
  <si>
    <t>CONFECCAOSAOSEBASTIAO@GMAIL.COM</t>
  </si>
  <si>
    <t>NÃO FOI ENVIADO O A SEQUENCIA DE ENFESTO 3, TOTALIZANDO QUANTIDADE DE 180 PEÇAS, SENDO TAMANHO 52- 20; TAM 48-20; TAM 46-40;  TAM, 42-60; TAM  40-40.</t>
  </si>
  <si>
    <t>fc45eb71-e5d1-4314-8199-fc13cf8881b4</t>
  </si>
  <si>
    <t>POTENGI TEXTIL LTDA</t>
  </si>
  <si>
    <t>potengitextil@outlook.com.br</t>
  </si>
  <si>
    <t xml:space="preserve">Traseiros do top </t>
  </si>
  <si>
    <t>20/05/2026 12:20</t>
  </si>
  <si>
    <t>4ad3d049-04f2-46f0-ba57-58d316df85af</t>
  </si>
  <si>
    <t>Traseiro do top</t>
  </si>
  <si>
    <t>20/05/2026 12:21</t>
  </si>
  <si>
    <t>377356f5-7db7-450f-88c3-dabcb754136f</t>
  </si>
  <si>
    <t xml:space="preserve">1 lote de Traseiro tamanho M de 38 peças </t>
  </si>
  <si>
    <t>20/05/2026 12:55</t>
  </si>
  <si>
    <t>dc244a7b-1a11-45d4-af27-053bc1ac9e31</t>
  </si>
  <si>
    <t xml:space="preserve">1 lote de traseiro tamanho M de 38 peças. </t>
  </si>
  <si>
    <t>20/05/2026 13:39</t>
  </si>
  <si>
    <t>68e35499-a6a8-4e33-abfc-1ea248a9a752</t>
  </si>
  <si>
    <t>Zíper</t>
  </si>
  <si>
    <t>Faltou do tamanho 38 ao 50</t>
  </si>
  <si>
    <t>29bde96e-a4eb-4f81-9bd3-221c153c2b35</t>
  </si>
  <si>
    <t>FIOS DO SERTÃO LTDA</t>
  </si>
  <si>
    <t>fiosdosertao01@gmail.com</t>
  </si>
  <si>
    <t>1.082 ziper de 17cm; 452 ziper de 15cm</t>
  </si>
  <si>
    <t>20/05/2026 12:35</t>
  </si>
  <si>
    <t>555fd7aa-0678-4d1e-8b08-225d1651d603</t>
  </si>
  <si>
    <t>JANUNCIO NOBREGA DE AZEVEDO</t>
  </si>
  <si>
    <t>gruponobrejk@gmail.com</t>
  </si>
  <si>
    <t>Viés de gola</t>
  </si>
  <si>
    <t>O VIÉS SOLICITADO É O VIÉS DE 3cm DA PRÓPRIA MATERIA PRIMA DO TECIDO</t>
  </si>
  <si>
    <t>20/05/2026 14:34</t>
  </si>
  <si>
    <t>91ef955a-5d32-45b2-88b6-278c1e0580b5</t>
  </si>
  <si>
    <t>MAXWELA ARAÚJO SILVA LTDA</t>
  </si>
  <si>
    <t>maxwelaaraujo7@gmail.com</t>
  </si>
  <si>
    <t>2-56, 3-42, 4-56, 5-42, 6-56, 1-28, TOTAL 280</t>
  </si>
  <si>
    <t>20/05/2026 15:02</t>
  </si>
  <si>
    <t>59370781-3997-4345-8429-c936fb7e48b6</t>
  </si>
  <si>
    <t>JK INDUSTRIA TEXTIL LTDA</t>
  </si>
  <si>
    <t>Recorte coração</t>
  </si>
  <si>
    <t>FALTANDO 70 PARES</t>
  </si>
  <si>
    <t>20/05/2026 15:10</t>
  </si>
  <si>
    <t>d6798370-1dc2-4ba5-b058-9939a18ca710</t>
  </si>
  <si>
    <t>CABUGI CONFECCOES LTDA.</t>
  </si>
  <si>
    <t>cabugiconfeccoes.adm@gmail.com</t>
  </si>
  <si>
    <t>Passante</t>
  </si>
  <si>
    <t xml:space="preserve">350 PEÇAS </t>
  </si>
  <si>
    <t>PASSANTE PARA 350 PEÇAS COM ENTRADA 2,5 DE E SAÍDA DE 1,0</t>
  </si>
  <si>
    <t>20/05/2026 15:12</t>
  </si>
  <si>
    <t>318b5943-6dc2-443a-96d0-944ce03e0b90</t>
  </si>
  <si>
    <t>5 ROLOS</t>
  </si>
  <si>
    <t>20/05/2026 15:15</t>
  </si>
  <si>
    <t>3852ca6f-99d7-4e1e-9317-f9faaf4a991d</t>
  </si>
  <si>
    <t>1 PACOTE</t>
  </si>
  <si>
    <t>20/05/2026 15:17</t>
  </si>
  <si>
    <t>b362340c-cd84-4277-b0af-2d20d7e644ae</t>
  </si>
  <si>
    <t>F A N CONFECCOES LTDA</t>
  </si>
  <si>
    <t>ffconfeccoesobrn@hotmail.com</t>
  </si>
  <si>
    <t>Cós</t>
  </si>
  <si>
    <t>Erro operacional da oficina</t>
  </si>
  <si>
    <t xml:space="preserve">ordem devolvida para refazer o cós pois a medida ficou menor </t>
  </si>
  <si>
    <t>20/05/2026 15:29</t>
  </si>
  <si>
    <t>1242feed-3c1e-4bfe-8f52-db528972ca25</t>
  </si>
  <si>
    <t>Elástico</t>
  </si>
  <si>
    <t>ELÁSTICO PARA 600 PEÇAS. ELÁSTICO DE 39mm</t>
  </si>
  <si>
    <t>20/05/2026 16:14</t>
  </si>
  <si>
    <t>4f9cec56-15cd-4d2f-91f8-15b6990a938d</t>
  </si>
  <si>
    <t>LIMA CONFECCOES LTDA-ME</t>
  </si>
  <si>
    <t>limaconfeccoes78@gmail.com</t>
  </si>
  <si>
    <t>O viés do bolso dianteiro veio insuficiente.</t>
  </si>
  <si>
    <t>20/05/2026 16:40</t>
  </si>
  <si>
    <t>423567e9-cfc7-449c-be45-ebd31fa568e2</t>
  </si>
  <si>
    <t>G-8; P-5; PP-5</t>
  </si>
  <si>
    <t>20/05/2026 16:41</t>
  </si>
  <si>
    <t>523a73ff-45d6-476b-87d6-568df6a42180</t>
  </si>
  <si>
    <t>P &amp; A CONFECCOES LTDA</t>
  </si>
  <si>
    <t>pea2015confeccoes@hotmail.com</t>
  </si>
  <si>
    <t>A ordem chegou em nossa oficina, sem as composição.</t>
  </si>
  <si>
    <t>20/05/2026 17:01</t>
  </si>
  <si>
    <t>f05233c1-7d04-4a8d-b5ff-5e5429cad419</t>
  </si>
  <si>
    <t xml:space="preserve">Elastico para barra </t>
  </si>
  <si>
    <t>20/05/2026 20:00</t>
  </si>
  <si>
    <t>6a974d13-9148-4306-891a-7566ef46cb4c</t>
  </si>
  <si>
    <t>B&amp;N SILVA CONFECCOES LTDA</t>
  </si>
  <si>
    <t>bensilvaconfeccoes@gmail.com</t>
  </si>
  <si>
    <t>21/05/2026 07:34</t>
  </si>
  <si>
    <t>9ecd5f8d-2078-45e4-86b9-e03e6fa99cfc</t>
  </si>
  <si>
    <t>42 ETIQUETAS DE CÓS TAM 12-18 // 28 ETIQUETAS DE CÓS TAM 9-12M // 28 ETIQUETAS DE CÓS TAM 6-9M // 28 ETIQUETAS DE CÓS TAM 3-6M // 28 ETIQUETAS DE CÓS TAM 1-3M</t>
  </si>
  <si>
    <t>154 ETIQUETAS DE CÓS NO TOTAL</t>
  </si>
  <si>
    <t>21/05/2026 08:15</t>
  </si>
  <si>
    <t>936d64ea-a1e7-418f-b844-78a19aa8559a</t>
  </si>
  <si>
    <t>JOSE MEDEIROS DE ARAUJO</t>
  </si>
  <si>
    <t>TOTAL: 126;</t>
  </si>
  <si>
    <t>21/05/2026 09:08</t>
  </si>
  <si>
    <t>a16aeeaa-2f33-4512-9004-ce7ba958229b</t>
  </si>
  <si>
    <t>DI3 CONFECCOES LTDA</t>
  </si>
  <si>
    <t>di3confec@gmail.com</t>
  </si>
  <si>
    <t>4 cones</t>
  </si>
  <si>
    <t>Material Insuficiente</t>
  </si>
  <si>
    <t>21/05/2026 09:14</t>
  </si>
  <si>
    <t>867b4cc3-4d49-4012-abcc-81996ac4b7df</t>
  </si>
  <si>
    <t>Fios</t>
  </si>
  <si>
    <t>21/05/2026 09:17</t>
  </si>
  <si>
    <t>8a64cb37-f7a3-4762-8214-6e1f43e6e785</t>
  </si>
  <si>
    <t>TAMPOGRAFIA</t>
  </si>
  <si>
    <t>Preciso de 3 partes do traseiro para finalizar a ordem</t>
  </si>
  <si>
    <t>21/05/2026 09:19</t>
  </si>
  <si>
    <t>12034654-0eb7-4b20-a8fb-6537b7c3c89d</t>
  </si>
  <si>
    <t>Tamanho GG - 7 PEÇAS</t>
  </si>
  <si>
    <t>Preciso de 7 partes do traseiro para finalizar a op</t>
  </si>
  <si>
    <t>21/05/2026 09:21</t>
  </si>
  <si>
    <t>4f74b535-382c-4972-a719-20449fed8deb</t>
  </si>
  <si>
    <t>TAM. M - 2; TAM. P - 2.</t>
  </si>
  <si>
    <t>21/05/2026 09:22</t>
  </si>
  <si>
    <t>30f125db-4e77-410a-bac7-6890a3e0abf3</t>
  </si>
  <si>
    <t>FLAVIA GEORGIA B SILVA CONFECCOES EIRELI</t>
  </si>
  <si>
    <t>w.anny.k@hotmail.com</t>
  </si>
  <si>
    <t>PRECISAMOS DAS GOLAS PARA A ORDEM MESTRE: 300263206 - QUE NÃO VEIO NESTA ORDEM</t>
  </si>
  <si>
    <t>21/05/2026 09:58</t>
  </si>
  <si>
    <t>978b6326-a39c-4402-b243-f73d6b6e7406</t>
  </si>
  <si>
    <t>9-10: 20, 8-9: 20, 6-7: 20</t>
  </si>
  <si>
    <t>975f568f-054b-45b9-be2b-19654aefaf1f</t>
  </si>
  <si>
    <t>20 etiquetas de composição GG</t>
  </si>
  <si>
    <t>21/05/2026 10:04</t>
  </si>
  <si>
    <t>9e74ce50-0ee1-4bb0-b0f1-7b91a6aa7017</t>
  </si>
  <si>
    <t>Material extraviado</t>
  </si>
  <si>
    <t>Tamanho 3 - 28; tamanho 2- 55</t>
  </si>
  <si>
    <t>21/05/2026 10:06</t>
  </si>
  <si>
    <t>98e07949-fa0f-4b13-9a0b-c20fa6bb6dc4</t>
  </si>
  <si>
    <t>DANTAS E PAULINO CONFECCOES LTDA</t>
  </si>
  <si>
    <t>dantasepaulino@gmail.com</t>
  </si>
  <si>
    <t>21/05/2026 10:27</t>
  </si>
  <si>
    <t>ae72e4f0-68b7-4ea1-ba56-c20a0d4e96e3</t>
  </si>
  <si>
    <t>Punho</t>
  </si>
  <si>
    <t>4e47fc28-d3fe-4b3c-804a-2b763e35d4c1</t>
  </si>
  <si>
    <t>PRECISAMOS DAS GOLAS PARA A ORDEM MESTRE: 300263220 - QUE NÃO VEIO NESTA ORDEM</t>
  </si>
  <si>
    <t>21/05/2026 10:29</t>
  </si>
  <si>
    <t>95ffaebb-c47a-48fe-ad62-cdc52444a77b</t>
  </si>
  <si>
    <t xml:space="preserve">PRECISAMOS DO PUNHO PARA ESTA ORDEM </t>
  </si>
  <si>
    <t>21/05/2026 10:32</t>
  </si>
  <si>
    <t>7ef44b29-06ed-4447-9a1a-b707e0d8c92e</t>
  </si>
  <si>
    <t xml:space="preserve">ESTOU PRECISANDO DE LACRES PARA AS ORDENS </t>
  </si>
  <si>
    <t>21/05/2026 10:35</t>
  </si>
  <si>
    <t>f060126d-1a31-4194-b00c-e4b9e8ee8a61</t>
  </si>
  <si>
    <t>estou precisando para a ordem</t>
  </si>
  <si>
    <t>21/05/2026 10:40</t>
  </si>
  <si>
    <t>f7554f1a-cddd-4c87-a067-0811bf7e6dd4</t>
  </si>
  <si>
    <t>TROPICALLIZ CONFECCOES LTDA</t>
  </si>
  <si>
    <t>lupercio-fnb@hotmail.com</t>
  </si>
  <si>
    <t>Faltando</t>
  </si>
  <si>
    <t>21/05/2026 10:43</t>
  </si>
  <si>
    <t>c2ac03fd-f8dd-4abf-955c-47300ee078d3</t>
  </si>
  <si>
    <t xml:space="preserve">Faltando </t>
  </si>
  <si>
    <t>21/05/2026 10:44</t>
  </si>
  <si>
    <t>30a629ab-fe3d-497e-9507-0d275bf9b640</t>
  </si>
  <si>
    <t>SOLIS CONFECCOES LTDA</t>
  </si>
  <si>
    <t>solisconfeccoes@gmail.com</t>
  </si>
  <si>
    <t>Artok vazio</t>
  </si>
  <si>
    <t>ESTAMOS PRECISANDO PRA ENVIAR A OPS</t>
  </si>
  <si>
    <t>21/05/2026 12:29</t>
  </si>
  <si>
    <t>ade46d49-5bb1-4368-9218-b611c07e6cda</t>
  </si>
  <si>
    <t>P-58 PP-58</t>
  </si>
  <si>
    <t xml:space="preserve">Faltando 58 Traseiros P e 58 Traseiros PP. Ao todo 116 Traseiros </t>
  </si>
  <si>
    <t>21/05/2026 13:12</t>
  </si>
  <si>
    <t>59df4351-631f-4a44-b621-a53c49e96967</t>
  </si>
  <si>
    <t>Frente</t>
  </si>
  <si>
    <t>14 tamanho 12-18m</t>
  </si>
  <si>
    <t>21/05/2026 13:17</t>
  </si>
  <si>
    <t>2a3dbc6f-9d90-44ee-a9a6-d54260147dc8</t>
  </si>
  <si>
    <t>21/05/2026 13:42</t>
  </si>
  <si>
    <t>fb608a0c-713e-4fac-90a8-65b9475749e3</t>
  </si>
  <si>
    <t>Cadarço</t>
  </si>
  <si>
    <t>21/05/2026 13:49</t>
  </si>
  <si>
    <t>f1b7459f-bb7f-494a-8900-45d96ac31d71</t>
  </si>
  <si>
    <t>F &amp; L AZEVEDO CONFECCAO LTDA FILIAL</t>
  </si>
  <si>
    <t>21/05/2026 14:23</t>
  </si>
  <si>
    <t>5b7af37e-71cd-4379-b935-0866844e5a40</t>
  </si>
  <si>
    <t>21/05/2026 14:36</t>
  </si>
  <si>
    <t>dafed6a7-d4de-4c00-a7bd-8f42441b8ee7</t>
  </si>
  <si>
    <t>10 ETIQUETAS DE CÓS TAM 12-18M // 10 ETIQUETAS DE CÓS TAM 9-12 // 10 ETIQUETAS DE CÓS TAM 6-9M // 10 ETIQUETAS DE CÓS TAM 3-6M // 10 ETIQUETAS DE CÓS TAM 1-3M</t>
  </si>
  <si>
    <t>21/05/2026 14:41</t>
  </si>
  <si>
    <t>78c615f8-c358-4731-a9e1-94f5c2d34de2</t>
  </si>
  <si>
    <t>38-12, 40-65, 42-130, 44-130, 46-85, 48-120</t>
  </si>
  <si>
    <t>21/05/2026 14:46</t>
  </si>
  <si>
    <t>21fa8d5f-acec-492b-a1f1-935e3f05446a</t>
  </si>
  <si>
    <t>PEDRO E ODAIR CONFECÇÕES LTDA</t>
  </si>
  <si>
    <t>pn.fenix@gmail.com</t>
  </si>
  <si>
    <t>21/05/2026 15:20</t>
  </si>
  <si>
    <t>46cbae2f-b3f7-41e7-acfb-50367e75693a</t>
  </si>
  <si>
    <t>P - 113 M - 339 G - 339 GG - 226 XG - 113</t>
  </si>
  <si>
    <t>mandaram as etiquetas erradas</t>
  </si>
  <si>
    <t>22/05/2026 07:29</t>
  </si>
  <si>
    <t>4d573b5b-85c4-4bcf-bc09-d3104bdf0c1e</t>
  </si>
  <si>
    <t>22/05/2026 07:30</t>
  </si>
  <si>
    <t>3e63fdda-875f-49d9-9ef6-b07edbfdf532</t>
  </si>
  <si>
    <t>P - 40 M - 120 G - 120 GG - 80 XG - 40</t>
  </si>
  <si>
    <t>enviaram as etiquetas erradas</t>
  </si>
  <si>
    <t>22/05/2026 07:31</t>
  </si>
  <si>
    <t>ee97429b-f79d-4eed-b659-19ecd11ac3b2</t>
  </si>
  <si>
    <t>LD CONFECÇÕES LTDA</t>
  </si>
  <si>
    <t>ldinizconfeccoes@hotmail.com</t>
  </si>
  <si>
    <t>pacote</t>
  </si>
  <si>
    <t>22/05/2026 07:36</t>
  </si>
  <si>
    <t>5ca8f9d4-a429-44f2-8eeb-689a618185f4</t>
  </si>
  <si>
    <t>gg-80, g-50, m-45, p-50, pp-20</t>
  </si>
  <si>
    <t>f3a47b46-f5b5-417f-9957-0327049b8389</t>
  </si>
  <si>
    <t>P A VITURINO SERVIÇOS E CONFECÇÕES LTDA</t>
  </si>
  <si>
    <t>paulaaretuzaviturino@gmail.com</t>
  </si>
  <si>
    <t>veio etiquetas insuficientes do tamanho GG para terminar a OP</t>
  </si>
  <si>
    <t>22/05/2026 07:56</t>
  </si>
  <si>
    <t>b620c84c-95c4-4028-a291-59f1e34a253d</t>
  </si>
  <si>
    <t>Vista</t>
  </si>
  <si>
    <t xml:space="preserve">solicito urgencia, a guararapes me enviou ontem e pediu devolução ja na quarta. </t>
  </si>
  <si>
    <t>22/05/2026 08:02</t>
  </si>
  <si>
    <t>53a94f94-0248-4d57-a671-00c97fd8d2de</t>
  </si>
  <si>
    <t>Pedido de envio de 5 cones da linha 100%PES TÍT80 S.728 132803.</t>
  </si>
  <si>
    <t>22/05/2026 08:04</t>
  </si>
  <si>
    <t>45d39f76-d8b6-4ae0-a612-19db7a3221c0</t>
  </si>
  <si>
    <t>22/05/2026 08:30</t>
  </si>
  <si>
    <t>a4d95d2d-ef38-4261-b655-59c28f64a5e3</t>
  </si>
  <si>
    <t>DONA TICA CONFECCOES MATRIZ</t>
  </si>
  <si>
    <t>viés de ribana de gola</t>
  </si>
  <si>
    <t>22/05/2026 08:49</t>
  </si>
  <si>
    <t>b8b112b1-331c-4103-8074-7694395dd1ab</t>
  </si>
  <si>
    <t>ARAUJO &amp; CAMARA LTDA</t>
  </si>
  <si>
    <t>marionetemedeiros2@hotmail.com</t>
  </si>
  <si>
    <t>POR GENTILEZA MANDAR EM PEÇA POIS IREI UTILIZAR O ELASTICO DE OUTRA ORDEM QUE ESTÁ COMIGO PARA NÃO PARAR.</t>
  </si>
  <si>
    <t>22/05/2026 08:58</t>
  </si>
  <si>
    <t>bc2b89f7-74d5-47b3-a885-5e7b33399c03</t>
  </si>
  <si>
    <t>FACCAO ELLO LTDA - ME</t>
  </si>
  <si>
    <t>faccaoello@hotmail.com</t>
  </si>
  <si>
    <t>LADO DIREITO- 47</t>
  </si>
  <si>
    <t>22/05/2026 09:13</t>
  </si>
  <si>
    <t>01c6fc07-46b7-4f3f-8448-a9a425771628</t>
  </si>
  <si>
    <t>LADO ESQUERDO-47</t>
  </si>
  <si>
    <t>TAMANHO 5</t>
  </si>
  <si>
    <t>22/05/2026 09:14</t>
  </si>
  <si>
    <t>35260b19-5141-40c5-950d-d993d6a9a389</t>
  </si>
  <si>
    <t>Colchetes</t>
  </si>
  <si>
    <t>TAM 5- 47 PEÇAS</t>
  </si>
  <si>
    <t>MARQUEI UMA OPÇÃO ALEATORIA, POIS NÃO TEM A OPÇÃO DE PEDIR REVEL</t>
  </si>
  <si>
    <t>22/05/2026 09:17</t>
  </si>
  <si>
    <t>07394c1d-6b04-47d5-bad8-8057e99ec298</t>
  </si>
  <si>
    <t>facçãoello@hotmail.com</t>
  </si>
  <si>
    <t xml:space="preserve">TAM 5- 36 </t>
  </si>
  <si>
    <t>22/05/2026 09:18</t>
  </si>
  <si>
    <t>b57c8184-b037-43de-834e-3c053e76e515</t>
  </si>
  <si>
    <t>TAM 5- 29</t>
  </si>
  <si>
    <t>22/05/2026 09:19</t>
  </si>
  <si>
    <t>63b22d06-e746-4cd5-a6cb-2730bb035918</t>
  </si>
  <si>
    <t>TAM 5- 26</t>
  </si>
  <si>
    <t>22/05/2026 09:20</t>
  </si>
  <si>
    <t>f4cd19f3-18d8-4ddb-ad4d-10041bb4a767</t>
  </si>
  <si>
    <t>TAM 4- 3</t>
  </si>
  <si>
    <t>22/05/2026 09:21</t>
  </si>
  <si>
    <t>80f36db6-1d94-496f-956a-8fd0fbf88ed3</t>
  </si>
  <si>
    <t>TAM 5- 36</t>
  </si>
  <si>
    <t>22/05/2026 09:27</t>
  </si>
  <si>
    <t>2f0d0386-5bf3-4356-b90b-90fdd81047d0</t>
  </si>
  <si>
    <t>Pala</t>
  </si>
  <si>
    <t>PALA TRASEIRO, MATERIAL PARA PRODUÇÃO ENTEIRA, TODOS OS TAMANHOS</t>
  </si>
  <si>
    <t>22/05/2026 09:50</t>
  </si>
  <si>
    <t>9603e7a0-ff33-4be7-86ea-3cf616245b1b</t>
  </si>
  <si>
    <t>M-100</t>
  </si>
  <si>
    <t>VEIO FALTANDO ETIQUETA</t>
  </si>
  <si>
    <t>22/05/2026 09:52</t>
  </si>
  <si>
    <t>3a0648e1-1144-4f9b-ad13-69dbf369dbb0</t>
  </si>
  <si>
    <t>10000218092 - 15 ETIQUETAS/ 10000208288 - 10 ETIQUETAS / 10000208287 - 15 ETIQUETAS</t>
  </si>
  <si>
    <t>22/05/2026 09:57</t>
  </si>
  <si>
    <t>e71aa8cd-f8fa-440a-9963-5332533207c9</t>
  </si>
  <si>
    <t>TECE COSTURAS E CONFECCOES LTDA</t>
  </si>
  <si>
    <t>teceuzl@hotmail.com</t>
  </si>
  <si>
    <t>Botão</t>
  </si>
  <si>
    <t>22/05/2026 09:58</t>
  </si>
  <si>
    <t>6055264b-e46a-4a9a-9df5-26d546b27816</t>
  </si>
  <si>
    <t>P - 82; M - 205; G - 205; GG - 164; XG - 82</t>
  </si>
  <si>
    <t>22/05/2026 10:01</t>
  </si>
  <si>
    <t>90b8fa28-554a-415f-aecc-5837b69b136b</t>
  </si>
  <si>
    <t>Babado</t>
  </si>
  <si>
    <t>babado da manga, veio danificado e será preciso enviar reposição para finalizar a op</t>
  </si>
  <si>
    <t>22/05/2026 10:02</t>
  </si>
  <si>
    <t>8060ef25-c687-45dc-ab42-2535faeeab43</t>
  </si>
  <si>
    <t>4640867a-42ef-461f-af4e-610169ff3003</t>
  </si>
  <si>
    <t>P - 96; M- 216; G - 216; GG - 192; XG - 96</t>
  </si>
  <si>
    <t>22/05/2026 10:04</t>
  </si>
  <si>
    <t>1daedc0a-91a5-44a8-81a1-03af92f11707</t>
  </si>
  <si>
    <t>8-9: 120</t>
  </si>
  <si>
    <t>22/05/2026 10:08</t>
  </si>
  <si>
    <t>ae9090a4-4073-4553-9f7f-16211c6e428a</t>
  </si>
  <si>
    <t>J M CONFECÇÕES &amp; CIA LTDA FILIAL</t>
  </si>
  <si>
    <t>Sjarlandia@hotmail.com</t>
  </si>
  <si>
    <t>22/05/2026 10:22</t>
  </si>
  <si>
    <t>e4f5d552-2efd-46f9-8f26-35f0d882de8a</t>
  </si>
  <si>
    <t>J M CONFECÇÕES &amp; CIA LTDA MATRIZ</t>
  </si>
  <si>
    <t>22/05/2026 10:23</t>
  </si>
  <si>
    <t>2bb794cc-b353-49d7-8ce8-bc9accda5ef7</t>
  </si>
  <si>
    <t xml:space="preserve">As etiquetas veio referente a um vestido infantil. </t>
  </si>
  <si>
    <t>22/05/2026 10:47</t>
  </si>
  <si>
    <t>aff21532-fa2c-457c-b322-22925fffbdf8</t>
  </si>
  <si>
    <t>10 rolos</t>
  </si>
  <si>
    <t>22/05/2026 12:45</t>
  </si>
  <si>
    <t>dfc416e5-6d11-4143-b1b7-cbab6371b198</t>
  </si>
  <si>
    <t xml:space="preserve">10 rolos </t>
  </si>
  <si>
    <t>Cor - 8184</t>
  </si>
  <si>
    <t>22/05/2026 12:46</t>
  </si>
  <si>
    <t>1fc065e5-478d-44f1-98a3-cc9d3e6661c1</t>
  </si>
  <si>
    <t>24 peças</t>
  </si>
  <si>
    <t>22/05/2026 12:58</t>
  </si>
  <si>
    <t>1a1b877c-7b1f-415e-8547-96c7ca24ebd7</t>
  </si>
  <si>
    <t>34 peças</t>
  </si>
  <si>
    <t>22/05/2026 13:03</t>
  </si>
  <si>
    <t>263c091e-3ff9-417a-94d0-8c75be1c0e41</t>
  </si>
  <si>
    <t>KSW CONFECÇÕES LTDA</t>
  </si>
  <si>
    <t>kswconfeccoesltda@gmail.com</t>
  </si>
  <si>
    <t>Material insuficiente enviado, todas ordens estão vindo com um baixíssimo volume de aviamentos.</t>
  </si>
  <si>
    <t>22/05/2026 13:12</t>
  </si>
  <si>
    <t>43b64ecb-7beb-4685-af57-94b452db43e5</t>
  </si>
  <si>
    <t>22/05/2026 13:16</t>
  </si>
  <si>
    <t>2669c960-d92a-4d63-9666-c250cf251a51</t>
  </si>
  <si>
    <t>3-44, 40-40 Par</t>
  </si>
  <si>
    <t>No caso 3 par tamanho 44 e 40 par tamanho 40</t>
  </si>
  <si>
    <t>22/05/2026 13:18</t>
  </si>
  <si>
    <t>4026d425-59d0-4d02-9f80-517a0c6c921d</t>
  </si>
  <si>
    <t>EVALBER DE CASTRO DANTAS ME</t>
  </si>
  <si>
    <t>evalber_dantas@hotmail.com</t>
  </si>
  <si>
    <t>Boa tarde, não veio cõs para 248 peças. TAM 48 - 31 PEÇAS, TAM 46 - 31 PEÇAS,  TAM 44- 62 PEÇAS, TAM 42 - 93 PEÇAS , TAM 38- 31 PEÇAS</t>
  </si>
  <si>
    <t>CÓS RETO ( ENTRADA - 11,0 CM/ SAÍDA - 4,2 CM)</t>
  </si>
  <si>
    <t>22/05/2026 13:29</t>
  </si>
  <si>
    <t>64869e26-11bb-4125-893c-70f16355fba8</t>
  </si>
  <si>
    <t>22/05/2026 13:41</t>
  </si>
  <si>
    <t>54477943-2af5-49ad-8ccb-11657ba06f2c</t>
  </si>
  <si>
    <t>S RAMOS DE AZEVEDO NETO CONFECCOES</t>
  </si>
  <si>
    <t>s.ramosconfeccoes@gmail.com</t>
  </si>
  <si>
    <t>Estamos precisando de filme plastico para passante</t>
  </si>
  <si>
    <t>8ab7f321-d1d9-46f1-9869-7bbc4440ace1</t>
  </si>
  <si>
    <t>M K INDUSTRIA TEXTIL LTDA</t>
  </si>
  <si>
    <t>5 Cones da textura 36 e 5 cones da textura 80</t>
  </si>
  <si>
    <t>22/05/2026 13:42</t>
  </si>
  <si>
    <t>99abb5d1-0541-4f64-ad88-80c65d3ca386</t>
  </si>
  <si>
    <t>F &amp; K FACCAO LTDA</t>
  </si>
  <si>
    <t>fc_faccao@yahoo.com.br</t>
  </si>
  <si>
    <t>20 - PP</t>
  </si>
  <si>
    <t>22/05/2026 13:52</t>
  </si>
  <si>
    <t>3a55d305-7b3f-4ae3-8b54-dcb218fabd8b</t>
  </si>
  <si>
    <t>22/05/2026 13:53</t>
  </si>
  <si>
    <t>fe2ed6ee-d367-43d8-8b3e-6afb20b6cfe1</t>
  </si>
  <si>
    <t>22/05/2026 13:55</t>
  </si>
  <si>
    <t>4869fed6-765f-45c1-917a-81a061a83791</t>
  </si>
  <si>
    <t>6-7=100</t>
  </si>
  <si>
    <t>22/05/2026 14:01</t>
  </si>
  <si>
    <t>b549e50c-c7c5-4825-8672-e024bf7834f6</t>
  </si>
  <si>
    <t>22/05/2026 14:04</t>
  </si>
  <si>
    <t>423f6a78-b423-4df7-b825-4c82e7f18a42</t>
  </si>
  <si>
    <t>AJG CONFECÇÕES LTDA</t>
  </si>
  <si>
    <t>ajgconfeccoes2021@gmail.com</t>
  </si>
  <si>
    <t>Viés de reforço</t>
  </si>
  <si>
    <t>é vies do decote 5,2 cm .</t>
  </si>
  <si>
    <t>22/05/2026 14:07</t>
  </si>
  <si>
    <t>9f887181-c3d1-4d95-9b0b-7c8a9d1434c1</t>
  </si>
  <si>
    <t>9/10-356; 6/7-178</t>
  </si>
  <si>
    <t>ziper vieram errados do que esta pedindo na ordem</t>
  </si>
  <si>
    <t>22/05/2026 14:20</t>
  </si>
  <si>
    <t>e842758b-379f-4258-a9d5-8e662e90d3ea</t>
  </si>
  <si>
    <t>GG=18/G=18/M=24/P=24/PP=12  TOTAL =96</t>
  </si>
  <si>
    <t>NÃO ENVIADA PELA GUARARAPES</t>
  </si>
  <si>
    <t>22/05/2026 14:43</t>
  </si>
  <si>
    <t>e682adac-efe1-4c48-ac9f-53f9aecf7674</t>
  </si>
  <si>
    <t>Manga</t>
  </si>
  <si>
    <t>G=18</t>
  </si>
  <si>
    <t>NÃO VEIO JUNTO COM A OP</t>
  </si>
  <si>
    <t>22/05/2026 14:46</t>
  </si>
  <si>
    <t>2c181b27-6eca-4b97-8860-75b75d85a386</t>
  </si>
  <si>
    <t>11/12-28; 8/9- 28</t>
  </si>
  <si>
    <t>22/05/2026 15:03</t>
  </si>
  <si>
    <t>14db4549-f2e5-4f76-801b-d059a696b179</t>
  </si>
  <si>
    <t>G4 CONFECCOES</t>
  </si>
  <si>
    <t>g4confeccao@gmail.com</t>
  </si>
  <si>
    <t>Enviar cós do 46 quantidade 110  cós 48 quantidade 85</t>
  </si>
  <si>
    <t>22/05/2026 15:04</t>
  </si>
  <si>
    <t>1f172dc3-754d-4361-a674-7c3000572242</t>
  </si>
  <si>
    <t>Lacres insuficientes.</t>
  </si>
  <si>
    <t>22/05/2026 15:10</t>
  </si>
  <si>
    <t>5676babb-381b-4b3e-901f-1e4035b1eec6</t>
  </si>
  <si>
    <t>ALINE RODRIGUES DE LIMA ARAUJO</t>
  </si>
  <si>
    <t>deboraclothing.textil@gmail.com</t>
  </si>
  <si>
    <t>tag de preço</t>
  </si>
  <si>
    <t xml:space="preserve">Não veio as tags de preço. </t>
  </si>
  <si>
    <t>22/05/2026 15:46</t>
  </si>
  <si>
    <t>55b822c2-edae-4256-8de8-249cf71ba520</t>
  </si>
  <si>
    <t xml:space="preserve">Reposição </t>
  </si>
  <si>
    <t>Estamos precisando de outra pistola,porque só uma não tá dando conta da produção!!!</t>
  </si>
  <si>
    <t>22/05/2026 16:28</t>
  </si>
  <si>
    <t>c667edf4-0be7-4df3-b7d3-58899e065f82</t>
  </si>
  <si>
    <t>AVIAMENTOS DESSA ORDEM FOI UTILIZADOS EM OUTRAS ORDENS ANTERIORES DO MESMO TOM DE LINHA E FIO</t>
  </si>
  <si>
    <t>22/05/2026 16:36</t>
  </si>
  <si>
    <t>3d0bb431-8848-4db0-a74e-5b65cd4c0f9e</t>
  </si>
  <si>
    <t>GG-110 XG-90</t>
  </si>
  <si>
    <t>VEIO FALTANDO</t>
  </si>
  <si>
    <t>22/05/2026 16:55</t>
  </si>
  <si>
    <t>74f6cf2e-c019-4126-880c-5ef51a58396f</t>
  </si>
  <si>
    <t>GG-90 XG-50</t>
  </si>
  <si>
    <t>22/05/2026 16:56</t>
  </si>
  <si>
    <t>61fa15a5-542b-4c9f-91a0-7b1f049e4b59</t>
  </si>
  <si>
    <t>Reprocesso (devolução para conserto na oficina)</t>
  </si>
  <si>
    <t xml:space="preserve">TAMANHO 48 - 13 PARES / TAMANHO 46 - 36 PARES / TAMANHO 44 -64 PARES / TAMANHO 42 - 88 PARES / TAMANHO 40 - 100 PARES / TAMANHO 38 - 100 PARES / TAMANHO 36 - 64 PARES / TAMANHO 34 - PARES </t>
  </si>
  <si>
    <t>22/05/2026 17:31</t>
  </si>
  <si>
    <t>b9d0a21f-4598-4690-aaa6-db33c1c88a8f</t>
  </si>
  <si>
    <t>396 PEÇAS</t>
  </si>
  <si>
    <t>12 ROLOS - ENTRADA DE 2,5 E SAIDA DE 1</t>
  </si>
  <si>
    <t>22/05/2026 17:34</t>
  </si>
  <si>
    <t>82f1fe6e-5aff-420f-88d7-90eae3708f84</t>
  </si>
  <si>
    <t xml:space="preserve">Reposição para 600 peças </t>
  </si>
  <si>
    <t>25/05/2026 07:11</t>
  </si>
  <si>
    <t>61c65a4b-b1ab-40b6-989e-98e5c79f9c05</t>
  </si>
  <si>
    <t>25/05/2026 07:15</t>
  </si>
  <si>
    <t>d31f2bc6-6831-4384-b95a-4dc7cbfa25c5</t>
  </si>
  <si>
    <t>25/05/2026 07:23</t>
  </si>
  <si>
    <t>51e4c61d-4cdd-4689-9759-251e2b9ae2f8</t>
  </si>
  <si>
    <t>10 cones de linhas</t>
  </si>
  <si>
    <t>25/05/2026 07:31</t>
  </si>
  <si>
    <t>290d201d-5eae-49f2-9e36-3c36856908f5</t>
  </si>
  <si>
    <t>MATERIAL INSUFICIENTE</t>
  </si>
  <si>
    <t>25/05/2026 07:48</t>
  </si>
  <si>
    <t>d8705ac8-57c2-4848-bfba-4ea3b4d2f7cc</t>
  </si>
  <si>
    <t>Material insuficiente</t>
  </si>
  <si>
    <t>25/05/2026 07:49</t>
  </si>
  <si>
    <t>e3effcf3-3931-411a-9f07-887ec86c35eb</t>
  </si>
  <si>
    <t>ETIQUETA DISNEY</t>
  </si>
  <si>
    <t>25/05/2026 08:01</t>
  </si>
  <si>
    <t>aed4344e-f681-4d17-8b27-1483bea5448d</t>
  </si>
  <si>
    <t>25/05/2026 08:02</t>
  </si>
  <si>
    <t>8f4878b1-535a-4c0c-93dd-e01d8a2d5c13</t>
  </si>
  <si>
    <t>25/05/2026 08:05</t>
  </si>
  <si>
    <t>f7968a52-0ad7-4893-bb26-6fedbb59e588</t>
  </si>
  <si>
    <t>GOLA RODADA</t>
  </si>
  <si>
    <t>25/05/2026 08:17</t>
  </si>
  <si>
    <t>8ac90d14-0d8d-4b2c-b0fe-5be67796d723</t>
  </si>
  <si>
    <t>DONA TICA MATRIZ</t>
  </si>
  <si>
    <t>25/05/2026 08:20</t>
  </si>
  <si>
    <t>019d90da-c6c0-431a-8096-59f6ecaa9940</t>
  </si>
  <si>
    <t>Gola e punho</t>
  </si>
  <si>
    <t>2 golas tamanho P</t>
  </si>
  <si>
    <t>25/05/2026 08:34</t>
  </si>
  <si>
    <t>0d87034b-a1f0-4fbd-9dcc-07a4b1323bf4</t>
  </si>
  <si>
    <t>Material da ordem: 10000114787, estou colocando aqui nas observações o numero do material, pois na aba m,aterial só consigo no maximo digitar 8 numeos. Faltou todas as bandeirolas do tamanho 52. Quantidade 19 unidades</t>
  </si>
  <si>
    <t>25/05/2026 09:14</t>
  </si>
  <si>
    <t>3ff4620f-c56d-4116-893e-0b5dd3856dc8</t>
  </si>
  <si>
    <t>IDEAL CONFECCOES LTDA</t>
  </si>
  <si>
    <t>idealconfecltda@gmail.com</t>
  </si>
  <si>
    <t>PENTE</t>
  </si>
  <si>
    <t>PENTE PARA PISTOLA DE TAGS</t>
  </si>
  <si>
    <t>25/05/2026 10:30</t>
  </si>
  <si>
    <t>8347fd3f-c6e1-44a9-8bc2-456759e2e6b5</t>
  </si>
  <si>
    <t>JUCURUTU TEXTIL LTDA ME</t>
  </si>
  <si>
    <t>jucurututextil@gmail.com</t>
  </si>
  <si>
    <t xml:space="preserve">SOLICITO BOLSO TRASEIRO BTA NO PLANO COR PRETA NÃO E JEANS POIS NÃO TEM A OPÇÃO DE COLOCAR </t>
  </si>
  <si>
    <t>19 pares de bolso  traseiro do tamanho 42   /  57 pares de bolso traseiro do tamanho 40 do 2ºenfestobolso traseiro tamanho 40</t>
  </si>
  <si>
    <t xml:space="preserve">ESTOU REPOSIÇAO DE BOLSO BTA TECIDO PLANO COR PRETA POIS O MSM NÃO VEIO DA GUARARAPES </t>
  </si>
  <si>
    <t>25/05/2026 10:31</t>
  </si>
  <si>
    <t>d8e89846-a45d-4c91-b6e6-beb000fb59d1</t>
  </si>
  <si>
    <t>GG-80; XG-40</t>
  </si>
  <si>
    <t>25/05/2026 10:42</t>
  </si>
  <si>
    <t>50f073a7-bdec-431a-b928-3ae1b79d8563</t>
  </si>
  <si>
    <t>25/05/2026 10:43</t>
  </si>
  <si>
    <t>cd2aef80-f77c-4b2a-a6f0-0b472556b98c</t>
  </si>
  <si>
    <t>GG-226; XG-113</t>
  </si>
  <si>
    <t>4069544f-4c15-43e0-ac1f-fb5c045cd50b</t>
  </si>
  <si>
    <t>GG-15; G-38; M-40; P-15</t>
  </si>
  <si>
    <t>25/05/2026 10:44</t>
  </si>
  <si>
    <t>b176ccd9-8fdd-4518-b6c5-4e5fc1164294</t>
  </si>
  <si>
    <t>25/05/2026 10:54</t>
  </si>
  <si>
    <t>dc2f5e19-104f-4dcb-afe6-7872164853ff</t>
  </si>
  <si>
    <t>LINHA 100%PES TIT25 C.PT PR8001</t>
  </si>
  <si>
    <t>25/05/2026 10:55</t>
  </si>
  <si>
    <t>1551a1b9-2b67-40ec-8b9f-c4f28ad16c65</t>
  </si>
  <si>
    <t>25/05/2026 10:57</t>
  </si>
  <si>
    <t>6bc460bf-04e0-4ddd-811e-bfa42e556450</t>
  </si>
  <si>
    <t>LACRE</t>
  </si>
  <si>
    <t xml:space="preserve">PARA 998 PEÇAS </t>
  </si>
  <si>
    <t xml:space="preserve">ACABOU </t>
  </si>
  <si>
    <t>ACABOU OS LACRE</t>
  </si>
  <si>
    <t>22f3702b-d988-4c46-8532-adae0934a526</t>
  </si>
  <si>
    <t>52-180; 50-120; 48-60</t>
  </si>
  <si>
    <t>chegaram com defeitos</t>
  </si>
  <si>
    <t>6fb5cc5a-fdfc-49ac-baf5-a50d45f2dbb9</t>
  </si>
  <si>
    <t>PAPEL FILME PARA FUSIONAR PASSANTES</t>
  </si>
  <si>
    <t>ACABOU</t>
  </si>
  <si>
    <t>ACABOU O PAPEL FILME DE FUSIONAR PASSANTES</t>
  </si>
  <si>
    <t>25/05/2026 11:12</t>
  </si>
  <si>
    <t>dcfc30a9-14ac-4b20-95b4-8636e082825b</t>
  </si>
  <si>
    <t>A reposição da Ordem 300261963 chegou, porém enviaram preto e a OP é nude.</t>
  </si>
  <si>
    <t>25/05/2026 11:49</t>
  </si>
  <si>
    <t>ac538969-6a63-44ee-87c8-c8329346a857</t>
  </si>
  <si>
    <t>Vivo</t>
  </si>
  <si>
    <t>Os traseiros estão com defeitos</t>
  </si>
  <si>
    <t>25/05/2026 12:47</t>
  </si>
  <si>
    <t>b7f17dde-df4c-487f-85e6-647880800d5f</t>
  </si>
  <si>
    <t>acabou</t>
  </si>
  <si>
    <t>cde2d0b6-98af-4629-9514-ff3e4c5fc57c</t>
  </si>
  <si>
    <t>PRECISANDO</t>
  </si>
  <si>
    <t>ESTOU PRECISANDO</t>
  </si>
  <si>
    <t>25/05/2026 12:55</t>
  </si>
  <si>
    <t>d43f8575-daea-41a2-a0fe-ad1ad8209fb9</t>
  </si>
  <si>
    <t>J. S. &amp; SILVA LTDA</t>
  </si>
  <si>
    <t>js.silva6815@gmail.com</t>
  </si>
  <si>
    <t>25/05/2026 13:15</t>
  </si>
  <si>
    <t>9f6f49c8-f81c-4c47-9ca6-ae67eebf142d</t>
  </si>
  <si>
    <t>a23f9ea2-90a7-4149-89f7-e13dd72f383a</t>
  </si>
  <si>
    <t>55-GG, 55 - XG</t>
  </si>
  <si>
    <t>25/05/2026 13:17</t>
  </si>
  <si>
    <t>829da0fb-c7e7-437a-bfb0-8b658c364b9a</t>
  </si>
  <si>
    <t>25/05/2026 13:29</t>
  </si>
  <si>
    <t>78959e84-bad2-46a3-a613-2e1a4832ceeb</t>
  </si>
  <si>
    <t xml:space="preserve">acabou </t>
  </si>
  <si>
    <t>25/05/2026 13:43</t>
  </si>
  <si>
    <t>7dc5432c-c2fc-479f-8b49-0d2e2d429ca0</t>
  </si>
  <si>
    <t>25/05/2026 13:46</t>
  </si>
  <si>
    <t>481eb260-e924-481e-a410-a1fe2ba7ac2b</t>
  </si>
  <si>
    <t>UNIAO CONFECCOES LTDA ME</t>
  </si>
  <si>
    <t>uniaoconfeccao.me@gmail.com</t>
  </si>
  <si>
    <t>25/05/2026 13:47</t>
  </si>
  <si>
    <t>bc2f5052-ccaa-4127-8e4b-010061314a15</t>
  </si>
  <si>
    <t>tamanho M</t>
  </si>
  <si>
    <t>25/05/2026 14:01</t>
  </si>
  <si>
    <t>0b1529fe-3b59-44a3-873e-140728a92bbb</t>
  </si>
  <si>
    <t>tamanho P</t>
  </si>
  <si>
    <t>e176aaec-12d6-4cb4-b44c-8c4850b4ec84</t>
  </si>
  <si>
    <t>M K DE AZEVEDO MEDEIROS INDUSTRIA TEXTIL</t>
  </si>
  <si>
    <t>mkdeazevedomedeiros@gmail.com</t>
  </si>
  <si>
    <t>só recebemos 3 cones, e essa linha é pra chuleado tbm</t>
  </si>
  <si>
    <t>25/05/2026 14:17</t>
  </si>
  <si>
    <t>70894ca0-b1c4-45ed-9f99-944795a2c4a0</t>
  </si>
  <si>
    <t>FELCONFECCAO@GMAIL.COM</t>
  </si>
  <si>
    <t>DEFEITO</t>
  </si>
  <si>
    <t>25/05/2026 15:29</t>
  </si>
  <si>
    <t>fd38b914-28cd-4e67-a5bc-854261450111</t>
  </si>
  <si>
    <t>25/05/2026 15:47</t>
  </si>
  <si>
    <t>d529c216-00ff-474a-92ec-866c685fb9ca</t>
  </si>
  <si>
    <t>xg-75,gg-70,g-150,pp-120</t>
  </si>
  <si>
    <t>25/05/2026 16:05</t>
  </si>
  <si>
    <t>9e2b9ca1-b6dd-472d-bc70-e87d7ca7ed0f</t>
  </si>
  <si>
    <t>ELÁSTICO PARA 966 PEÇAS</t>
  </si>
  <si>
    <t>25/05/2026 16:11</t>
  </si>
  <si>
    <t>cb7ba26d-f79e-4d67-9a6e-3ca65dc5474b</t>
  </si>
  <si>
    <t>POR FAVOR, MANDEM A MATRIZ PARA PREGARMOS OS BOTÕES, NÃO TEMOS ELA NA OFICINA!!!!!!!</t>
  </si>
  <si>
    <t>25/05/2026 16:15</t>
  </si>
  <si>
    <t>f92a5887-1cc7-4a85-b741-d8eb5366cb07</t>
  </si>
  <si>
    <t xml:space="preserve">POR FAVOR MANDEM A MATRIZ PARA PREGARMOS OS BOTÕES, POIS NÃO TEMOS ELA NA OFICINA </t>
  </si>
  <si>
    <t>25/05/2026 16:18</t>
  </si>
  <si>
    <t>b84018fd-eb0d-4cf3-bd1e-2f78c0313bb3</t>
  </si>
  <si>
    <t>5 cones</t>
  </si>
  <si>
    <t>Pedido de 5 Cones da LINHA 100%PES TÍT80 S.728 132803. Código: 000000010000063062.  Total do pedido: 5 cones.</t>
  </si>
  <si>
    <t>25/05/2026 16:21</t>
  </si>
  <si>
    <t>d6893fd8-61d5-47af-b28f-18e08fef09a8</t>
  </si>
  <si>
    <t>19 PARES DE BOLSO TRASEIRO DO TAMANHO 42/ 57 PARES DE BOLSO TRASEIRO DO TAMANHO 40</t>
  </si>
  <si>
    <t>Bolso traseiro, não tinha a opção na solicitação por isso coloquei traseiro</t>
  </si>
  <si>
    <t>25/05/2026 16:33</t>
  </si>
  <si>
    <t>30bd16ab-8bc6-4c81-aabf-1155995a397c</t>
  </si>
  <si>
    <t>3.660 - SÃO 3 BOTÕES PARA CADA PEÇA</t>
  </si>
  <si>
    <t>POR FAVOR MANDEM A MATRIZ PARA PREGARMOS OS BOTÕES, POIS NÃO TEMOS ELA NA OFICINA</t>
  </si>
  <si>
    <t>25/05/2026 16:45</t>
  </si>
  <si>
    <t>ceccfee2-4999-4c2e-a595-944e390e4444</t>
  </si>
  <si>
    <t>25/05/2026 16:51</t>
  </si>
  <si>
    <t>4dc6a1a0-bc13-4d85-84e7-241c3921fbb7</t>
  </si>
  <si>
    <t>25/05/2026 16:52</t>
  </si>
  <si>
    <t>9160458d-8774-41df-be6a-4e7daebdd4b4</t>
  </si>
  <si>
    <t xml:space="preserve">Estou precisando de caixas ou artoks vazios para envio das ordens e de sacos também. </t>
  </si>
  <si>
    <t>25/05/2026 16:54</t>
  </si>
  <si>
    <t>cadbc676-d771-4086-8d39-7e1077fcc700</t>
  </si>
  <si>
    <t xml:space="preserve">Caixas ou artks vazios e sacos para devolução da ordem. </t>
  </si>
  <si>
    <t>25/05/2026 16:55</t>
  </si>
  <si>
    <t>9c7262bd-b174-44c3-accc-1fbd4bbe4baa</t>
  </si>
  <si>
    <t>25/05/2026 16:56</t>
  </si>
  <si>
    <t>ef1ff408-eaa5-4918-9186-951ab7b91ca5</t>
  </si>
  <si>
    <t>550f34e6-3ea0-481e-94d7-ad7e9dbd3fa3</t>
  </si>
  <si>
    <t>25/05/2026 16:57</t>
  </si>
  <si>
    <t>ca290560-5324-4a87-902d-38d8797e0df4</t>
  </si>
  <si>
    <t xml:space="preserve">Artks, caixas e sacos vazios para devolução de ordem. </t>
  </si>
  <si>
    <t>25/05/2026 16:59</t>
  </si>
  <si>
    <t>971404c9-d826-4c96-96a4-5bdc4241e004</t>
  </si>
  <si>
    <t xml:space="preserve">Caixas, artks e sacos vazios para devolução da ordem. </t>
  </si>
  <si>
    <t>25/05/2026 17:00</t>
  </si>
  <si>
    <t>1444f2a1-3f00-4757-9a68-33c5d106c038</t>
  </si>
  <si>
    <t>potengitextil@outloo.com.br</t>
  </si>
  <si>
    <t xml:space="preserve">Artoks, caixas e sacos vazio para devolução da ordem. </t>
  </si>
  <si>
    <t>25/05/2026 17:01</t>
  </si>
  <si>
    <t>ed8ee164-fb50-4d3e-b1f6-15e535f28565</t>
  </si>
  <si>
    <t>GG-260; G-312; M-364; P-312; PP-208</t>
  </si>
  <si>
    <t>25/05/2026 17:03</t>
  </si>
  <si>
    <t>27000d77-b0a6-42db-9e9a-363859e3d2a3</t>
  </si>
  <si>
    <t xml:space="preserve">Saco grande de colocar nas artok </t>
  </si>
  <si>
    <t xml:space="preserve">Estamos precisando de sacos grandes pra colocar na artok </t>
  </si>
  <si>
    <t>25/05/2026 17:13</t>
  </si>
  <si>
    <t>4b629a2d-455f-4f63-baad-fefb79184805</t>
  </si>
  <si>
    <t xml:space="preserve">VIÉS DE BOLSO DE 2.5cm </t>
  </si>
  <si>
    <t>25/05/2026 17:16</t>
  </si>
  <si>
    <t>24ab77ea-6b61-44b4-8d57-678587b384e2</t>
  </si>
  <si>
    <t>NOEL PEREIRA DE AZEVEDO CONFECCAO</t>
  </si>
  <si>
    <t>noelpazevedo@gmail.com</t>
  </si>
  <si>
    <t>1315, tamanho 15-1210, tamanho 16-133</t>
  </si>
  <si>
    <t xml:space="preserve">O material não veio junto com a ordem </t>
  </si>
  <si>
    <t>25/05/2026 17:50</t>
  </si>
  <si>
    <t>468d75c3-d455-44f5-b5d8-5e5e8dc2c1c3</t>
  </si>
  <si>
    <t xml:space="preserve">Não vei junto com a ordem os cadarços de reforço das lapelas </t>
  </si>
  <si>
    <t>25/05/2026 17:56</t>
  </si>
  <si>
    <t>c7471827-d42f-4437-aa1e-34eeb73088b7</t>
  </si>
  <si>
    <t xml:space="preserve">Está faltando </t>
  </si>
  <si>
    <t>25/05/2026 17:59</t>
  </si>
  <si>
    <t>d446f128-b54d-44be-b477-8c59721c1329</t>
  </si>
  <si>
    <t>M. &amp; F. EMPREENDIMENTOS LTDA</t>
  </si>
  <si>
    <t>marceloleite.mafaldo03@gmail.com</t>
  </si>
  <si>
    <t>Forro</t>
  </si>
  <si>
    <t>Faltou pro tamanho 44</t>
  </si>
  <si>
    <t>25/05/2026 18:35</t>
  </si>
  <si>
    <t>8c88264d-e7e2-4ecd-b91d-b18a135d707e</t>
  </si>
  <si>
    <t>o passante recebido foi um jeans azul, a ordem é sarja cor bege</t>
  </si>
  <si>
    <t>26/05/2026 07:21</t>
  </si>
  <si>
    <t>ccdfbefe-1186-446a-91b0-a931a280c461</t>
  </si>
  <si>
    <t>26/05/2026 07:36</t>
  </si>
  <si>
    <t>eaed8c13-719d-4196-8011-1432c24df324</t>
  </si>
  <si>
    <t>26/05/2026 07:40</t>
  </si>
  <si>
    <t>a2f8af89-4adf-4a67-85b0-9f176c0c170e</t>
  </si>
  <si>
    <t xml:space="preserve">72 peças </t>
  </si>
  <si>
    <t>está faltando 1 lote de 18 peças frente do tamanho M - está faltando 2 lotes de 18 peças frente do tamanho P - está faltando 1 lote de 18 peças frente tamanho PP</t>
  </si>
  <si>
    <t>26/05/2026 08:09</t>
  </si>
  <si>
    <t>92c19ada-2a10-4ab4-a23b-8dd609a04c27</t>
  </si>
  <si>
    <t>50-5; 48-11; 46-17; 44-22; 42-28; 40-16; 38-11</t>
  </si>
  <si>
    <t>26/05/2026 08:12</t>
  </si>
  <si>
    <t>b1f99336-80a6-4487-af01-00a42f0f2089</t>
  </si>
  <si>
    <t>ACARI TÊXTIL LTDA</t>
  </si>
  <si>
    <t>acaritextil2801@gmail.com</t>
  </si>
  <si>
    <t>35 para o tamanho 4</t>
  </si>
  <si>
    <t>tamanho 4 - 35 etiquetas</t>
  </si>
  <si>
    <t>26/05/2026 08:56</t>
  </si>
  <si>
    <t>86dc6434-0918-451f-8a28-5dd3a7488801</t>
  </si>
  <si>
    <t>FFCONFECCOESOBRN@HOTMAIL.COM</t>
  </si>
  <si>
    <t>A ORDEM ANTERIOR ELA FALTOU LINHA E FOI PRECISO PEGAR DESSA OUTRA</t>
  </si>
  <si>
    <t>26/05/2026 09:05</t>
  </si>
  <si>
    <t>c60acec4-d010-4a1f-a298-3d47b2112416</t>
  </si>
  <si>
    <t>N S CONSTANTINO</t>
  </si>
  <si>
    <t>neemias.sc@hotmail.com</t>
  </si>
  <si>
    <t>Cadarço Benef C0001 25mm PR8071</t>
  </si>
  <si>
    <t>26/05/2026 09:30</t>
  </si>
  <si>
    <t>21bf6f59-6278-4903-a206-495ad4de390b</t>
  </si>
  <si>
    <t>Frente e traseiro</t>
  </si>
  <si>
    <t>22 SENDO GG=2/G=4M=6 P=6 PP=4</t>
  </si>
  <si>
    <t>FALTOU PRA FINALIZAR A OP PRECISO TAMBEM DAS MANGAS</t>
  </si>
  <si>
    <t>26/05/2026 10:05</t>
  </si>
  <si>
    <t>f2dca06e-9616-46bc-9740-fe909cde6b1f</t>
  </si>
  <si>
    <t>F DA SILVA JUNIOR</t>
  </si>
  <si>
    <t>fortetecnologiatextil@gmail.com</t>
  </si>
  <si>
    <t>estamos sem lacres</t>
  </si>
  <si>
    <t>lacres urgente</t>
  </si>
  <si>
    <t>26/05/2026 10:08</t>
  </si>
  <si>
    <t>a9cca94b-7a30-4119-bd02-d6c35d504bee</t>
  </si>
  <si>
    <t>Gola e pé de gola</t>
  </si>
  <si>
    <t>Faltou o lote 45375443</t>
  </si>
  <si>
    <t>26/05/2026 10:15</t>
  </si>
  <si>
    <t>1cdc5c7d-d342-4e62-9d68-0aebb8da222a</t>
  </si>
  <si>
    <t>1- 231; 2-308; 3-308; 4-308; 5-231; 6-154 = 1540 PEÇAS</t>
  </si>
  <si>
    <t>NÃO VEIO NENHUM ELASTICO E NENHUM CODIGO</t>
  </si>
  <si>
    <t>26/05/2026 10:24</t>
  </si>
  <si>
    <t>983b0176-6e51-4518-869c-ee9b905dcd9a</t>
  </si>
  <si>
    <t>LIVIA REBOUCAS DE CARVALHO - ME</t>
  </si>
  <si>
    <t>EMPORIODAMODAMOSSORO@GMAIL.COM</t>
  </si>
  <si>
    <t>26/05/2026 10:33</t>
  </si>
  <si>
    <t>194a91f8-2f3b-4859-8913-025fe535c29b</t>
  </si>
  <si>
    <t>26/05/2026 10:34</t>
  </si>
  <si>
    <t>59d453de-5a9e-40c6-a8b5-114681ba2b69</t>
  </si>
  <si>
    <t xml:space="preserve">Não veio junto com a ordem </t>
  </si>
  <si>
    <t>26/05/2026 11:28</t>
  </si>
  <si>
    <t>e61cc0f6-17ec-4b9c-847e-c8835301f054</t>
  </si>
  <si>
    <t>48 - 2; 42 - 2</t>
  </si>
  <si>
    <t>26/05/2026 11:53</t>
  </si>
  <si>
    <t>90016661-e6ec-4945-86ac-ae55dd230ad0</t>
  </si>
  <si>
    <t>26/05/2026 12:54</t>
  </si>
  <si>
    <t>07261fe6-d68b-47e4-bf4a-3d95b37f9ea7</t>
  </si>
  <si>
    <t>26/05/2026 13:05</t>
  </si>
  <si>
    <t>3a7151b1-4e45-4ff9-ac23-cd0f2c1ae5e3</t>
  </si>
  <si>
    <t>ESTOU PRECISANDO DA PISTOLA PARA O USO NA CAMISA DA POLO</t>
  </si>
  <si>
    <t>26/05/2026 14:23</t>
  </si>
  <si>
    <t>4203f4f7-9bfa-4372-a938-a67fbb32e823</t>
  </si>
  <si>
    <t>26/05/2026 14:31</t>
  </si>
  <si>
    <t>c2f3d505-e246-4e1c-9933-f17f751b48b4</t>
  </si>
  <si>
    <t>6/7-136; 8/9-272</t>
  </si>
  <si>
    <t>26/05/2026 15:04</t>
  </si>
  <si>
    <t>d368797a-4234-44a5-a150-31528d0ae9f1</t>
  </si>
  <si>
    <t>ARAUJO E M CONFECCOES EIRELI</t>
  </si>
  <si>
    <t>samuelmedeiros074@hotmail.com</t>
  </si>
  <si>
    <t>FALTANDO</t>
  </si>
  <si>
    <t>.</t>
  </si>
  <si>
    <t>26/05/2026 15:23</t>
  </si>
  <si>
    <t>d290db73-d96a-4cf2-b892-1d58081d2727</t>
  </si>
  <si>
    <t>Vieram tres frentes lado esquerdo, faltando o lado direiro e tres trazeiros, e uma frente completa. TODAS NO TAMANHO 44</t>
  </si>
  <si>
    <t>26/05/2026 15:28</t>
  </si>
  <si>
    <t>3844e79b-cb90-4ab0-bb04-431572f5a234</t>
  </si>
  <si>
    <t>GG-35</t>
  </si>
  <si>
    <t>26/05/2026 15:43</t>
  </si>
  <si>
    <t>c4c21ed5-ac5f-46e8-876b-4a59ed830544</t>
  </si>
  <si>
    <t>G - 6</t>
  </si>
  <si>
    <t>Preciso de 6 partes da frente para finalizar a op</t>
  </si>
  <si>
    <t>26/05/2026 16:23</t>
  </si>
  <si>
    <t>a248f8ce-467e-4269-8ac8-bd8d488b4d6c</t>
  </si>
  <si>
    <t>3 cós 44 e 40 cós 40</t>
  </si>
  <si>
    <t>Reposição de 3 cós tamanho 44, e 40 cós tamanho 40.</t>
  </si>
  <si>
    <t>26/05/2026 16:43</t>
  </si>
  <si>
    <t>3c0c4059-a46e-4f98-96e2-a95d7f0112f3</t>
  </si>
  <si>
    <t xml:space="preserve">5 ETIQUETAS DE CÓS TAM 6-7 // 5 ETIQUETAS DE CÓS TAM 8-9 // 5 ETIQUETAS DE CÓS TAM 9-10 // 5 ETIQUETAS DE CÓS TAM 11-12 // 5 ETIQUETAS DE CÓS TAM 13-14 </t>
  </si>
  <si>
    <t>26/05/2026 17:10</t>
  </si>
  <si>
    <t>INCOMPLETA</t>
  </si>
  <si>
    <t>fb0b4985-d728-4e8e-9c74-a1d40a29d933</t>
  </si>
  <si>
    <t>tamanho GG =63 PEÇAS</t>
  </si>
  <si>
    <t>Material insuficiente para finalizar op</t>
  </si>
  <si>
    <t>26/05/2026 18:26</t>
  </si>
  <si>
    <t>f0645aa5-2735-4d61-9e67-b483bcae2743</t>
  </si>
  <si>
    <t>5 cones de linha (código: 10000063302)</t>
  </si>
  <si>
    <t>27/05/2026 07:22</t>
  </si>
  <si>
    <t>4f35d3f5-d130-4df4-8109-9d19a960ed84</t>
  </si>
  <si>
    <t xml:space="preserve">22 cones (código: 10000063062) só veio 3 cones para chuleado e travet, o consumo não está correto. </t>
  </si>
  <si>
    <t>27/05/2026 07:25</t>
  </si>
  <si>
    <t>COMPLETA</t>
  </si>
  <si>
    <t>753e8c32-efd1-40e6-9834-51a13b692f2d</t>
  </si>
  <si>
    <t>GG- 50</t>
  </si>
  <si>
    <t>27/05/2026 07:55</t>
  </si>
  <si>
    <t>c304c62b-3dae-4cff-88ca-764dd033bab3</t>
  </si>
  <si>
    <t>AGULHA DE PISTOLA</t>
  </si>
  <si>
    <t>QUEBROU</t>
  </si>
  <si>
    <t>ANEXEI UMA FOTO ALEATORIA, POIS NÃO ABRI NENHUM CHAMADO</t>
  </si>
  <si>
    <t>27/05/2026 07:56</t>
  </si>
  <si>
    <t>5f0dde00-0c58-4752-a604-ba14c8409740</t>
  </si>
  <si>
    <t>M-5; GG-5</t>
  </si>
  <si>
    <t>27/05/2026 07:58</t>
  </si>
  <si>
    <t>3ba9dbbc-6a7a-4336-89a3-6668bcd897ef</t>
  </si>
  <si>
    <t>SACOS PARA EMBALAR ORDENS</t>
  </si>
  <si>
    <t>30 SACOS</t>
  </si>
  <si>
    <t>27/05/2026 07:59</t>
  </si>
  <si>
    <t>a70f2d59-f9d5-4857-b8a7-2da164a8f2e4</t>
  </si>
  <si>
    <t>LINEA IND. COM. SER. CONFECCOES LTDA</t>
  </si>
  <si>
    <t>MLUCILEIDEC@HOTMAIL.COM</t>
  </si>
  <si>
    <t>27/05/2026 08:11</t>
  </si>
  <si>
    <t>00efcb54-3bc8-4695-a9d4-4956b232fe1f</t>
  </si>
  <si>
    <t>A. S. EMPREENDIMENTOS LTDA</t>
  </si>
  <si>
    <t>a.sempreendimentostextil@gmail.com</t>
  </si>
  <si>
    <t>acabou o filme de passente</t>
  </si>
  <si>
    <t>acabou o filme</t>
  </si>
  <si>
    <t>27/05/2026 08:23</t>
  </si>
  <si>
    <t>a006a023-9f77-45d3-9df6-0500ac3385bd</t>
  </si>
  <si>
    <t>acabou o lacre</t>
  </si>
  <si>
    <t>27/05/2026 08:25</t>
  </si>
  <si>
    <t>d8b31d9b-0fcc-452b-a159-e847f9117cb6</t>
  </si>
  <si>
    <t>PP-3</t>
  </si>
  <si>
    <t>27/05/2026 08:54</t>
  </si>
  <si>
    <t>3dcd4493-74f9-4fa4-9e34-73089bc34302</t>
  </si>
  <si>
    <t xml:space="preserve">as duas etiquetas do cós ( tamanho e fit). Ordem completa </t>
  </si>
  <si>
    <t>27/05/2026 09:57</t>
  </si>
  <si>
    <t>26f6c21d-0a11-49b4-8659-574ef13173d2</t>
  </si>
  <si>
    <t>NOVA CONFECCOES LTDA</t>
  </si>
  <si>
    <t>novaconfeccoes.0@hotmail.com</t>
  </si>
  <si>
    <t xml:space="preserve">Bolso dianteiro lado esquerdo-superior e inferior </t>
  </si>
  <si>
    <t>27/05/2026 10:08</t>
  </si>
  <si>
    <t>982cdce2-4b80-457b-8156-5d0f4d86f7c3</t>
  </si>
  <si>
    <t>XG - 16; GG - 16; G - 24; M - 24; P - 16</t>
  </si>
  <si>
    <t xml:space="preserve">Essa ordem veio faltando as frentes, as mangas e as golas do primeiro risco, total de 96 peças. </t>
  </si>
  <si>
    <t>27/05/2026 10:17</t>
  </si>
  <si>
    <t>441248c1-f4ca-496e-b11b-d7808ae7e259</t>
  </si>
  <si>
    <t>Essa ordem veio faltando as frentes, as mangas e as golas do primeiro risco, total de 96 peças.</t>
  </si>
  <si>
    <t>27/05/2026 10:21</t>
  </si>
  <si>
    <t>648c8106-82b1-499d-aba1-7b73371e25b3</t>
  </si>
  <si>
    <t>27/05/2026 10:22</t>
  </si>
  <si>
    <t>533902bc-8579-4efe-827c-9e91398d2450</t>
  </si>
  <si>
    <t>LEANDRO MATIAS DA SILVA - ME</t>
  </si>
  <si>
    <t>alfaequador@gmail.com</t>
  </si>
  <si>
    <t xml:space="preserve">papelão para fazer gabarito </t>
  </si>
  <si>
    <t>27/05/2026 10:46</t>
  </si>
  <si>
    <t>98d5a82c-c320-4772-b8b7-86f0434a29c4</t>
  </si>
  <si>
    <t>Frente está pintada (silk) com o tamanho da peça.</t>
  </si>
  <si>
    <t>SILK</t>
  </si>
  <si>
    <t>A frente de um lote de 44 peças (tamanho 9-10) veio com a pintura/silk de tamanho feita na frente da peça deste lote.</t>
  </si>
  <si>
    <t>27/05/2026 12:10</t>
  </si>
  <si>
    <t>ad9c3f8a-b22b-4bb9-9c5d-8f5c25f35b13</t>
  </si>
  <si>
    <t>GG-216; G-120; PP-50; PP-20</t>
  </si>
  <si>
    <t>27/05/2026 13:05</t>
  </si>
  <si>
    <t>afb8167f-ba75-435c-b0b5-58463344c059</t>
  </si>
  <si>
    <t>GG-336; XG-168</t>
  </si>
  <si>
    <t>27/05/2026 13:10</t>
  </si>
  <si>
    <t>d73eb9b4-d89b-49d2-90af-65bb77b2cc7d</t>
  </si>
  <si>
    <t>P-90</t>
  </si>
  <si>
    <t>27/05/2026 13:11</t>
  </si>
  <si>
    <t>28666e71-af21-4644-8b99-538640efa70d</t>
  </si>
  <si>
    <t>veio e etiqueta adulto</t>
  </si>
  <si>
    <t>29721a96-9c85-43bb-818f-07c04e9e25e1</t>
  </si>
  <si>
    <t>GG-100</t>
  </si>
  <si>
    <t>02bb130b-e25b-400c-87ac-4dffac8159db</t>
  </si>
  <si>
    <t>ETQ RCHLO TOP INFANTIL 65x12 TAM 1,2,3,4,5,6.</t>
  </si>
  <si>
    <t>27/05/2026 13:17</t>
  </si>
  <si>
    <t>7a5c0687-8ceb-4473-b3c0-975ba095f56a</t>
  </si>
  <si>
    <t>50.000/50.000</t>
  </si>
  <si>
    <t>9.LI001.036.151217/ 9.LI001.080.151217</t>
  </si>
  <si>
    <t>27/05/2026 13:26</t>
  </si>
  <si>
    <t>d959fea6-9d68-43ed-8160-d80759f6544a</t>
  </si>
  <si>
    <t>Pedido de 9 frentes do tamanho 2 (só o lado direito).  Pedido de 9 frente do tamanho 6 (só o lado esquerdo).  Total do pedido: 18 frentes  O Motivo do pedido, veio faltando, insuficiente para concluir a OP.</t>
  </si>
  <si>
    <t>Pedido de 9 frentes do tamanho 2 (só o lado direito).  Pedido de 9 frente do tamanho 6 (só o lado esquerdo).  Total do pedido: 18 frentes</t>
  </si>
  <si>
    <t>27/05/2026 13:45</t>
  </si>
  <si>
    <t>c99a6864-17f6-4493-9bec-fe300d105cff</t>
  </si>
  <si>
    <t>Bolso relógio</t>
  </si>
  <si>
    <t>50 (tam 36)</t>
  </si>
  <si>
    <t>veio faltando 50 bolso relógio, do tam 36</t>
  </si>
  <si>
    <t>732f1444-522d-4147-9070-9b908a7cbc63</t>
  </si>
  <si>
    <t>Pedido de 4 etiquetas de composição, tamanho 3.</t>
  </si>
  <si>
    <t>Pedido de 4 etiquetas de composição, tamanho 3.  Total do pedido: 4 etiquetas.</t>
  </si>
  <si>
    <t>27/05/2026 13:47</t>
  </si>
  <si>
    <t>e0843da6-a6f6-4e88-a387-419d76d673ba</t>
  </si>
  <si>
    <t>MARIONETE M DE A CAMARA - ME</t>
  </si>
  <si>
    <t>Bolso traseiro</t>
  </si>
  <si>
    <t>BOLSOS BORDADOS E VIERAM FALTANDO 20</t>
  </si>
  <si>
    <t>BORDADO</t>
  </si>
  <si>
    <t>TAM06-10, TAM03-07, TAM01-03</t>
  </si>
  <si>
    <t>27/05/2026 13:49</t>
  </si>
  <si>
    <t>0f700c7c-f254-48d1-80e2-20c473d471ce</t>
  </si>
  <si>
    <t>faccao_sales2010@hotmai.com</t>
  </si>
  <si>
    <t>27/05/2026 14:18</t>
  </si>
  <si>
    <t>c0375c5d-ce04-49c5-bedd-6f2a4eb54e09</t>
  </si>
  <si>
    <t>FALTOU O LOTE 4346886</t>
  </si>
  <si>
    <t>27/05/2026 14:21</t>
  </si>
  <si>
    <t>5d9d74bc-e017-4b82-bef3-87e7be09f788</t>
  </si>
  <si>
    <t>LINHA TITULO 36, COR 394</t>
  </si>
  <si>
    <t>27/05/2026 14:38</t>
  </si>
  <si>
    <t>2c56ce58-1061-4a9a-bcd3-8ff360a24a4a</t>
  </si>
  <si>
    <t>LINHA PARA 350 PEÇAS</t>
  </si>
  <si>
    <t>CÓDIGO - 10000072683</t>
  </si>
  <si>
    <t>27/05/2026 14:40</t>
  </si>
  <si>
    <t>957ecfeb-faa8-4ad1-a20f-417b654762e8</t>
  </si>
  <si>
    <t>s.a.confeccoesind@gmail.com</t>
  </si>
  <si>
    <t>Aviamento completo</t>
  </si>
  <si>
    <t>Aviamento enviado errado.</t>
  </si>
  <si>
    <t>27/05/2026 14:58</t>
  </si>
  <si>
    <t>47789398-8b10-4838-ab15-b59a3ec55b95</t>
  </si>
  <si>
    <t>FILME PLÁSTICO</t>
  </si>
  <si>
    <t>5 ROLOS DE FILME PLASTICO</t>
  </si>
  <si>
    <t>27/05/2026 15:00</t>
  </si>
  <si>
    <t>37f4c24f-a3e8-4afb-8045-d875abf80c27</t>
  </si>
  <si>
    <t>1 ROLO DE PAPEL KRAFT</t>
  </si>
  <si>
    <t>27/05/2026 15:01</t>
  </si>
  <si>
    <t>b0ed6601-8059-4baf-aca7-0e5e7b775bb9</t>
  </si>
  <si>
    <t>pp-60</t>
  </si>
  <si>
    <t>27/05/2026 15:04</t>
  </si>
  <si>
    <t>12d56050-9329-4af6-b2d9-98ef01d8757d</t>
  </si>
  <si>
    <t>M-200</t>
  </si>
  <si>
    <t>27/05/2026 15:05</t>
  </si>
  <si>
    <t>b445090c-5eee-4620-b2c6-580185fc8b0b</t>
  </si>
  <si>
    <t>27/05/2026 15:06</t>
  </si>
  <si>
    <t>3f8304d8-536f-4b9b-afc6-65e631304a17</t>
  </si>
  <si>
    <t>27/05/2026 15:08</t>
  </si>
  <si>
    <t>3575d03a-fec5-4398-b2a4-d345a6c7ca3f</t>
  </si>
  <si>
    <t>FACCAOELLO@HOTMAIL.COM</t>
  </si>
  <si>
    <t>FRENTE LADO ESQUERDO</t>
  </si>
  <si>
    <t>DEFEITO NO BORDADO</t>
  </si>
  <si>
    <t>27/05/2026 15:35</t>
  </si>
  <si>
    <t>08a9fe6c-827f-47c7-9efc-5719544da91f</t>
  </si>
  <si>
    <t xml:space="preserve">28 pares de manga tamanho GG, virem com defeito. </t>
  </si>
  <si>
    <t>27/05/2026 15:51</t>
  </si>
  <si>
    <t>9a4ad6ae-498c-4d08-80b0-fa9fd392fb78</t>
  </si>
  <si>
    <t xml:space="preserve">1680 botões, não veio na Op. </t>
  </si>
  <si>
    <t>27/05/2026 15:52</t>
  </si>
  <si>
    <t>0dd85438-cd14-4d76-8d94-aad218dd4eac</t>
  </si>
  <si>
    <t>1740 botões, não veio na OP</t>
  </si>
  <si>
    <t>27/05/2026 15:54</t>
  </si>
  <si>
    <t>aa7b6bb1-6d2a-4929-8067-cbda7ede039f</t>
  </si>
  <si>
    <t>3 CONES DE LINHA E 3 CONES DE FIO</t>
  </si>
  <si>
    <t>27/05/2026 15:55</t>
  </si>
  <si>
    <t>c456346c-6bdc-448d-ab9f-2ba9ef8ab86e</t>
  </si>
  <si>
    <t xml:space="preserve">742 botões, não veio na op </t>
  </si>
  <si>
    <t>27/05/2026 15:56</t>
  </si>
  <si>
    <t>2d2069a5-8544-4152-8e33-59758b6141ec</t>
  </si>
  <si>
    <t>LACRE PARA EMBALAR OP</t>
  </si>
  <si>
    <t>100 LACRES</t>
  </si>
  <si>
    <t>LACRE PARA EMBALAR ORDEM</t>
  </si>
  <si>
    <t>27/05/2026 16:07</t>
  </si>
  <si>
    <t>df618f05-043c-4eea-80f9-a8cb349e68ec</t>
  </si>
  <si>
    <t>27/05/2026 16:09</t>
  </si>
  <si>
    <t>4eaedd01-f749-4244-9325-7c6e99cb711e</t>
  </si>
  <si>
    <t>1af4d640-780b-485c-a341-9f41e2f2bb20</t>
  </si>
  <si>
    <t>27/05/2026 16:13</t>
  </si>
  <si>
    <t>9e117235-cfea-4ce7-8b79-2fdc440aec1c</t>
  </si>
  <si>
    <t>5 ETIQUETAS DE CÓS TAM 9-10 // 5 ETIQUETAS DE CÓS TAM 11-12 // 5 ETIQUETAS DE CÓS TAM 13-14</t>
  </si>
  <si>
    <t>27/05/2026 16:20</t>
  </si>
  <si>
    <t>ba181006-232e-44a8-b7d2-5e72802fd9dd</t>
  </si>
  <si>
    <t>XG-16</t>
  </si>
  <si>
    <t>27/05/2026 16:49</t>
  </si>
  <si>
    <t>4aa264e6-032a-4149-aa7d-338b236340bd</t>
  </si>
  <si>
    <t>m-24</t>
  </si>
  <si>
    <t>27/05/2026 16:58</t>
  </si>
  <si>
    <t>f157025a-9cbb-4310-b7f3-e944f5c6c296</t>
  </si>
  <si>
    <t xml:space="preserve">Insuficiente para a quantidade de peças </t>
  </si>
  <si>
    <t xml:space="preserve">10000073272 - 9.LI001.036 / 10000073325 - 9.LI001.080 - 50.000 metros  cada linha </t>
  </si>
  <si>
    <t>27/05/2026 17:06</t>
  </si>
  <si>
    <t>eb68d84c-67a9-474a-bcdb-c87e61e24149</t>
  </si>
  <si>
    <t>linha tit 80 s.650  não veio ,codigo 10000063106</t>
  </si>
  <si>
    <t>linha tit 80 s.650</t>
  </si>
  <si>
    <t>27/05/2026 17:13</t>
  </si>
  <si>
    <t>f58dd7da-72f5-4d2d-bafe-eea213bc6b98</t>
  </si>
  <si>
    <t>22 ziper tamanho 15 cm codigo 100000211585</t>
  </si>
  <si>
    <t>material insuficiente pra concluir ordem</t>
  </si>
  <si>
    <t>27/05/2026 17:19</t>
  </si>
  <si>
    <t>3bb070df-1c9d-4d94-a534-d2aa0241868f</t>
  </si>
  <si>
    <t>MATERIAL COM DEFEITO NO CORTE</t>
  </si>
  <si>
    <t>25 PARES FRENTE / TAMANHOS 13/14 ANOS</t>
  </si>
  <si>
    <t>27/05/2026 17:30</t>
  </si>
  <si>
    <t>028ade82-d0a0-4263-b41b-a9e6fa720957</t>
  </si>
  <si>
    <t>LINHA 100%PES TÍT36 S.394 151213/-000000010000063328 - 9.LI001.036.151213/-LINHA PRO PESPONTO E CASEADO NA AGULHA - COR TÍT36 S.394 151213</t>
  </si>
  <si>
    <t>57394c96-1b0e-4e74-b02d-092306d4b8d0</t>
  </si>
  <si>
    <t>8e13ad6f-a559-4ed8-afe0-3d4a9559e73d</t>
  </si>
  <si>
    <t>27/05/2026 17:32</t>
  </si>
  <si>
    <t>2647714e-9058-415d-b9b2-8174414cd943</t>
  </si>
  <si>
    <t>F J DE AZEVEDO - ME</t>
  </si>
  <si>
    <t>fjdeazevedo@hotmail.com</t>
  </si>
  <si>
    <t>-Quant.: 61, Traseira Esquerda de quem veste, Tam.: 42-Quant.: 01, Traseira Esquerda de quem veste, Tam.: 46-Quant.: 01</t>
  </si>
  <si>
    <t>EU NÃO ENTENDI ISSO AQUI, MAS NA MANEIRA QUE ENVIEI O PEDIDO VOCES VÃO ENTENDER</t>
  </si>
  <si>
    <t>27/05/2026 18:02</t>
  </si>
  <si>
    <t>9de2ee16-1596-49e9-80a3-560e07ad074e</t>
  </si>
  <si>
    <t xml:space="preserve">Traseira Direita, Quant.: 120-Tam.: 44, Traseira esquerda, Quant.:59-Tam.: 44, Traseira direita, Quant.: 01-Tam.: 42, Traseira direita, Quant.: 01-Tam.: 46 </t>
  </si>
  <si>
    <t>Por favor desconsiderar o pedido 314 feito anterior, houve um nas quantidades solicitadas</t>
  </si>
  <si>
    <t>27/05/2026 18:14</t>
  </si>
  <si>
    <t>7c06be28-4653-4b41-891c-a70038de092a</t>
  </si>
  <si>
    <t>371 PARES DE FORRO PARA O BOLSO FACA</t>
  </si>
  <si>
    <t>40 pares de forro tamanho 'P' para o bolso faca / 139 pares de forro para bolso faca tamanho M / Faltou 137 pares de forro no tamanho G para o bolso faca / Tamanho XG: faltou 55 pares de forro</t>
  </si>
  <si>
    <t>27/05/2026 19:39</t>
  </si>
  <si>
    <t>ce66dffe-0eeb-4c22-9bdc-be843586d26f</t>
  </si>
  <si>
    <t>82 PARES DE VISTA</t>
  </si>
  <si>
    <t>55 pares de vista tamanho M / 27 pares de vista no tamanho G</t>
  </si>
  <si>
    <t>27/05/2026 19:43</t>
  </si>
  <si>
    <t>8d01e75c-bbae-4567-b0ba-a097192dd794</t>
  </si>
  <si>
    <t xml:space="preserve">Faltou viés de gola pra 200 peças </t>
  </si>
  <si>
    <t>28/05/2026 07:22</t>
  </si>
  <si>
    <t>3201bb23-cb33-49cf-981e-342cb87ad9f6</t>
  </si>
  <si>
    <t>TAMANHO M-116 PEÇAS</t>
  </si>
  <si>
    <t>28/05/2026 07:27</t>
  </si>
  <si>
    <t>e02cfa59-b9e4-4288-ab57-31e71706bc22</t>
  </si>
  <si>
    <t>I M DE OLIVEIRA SILVA</t>
  </si>
  <si>
    <t>imdeoliveirasilva-me@hotmail.com</t>
  </si>
  <si>
    <t>FAVOR NOS ENVIAR LINHA 100% PES TIT36 S.343 171501 - CODIGO DO AVIAMENTO 10000073238</t>
  </si>
  <si>
    <t>28/05/2026 07:46</t>
  </si>
  <si>
    <t>743c5d52-6887-4a01-ae23-2766b2f38ce3</t>
  </si>
  <si>
    <t>28/05/2026 07:56</t>
  </si>
  <si>
    <t>8da861cb-bde8-409f-9da0-1c79785ae3e2</t>
  </si>
  <si>
    <t>28/05/2026 07:59</t>
  </si>
  <si>
    <t>41e40158-7063-414b-a7ad-3c4c7891f7b9</t>
  </si>
  <si>
    <t>Traseiras esquerda, -Tam.: 46-Quant.:  59 peças peças</t>
  </si>
  <si>
    <t>A atado veio as 02 partes de um lado só,</t>
  </si>
  <si>
    <t>veio o atado com as 02 partes de um lado só</t>
  </si>
  <si>
    <t>28/05/2026 08:00</t>
  </si>
  <si>
    <t>62d11c10-754b-42be-afb2-0e0fe1f5f52d</t>
  </si>
  <si>
    <t>M DALISON DE MEDEIROS</t>
  </si>
  <si>
    <t>maciel.dalison@hotmail.com</t>
  </si>
  <si>
    <t>não veio</t>
  </si>
  <si>
    <t>70 etiquetas de composição tamanho 46</t>
  </si>
  <si>
    <t>28/05/2026 08:18</t>
  </si>
  <si>
    <t>a977fc77-00cd-4f66-9779-200c97a75462</t>
  </si>
  <si>
    <t>44pares  tamanho 42 , 66 pares tamanho 40 e 44 pares tamanho 36</t>
  </si>
  <si>
    <t xml:space="preserve">não veio </t>
  </si>
  <si>
    <t>28/05/2026 08:26</t>
  </si>
  <si>
    <t>5011935d-99cf-4314-95a4-5135f65f34e2</t>
  </si>
  <si>
    <t>15 cones de linha 50 cor 2257</t>
  </si>
  <si>
    <t>28/05/2026 08:31</t>
  </si>
  <si>
    <t>e1278497-c717-4b4c-a4b5-4afd0a18678f</t>
  </si>
  <si>
    <t>28/05/2026 08:54</t>
  </si>
  <si>
    <t>867fc9bb-1575-44e1-87b1-bfe409357f83</t>
  </si>
  <si>
    <t>28/05/2026 08:55</t>
  </si>
  <si>
    <t>4a5b34d6-c530-4554-ba53-a5698a663be3</t>
  </si>
  <si>
    <t>28/05/2026 08:56</t>
  </si>
  <si>
    <t>cb41cb5f-8714-4e1f-8d50-057f8ba7765a</t>
  </si>
  <si>
    <t>G-8</t>
  </si>
  <si>
    <t>28/05/2026 09:15</t>
  </si>
  <si>
    <t>0f98b2f5-6c7f-493d-9a4a-963446629fae</t>
  </si>
  <si>
    <t>155 TAMANHO 8-9</t>
  </si>
  <si>
    <t>FALTOU 155 ETIQUETAS TAMANHO 8-9</t>
  </si>
  <si>
    <t>28/05/2026 09:33</t>
  </si>
  <si>
    <t>cc4dfb3f-6d1a-49b3-bb6a-746c93ffa013</t>
  </si>
  <si>
    <t>mlucileidec@hotmail.com</t>
  </si>
  <si>
    <t>Cinto</t>
  </si>
  <si>
    <t>vieram somente a parte bordada. A parte inferior lisa esta faltando.</t>
  </si>
  <si>
    <t>28/05/2026 09:39</t>
  </si>
  <si>
    <t>bc952008-cea9-4134-9fe8-d9e2293add3b</t>
  </si>
  <si>
    <t>Estou precisando de filme plastico para passante, ja estou sem</t>
  </si>
  <si>
    <t>28/05/2026 09:40</t>
  </si>
  <si>
    <t>87f84908-e8bc-4c37-97e4-0f5a960d0053</t>
  </si>
  <si>
    <t>AMORIM &amp; PEDRO CONFECCOES LTDA - ME</t>
  </si>
  <si>
    <t>lacres</t>
  </si>
  <si>
    <t>28/05/2026 10:08</t>
  </si>
  <si>
    <t>1c69869b-6515-41ed-85f7-a76903e112ef</t>
  </si>
  <si>
    <t>28/05/2026 10:09</t>
  </si>
  <si>
    <t>15d17913-5a7b-4a65-84e4-76a4f9cb6ff0</t>
  </si>
  <si>
    <t>TOTAL: 720. GG- 72 G-144 M- 216 P- 216 PP- 72</t>
  </si>
  <si>
    <t xml:space="preserve">Falta de etiquetas do segundo e terceiro enfesto </t>
  </si>
  <si>
    <t>28/05/2026 10:15</t>
  </si>
  <si>
    <t>44e6bef1-c2d9-4796-adf8-d690ccfab2e7</t>
  </si>
  <si>
    <t>W A 2 CONFECCOES LTDA</t>
  </si>
  <si>
    <t>wag-almeida@hotmail.com</t>
  </si>
  <si>
    <t>36-10; 40-5; 38-10</t>
  </si>
  <si>
    <t>não enviado!</t>
  </si>
  <si>
    <t>28/05/2026 10:33</t>
  </si>
  <si>
    <t>8c1a9ce1-fb41-45d6-9efa-1fe36eec1d20</t>
  </si>
  <si>
    <t>10000072128 - ETIQUETA BABY/KIDS</t>
  </si>
  <si>
    <t>28/05/2026 10:37</t>
  </si>
  <si>
    <t>79853aa0-c0dc-436b-8c24-c3e0a0798c8c</t>
  </si>
  <si>
    <t>TAMANHO 1-3: 25 FRENTES COMPLETAS</t>
  </si>
  <si>
    <t>28/05/2026 10:39</t>
  </si>
  <si>
    <t>2e59ff60-6575-4ff8-856c-bcc959cc0ebe</t>
  </si>
  <si>
    <t>material não enviado pela guararapes, o material veio trocado.</t>
  </si>
  <si>
    <t>códigos de av: TÍT:36 -10000073313/ TÍT: 80 - 10000072683</t>
  </si>
  <si>
    <t>28/05/2026 10:44</t>
  </si>
  <si>
    <t>7eaf40b4-02ed-415e-bfa6-2e99a171f69a</t>
  </si>
  <si>
    <t>ETIQUETA DE CÓS</t>
  </si>
  <si>
    <t>38-16; 40-46; 42-46; 44-8; 46-8; 48-8; 50-8; 52-8</t>
  </si>
  <si>
    <t>CÓDIGO DE AV: 10000069278</t>
  </si>
  <si>
    <t>28/05/2026 10:48</t>
  </si>
  <si>
    <t>9cf25776-bc29-4d6e-9631-83c8cc79662b</t>
  </si>
  <si>
    <t>DIAS E ALVES CONFECCOES LTDA</t>
  </si>
  <si>
    <t>ocalves3@gmail.com</t>
  </si>
  <si>
    <t xml:space="preserve">não veio essas traseira </t>
  </si>
  <si>
    <t>28/05/2026 13:06</t>
  </si>
  <si>
    <t>be0b3d05-2893-4210-ae97-46c5cf882681</t>
  </si>
  <si>
    <t>acaritextil@gmail.com</t>
  </si>
  <si>
    <t>21-13cm/42-14cm  =63 zipers</t>
  </si>
  <si>
    <t xml:space="preserve">10000065697-9.Z0201.013 / 10000163169-9.Z0201.014 - ZIPER MET MEDIO FIXO </t>
  </si>
  <si>
    <t>28/05/2026 13:34</t>
  </si>
  <si>
    <t>14a933ac-74aa-43fc-8c39-fa1545fb850e</t>
  </si>
  <si>
    <t xml:space="preserve">21 - 13CM / 42 - 14CM = 63 </t>
  </si>
  <si>
    <t>10000241454 - 9.Z0756.013 / 10000241455 - 9.Z0756.014 - ZÍPER MET FIXO</t>
  </si>
  <si>
    <t>28/05/2026 13:38</t>
  </si>
  <si>
    <t>a314b95f-a853-4d09-a31b-4d831a89074f</t>
  </si>
  <si>
    <t>confeccoesgbdas@hotmaio.com</t>
  </si>
  <si>
    <t>M 158           G 273        GG 79        P 12      TOTAL 522</t>
  </si>
  <si>
    <t>PREÇO NÃO ENVIADO</t>
  </si>
  <si>
    <t>28/05/2026 13:52</t>
  </si>
  <si>
    <t>a272c73a-3d77-48b2-a6ec-c235e4f2f06f</t>
  </si>
  <si>
    <t>M 158 G 273 GG 79 P 12    TOTAL 522</t>
  </si>
  <si>
    <t xml:space="preserve">A COMPOSIÇÃO NÃO VEIO </t>
  </si>
  <si>
    <t>28/05/2026 13:55</t>
  </si>
  <si>
    <t>182a831c-804b-48a1-8c66-5b406297db12</t>
  </si>
  <si>
    <t>M 158 G 273 GG 79 P 12 TOTAL 522</t>
  </si>
  <si>
    <t xml:space="preserve">PREÇO NÃO VEIO </t>
  </si>
  <si>
    <t>28/05/2026 13:58</t>
  </si>
  <si>
    <t>483c85b9-9e7b-4a2a-809d-8693b861626e</t>
  </si>
  <si>
    <t>ESTAMOS SEM ARTOK</t>
  </si>
  <si>
    <t>28/05/2026 14:01</t>
  </si>
  <si>
    <t>1dbc8098-e99e-4888-a30b-155803916a34</t>
  </si>
  <si>
    <t>Perdigal</t>
  </si>
  <si>
    <t>TAMANHO 9/10: 30 UNIDADES</t>
  </si>
  <si>
    <t>28/05/2026 14:07</t>
  </si>
  <si>
    <t>cea1cabf-c790-48c3-aa10-12929a947c82</t>
  </si>
  <si>
    <t>6/7-170; 9/10-340</t>
  </si>
  <si>
    <t>Erro de cadastro</t>
  </si>
  <si>
    <t>28/05/2026 14:10</t>
  </si>
  <si>
    <t>f3dbfd45-2d1a-479c-af63-90cfae9e5671</t>
  </si>
  <si>
    <t>6/7-172; 9/10-357</t>
  </si>
  <si>
    <t>28/05/2026 14:14</t>
  </si>
  <si>
    <t>b6b48927-03dd-4fd4-b880-4caee685213b</t>
  </si>
  <si>
    <t>30 capas de artoks</t>
  </si>
  <si>
    <t xml:space="preserve">por favor, enviar as capas. Já fizemos a solicitação duas vezes e não veio </t>
  </si>
  <si>
    <t>28/05/2026 14:16</t>
  </si>
  <si>
    <t>75f8befc-2b17-4d66-b30c-8345a83a2814</t>
  </si>
  <si>
    <t>As bandeirolas do tamanho 52, na quantidade de 19 unidades não veio. Material da ordem: 10000114787, coloquei aqui o material, pois no local especificado não dava para digitar todos os números.</t>
  </si>
  <si>
    <t>28/05/2026 14:30</t>
  </si>
  <si>
    <t>00ef01a2-245e-4a19-a92d-3ad9f3156985</t>
  </si>
  <si>
    <t>Necessito de 21 pares de pala traseira no tamanho: 40 e 21 pares de palas traseiras no tamanho: 38</t>
  </si>
  <si>
    <t>28/05/2026 14:33</t>
  </si>
  <si>
    <t>1f3940db-6ca9-422a-a48f-d336958cbced</t>
  </si>
  <si>
    <t>LINHA TEX 80</t>
  </si>
  <si>
    <t>28/05/2026 14:41</t>
  </si>
  <si>
    <t>220543af-9099-4624-88e5-06a7be0f883e</t>
  </si>
  <si>
    <t xml:space="preserve">Verificamos que os viés não vai dá pra finalizar a ordem </t>
  </si>
  <si>
    <t>28/05/2026 14:47</t>
  </si>
  <si>
    <t>77abc2cc-3646-4e72-960e-3408ba5c1467</t>
  </si>
  <si>
    <t>XG-102</t>
  </si>
  <si>
    <t>PROBLEMA DE CORTE NAS MANGAS</t>
  </si>
  <si>
    <t>28/05/2026 15:00</t>
  </si>
  <si>
    <t>3bce0161-c324-441e-a07e-f2e59e880ac0</t>
  </si>
  <si>
    <t>ANTONIO IGOR DANTAS DE SOUZA</t>
  </si>
  <si>
    <t>artejeans23@gmail.com</t>
  </si>
  <si>
    <t>Cós insuficiente</t>
  </si>
  <si>
    <t>28/05/2026 15:27</t>
  </si>
  <si>
    <t>86e22c9d-08be-4528-97ad-62507cb85e3a</t>
  </si>
  <si>
    <t>SPAULOAZEVEDO@BOL.COM.BR</t>
  </si>
  <si>
    <t>O papelão esta acabando</t>
  </si>
  <si>
    <t>28/05/2026 15:31</t>
  </si>
  <si>
    <t>4d99d31f-004c-42d8-b58d-ace49db5e347</t>
  </si>
  <si>
    <t>tam 52-80 folha (entretelado).</t>
  </si>
  <si>
    <t>28/05/2026 15:32</t>
  </si>
  <si>
    <t>efa7c503-fd11-4446-9ab9-eb44b12f8e6c</t>
  </si>
  <si>
    <t>Temos poucos lacres</t>
  </si>
  <si>
    <t>28/05/2026 15:33</t>
  </si>
  <si>
    <t>21ca3f23-9fa8-4e53-a4c3-5e81628e1fa3</t>
  </si>
  <si>
    <t>Passante para 895 peças</t>
  </si>
  <si>
    <t>294621c8-172d-4de1-a107-7f846d11e320</t>
  </si>
  <si>
    <t>10-13cm</t>
  </si>
  <si>
    <t>10000065000-9.Z0127.013/ZIPER MT MEDIO NIQ FIXO</t>
  </si>
  <si>
    <t>28/05/2026 15:37</t>
  </si>
  <si>
    <t>e86246a1-0b38-4676-a2af-e39662f22068</t>
  </si>
  <si>
    <t>Passante para 895 peças (calças) devido a erro operacional</t>
  </si>
  <si>
    <t>28/05/2026 16:07</t>
  </si>
  <si>
    <t>85518b4d-d6d5-46e5-8377-c09f986f66eb</t>
  </si>
  <si>
    <t>M-3</t>
  </si>
  <si>
    <t>28/05/2026 16:26</t>
  </si>
  <si>
    <t>fdafe3e4-4529-4f33-bc38-2118791c01bd</t>
  </si>
  <si>
    <t>GG-2</t>
  </si>
  <si>
    <t>28/05/2026 16:28</t>
  </si>
  <si>
    <t>7c4f0dee-00aa-4080-a0ec-a94c67fde88e</t>
  </si>
  <si>
    <t>Traseiro para 34 peças. Tamanho 38.</t>
  </si>
  <si>
    <t>28/05/2026 16:34</t>
  </si>
  <si>
    <t>8e3b446f-7e47-4d20-8b62-e6152c132469</t>
  </si>
  <si>
    <t>etiqueta de composição tamanho 38</t>
  </si>
  <si>
    <t>28/05/2026 16:35</t>
  </si>
  <si>
    <t>b900c1f2-d876-4880-9482-f6cf1ab17bec</t>
  </si>
  <si>
    <t>Pedido de Pala para 34 peças. Tamanho 38.</t>
  </si>
  <si>
    <t>28/05/2026 16:38</t>
  </si>
  <si>
    <t>414e29bb-8bb8-4c66-b688-b5b66bee903d</t>
  </si>
  <si>
    <t>Bolso</t>
  </si>
  <si>
    <t>Pedido de Bolos para 34 peças. Tamanho 38.</t>
  </si>
  <si>
    <t>Pedido de Bolsos para 34 peças. Tamanho 38. (o motivo do pedido é porque só recebemos as frentes).</t>
  </si>
  <si>
    <t>28/05/2026 16:43</t>
  </si>
  <si>
    <t>b7e21a86-40d0-484b-9eb0-3bda88ab5e0e</t>
  </si>
  <si>
    <t>codigo 10000073278</t>
  </si>
  <si>
    <t>28/05/2026 16:59</t>
  </si>
  <si>
    <t>b98ffcc1-6e4e-4e00-a4f6-49bb76a2ec5a</t>
  </si>
  <si>
    <t>M. A. VIEIRA DE ALMEIDA - ME</t>
  </si>
  <si>
    <t>fernandoassu@gmail.com</t>
  </si>
  <si>
    <t>28/05/2026 17:03</t>
  </si>
  <si>
    <t>9fae7077-7061-4c63-854b-ec069d1ce858</t>
  </si>
  <si>
    <t>Pino</t>
  </si>
  <si>
    <t>29/05/2026 07:37</t>
  </si>
  <si>
    <t>037bd77d-5068-43dc-8e9c-f8df7d42edba</t>
  </si>
  <si>
    <t>20 etiquetas tamanho PP</t>
  </si>
  <si>
    <t>29/05/2026 07:43</t>
  </si>
  <si>
    <t>2f87fbe6-5264-41fe-b22e-aa902d356d93</t>
  </si>
  <si>
    <t>confeccaosaosebastiao@gmail.com</t>
  </si>
  <si>
    <t>25 etiquetas do tamanho  38.</t>
  </si>
  <si>
    <t>29/05/2026 08:16</t>
  </si>
  <si>
    <t>cd077cd9-2e48-4fd6-ad08-298715aede11</t>
  </si>
  <si>
    <t>Etiqueta de composição Tamanho 48-Quantidade 59 unidades</t>
  </si>
  <si>
    <t>29/05/2026 08:33</t>
  </si>
  <si>
    <t>2a28b414-9a3c-4034-a084-5896d779b7e2</t>
  </si>
  <si>
    <t xml:space="preserve">LINHA 100%PES TIT50 S.608 184029 </t>
  </si>
  <si>
    <t>29/05/2026 08:42</t>
  </si>
  <si>
    <t>7ff3ade4-acc0-4e4b-88b1-957f236a1693</t>
  </si>
  <si>
    <t>W.anny.k@hotmail.com</t>
  </si>
  <si>
    <t>29/05/2026 10:04</t>
  </si>
  <si>
    <t>63fd0e9a-eac2-435a-ae80-1a590a8699a9</t>
  </si>
  <si>
    <t>1 cone de linha cor 762, para etiquetas de marca e fit</t>
  </si>
  <si>
    <t>29/05/2026 10:05</t>
  </si>
  <si>
    <t>05150dca-3b77-4e93-88f8-db41202e1c70</t>
  </si>
  <si>
    <t>29/05/2026 10:39</t>
  </si>
  <si>
    <t>30bda7aa-f374-4ce2-8984-6fb50a71dddc</t>
  </si>
  <si>
    <t>Preciso de 5 partes da frente para finalizar a op</t>
  </si>
  <si>
    <t>29/05/2026 10:52</t>
  </si>
  <si>
    <t>3df1e292-a164-45f4-a570-4d1c95d47eff</t>
  </si>
  <si>
    <t>Wanny.k@hotmail.com</t>
  </si>
  <si>
    <t>VEIO FALTANDO NA 300265966 19 PECAS TAMANHO G</t>
  </si>
  <si>
    <t>29/05/2026 11:08</t>
  </si>
  <si>
    <t>d8ababd6-9e3c-4f9d-8acb-4552215390b4</t>
  </si>
  <si>
    <t>wanny.k@hotmail.com</t>
  </si>
  <si>
    <t>VEIO FALTANDO NA  ORDEM 300265966 AS MANGAS DO TAMANHO M-324</t>
  </si>
  <si>
    <t>29/05/2026 11:13</t>
  </si>
  <si>
    <t>a5cf7eb1-6318-4984-bbf8-9b1599e0667e</t>
  </si>
  <si>
    <t>PRECISO DE 19 FRENTE PARA A CAMISA DA POLO PRA O TAMANHO G</t>
  </si>
  <si>
    <t>29/05/2026 11:17</t>
  </si>
  <si>
    <t>d278b498-c603-4ad5-8a27-f6aef9231fd2</t>
  </si>
  <si>
    <t xml:space="preserve">PRECISO DE 324 MANCHA DA CAMISA POLO DO TAMNHO M </t>
  </si>
  <si>
    <t>29/05/2026 11:20</t>
  </si>
  <si>
    <t>0430336c-9a3c-4520-b474-5e09d65035a3</t>
  </si>
  <si>
    <t xml:space="preserve">FALTA TOTAL DE TODAS AS TAGS DE PREÇO. </t>
  </si>
  <si>
    <t>29/05/2026 11:22</t>
  </si>
  <si>
    <t>ecb7e2e7-96c1-4c32-946f-71c3919f417a</t>
  </si>
  <si>
    <t>91101ee9-1644-499e-8e54-42f93a2e5bdf</t>
  </si>
  <si>
    <t>insuficiente para finalizar op</t>
  </si>
  <si>
    <t>29/05/2026 12:52</t>
  </si>
  <si>
    <t>a6f6dd8f-9fd6-4b23-8666-d91791c9953c</t>
  </si>
  <si>
    <t xml:space="preserve">insuficiente </t>
  </si>
  <si>
    <t>29/05/2026 13:23</t>
  </si>
  <si>
    <t>433b0ede-6209-4ef9-b06c-fe4408d5ecca</t>
  </si>
  <si>
    <t>Não recebi os elásticos na ordem. Tamanhos: 1-108; 2-135; 3-162; 4-189; 5-189; 6-162.</t>
  </si>
  <si>
    <t>29/05/2026 13:28</t>
  </si>
  <si>
    <t>a237a34e-aa1a-4b11-bbff-3b4a95ee5f24</t>
  </si>
  <si>
    <t>TAMANHO 1</t>
  </si>
  <si>
    <t>29/05/2026 13:43</t>
  </si>
  <si>
    <t>f4bf83c9-e699-4a35-9353-2fc06156283b</t>
  </si>
  <si>
    <t>GG-10</t>
  </si>
  <si>
    <t>29/05/2026 13:53</t>
  </si>
  <si>
    <t>6e16fdde-ff4f-42d4-ad18-8e29660fca26</t>
  </si>
  <si>
    <t>FALTOU 22 TRASEIRO TAMANHO XG</t>
  </si>
  <si>
    <t>29/05/2026 13:59</t>
  </si>
  <si>
    <t>db991e26-62ba-4a6a-b6d2-4ef601e4c9b2</t>
  </si>
  <si>
    <t>G-80</t>
  </si>
  <si>
    <t>5196967d-51be-4baa-8f73-f4859f4bd8c6</t>
  </si>
  <si>
    <t>10 LINHAS</t>
  </si>
  <si>
    <t>29/05/2026 14:03</t>
  </si>
  <si>
    <t>467565dd-ec11-46ae-a0cb-f5b447825522</t>
  </si>
  <si>
    <t>29/05/2026 14:08</t>
  </si>
  <si>
    <t>010c0fbc-66ba-4c46-adfc-ad422ccf3067</t>
  </si>
  <si>
    <t>29/05/2026 14:10</t>
  </si>
  <si>
    <t>a7d35892-4b28-4c1c-9d0c-7fdabddc0720</t>
  </si>
  <si>
    <t>29/05/2026 14:36</t>
  </si>
  <si>
    <t>3adaba2e-c940-43ab-b8a5-d809a1ebe300</t>
  </si>
  <si>
    <t xml:space="preserve">15 cones de linha tit 80 s.650 , </t>
  </si>
  <si>
    <t>29/05/2026 14:49</t>
  </si>
  <si>
    <t>407e2701-1c78-4027-acb2-56ff66431993</t>
  </si>
  <si>
    <t>29/05/2026 14:53</t>
  </si>
  <si>
    <t>2e0c4077-a8c2-49d7-b13d-5f7bd7e2dd48</t>
  </si>
  <si>
    <t>29/05/2026 14:56</t>
  </si>
  <si>
    <t>d303fa75-0771-47fe-b618-a0c623b29159</t>
  </si>
  <si>
    <t>29/05/2026 14:58</t>
  </si>
  <si>
    <t>3d6ff8de-53e7-43af-b74e-f6c0562e4c0e</t>
  </si>
  <si>
    <t>29/05/2026 15:04</t>
  </si>
  <si>
    <t>048a6b8a-89f7-44b3-8ae2-68cbe9a0382d</t>
  </si>
  <si>
    <t>82 PARES DE VISTA - 55 pares de vista tamanho M / 27 pares de vista no tamanho G</t>
  </si>
  <si>
    <t>29/05/2026 15:30</t>
  </si>
  <si>
    <t>f5ad9685-d3a5-47c1-a203-4b158eceb50d</t>
  </si>
  <si>
    <t>371 PARES DE FORRO PARA O BOLSO FACA - 40 pares de forro tamanho 'P' para o bolso faca / 139 pares de forro para bolso faca tamanho M / Faltou 137 pares de forro no tamanho G para o bolso faca / Tamanho XG: faltou 55 pares de forro</t>
  </si>
  <si>
    <t>29/05/2026 15:34</t>
  </si>
  <si>
    <t>8ac62013-13ac-4089-9d00-8c6d2cadead7</t>
  </si>
  <si>
    <t>10000072129 - ETIQUETA 12-18.</t>
  </si>
  <si>
    <t>29/05/2026 15:35</t>
  </si>
  <si>
    <t>9c6fe440-57a8-4a5d-95e9-9782e2588281</t>
  </si>
  <si>
    <t>10 cones de linha 80 Código: 10000063146</t>
  </si>
  <si>
    <t>29/05/2026 15:52</t>
  </si>
  <si>
    <t>7a24be50-ae91-4013-b410-a510a6e448ff</t>
  </si>
  <si>
    <t>10000073297 - LINHA PARA TODA A ORDEM</t>
  </si>
  <si>
    <t>29/05/2026 15:54</t>
  </si>
  <si>
    <t>85b971d2-5ebd-4992-968e-c2ef566b0dd1</t>
  </si>
  <si>
    <t>100000073297 - LINHA PARA 520 PEÇAS</t>
  </si>
  <si>
    <t>29/05/2026 15:55</t>
  </si>
  <si>
    <t>e0730897-4403-4493-ac95-f84afa657ad9</t>
  </si>
  <si>
    <t>FORTETECNOLOGIATEXTIL@GMAIL.COM</t>
  </si>
  <si>
    <t>XG-20; GG-20;G-20; M-50; P-20</t>
  </si>
  <si>
    <t>ERRO OPERACIONAL NA OFICINA.</t>
  </si>
  <si>
    <t>29/05/2026 15:58</t>
  </si>
  <si>
    <t>e2f86ee2-ee4a-4fcf-828f-508e2a08bc50</t>
  </si>
  <si>
    <t>ETIQUETAS PARA 1 LOTE DE PEÇAS TAMANHO 8-9</t>
  </si>
  <si>
    <t>29/05/2026 16:01</t>
  </si>
  <si>
    <t>ca0cb9a9-b8f7-4394-bcd7-94693c3f42c7</t>
  </si>
  <si>
    <t xml:space="preserve">ZIPER INOX METAL MEDIO AZUL 13CM </t>
  </si>
  <si>
    <t>29/05/2026 16:26</t>
  </si>
  <si>
    <t>94fef855-3610-471a-9e23-b008b5aebacb</t>
  </si>
  <si>
    <t xml:space="preserve">1 lote de traseiro P e 1 lote de traseiro Gg ambos de 5 peças. </t>
  </si>
  <si>
    <t>29/05/2026 16:39</t>
  </si>
  <si>
    <t>7f17b468-39a4-4f1a-a9dd-ed4c23e49c37</t>
  </si>
  <si>
    <t>1 lote de 5 peças tamanho P</t>
  </si>
  <si>
    <t>29/05/2026 16:41</t>
  </si>
  <si>
    <t>b71aa7cb-25d5-4af3-bc00-41ab9449440f</t>
  </si>
  <si>
    <t>A ORDEM VEIO MOLHADA, OS FORROS ESTÃO MORFADOS</t>
  </si>
  <si>
    <t>FORROS DIANTEIROS  -  TODOS  - 50-47/ 48- 94/ 46-94/ 44-376/ 42-376/ 40-235/ 38-47</t>
  </si>
  <si>
    <t>fb473383-eaae-4355-a38c-21444da9c9a0</t>
  </si>
  <si>
    <t>Código 10000195709. Tamanhos e quantidades: 1-165; 2-165;3-220;4-220;5-220; 6-220</t>
  </si>
  <si>
    <t>13b8f64b-80da-4d9c-9991-6ac875dbcd58</t>
  </si>
  <si>
    <t>Código 10000195709/ tamanhos e quantidade: 1-189;2-189;3-252;4-252;5-252;6-252</t>
  </si>
  <si>
    <t>b740bc86-0634-46fa-9960-85abb45cae89</t>
  </si>
  <si>
    <t>9.LI001.080.132803 - LINHA TEX 80</t>
  </si>
  <si>
    <t>a7bbe35e-a1c1-40c9-8407-ede32fe9953b</t>
  </si>
  <si>
    <t>9.LI001.080.132803 - linha tex 80</t>
  </si>
  <si>
    <t>6f271abf-2588-4c6c-8975-b69c1261a0b5</t>
  </si>
  <si>
    <t>Não veio</t>
  </si>
  <si>
    <t>Já solicitei duas vezes e veio erado ao invés de de mandar o tamanho 46 mandaram tamanho 48</t>
  </si>
  <si>
    <t>6beae4af-cdfa-46bc-8c21-0d441d9e0f4d</t>
  </si>
  <si>
    <t>GEFERSON ALAN DOS SANTOS SILVA</t>
  </si>
  <si>
    <t>gsragazziconfeccoes@yahoo.com</t>
  </si>
  <si>
    <t>Foi conferido a ordem e identificado a falta de um lote do tamanho P do segundo enfesto</t>
  </si>
  <si>
    <t>7d35f029-6d66-44af-90e7-7b526c3a4b1c</t>
  </si>
  <si>
    <t>As etq de marca não esta cadastrada na nota fiscal</t>
  </si>
  <si>
    <t>745a47e3-854f-42a0-9df4-42654db08549</t>
  </si>
  <si>
    <t>Peça piloto</t>
  </si>
  <si>
    <t>O PEDIDO DE REPOSIÇÃO É PARA ENTRETELA PARA TODA A OP</t>
  </si>
  <si>
    <t>c8e46c1f-6dec-4e69-825a-892b34d3a546</t>
  </si>
  <si>
    <t>93 golas tamanho XG</t>
  </si>
  <si>
    <t>45a685f1-8a81-44e8-903a-71318e1c61dc</t>
  </si>
  <si>
    <t>FALTANDO CAPÁS PARA ARTOK</t>
  </si>
  <si>
    <t>93a3176f-3ab7-423c-8b55-61b019a6413d</t>
  </si>
  <si>
    <t>Faltando artoks</t>
  </si>
  <si>
    <t>faltando artoks</t>
  </si>
  <si>
    <t>6f4c2771-d597-4bde-b025-b6c47f3b9624</t>
  </si>
  <si>
    <t>50 etiquetas tamanho G</t>
  </si>
  <si>
    <t>89d11a59-8367-44d1-a11e-01a0ac4cc211</t>
  </si>
  <si>
    <t>VITALIZE CONFECCOES LTDA</t>
  </si>
  <si>
    <t>vitalizeconfeccoes@gmail.com</t>
  </si>
  <si>
    <t xml:space="preserve">tamanho 6-7 </t>
  </si>
  <si>
    <t>1f49051a-2103-4bfe-a49f-85baa2942a9d</t>
  </si>
  <si>
    <t>ORDEM VEIO MOLHADA, FORROS MANCHADOS E MORFADOS</t>
  </si>
  <si>
    <t xml:space="preserve">FORROS COM MAL CHEIRO E MOLHADOS </t>
  </si>
  <si>
    <t>9075cb4a-5e9c-4baf-9b4c-44e10964454d</t>
  </si>
  <si>
    <t>tamanho 6-7</t>
  </si>
  <si>
    <t>ffb8b893-5afd-4cd4-8c5f-77aacd512fcf</t>
  </si>
  <si>
    <t>ELÁSTICO PARA TODA A OP. CÓDIGO: 10000195709</t>
  </si>
  <si>
    <t>0d865504-9c4e-4b83-9e61-66602cf0b56a</t>
  </si>
  <si>
    <t>Código 10000195709</t>
  </si>
  <si>
    <t>64a35e3e-6cab-48e2-9316-ecdf1826f48b</t>
  </si>
  <si>
    <t>0d3ba668-5c38-4846-96f7-14549f398088</t>
  </si>
  <si>
    <t>d0ac785b-f222-4439-84a9-48ab02466e69</t>
  </si>
  <si>
    <t>PP-267; P-356; M-356; G-267; GG-267</t>
  </si>
  <si>
    <t>b3ca2c52-e06a-44ce-b51a-b5d0ab364d07</t>
  </si>
  <si>
    <t xml:space="preserve">ESSA ORDEM ESTÁ FALTANDO TODOS OS TRASEIROS DO INFESTO 003. XG-30;GG-60;G-90;M-60. </t>
  </si>
  <si>
    <t>4c84057b-ddda-4843-8f0c-4d84ae9ed998</t>
  </si>
  <si>
    <t xml:space="preserve">Preciso de 2 cones de linha </t>
  </si>
  <si>
    <t>751457eb-6aa2-40f1-8066-fe93e7730943</t>
  </si>
  <si>
    <t>Preciso de 2 cones de fio</t>
  </si>
  <si>
    <t>2c86416b-831c-497f-affc-24c93fa7c900</t>
  </si>
  <si>
    <t xml:space="preserve">Preciso de 2 cones de linha e 2 cones de fio </t>
  </si>
  <si>
    <t>8c3bd2e0-a38e-4ee2-be7e-ed1ba741b029</t>
  </si>
  <si>
    <t xml:space="preserve">130 tamanho GG </t>
  </si>
  <si>
    <t>44d4e9bf-b585-4151-a38e-c857f1748fe8</t>
  </si>
  <si>
    <t xml:space="preserve">ESTAMOS PRECISANDO URGENTE DE LACRES. </t>
  </si>
  <si>
    <t xml:space="preserve">LACRES URGENTE, JÁ ESTOU PEGANDO EMPRESTADOS EM OUTRA OFICINA </t>
  </si>
  <si>
    <t>8acafcd4-0f47-45b5-8a67-474ab1530775</t>
  </si>
  <si>
    <t>PEÇAS MANCHADAS PORQUE VIERAM MOLHADAS</t>
  </si>
  <si>
    <t xml:space="preserve">42 - 47 / 44- 376 - PARES </t>
  </si>
  <si>
    <t>75663fbe-e4e3-4e3c-908a-70cb45a05e33</t>
  </si>
  <si>
    <t>39a24f22-1674-4984-9041-f3767a8f8304</t>
  </si>
  <si>
    <t>9e1ec4dc-1444-47c4-9dd0-7ee1dd8b1de9</t>
  </si>
  <si>
    <t>367c79a5-f61a-4967-a59a-b4382d25ff59</t>
  </si>
  <si>
    <t>96d2efa7-ad8f-4eda-bf82-8510748082a3</t>
  </si>
  <si>
    <t>5a323920-c615-4bc3-b449-f2386bcbee02</t>
  </si>
  <si>
    <t>599c70a9-f011-49c1-81cd-cf2beea434dc</t>
  </si>
  <si>
    <t>085d49f3-cc86-4850-b2c6-19b15fa9b700</t>
  </si>
  <si>
    <t>1fc682fa-441e-4f28-9916-a3dd23a71a9d</t>
  </si>
  <si>
    <t>8500bd4f-105c-4688-909c-4654ce58d5f4</t>
  </si>
  <si>
    <t>TAM 40=25 PEÇAS TAM 38=25 PEÇAS</t>
  </si>
  <si>
    <t>c9132037-cce3-4993-a08e-b8b4704998de</t>
  </si>
  <si>
    <t>f16d1a6d-2eac-41e7-97e9-1911058ac160</t>
  </si>
  <si>
    <t>São os reforços para passantes ( todas as peças dos tamanhos 36,38,40)</t>
  </si>
  <si>
    <t>1283dabe-2408-407b-ad39-38411766afde</t>
  </si>
  <si>
    <t>dfc1b1d8-8572-480a-8f09-01ad3e2b361e</t>
  </si>
  <si>
    <t>NEEMIAS.SC@HOTMAIL.COM</t>
  </si>
  <si>
    <t>O VIÉS ESTA ESTOURANDO.</t>
  </si>
  <si>
    <t>O viés esta com variações, ficando menor que o informado de 2,2 cm . Quando pregamos na peça acaba estourando.</t>
  </si>
  <si>
    <t>5f08d5d0-27ca-4a9c-a43a-195f252e580d</t>
  </si>
  <si>
    <t>admistrativo@zajaconfeccoes.com.br</t>
  </si>
  <si>
    <t>49774a5e-21f3-45a7-a472-22386f6159d5</t>
  </si>
  <si>
    <t>M-225</t>
  </si>
  <si>
    <t>ea098c98-284e-457a-a6d2-551b717ebb34</t>
  </si>
  <si>
    <t>ETIQUETA DO DINOSSAURO COM 5 CM</t>
  </si>
  <si>
    <t>674e946c-64a8-48af-a30b-cb230bf0b8a1</t>
  </si>
  <si>
    <t xml:space="preserve">27 PEÇAS  TAM-5 </t>
  </si>
  <si>
    <t>03a39002-0032-4aec-8057-a344a700a753</t>
  </si>
  <si>
    <t>ETIQUETA DO DINOSSAURO COM 5CM</t>
  </si>
  <si>
    <t>284636a6-a4f9-40f3-b3c6-78a384c1cdb4</t>
  </si>
  <si>
    <t>FALTOU CÓS TAM38=25;TAM 40=25,PERTINGAL 38=25 TAM40=25</t>
  </si>
  <si>
    <t>a00ef17c-7439-4df7-a0f4-b1f759bef7fc</t>
  </si>
  <si>
    <t>filme plástico para fusionar passantes está acabando</t>
  </si>
  <si>
    <t>643348d0-2ae9-4cb8-bb46-d12889e5f85a</t>
  </si>
  <si>
    <t>lacres estão acabando</t>
  </si>
  <si>
    <t>5bfed7a9-dc30-4e7c-a5ea-46a689a59afb</t>
  </si>
  <si>
    <t>Faltando todos os botões das orddens, 300265090,300267144,300265094,300267145,300265091</t>
  </si>
  <si>
    <t>982309c6-fc3b-4d3c-aa01-e320ae06dc37</t>
  </si>
  <si>
    <t>70fd9b95-3e98-4309-b5b3-81367645a985</t>
  </si>
  <si>
    <t>acabou na oficina</t>
  </si>
  <si>
    <t xml:space="preserve">300 lacres pra lacrar os sacos dentro dos artoks e papelão pra pregar gabarito, pois também acabou na oficina  </t>
  </si>
  <si>
    <t>ae1fb7f6-e8ac-4842-a77f-da589cdcd35d</t>
  </si>
  <si>
    <t>2def9a9a-e650-4f13-a2dd-2b28925a3bda</t>
  </si>
  <si>
    <t>Preciso de 20 etiquetas tamanho 13-14</t>
  </si>
  <si>
    <t>79bf6bfa-15e5-4356-a8e4-6accdbcebb78</t>
  </si>
  <si>
    <t>Preciso de 12 partes para finalizara op. GG - 6 e G - 6</t>
  </si>
  <si>
    <t>02f35985-9ac8-4004-811c-7923f2578b08</t>
  </si>
  <si>
    <t>583eb057-a72e-464a-8a38-23707efb8dd0</t>
  </si>
  <si>
    <t>e269d1c7-143b-40a3-a593-c3d8a187d924</t>
  </si>
  <si>
    <t>C[ÓDIGO: 10000216487; TAMANHO 9/10</t>
  </si>
  <si>
    <t>5f236e72-5672-45ad-8514-4e48c2c59198</t>
  </si>
  <si>
    <t>Alças</t>
  </si>
  <si>
    <t>30 ALÇAS TAMANHO 6</t>
  </si>
  <si>
    <t>96bdd01d-2c03-4bc4-80c7-1f01139883bc</t>
  </si>
  <si>
    <t>41 - FRENTES TAMANHO M</t>
  </si>
  <si>
    <t>c054af16-958a-469f-b413-3bf1eee60e41</t>
  </si>
  <si>
    <t>d9ddc1af-6578-4e9f-b303-6b9ab9989d7e</t>
  </si>
  <si>
    <t>300 - GOLAS TAMANHO M/G</t>
  </si>
  <si>
    <t>7cdffe28-bf10-4936-8b3e-31541b6535bc</t>
  </si>
  <si>
    <t>Viés de decote 5,2CM, por quantidade de peças 11-12: 172; 9-10: 258; 8-9: 344; 6-7: 258</t>
  </si>
  <si>
    <t>c172f03b-2425-4e15-93ee-c4a7f1bfd880</t>
  </si>
  <si>
    <t>GG-174; G-174; P-87</t>
  </si>
  <si>
    <t>8c440ee6-f6c8-4d12-baa6-e79809390722</t>
  </si>
  <si>
    <t>M-28</t>
  </si>
  <si>
    <t>835c1e07-3ae9-4305-9ee4-bc4d43ee9014</t>
  </si>
  <si>
    <t>ff1f58ce-3753-47db-8d98-e6287bcdb047</t>
  </si>
  <si>
    <t>3d9554ae-488f-4707-9f48-e7bdae5e62ee</t>
  </si>
  <si>
    <t xml:space="preserve">ELÁSTICO PARA 300 PEÇAS </t>
  </si>
  <si>
    <t>f2b22e66-3f24-46fb-abf3-f66696b14b3c</t>
  </si>
  <si>
    <t xml:space="preserve">Tamanho PP 75 pares. </t>
  </si>
  <si>
    <t>a0f09972-cb0f-4d91-b48b-69c62de6a16a</t>
  </si>
  <si>
    <t>TAMANHO G- 210</t>
  </si>
  <si>
    <t>5798d565-3e36-4cc4-a7d4-9a9029b9beae</t>
  </si>
  <si>
    <t>Recebemos as frentes, mas elas chegaram no tamanho G e foi solicitado XG, a quantidade também difere do que foi pedido. Solicitamos 60, mas só chegaram 32.</t>
  </si>
  <si>
    <t>fdd77a9b-5fea-48b3-9d5e-0cc3ff1245fb</t>
  </si>
  <si>
    <t>Só foram enviados 32 frentes de tamanho G, o que não corresponde ao valor ou tamanho solicitados anteriormente, são 60 traseiros de tamanho G.</t>
  </si>
  <si>
    <t>5a76a1af-6e65-4bc7-a46a-d78de5654c9b</t>
  </si>
  <si>
    <t>TENHO POUCO FILME</t>
  </si>
  <si>
    <t xml:space="preserve">EU RECEBI 6 ROLOS SO QUE TIVE QUE DEVOLVER DOIS EM UMA OFICINA QUE ME EMPRESTOU AI FIQUEI COM 4 ROLOS MAIS JA VOU PRECISAR </t>
  </si>
  <si>
    <t>569056c0-5c36-479b-9741-156120d0d7d4</t>
  </si>
  <si>
    <t>207fbd88-5953-4858-89e1-48e710f6a12c</t>
  </si>
  <si>
    <t>c9778a90-43d7-4fdc-bf71-fa8b0b11f505</t>
  </si>
  <si>
    <t>e1da665c-6700-422b-9cc7-60e33522b0c7</t>
  </si>
  <si>
    <t xml:space="preserve">ORDEM VEIO FALTANDO 2 LOTES DE 31 PEÇAS DE PALA (OS DOIS LADOS) TAMANHO 44 </t>
  </si>
  <si>
    <t>b0865c44-dcd6-4021-8553-ad02eee58e4b</t>
  </si>
  <si>
    <t xml:space="preserve">2 LOTES DE VISTA COM 31 PEÇAS (OS DOIS LADOS) TAMANHO 44 </t>
  </si>
  <si>
    <t>8e69321d-4ca7-4be4-9fb6-c968ed348a8e</t>
  </si>
  <si>
    <t xml:space="preserve">1 LOTE DE 31 PEÇAS DE PERDIGAL TAMANHO 44 </t>
  </si>
  <si>
    <t>7da6f33d-2767-439c-9a97-599127085a89</t>
  </si>
  <si>
    <t xml:space="preserve">1 LOTE DE BOLSO RELÓGIO COM 31 PEÇAS TAMANHO 44 </t>
  </si>
  <si>
    <t>72529768-43b4-4ed7-b8c5-115a82a5348e</t>
  </si>
  <si>
    <t>1 LOTE DE CÓS INTERNO E 1 LOTE DE CÓS EXTERNO COM 31 PEÇAS CADA</t>
  </si>
  <si>
    <t>94ab1134-3cb7-4aa5-a1b2-dc90960aaf7b</t>
  </si>
  <si>
    <t>Braguilha</t>
  </si>
  <si>
    <t xml:space="preserve">1 LOTE DE BRAGUILHA COM 31 PEÇAS TAM 44 </t>
  </si>
  <si>
    <t>004d5590-f348-4fac-a943-cfb92ef19f11</t>
  </si>
  <si>
    <t xml:space="preserve">1 LOTE DE FORRO (OS 2 LADOS) 31 PEÇAS CADA TAMANHO 44 </t>
  </si>
  <si>
    <t>99a691ee-5a28-432a-8e86-54198483839c</t>
  </si>
  <si>
    <t xml:space="preserve">2 LOTES DE 31 PEÇAS DE  BOLSO TRASEIRO OS 2 LADOS TAMANHO 44 </t>
  </si>
  <si>
    <t>998885f0-3fb8-43b6-87f6-c3a64d2778bd</t>
  </si>
  <si>
    <t xml:space="preserve">1 LOTE DE FRENTE COM 31 PEÇAS TAMANHO 44 </t>
  </si>
  <si>
    <t>737e9f2c-0a77-47fa-b7c3-e7abda2dd748</t>
  </si>
  <si>
    <t>2284d982-8671-4154-bdd0-70636d0800ab</t>
  </si>
  <si>
    <t>aa6b3c90-c4fa-4255-a40d-558ab31a11ac</t>
  </si>
  <si>
    <t>55cfc9e7-b2df-4d46-abb6-f8610fa6a94d</t>
  </si>
  <si>
    <t>25 peças completas sendo 46-17; 42-8</t>
  </si>
  <si>
    <t>d985eccb-6715-4b2a-a7ad-d6d996a3ce9d</t>
  </si>
  <si>
    <t>2958981a-ddb6-42e5-af10-700f67d77acb</t>
  </si>
  <si>
    <t>Faltando 58 Traseiros XG. Já verifiquei nas outras duas ordens desse mesmo material e não veio realmente!</t>
  </si>
  <si>
    <t>1e85914e-dba5-46f2-a7a0-8c5ca9a0015a</t>
  </si>
  <si>
    <t>FORTE FORTEX PRODUÇÃO TEXTIL</t>
  </si>
  <si>
    <t>auxiforte@hotmail.com</t>
  </si>
  <si>
    <t>217d2059-6616-4635-9fe7-b86772a576be</t>
  </si>
  <si>
    <t>TAMANHO 6/7-136 PEÇAS, ZIPER TAMANHO 8 CM, NÃO ENVIADO NA ULTIMA REPOSIÇÃO, RECEBIDO APENAS ZIPER DE 10 CM</t>
  </si>
  <si>
    <t>8672cccb-e0a3-40d3-9432-3e3e9b6e4cf8</t>
  </si>
  <si>
    <t>P 37;M 37;G 45;GG 8;XG 20</t>
  </si>
  <si>
    <t>2d44d670-e18b-4c86-ab0f-fa2769514087</t>
  </si>
  <si>
    <t>bf242784-721c-4ee2-9479-7676e2d778ab</t>
  </si>
  <si>
    <t>TAMANHO 6/7-170 PEÇAS, ZIPER TAMANHO 8 CM, NÃO ENVIADO NA ULTIMA REPOSIÇÃO, RECEBIDO APENAS ZIPER DE 10 CM</t>
  </si>
  <si>
    <t>b40d298a-2b62-423b-b2b6-02feb2163002</t>
  </si>
  <si>
    <t>ORDEM - 300255982; MATERIAL INSUFICIENTE PARA FINALIZAR OP;</t>
  </si>
  <si>
    <t>0ade0320-8af2-49c2-b530-4c6e04f5aa92</t>
  </si>
  <si>
    <t>389000a9-f21e-4b2a-8381-0216f290bea7</t>
  </si>
  <si>
    <t>5352959f-9389-4e16-a757-25b0611d95c6</t>
  </si>
  <si>
    <t>PUNHO= P-96, M-254, G-254, XG-76</t>
  </si>
  <si>
    <t>f30e0325-b37b-48db-9ad0-eeac273a3aec</t>
  </si>
  <si>
    <t>GOLA= XG-100, G-254, M-254</t>
  </si>
  <si>
    <t>a369fa02-65e2-44cf-8286-e4bc8b561f1a</t>
  </si>
  <si>
    <t xml:space="preserve">BOA TARDE! ESSA ORDEM VEIO SEM LINHA E FIO, RECEBI OUTRA ORDEM IGUAL A ELA MAS NAO TEM SUFICIENTE PARA FINALIZA ESSA AQUI </t>
  </si>
  <si>
    <t>c69bc748-a6af-47da-936c-4c59482ff704</t>
  </si>
  <si>
    <t>traseiro esquerdo- tamanho: 46- Quant.; 59 peças</t>
  </si>
  <si>
    <t>6551951a-65b4-43e8-a6bf-8f0d35641939</t>
  </si>
  <si>
    <t>AS ETIQUETAS NÃO FOI ENVIADAS PELA GUARARAPES</t>
  </si>
  <si>
    <t>41033489-163b-44e4-84da-9cabd0ce1b13</t>
  </si>
  <si>
    <t>100 GOLAS - TAMANHO P</t>
  </si>
  <si>
    <t>b4a5628b-3ccd-4000-9b4d-a2f1536904b9</t>
  </si>
  <si>
    <t xml:space="preserve">704 botões </t>
  </si>
  <si>
    <t>94b29f47-e79d-43d7-a712-84bfc9dbda4d</t>
  </si>
  <si>
    <t xml:space="preserve">1 lote frente tamanho GG com 44 peças. </t>
  </si>
  <si>
    <t>26553e8f-265d-46d4-83dd-9aad44f2d170</t>
  </si>
  <si>
    <t>G-80; GG-90</t>
  </si>
  <si>
    <t>8ed1e1f9-39f9-46bf-b9dd-c9e7cc99c343</t>
  </si>
  <si>
    <t>3a9e3500-8c22-40c9-bac7-3dd2dde4ed5e</t>
  </si>
  <si>
    <t>A tag de preço não veio com a remessa.</t>
  </si>
  <si>
    <t>d1b838ee-4230-421c-b29a-eee1310be10d</t>
  </si>
  <si>
    <t>GG-28; G-28; M-42; P-28; PP-28</t>
  </si>
  <si>
    <t>ba0f864c-a3c7-4a1a-94b9-9d0153a3e4f4</t>
  </si>
  <si>
    <t>FOP pede ziper numero 15 e foi enviado  n°17</t>
  </si>
  <si>
    <t>240 ziper n°15</t>
  </si>
  <si>
    <t>5ab628a7-4a6a-455f-812f-4662dc86b746</t>
  </si>
  <si>
    <t>ESTAMOS FINALIZANDO O ÚLTIMO QUE TEM</t>
  </si>
  <si>
    <t>ca02a840-1fe7-4e1c-918f-c0de3942e538</t>
  </si>
  <si>
    <t>BOM DIA, A ORDEM: 300266629, MATERIAL: 16522885, NÃO ENVIARAM O PLÁSTICO FILME REFERENTE A ORDEM CITADA, DESDE JÁ AGRADEÇO.</t>
  </si>
  <si>
    <t>de2e2eee-1e11-4cb2-b23d-afa28d174287</t>
  </si>
  <si>
    <t>reposicoesjkmodas@gmail.com</t>
  </si>
  <si>
    <t>32536d03-734b-4819-886b-df109121e6c1</t>
  </si>
  <si>
    <t>1cce81ed-24eb-495f-a26d-7a4d56283e19</t>
  </si>
  <si>
    <t>8e8b363c-750c-4e79-a8ac-170fe2ff8994</t>
  </si>
  <si>
    <t>f71ad409-cc9f-463e-a6eb-2bcc5b261e85</t>
  </si>
  <si>
    <t>sacos vazios para enviar as ordens.</t>
  </si>
  <si>
    <t>78e30cac-1d3e-449c-8b2b-2b7a7da98b1c</t>
  </si>
  <si>
    <t xml:space="preserve"> 38-5; 40-5; 42-5; 44-5; 46-5; 48-5; 50-5; 52-5</t>
  </si>
  <si>
    <t>0d81aece-078f-4bb1-af38-f043c08bc333</t>
  </si>
  <si>
    <t>Preciso de 6 partes para finalizar a op. G - 3 e M -3</t>
  </si>
  <si>
    <t>2a8bc969-7fad-4d4e-b525-eb182a56517b</t>
  </si>
  <si>
    <t>CÓDIGO: 10000068573 - BOTÃO USADO NA VISTA - SÃO 5x - TOTAL DE  DE 6.840 BOTÕES</t>
  </si>
  <si>
    <t>dfdb952e-bb53-4fef-865c-4e9288893908</t>
  </si>
  <si>
    <t>CÓDIGO: 10000068569 - BOTÕES DA GOLA - 1X</t>
  </si>
  <si>
    <t>8de7a0dd-1885-4cc1-b334-b008803165ed</t>
  </si>
  <si>
    <t>ESSE PEDIDO NÃO É PRA PEÇA PILTO - É PARA ENTRETELA PARA COLOCAR NA VISTA</t>
  </si>
  <si>
    <t>7dc7436f-9952-4b50-9bab-b5b80a0024bc</t>
  </si>
  <si>
    <t>M=24 TRASEIRO/G=24 TRASEIRO</t>
  </si>
  <si>
    <t>2ab8e747-8dac-48da-9d34-9e88d94f370a</t>
  </si>
  <si>
    <t>CÓDIGO: 10000068573 - BOTÃO USADO NA VISTA - SÃO 5x - TOTAL DE DE 3.560 BOTÕES</t>
  </si>
  <si>
    <t>52a704f2-4b70-4c12-a703-3e09acdda073</t>
  </si>
  <si>
    <t>Etiqueta de gola</t>
  </si>
  <si>
    <t>A ordem veio sem todos os insumos ( só veio as etq de composição ) o restante não veio nada de insumos</t>
  </si>
  <si>
    <t>88c9eefa-6e91-493b-9fa6-921740b94339</t>
  </si>
  <si>
    <t>536b50d6-23cb-4a0b-bcb9-e4059decd440</t>
  </si>
  <si>
    <t>ESSE PEDIDO NÃO É PRA PEÇA PILOTO - É PARA ENTRETELA PARA COLOCAR NA VISTA</t>
  </si>
  <si>
    <t>b5b32b75-b931-45bb-ad60-6649bbf90003</t>
  </si>
  <si>
    <t>CÓDIGO: 10000068573 - BOTÃO USADO NA VISTA - SÃO 5x - TOTAL DE DE 2.600 BOTÕES</t>
  </si>
  <si>
    <t>a7347224-4562-40ef-9b67-4eea198d9a63</t>
  </si>
  <si>
    <t>334f8a12-6f24-4693-a419-f3436f64a096</t>
  </si>
  <si>
    <t>INSUFICIENTE PARA FAZER GABARITOS DA PROCIMA ORDEM</t>
  </si>
  <si>
    <t>ff0ea8e0-ac15-419c-9109-21bcf9a3bd4d</t>
  </si>
  <si>
    <t xml:space="preserve"> ESSE PEDIDO NÃO É PRA PEÇA PILOTO - É PARA ENTRETELA PARA COLOCAR NA VISTA</t>
  </si>
  <si>
    <t>61740d97-5568-4d9a-bb01-e2a9abe69c95</t>
  </si>
  <si>
    <t>15 Etiquetas de composição tamanho 38</t>
  </si>
  <si>
    <t>ae739f3a-cbff-4ceb-b02e-164910c31c01</t>
  </si>
  <si>
    <t>41 FRENTE - TAMANHO GG</t>
  </si>
  <si>
    <t>9d33226f-cdbf-496c-8405-2d32f2dff639</t>
  </si>
  <si>
    <t>vou colocar aqui a quantidade por tamanho tamanho P= 4 etq      M= 4 etq      g= 6 etq     GG= 5 etq       XG= 4 etq</t>
  </si>
  <si>
    <t>72d9111b-0503-4c5d-9a35-f2375d0b6747</t>
  </si>
  <si>
    <t>066fd34e-bd9e-4652-a881-40fef3854a58</t>
  </si>
  <si>
    <t>PP-4;P-4;M-6;G-6;GG-10;XG-10</t>
  </si>
  <si>
    <t>4c181ae2-cbca-4dcb-846b-69e8a440eefc</t>
  </si>
  <si>
    <t>LINHAS-10</t>
  </si>
  <si>
    <t>b8556638-8e91-40a0-aa24-dca5d7b26de1</t>
  </si>
  <si>
    <t>qualidade@solybrasil.com</t>
  </si>
  <si>
    <t>Não foi possivel finalizar a op, faltou para 60 golas!!</t>
  </si>
  <si>
    <t>cfd2d1bd-a0bc-479e-acae-41a3d0a19d58</t>
  </si>
  <si>
    <t>PRCISO DE 4 AGULHA PARA PISTOLA</t>
  </si>
  <si>
    <t>4194701c-53d6-4c6d-a5b0-2fac50713e4b</t>
  </si>
  <si>
    <t>Pistola com defeito</t>
  </si>
  <si>
    <t>90a350b8-9148-405b-9fc6-15069cec9443</t>
  </si>
  <si>
    <t>892ec5cc-a9f1-4296-9e90-4f3277f1dbbb</t>
  </si>
  <si>
    <t>GG-303; G-503; M-400; P-200; P-200</t>
  </si>
  <si>
    <t>ca967705-050c-4759-b7ca-7e8c44a04b0b</t>
  </si>
  <si>
    <t>6134fd6b-3a91-4255-b0e9-749e2e88e53b</t>
  </si>
  <si>
    <t>299cefd9-fb70-41f3-a21d-7637c1654c0b</t>
  </si>
  <si>
    <t>dd11d9c2-51f0-4fc9-84ac-0d879783dfac</t>
  </si>
  <si>
    <t>ef1b4eff-50c7-4578-9b3c-f7828d15174b</t>
  </si>
  <si>
    <t>2d30a502-4b7c-4a11-98e0-4d5c77e69c72</t>
  </si>
  <si>
    <t>68dae346-2916-4f38-9943-09a92a259ed9</t>
  </si>
  <si>
    <t>9d1cba7b-70c3-4178-aa5a-a7e1bb28499d</t>
  </si>
  <si>
    <t>55a23c63-9f7a-440c-aa3a-2bb5933a4d8d</t>
  </si>
  <si>
    <t xml:space="preserve">VIÉS DE 3.5cm - VIÉS PARA FAZER GOLA E CAVA. </t>
  </si>
  <si>
    <t>be6f9c62-2d78-4ea4-806c-c5cfada1e2dc</t>
  </si>
  <si>
    <t>160 MANGAS - TAMANHO XG</t>
  </si>
  <si>
    <t>7b4ff5ed-26d6-4d89-85c5-764537ee7f6e</t>
  </si>
  <si>
    <t>Código do aviamento: 0000211585  --  Tamanho: 15 cm  --  Quantidade: 100</t>
  </si>
  <si>
    <t>97875313-ac51-4494-88c0-15543c755103</t>
  </si>
  <si>
    <t>O VIES DE  BOLSO FRENTE VEIO NA COR CRU, SENDO QUE A REMERSA E  PRETA. ALDEIZA NOTIFICOU ´PARA PEDIR REPOSIÇÃO.</t>
  </si>
  <si>
    <t>6beb6215-b779-4be6-a713-2fa26c726e0c</t>
  </si>
  <si>
    <t>Faltando 66 Zíper do Tamanho 12. Faltando 44 Zíper do Tamanho 08</t>
  </si>
  <si>
    <t>185f1d41-181c-4ec7-80e2-f6b00d36f417</t>
  </si>
  <si>
    <t>fa777381-de48-411f-aaff-d7eda27298b2</t>
  </si>
  <si>
    <t>5a21893e-0207-4632-a648-f9c122f144ed</t>
  </si>
  <si>
    <t>danificou a pistola</t>
  </si>
  <si>
    <t>81f7401a-2c0a-482b-a6c7-75906c56e2a9</t>
  </si>
  <si>
    <t>Faltando 225 Zíper do tamanho 12. Faltando 150 zíper do tamanho 08.</t>
  </si>
  <si>
    <t>61c1eec5-081a-4ace-9fcc-038f9c74a461</t>
  </si>
  <si>
    <t>NÃO TEMOS AGULHA  PARA PISTOLA</t>
  </si>
  <si>
    <t>não temos agulha para a pistola</t>
  </si>
  <si>
    <t>2599b962-5766-410f-aeb2-d1517e4ced00</t>
  </si>
  <si>
    <t>96ed0dce-aecc-44d1-a274-0c9b376062c0</t>
  </si>
  <si>
    <t>37d15377-258a-4aa9-88f6-29247cbdb58e</t>
  </si>
  <si>
    <t>Frente e manga</t>
  </si>
  <si>
    <t>QUANDO A OP FINALIZOU FALTOU 22 PEÇAS DE TAMANHO DIFERENTE/ENTÃO PRECISO DE PEÇAS COMPLETA PRA FINALIZAR A OP GG=2/G=4 M=6 /P=6/PP=4</t>
  </si>
  <si>
    <t>JA TINHA SIDO FEITO O PEDIDO ANTES MAIS VEIO BRANCO A OP É PRETA</t>
  </si>
  <si>
    <t>89b153d6-966f-44e6-af7c-41609b205532</t>
  </si>
  <si>
    <t>dd360886-f125-4244-aff5-62b46f28301c</t>
  </si>
  <si>
    <t>b48bf527-981d-4823-8a4b-b7ea9dabdd4b</t>
  </si>
  <si>
    <t>As duas pistolas enviadas inicialmente estão quebradas</t>
  </si>
  <si>
    <t>705c036b-e8d9-4330-af19-0a876e7026f5</t>
  </si>
  <si>
    <t>NÃO VEIO NNEHUM CADARÇO JUNTO A ORDEM. 6-7: 72; 8-9: 144; 9-10: 108; 11-12: 144; 13-14: 108</t>
  </si>
  <si>
    <t>22a10596-1bf1-47af-9595-611f67207aa9</t>
  </si>
  <si>
    <t>7211cb42-be57-4df6-bd6c-dbc3e7adcbc2</t>
  </si>
  <si>
    <t>FITA PARA FAZER PASSANTES</t>
  </si>
  <si>
    <t>434f3f45-9401-4405-ad92-c847960f068f</t>
  </si>
  <si>
    <t>PAPEL KRAFT</t>
  </si>
  <si>
    <t>ddc469bd-2765-45d9-a348-927aa8bad6c6</t>
  </si>
  <si>
    <t>9.LI001.036.171500 -LINHA 100%PES TÍT36 S.321 171500</t>
  </si>
  <si>
    <t>434106cf-3d68-4f26-a572-16ddae30f89f</t>
  </si>
  <si>
    <t>SOLICITO O ENVIO DO GABARITO / NINHO DA ORDEM</t>
  </si>
  <si>
    <t>d98a2b0a-12c9-4cbf-b48a-fed0ec1b82e3</t>
  </si>
  <si>
    <t>0b5f4633-92bb-4bd2-aed8-b38a84eedb03</t>
  </si>
  <si>
    <t>Neemias.sc@hotmail.com</t>
  </si>
  <si>
    <t>faaa2881-648f-467d-8fc3-da58fd704efd</t>
  </si>
  <si>
    <t>fc7d127c-847d-4609-9ed3-513691edfbad</t>
  </si>
  <si>
    <t>plastico filme para passante</t>
  </si>
  <si>
    <t>73528fdc-0686-42f8-9451-54bb3aea4927</t>
  </si>
  <si>
    <t>f2944653-dd5e-4eb7-a835-239755e199cc</t>
  </si>
  <si>
    <t>dc582419-86aa-49de-831c-5bba39c43077</t>
  </si>
  <si>
    <t>Faltando 300 Zíper do tamanho 10</t>
  </si>
  <si>
    <t>893f2aac-87de-4250-a189-46e852d485e9</t>
  </si>
  <si>
    <t>Faltando 225 zíper do tamanho 12.  Faltando 150 zíper do tamanho 08.</t>
  </si>
  <si>
    <t>8d52829e-9471-4d22-a6fa-a5dedb835cae</t>
  </si>
  <si>
    <t>O CINTO ESTÁ ESCAPANDO NA COSTURA E PERDEMOS ALGUNS POR ERRO NA OPERAÇÃO.</t>
  </si>
  <si>
    <t>31554dad-f01a-4c59-8631-bf3d1e1644c7</t>
  </si>
  <si>
    <t xml:space="preserve">APENAS TRASEIRO QUE FALTARAM. XG - 114; GG 100; PP 64 E P </t>
  </si>
  <si>
    <t>3874b732-cb5a-4916-af22-bfc220f3157c</t>
  </si>
  <si>
    <t xml:space="preserve">VIÉS DE CAVA </t>
  </si>
  <si>
    <t>96f77e26-4c34-4cb5-948d-51535aa40102</t>
  </si>
  <si>
    <t>peças com falha de tecido e umas faltando.</t>
  </si>
  <si>
    <t>PRECISAMOS DE 10 TRASEIRO 36, UM 38, QUATRO 46 E UM 44,</t>
  </si>
  <si>
    <t>bb19a094-4e9e-4946-89c7-2f9248c1312d</t>
  </si>
  <si>
    <t xml:space="preserve">Material não veio junto com a ordem </t>
  </si>
  <si>
    <t>c3b0ee1b-7c9c-4728-9780-f2591414fb6e</t>
  </si>
  <si>
    <t>Pedi 704 botões ao veio 352 unidades( e a op são 2 botões por peça)</t>
  </si>
  <si>
    <t>b9fb2279-c609-4d6e-aed2-a6e6a7db2866</t>
  </si>
  <si>
    <t>Preciso de 10 und de etiqueta de composição de cada tamanho</t>
  </si>
  <si>
    <t>dd8b1069-9a4b-4520-93d4-67b466911902</t>
  </si>
  <si>
    <t>recebemos os forro desta ordem preto, e na foto mostra cru , porem o vies veio cru , por isso que tô pedindo a reposição fiquei com duvida se pode usar?</t>
  </si>
  <si>
    <t>805d0988-62ac-4479-ab03-bd7411786ce7</t>
  </si>
  <si>
    <t>PP-10; P-10; M-10; G-10; GG-10</t>
  </si>
  <si>
    <t>56b6f5c1-3ed5-432c-a354-c2d33e1fb289</t>
  </si>
  <si>
    <t>99e38d9d-56c7-480d-a467-a00629df1741</t>
  </si>
  <si>
    <t>Bolso frente</t>
  </si>
  <si>
    <t>74 PAR DE BOLSO FRENTE TAMANHO P</t>
  </si>
  <si>
    <t>e6fbcff8-1984-40f9-b10f-f32972e43c8b</t>
  </si>
  <si>
    <t>4a4acbc6-29fe-4b89-a99c-3f9458b30989</t>
  </si>
  <si>
    <t>4116d199-aab7-4990-8074-5da398c36d89</t>
  </si>
  <si>
    <t>O MATERIAL CHEGOU EM CONDIÇÕES INADEQUADAS PARA USO, CAUSANDO DESPERDÍCIO</t>
  </si>
  <si>
    <t>87a5732d-96e9-43b3-9e53-c99c33070ae1</t>
  </si>
  <si>
    <t>ocalves3@gamil.com</t>
  </si>
  <si>
    <t>AS PEÇAS CHEGARAM MOLHADAS E MOFADAS</t>
  </si>
  <si>
    <t xml:space="preserve">OS FOROS VIERAM MOLHDOS E MOFADOS </t>
  </si>
  <si>
    <t>7c3a32ce-4f48-49ab-8a4e-bf8c2cc8af1a</t>
  </si>
  <si>
    <t>INSUFICIENTE PARA FINALIZAR OP</t>
  </si>
  <si>
    <t>75bf4299-9275-4ebd-81ad-d150a8e88cb8</t>
  </si>
  <si>
    <t>FIO  CODIGO AVIAMENTO 1000072036</t>
  </si>
  <si>
    <t>19cfe61a-e708-47c5-a125-24418304eed2</t>
  </si>
  <si>
    <t>PISTOLA APRESENTANDO DEFEITO</t>
  </si>
  <si>
    <t>84831c14-9fb7-482c-85d8-c64424c62f3f</t>
  </si>
  <si>
    <t>TINHA PEÇO VIES DE GOLA EM OUTRO PEDIDO,MAS NÃO FOI SUFICIENTE</t>
  </si>
  <si>
    <t>b99bff3f-0526-471e-b0b9-5e63e6eabca2</t>
  </si>
  <si>
    <t>AGULHA PARA PISTOLA</t>
  </si>
  <si>
    <t>a6c34cef-2f9c-405f-9eda-1d4681cbd8a5</t>
  </si>
  <si>
    <t>TRASEIRO TAM-G=20 UND</t>
  </si>
  <si>
    <t>cfd63914-5b37-43a6-bc3d-c5dddc1f8b0c</t>
  </si>
  <si>
    <t>NÃO TEMOS MAIS</t>
  </si>
  <si>
    <t>003abfb2-3d9d-4f09-a864-76329d41b62b</t>
  </si>
  <si>
    <t>INSUFICIENTE PARA PROXIMA OP</t>
  </si>
  <si>
    <t>ee88cc57-4854-4a47-bcc1-63e1290fdea4</t>
  </si>
  <si>
    <t>MATERIAL COM DEFEITO</t>
  </si>
  <si>
    <t>LADO DIREITO: 5-2; 4-1; 3-1</t>
  </si>
  <si>
    <t>5e165da1-f3f0-42ca-b3e3-9a5effbebbf2</t>
  </si>
  <si>
    <t>FRENTES LADO ESQUERDO- 5-2; 3-2</t>
  </si>
  <si>
    <t>89e5e173-816d-422d-9623-401474d5ae22</t>
  </si>
  <si>
    <t>FALTANDO UM LOTE DO TRASEIRO DO TAMANHO 50</t>
  </si>
  <si>
    <t>ae3705ed-4a92-4c65-9cdf-25d51485d0be</t>
  </si>
  <si>
    <t>ORDEM - 300266759; MATERIAL INSUFICIENTE PARA FINALIZAR OP;</t>
  </si>
  <si>
    <t>131fd264-40dd-4a5a-b36d-ac1784be459d</t>
  </si>
  <si>
    <t xml:space="preserve">Bom dia, estou solicitando pela 3ª vez essas capas de artoks. Ela não chegou em nenhuma das solicitações feitas, por favor enviar no próximo caminhão, estamos precisando. </t>
  </si>
  <si>
    <t>f77abcda-6c86-4198-abc9-deed2b9d4dec</t>
  </si>
  <si>
    <t>12 etq de composição tamanho G</t>
  </si>
  <si>
    <t>fb1b5665-c0c7-455e-a8cf-5f45e9f37b47</t>
  </si>
  <si>
    <t>18 pala tamanho 36, 18 pala tamanho 40 e 18 pala tamanho 42</t>
  </si>
  <si>
    <t>54f9646a-af36-49bd-a85a-2b1a9bd63c43</t>
  </si>
  <si>
    <t>Preciso de 30 sacos para embalar as ordens</t>
  </si>
  <si>
    <t>3cf17f82-6b6b-49bb-ac9b-6dc90855810d</t>
  </si>
  <si>
    <t>Preciso de 5 partes do traseiro para finalizar a ordem. 42 - 2; 48 - 3</t>
  </si>
  <si>
    <t>36a18f1c-b40d-4fff-ad41-07cf47619bb4</t>
  </si>
  <si>
    <t xml:space="preserve">faltou vies de gola para 60 peças </t>
  </si>
  <si>
    <t>18364969-456f-4a64-b992-51702206bcc7</t>
  </si>
  <si>
    <t>TAMANHOS: GG=75; P=75.</t>
  </si>
  <si>
    <t>90c02315-8d78-46bf-ac32-7287346965cb</t>
  </si>
  <si>
    <t xml:space="preserve">Estamos precisando de linhas pra poder iniciar a ordem </t>
  </si>
  <si>
    <t>0f114cf8-2394-4a2e-b592-ff5202c48e5b</t>
  </si>
  <si>
    <t xml:space="preserve">Estamos precisando de fios pra poder iniciar a ordem </t>
  </si>
  <si>
    <t>45f8b2cb-697e-48e9-93dd-b2da0d6ac1ec</t>
  </si>
  <si>
    <t>Insumo</t>
  </si>
  <si>
    <t xml:space="preserve">SILICONE PARA 150 PEÇAS </t>
  </si>
  <si>
    <t>7f145609-a0f8-4771-9817-eb236e7a9ff6</t>
  </si>
  <si>
    <t xml:space="preserve">vies da boca do bolso na cor preta ,pois veio na cor cru , falei com Rejane mandou perdi reposição. </t>
  </si>
  <si>
    <t>0a1635ce-3b2a-4c88-a4b9-16706ca8a47a</t>
  </si>
  <si>
    <t>CÓDIGO: 10000071987</t>
  </si>
  <si>
    <t>3105d07b-2b00-4513-8751-74af146c75d0</t>
  </si>
  <si>
    <t>cd4de47b-12f1-4fce-9eca-ec6c574bd9a0</t>
  </si>
  <si>
    <t>ORDEM - 300266768; MATERIAL INSUFICIENTE PARA FINALIZAR OP;</t>
  </si>
  <si>
    <t>8bc261de-a575-4737-8698-431ddad4b3fc</t>
  </si>
  <si>
    <t>12 ETIQUETAS DE COMPOSIÇÃO TAM 13-14 // 12 ETIQUETAS DE COMPOSIÇÃO TAM 8-9</t>
  </si>
  <si>
    <t>ac7e27a4-1e2a-4187-b93e-53302905b3cd</t>
  </si>
  <si>
    <t>LINHA CODIGO 10000072592</t>
  </si>
  <si>
    <t>dd6944e0-88db-42fd-8ece-11faf93615dd</t>
  </si>
  <si>
    <t>FIO CODIGO10000072018</t>
  </si>
  <si>
    <t>871dbd2d-a2d1-475d-872d-d8791f91951b</t>
  </si>
  <si>
    <t>3892b625-0a0b-417d-ae8e-2cc610d8f924</t>
  </si>
  <si>
    <t>INSUFICIENTE</t>
  </si>
  <si>
    <t>0f3d75c1-4787-4e4d-bebb-0a49db58ea14</t>
  </si>
  <si>
    <t>Etiqueta de composição , tamanho 42, para 30 peças.</t>
  </si>
  <si>
    <t>b163272f-29a6-42a9-9a47-04c002c56dec</t>
  </si>
  <si>
    <t>CLARA A DE MEDEIROS LEITE</t>
  </si>
  <si>
    <t>recanto.confeccoesjs@gmail.com</t>
  </si>
  <si>
    <t xml:space="preserve">Lotes veio com entrada de faca </t>
  </si>
  <si>
    <t xml:space="preserve">2 lotes de traseiro tamanho 42 com entrada de faca </t>
  </si>
  <si>
    <t>a111c640-5bde-40ae-8554-bff7e66f847c</t>
  </si>
  <si>
    <t>ba30d2fd-ac8d-4936-b236-7429912ff4ec</t>
  </si>
  <si>
    <t>MATERIAL PARA PROXIMAS PRODUÇÕES</t>
  </si>
  <si>
    <t>6399885d-b3c8-4fea-8b00-e5703786bc47</t>
  </si>
  <si>
    <t>faltou um lote de palas tamanho 36</t>
  </si>
  <si>
    <t>e77f1744-3ab1-4eb0-ad12-1943eb064670</t>
  </si>
  <si>
    <t>ESTAMOS PRECISANDO PRA CONCLUIR A ORDEM 48-2 , 46-5 , 44-5 ,42 -5 , 40-5, 38-5 , 36-5.</t>
  </si>
  <si>
    <t>0997ea8c-4584-45fc-9019-237fbef48186</t>
  </si>
  <si>
    <t>essa reposição é só o lado esquerdo da frente ( bordado ) tam 6-7= 14 pçs        tam 8-9= 4 pçs        tam= 9-10= 9pçs        tam= 11-12= 9pçs</t>
  </si>
  <si>
    <t>815f1ff2-5455-437b-9c40-4d669a9dc766</t>
  </si>
  <si>
    <t>GG-44</t>
  </si>
  <si>
    <t>4da5756d-b09f-496a-9d9d-86ce93298ec8</t>
  </si>
  <si>
    <t>ORDEM - 300268122; MATERIAL INSUFICIENTE PARA FINALIZAR OP;</t>
  </si>
  <si>
    <t>d7d535b4-9df0-498b-abd6-a7881ca1d091</t>
  </si>
  <si>
    <t xml:space="preserve">10 CONES DE LINHA E 5 CONES DE FIOS </t>
  </si>
  <si>
    <t>d29773db-8c8c-4f19-b5d6-0ce3ee6434f8</t>
  </si>
  <si>
    <t>ziper 17 cm: 350; ziper 15 cm 200</t>
  </si>
  <si>
    <t>8a8f9d1b-c8d8-4771-83cf-6796667e9be9</t>
  </si>
  <si>
    <t>TAMANHO 9/10</t>
  </si>
  <si>
    <t>ad642080-e8f2-4027-90e6-2fcbaa675aea</t>
  </si>
  <si>
    <t>PAPELAO</t>
  </si>
  <si>
    <t>cbd59c1f-1656-4a05-ad2a-92454c6bd34e</t>
  </si>
  <si>
    <t>ORDEM - 30026594; MATERIAL INSUFICIENTE PARA FINALIZAR OP;</t>
  </si>
  <si>
    <t>c7fa9e9e-19d3-40c4-b74e-0e32e3452fd0</t>
  </si>
  <si>
    <t>PRECISO DE 30 ETIQUETA CASUAL MENSWEAR ALL SEASON PRA FINALIZAR A ORDEM 300269756</t>
  </si>
  <si>
    <t>05b72862-9e76-48f6-af89-6c2ebef63722</t>
  </si>
  <si>
    <t xml:space="preserve">768 botões </t>
  </si>
  <si>
    <t>6b30113a-611b-49ec-9527-be1c8e8c3c21</t>
  </si>
  <si>
    <t>PRECISO DE 5 VIES DA GOLA PRA FINALIZAR A ORDEM 300263220</t>
  </si>
  <si>
    <t>2c666f7e-bda3-447d-885f-510bc9b5b740</t>
  </si>
  <si>
    <t>48 pares de punho tamanho P/PP</t>
  </si>
  <si>
    <t>99a376a3-0cbf-4305-ad4e-8f673a415fa7</t>
  </si>
  <si>
    <t>Pedido de Etiquetas de Composição para todos os tamanhos, ou seja, para OP completa.   Tamanho 34: pedido de 64 etiquetas de composição. Tamanho 36: pedido de 128 etiquetas de composição. Tamanho 38: pedido de 160 etiquetas de composição. Tamanho 40: pedido de 128 etiquetas de composição. Tamanho 42: pedido de 64 etiquetas de composição. Tamanho 44: pedido de 64 etiquetas de composição.</t>
  </si>
  <si>
    <t>6c487a86-cf3f-4420-bfb3-3eda014693cd</t>
  </si>
  <si>
    <t>ENTRETELA PREGADO NO LADO ERRADO</t>
  </si>
  <si>
    <t>932 PEÇAS COM A ENTRETELA PREGADO NO LADO ERRADO</t>
  </si>
  <si>
    <t>2e1fe20f-1195-4fa3-a524-cebe58b38b3d</t>
  </si>
  <si>
    <t xml:space="preserve">A ORDEM VEIO SEM ETIQUETA DE PREÇO </t>
  </si>
  <si>
    <t>8ceadb7a-9731-4b56-8f12-53a17bba3783</t>
  </si>
  <si>
    <t>7c6dfc70-3a98-4cf1-9a15-dac0325ce259</t>
  </si>
  <si>
    <t>10000195771 - ELASTICO GENOVA 50MM CRU. PARA TODA A OP</t>
  </si>
  <si>
    <t>74251c16-f7b7-4602-a989-7fd84e361b0f</t>
  </si>
  <si>
    <t xml:space="preserve">LINHA 10000062975 - LINHA PARA TODA A OP. </t>
  </si>
  <si>
    <t>82a1e219-ed61-4e63-a901-32bd98f50020</t>
  </si>
  <si>
    <t>1986ba28-896e-4259-ac46-a33284588142</t>
  </si>
  <si>
    <t>1-82; 2-164; 3-164; 4-164; 5-164; 6-164</t>
  </si>
  <si>
    <t>9faeec37-bc0f-4f45-bc4f-fee5ae49457f</t>
  </si>
  <si>
    <t>5 etiquetas tamanho 5</t>
  </si>
  <si>
    <t>ae1ad640-d94c-423d-a6fe-32b6054ce2c8</t>
  </si>
  <si>
    <t>TAMANHO M/G - 25; TAMANHO PP/P - 5</t>
  </si>
  <si>
    <t>9bf1eca8-c430-4066-abaf-09c904555481</t>
  </si>
  <si>
    <t>GOSTARIA DE REPOSIÇÃO DE 01 PISTOLA E 2 KIT DE AGULHAS, PARA DEIXAR DE USO INDIVIDUAL, COMO FOI ORIENTADO NO TREINAMENTO.</t>
  </si>
  <si>
    <t>REPOSIÇÃO DE 01 POSTOLA E 2 KIT DE AGULHAS PARA PISTOLA.</t>
  </si>
  <si>
    <t>4bff7285-a39a-4138-ba36-075218b448f7</t>
  </si>
  <si>
    <t>PUNHO - TAMANHO M/G - 100; TAMANHO PP/P - 50</t>
  </si>
  <si>
    <t>cc947c24-325b-4fa3-99df-3bf989976590</t>
  </si>
  <si>
    <t xml:space="preserve">Peças vieram com entrada de faca </t>
  </si>
  <si>
    <t>313ab76d-b605-4ae8-8944-ee5fceeb62ee</t>
  </si>
  <si>
    <t>c38bf002-485b-47b0-a632-bb0c1d64fd0d</t>
  </si>
  <si>
    <t xml:space="preserve">Peça com entrada de faca </t>
  </si>
  <si>
    <t xml:space="preserve">Tam 44-32 peças </t>
  </si>
  <si>
    <t>7d8a9694-8056-4cae-b618-158a1e318e6e</t>
  </si>
  <si>
    <t>os ziper  vinheram torado, godigo do ziper: 10000065058</t>
  </si>
  <si>
    <t>os ziper vinheram com defeito</t>
  </si>
  <si>
    <t>0248b792-c150-4b47-925f-dd485dca5a57</t>
  </si>
  <si>
    <t>Agulha</t>
  </si>
  <si>
    <t>agulha para pistola de pregar tag</t>
  </si>
  <si>
    <t>633ab73e-1198-41d8-a3bb-2f026ab2a7e5</t>
  </si>
  <si>
    <t>Não recebi os aviamentos: Linhas ,zíperes e as etiquetas de cós.</t>
  </si>
  <si>
    <t>864466f4-c6d7-475c-8bd0-ec6df1429538</t>
  </si>
  <si>
    <t>A DE M DIAS ALVES LIMITADA</t>
  </si>
  <si>
    <t>alvesemedeirosoficina@gmail.com</t>
  </si>
  <si>
    <t>4bd09448-1d77-40bd-a958-850efdddd971</t>
  </si>
  <si>
    <t xml:space="preserve">faltou 106 golas para o tamanho 3 ANOS  </t>
  </si>
  <si>
    <t>0961a8d6-8456-4a19-86c5-e29b291f4265</t>
  </si>
  <si>
    <t>TAM G-20; TAM M-34; TAM P-15;</t>
  </si>
  <si>
    <t>f205f2a6-69db-42ba-ba5c-53eb4109947d</t>
  </si>
  <si>
    <t xml:space="preserve">Tam 38- 32 peças </t>
  </si>
  <si>
    <t>77be09b3-5402-479f-9b03-c594fb78fb12</t>
  </si>
  <si>
    <t>336e611b-a539-4a82-b4cd-80494d1fcb83</t>
  </si>
  <si>
    <t>9/10-7; 11/12-12; 8/9-2; 13/14-4</t>
  </si>
  <si>
    <t>5cfa1695-d8d8-4c58-99e2-c8c40755643a</t>
  </si>
  <si>
    <t>78b954f0-1c30-4279-a53e-869efd3afb78</t>
  </si>
  <si>
    <t>Tamanho 50,50 unidades</t>
  </si>
  <si>
    <t>347ec2f5-915c-4170-892e-934ddf569492</t>
  </si>
  <si>
    <t>Boa tarde! Gostaria de solicitar a reposição do plástico filme para a Ordem nº 300268635, pois o item não foi enviado. Desde já, agradeço pela atenção.</t>
  </si>
  <si>
    <t>533db164-84e9-4720-8191-cdee6fb21125</t>
  </si>
  <si>
    <t>Boa tarde, por favor nos enviar LACRES. Desde já agradecemos.</t>
  </si>
  <si>
    <t>e9ba701e-2b9e-4479-8afb-c96d7ec80ae4</t>
  </si>
  <si>
    <t>PRECISAMOS DO VIES DA GOLA DA POLO POIS NAO VEIO NA ORDEM MESTRE 300265966</t>
  </si>
  <si>
    <t>80b11175-e742-40e8-9c22-20082ca436b0</t>
  </si>
  <si>
    <t>M-13</t>
  </si>
  <si>
    <t>388e440d-6c78-442b-93b2-804b7169a7f4</t>
  </si>
  <si>
    <t>b961f4d4-2f78-4bd5-adc3-38c606f32a04</t>
  </si>
  <si>
    <t>Preciso de 7 cones de linha cod. 10000073296</t>
  </si>
  <si>
    <t>d254e5e0-90ff-41d0-a28d-f8429d74af13</t>
  </si>
  <si>
    <t>Preciso de 3 cones de linha cod 10000073241</t>
  </si>
  <si>
    <t>8ee57865-beb0-446d-9e4d-4ea2fb09aac1</t>
  </si>
  <si>
    <t>TAMANHO G</t>
  </si>
  <si>
    <t>84eed60e-af3a-4543-ad7c-6293d8460a11</t>
  </si>
  <si>
    <t>os vivos intertelados vinheram todos pelo avesso</t>
  </si>
  <si>
    <t>os vivos estao todos avesso</t>
  </si>
  <si>
    <t>2dc6262e-b7a6-41e9-9d1c-963f80124a75</t>
  </si>
  <si>
    <t>REPOSIÇÃO DE SILICONE, POIS NÃO TEM A OPÇÃO DE MARCAR E É PARA A ORDEM TODA</t>
  </si>
  <si>
    <t>4f08384c-ecbe-4f5c-828a-735a9f71e491</t>
  </si>
  <si>
    <t>1b846a7e-0f1b-4bde-aa20-67aebf8dfa04</t>
  </si>
  <si>
    <t>84eeb9d4-8f22-4771-9338-2308771448a3</t>
  </si>
  <si>
    <t xml:space="preserve">100 peças tamanho PP para alça e pentilho </t>
  </si>
  <si>
    <t>3a07fb16-bbfe-4b28-9d41-c15471657e39</t>
  </si>
  <si>
    <t>ETIQUETA DE COMPOSIÇÃO 10 UNIDADES DE CADA TAMANHO</t>
  </si>
  <si>
    <t>a512335d-20ca-48b6-b4c3-ab52abc36c42</t>
  </si>
  <si>
    <t>Preciso de 3 partes da frente para finalizar a op tamanho 46</t>
  </si>
  <si>
    <t>14099d74-fc17-4a27-a221-e9dda9eb864f</t>
  </si>
  <si>
    <t xml:space="preserve">Dantas e paulino </t>
  </si>
  <si>
    <t>etiqueta de composição</t>
  </si>
  <si>
    <t xml:space="preserve">faltou do tamanho 42 todo </t>
  </si>
  <si>
    <t>14c37a55-e3c2-4198-adb9-665e077c76f4</t>
  </si>
  <si>
    <t xml:space="preserve">B&amp;N SILVA CONFECÇÕES </t>
  </si>
  <si>
    <t xml:space="preserve">ZIPER INOX METAL MEDIO PRETO 15 CM </t>
  </si>
  <si>
    <t xml:space="preserve">FALTOU </t>
  </si>
  <si>
    <t xml:space="preserve">ZIPER INOX METAL MEDIO PRETO 15 CM  - 25 ZÍPER </t>
  </si>
  <si>
    <t>a838d592-530a-4921-91d0-f8f3fe64f9ea</t>
  </si>
  <si>
    <t>ETQ MODEL POOL 52 SLIM 60X10 BR</t>
  </si>
  <si>
    <t xml:space="preserve">ETQ MODEL POOL 52 SLIM 60X10 BR - 40 ETIQUETA </t>
  </si>
  <si>
    <t>ea7519fe-be57-4c32-9f89-eb242933b556</t>
  </si>
  <si>
    <t xml:space="preserve">B&amp;N SILVA CONFECOES </t>
  </si>
  <si>
    <t xml:space="preserve">PALAS </t>
  </si>
  <si>
    <t>FALTOU</t>
  </si>
  <si>
    <t>1 PACOTE COM 14 PALAS DA NUMERAÇÃO 40 DO 3 ENFESTO</t>
  </si>
  <si>
    <t>a7f8af9a-5c89-4ec1-bef2-a1cffa26e4ad</t>
  </si>
  <si>
    <t xml:space="preserve">PERDIGAL </t>
  </si>
  <si>
    <t xml:space="preserve">36 PERDIGAL DA NUMERAÇÃO 38 DO 2 ENFESTO </t>
  </si>
  <si>
    <t>472b28b7-a66d-4648-bff3-d3ef25e52ddd</t>
  </si>
  <si>
    <t>asa confecções</t>
  </si>
  <si>
    <t xml:space="preserve">passantes </t>
  </si>
  <si>
    <t>1.097 pçs</t>
  </si>
  <si>
    <t>veio de outra ordem</t>
  </si>
  <si>
    <t>os passantes veio de outra ordem</t>
  </si>
  <si>
    <t>a796564d-38f3-49b8-81bf-78d5bce6c728</t>
  </si>
  <si>
    <t xml:space="preserve">M.A VIEIRA DE ALMEIDA-ME </t>
  </si>
  <si>
    <t>Etiqueta de composição</t>
  </si>
  <si>
    <t>tamanho 50;50 unidades, enfesto2. tamanho 44, 50 unidades, enfesto 2. tamanho 48, 30 unidades, enfesto 2. tamanho 38, 30 unidades, enfesto 2.</t>
  </si>
  <si>
    <t xml:space="preserve">Veio faltando várias etiquetas </t>
  </si>
  <si>
    <t>93651234-eb0d-4960-94fa-debebecc0ab4</t>
  </si>
  <si>
    <t>passante</t>
  </si>
  <si>
    <t xml:space="preserve">Material não enviado </t>
  </si>
  <si>
    <t>1aa1fb24-8392-446e-b27e-b01af3c7ed45</t>
  </si>
  <si>
    <t>vies da boca do bolso da frente</t>
  </si>
  <si>
    <t>pra toda ordem</t>
  </si>
  <si>
    <t>não veio o vies  do bolso.</t>
  </si>
  <si>
    <t>17932110-a635-4691-bc9c-87e574444f32</t>
  </si>
  <si>
    <t>Serrana Textil LTDA</t>
  </si>
  <si>
    <t>816 botões (408 peças)</t>
  </si>
  <si>
    <t>Quantidade insuficiente</t>
  </si>
  <si>
    <t>9.B1629.011.193908</t>
  </si>
  <si>
    <t>9387f482-99a3-4862-8880-a8a7683fd08f</t>
  </si>
  <si>
    <t>P&amp;A Confecções</t>
  </si>
  <si>
    <t>31 pares</t>
  </si>
  <si>
    <t>Não enviado pela guararapes.</t>
  </si>
  <si>
    <t>Faltou um lote de 31 peças de cós, no tamanho 40.</t>
  </si>
  <si>
    <t>923c3f8d-8440-4522-a29b-a4e74e73cc75</t>
  </si>
  <si>
    <t>ACARI TEXTIL</t>
  </si>
  <si>
    <t xml:space="preserve">ZIPER </t>
  </si>
  <si>
    <t>Não enviado</t>
  </si>
  <si>
    <t xml:space="preserve">ZIPER MET MEDIO FIXO </t>
  </si>
  <si>
    <t>a44e1de4-b556-43a7-aecd-603ce25fe587</t>
  </si>
  <si>
    <t>linha tit 50s.321</t>
  </si>
  <si>
    <t xml:space="preserve">pra toda ordem </t>
  </si>
  <si>
    <t>não enviada pela guararapes</t>
  </si>
  <si>
    <t>esta ordem não veio linha tit 50 s.321, falei com Rejane ,me mandou solicita reposição.</t>
  </si>
  <si>
    <t>cce0759a-12ee-400c-af29-bacdfdce81bb</t>
  </si>
  <si>
    <t xml:space="preserve">LEANDRO MATIAS </t>
  </si>
  <si>
    <t xml:space="preserve">FILME DE FUSIONAR PASSANTE </t>
  </si>
  <si>
    <t xml:space="preserve">MATERIAL EM FALTA </t>
  </si>
  <si>
    <t>5d12e3b8-cd9a-4dc5-bb96-524c3335b0b5</t>
  </si>
  <si>
    <t xml:space="preserve">vitalize </t>
  </si>
  <si>
    <t xml:space="preserve">ETIQUETA DE COMPOSIÇAO </t>
  </si>
  <si>
    <t xml:space="preserve">NAO ENVIADO PELA GUARARAPES </t>
  </si>
  <si>
    <t xml:space="preserve">A ORDEM VEIO SEM ETIQUETA, A CAIXA QUE VEIO A OP ESTAVA UM POUCO RASGADA E PROVAVELMENTE PODE TE CAIDO FORA DA CAIXA E TE SE PERDIDO ! </t>
  </si>
  <si>
    <t>7ecdc507-239b-400d-9b6e-7072e59e8818</t>
  </si>
  <si>
    <t>ZIPER</t>
  </si>
  <si>
    <t xml:space="preserve">MATERIAL INSUFICIENTE </t>
  </si>
  <si>
    <t>f6a9837b-c06d-482c-8a4b-2f0ee96cf27b</t>
  </si>
  <si>
    <t>Lima Confecções</t>
  </si>
  <si>
    <t>Etiqueta FIT</t>
  </si>
  <si>
    <t>Insuficiente para concluir a ordem</t>
  </si>
  <si>
    <t>A Etiqueta fit veio faltando 300 unidades</t>
  </si>
  <si>
    <t>514c4f3a-df44-4923-bb4b-cda3706c134e</t>
  </si>
  <si>
    <t>LIVIA REBOUÇAS DE CARVALHO ME</t>
  </si>
  <si>
    <t>emporiodamodamossoro@gmail.com</t>
  </si>
  <si>
    <t>etiqueta</t>
  </si>
  <si>
    <t>não enviado</t>
  </si>
  <si>
    <t>dc42cf3c-caf8-48d1-91d6-9eaf3c124580</t>
  </si>
  <si>
    <t>livia rebouças de carvalho me</t>
  </si>
  <si>
    <t>ziper</t>
  </si>
  <si>
    <t>incompleto</t>
  </si>
  <si>
    <t>0a0a3bc6-b350-4304-a9bb-287b388c2288</t>
  </si>
  <si>
    <t>LINHA</t>
  </si>
  <si>
    <t>INSUFICIENTE PARA FINALIZAR ORDEM</t>
  </si>
  <si>
    <t>708d2971-1533-4760-932f-ff07378f330d</t>
  </si>
  <si>
    <t>MATERIAL INSUFICIENTE PARA FINALIZAR OP</t>
  </si>
  <si>
    <t>6bb0e03e-b323-4857-b500-c0021c8eac5a</t>
  </si>
  <si>
    <t>livia Rebouças de carvalho me</t>
  </si>
  <si>
    <t>etiqueta de marca skinny</t>
  </si>
  <si>
    <t>não enviaa</t>
  </si>
  <si>
    <t>1e4630b2-6f5b-48f6-b7b7-acb5b6e81b43</t>
  </si>
  <si>
    <t>EBENEZER INDUSTRIA</t>
  </si>
  <si>
    <t>PINO</t>
  </si>
  <si>
    <t>da9df165-6444-4975-a07f-9c834e329526</t>
  </si>
  <si>
    <t>DONA TICA CONFECÇÕES</t>
  </si>
  <si>
    <t>ETIQUETA BANDEIROLA</t>
  </si>
  <si>
    <t>INSUFICIENTE PRA TERMINAR A OP</t>
  </si>
  <si>
    <t>10000219954, 10000220031, 10000220032, 10000220033, 10000220034</t>
  </si>
  <si>
    <t>497ede32-7d28-4fc2-963c-890d4c458ede</t>
  </si>
  <si>
    <t>MAXWELA ARAUJO</t>
  </si>
  <si>
    <t>FIO</t>
  </si>
  <si>
    <t>MATERIAL INSULFICIENTE PARA FINALIZA OP</t>
  </si>
  <si>
    <t>dbb72190-8cd8-4a80-aca0-7ea8006b81b6</t>
  </si>
  <si>
    <t>MAXWELA ARAUJO SILVA LTDA</t>
  </si>
  <si>
    <t>MATERIAL INSULFICIENTE PARA FINALIZAR OP</t>
  </si>
  <si>
    <t>06eb31cc-ddef-4ae4-a2a1-fa75530bab68</t>
  </si>
  <si>
    <t>FEL AZEVEDO CONFECÇÃO</t>
  </si>
  <si>
    <t>ETIQUETA DE GOLA</t>
  </si>
  <si>
    <t>FALTOU PARA FINALIZAR A OP</t>
  </si>
  <si>
    <t>8405f99c-7ff6-43ea-9454-3b2b2280b3b9</t>
  </si>
  <si>
    <t>INSUFICIENTE PRA TERMINAR A ORDEM</t>
  </si>
  <si>
    <t>LINHA 80 TA SENDO INSUFICIENTE, VINDO MUITO POUCA LINHA</t>
  </si>
  <si>
    <t>32c50908-ce0c-483f-8993-4a84446f667b</t>
  </si>
  <si>
    <t>GENESIS</t>
  </si>
  <si>
    <t>ETIQUETA DE PREÇO</t>
  </si>
  <si>
    <t>NÃO VEIO NA ORDEM</t>
  </si>
  <si>
    <t>NAÕ FOI ENVIADO PELA GUARARAPES</t>
  </si>
  <si>
    <t>2dbc0bbb-e0bb-47d6-a4a4-5c93f0d9bc60</t>
  </si>
  <si>
    <t>SILICONE</t>
  </si>
  <si>
    <t>INSUFICIENTE PARA FINALIZAR A ORDEM</t>
  </si>
  <si>
    <t>ef2e5f07-1b41-4a96-bc6a-770f63570661</t>
  </si>
  <si>
    <t>Pinos para fast pin</t>
  </si>
  <si>
    <t>748 peças</t>
  </si>
  <si>
    <t>Faltou para completar a ordem</t>
  </si>
  <si>
    <t>f836033e-6b40-4b30-982f-f87d0ae47742</t>
  </si>
  <si>
    <t>Dantas e Paulino</t>
  </si>
  <si>
    <t xml:space="preserve">cos </t>
  </si>
  <si>
    <t xml:space="preserve">não enviado </t>
  </si>
  <si>
    <t>1329d7b6-7232-4cdd-84a7-0d5e922aeeb2</t>
  </si>
  <si>
    <t xml:space="preserve">AJG confecções </t>
  </si>
  <si>
    <t xml:space="preserve">Frente e as vistas </t>
  </si>
  <si>
    <t xml:space="preserve">Não enviado </t>
  </si>
  <si>
    <t xml:space="preserve">Faltou as frentes e vistas </t>
  </si>
  <si>
    <t>fd490a04-db4e-4a8e-b0ba-7e95bd767dd8</t>
  </si>
  <si>
    <t>Ideal Confecções</t>
  </si>
  <si>
    <t>Fio</t>
  </si>
  <si>
    <t xml:space="preserve">quantidade Insuficiente </t>
  </si>
  <si>
    <t>quantidade insuficiente</t>
  </si>
  <si>
    <t>ecbecc4e-a065-4921-95ff-978c623417b0</t>
  </si>
  <si>
    <t xml:space="preserve">ETIQUETA DE COMPOSIÇÃO </t>
  </si>
  <si>
    <t xml:space="preserve">VEIO FALTANDO </t>
  </si>
  <si>
    <t>1 ETIQUETA DE COMPOSIÇÃO NUMERAÇÃO 52</t>
  </si>
  <si>
    <t>fb2a367f-c9bc-4635-bb9a-3bab5563b9f5</t>
  </si>
  <si>
    <t>SOLIS CONFECCOES</t>
  </si>
  <si>
    <t>F</t>
  </si>
  <si>
    <t>60369b70-7356-455e-b2be-7dfc647e5a5f</t>
  </si>
  <si>
    <t>ETIQUETA</t>
  </si>
  <si>
    <t>NÃO ENVIADO</t>
  </si>
  <si>
    <t>6b69a533-9443-4d3e-8d56-82b10745d8d4</t>
  </si>
  <si>
    <t>NÃO ENVIADA</t>
  </si>
  <si>
    <t>d219ab1c-5385-45b2-9cb3-c7f082d4c020</t>
  </si>
  <si>
    <t>3ce2a872-e3de-4cce-a99f-2fcd703ffe31</t>
  </si>
  <si>
    <t xml:space="preserve">B&amp;N SILVA CONFECÇOES </t>
  </si>
  <si>
    <t>VIES DE BOCA</t>
  </si>
  <si>
    <t xml:space="preserve">VIES DE BOCA - QUANTIDADE 5 </t>
  </si>
  <si>
    <t>e8cdf889-5937-4d50-be54-8f4737c44721</t>
  </si>
  <si>
    <t>IDEAL CONFECÇÕES</t>
  </si>
  <si>
    <t>linha</t>
  </si>
  <si>
    <t>insuficiente para o processo</t>
  </si>
  <si>
    <t>195d8773-8fdc-483a-b328-e8200f975bc1</t>
  </si>
  <si>
    <t xml:space="preserve">Potengi têxtil </t>
  </si>
  <si>
    <t xml:space="preserve">Elástico </t>
  </si>
  <si>
    <t>Não veio na ordem</t>
  </si>
  <si>
    <t xml:space="preserve">O elástico não veio na ordem. </t>
  </si>
  <si>
    <t>1d342c7f-3a1f-48fb-854e-46ac6fed0d67</t>
  </si>
  <si>
    <t xml:space="preserve">PANO PARA ARTOKS </t>
  </si>
  <si>
    <t xml:space="preserve">N TEMOS </t>
  </si>
  <si>
    <t xml:space="preserve">JA PEDIMOS VARIAS VEZES E NÃO CHEGOU NA OFICINA. </t>
  </si>
  <si>
    <t>222bcb0e-77fc-4d7a-8212-6095b08c30d3</t>
  </si>
  <si>
    <t>CONFECÇÕES GB DA SILVA</t>
  </si>
  <si>
    <t>ETIQUETA DE COMPOSIÇÃO</t>
  </si>
  <si>
    <t>FALTOU COMPOSIÇÃO</t>
  </si>
  <si>
    <t xml:space="preserve">NÃO TEMOS O CÓDIGO DE AVIAMENTO DA ETIQUETA DE COMPOSIÇÃO </t>
  </si>
  <si>
    <t>e002a5da-64c5-42a8-80f5-6e5506ebcdf6</t>
  </si>
  <si>
    <t>EVALBER CASTRO</t>
  </si>
  <si>
    <t>PLÁSTICO FILME</t>
  </si>
  <si>
    <t>Boa tarde, não está vindo o plástico filme suficiente para as peças. Fico no aguardo do retorno. Desde já agradeço.</t>
  </si>
  <si>
    <t>652f30b8-7814-42f8-b5f5-eb7e4472e31f</t>
  </si>
  <si>
    <t>LACRES</t>
  </si>
  <si>
    <t>Boa tarde, ontem fiz pedido de reposição de lacres e não obtive respostas. Desde já agradeço.</t>
  </si>
  <si>
    <t>9aceeb51-7529-4a40-a712-1c2ee94993a8</t>
  </si>
  <si>
    <t>CONFECÇÃO GB DA SILVA</t>
  </si>
  <si>
    <t>CÓS</t>
  </si>
  <si>
    <t>NÃO ENVIADO PELA GUARARAPES</t>
  </si>
  <si>
    <t>c5da8379-80ee-4c1d-8c11-48fe3d919cb3</t>
  </si>
  <si>
    <t>js &amp; silva ltda</t>
  </si>
  <si>
    <t>elastico</t>
  </si>
  <si>
    <t>elastico não vieram na OP</t>
  </si>
  <si>
    <t>eba1b610-62a5-4f46-a416-b2231b6fb338</t>
  </si>
  <si>
    <t xml:space="preserve">Filme plástico </t>
  </si>
  <si>
    <t xml:space="preserve">Não veio na ordem </t>
  </si>
  <si>
    <t>Filme plástico de passante, mandar a mais pois está zerado aqui na fábrica.</t>
  </si>
  <si>
    <t>0567522d-6bcf-4599-b0fd-0092b77e3675</t>
  </si>
  <si>
    <t xml:space="preserve">FREIRE SILVA CONFECÇÕES </t>
  </si>
  <si>
    <t xml:space="preserve">Etiqueta de cós e etiqueta de preço. </t>
  </si>
  <si>
    <t xml:space="preserve">Não enviado pra Guararapes </t>
  </si>
  <si>
    <t xml:space="preserve">REPOSIÇÃO URGENTE, já está no processo. </t>
  </si>
  <si>
    <t>3a6792fa-0daf-401c-8f1c-eb897ef63453</t>
  </si>
  <si>
    <t xml:space="preserve">jucurutu têxtil </t>
  </si>
  <si>
    <t>TRASEIRO</t>
  </si>
  <si>
    <t xml:space="preserve">468 PARES COMPLETOS E 21 LADO DIREITO DE QUEM VESTE </t>
  </si>
  <si>
    <t>NÃO VEIO</t>
  </si>
  <si>
    <t>Todos  os bolsos chapados</t>
  </si>
  <si>
    <t>47473b12-af19-46b6-b275-4e2af681d600</t>
  </si>
  <si>
    <t xml:space="preserve">IDEAL CONFECÇÕES LTDA </t>
  </si>
  <si>
    <t>ETIQUETA COMPOSIÇAÕ</t>
  </si>
  <si>
    <t xml:space="preserve">30 UND </t>
  </si>
  <si>
    <t xml:space="preserve">ESTAMOS TERMINANDO A ORDEM POR FAVOR ENCAMINHAR O MAIS RAPIDO QUE PODER,OBRIGADA </t>
  </si>
  <si>
    <t>fab71fa6-d9ad-4df0-b572-12a11f512c12</t>
  </si>
  <si>
    <t xml:space="preserve">Etiqueta de cós </t>
  </si>
  <si>
    <t xml:space="preserve">Não enviado pela Guararapes </t>
  </si>
  <si>
    <t xml:space="preserve">Reposição urgente. </t>
  </si>
  <si>
    <t>ebba3808-b2a2-4537-a2d7-982e32548655</t>
  </si>
  <si>
    <t>JOSENI MARIA</t>
  </si>
  <si>
    <t>ETIQUETA DE MARCA</t>
  </si>
  <si>
    <t>451f81a1-16a4-40ee-a0a8-6c89cd21ff86</t>
  </si>
  <si>
    <t xml:space="preserve">JOSENI MARIA </t>
  </si>
  <si>
    <t xml:space="preserve">ETIQUETA DE  MARCA </t>
  </si>
  <si>
    <t xml:space="preserve">INSUFICIENTE </t>
  </si>
  <si>
    <t>fe087b7d-f68e-4efa-9ade-e44ac31d0a17</t>
  </si>
  <si>
    <t xml:space="preserve">ETIQUETA DE MARCA </t>
  </si>
  <si>
    <t xml:space="preserve">INSUFIECIENTE </t>
  </si>
  <si>
    <t>0126b2d4-7884-4994-9cdf-3720c37d3236</t>
  </si>
  <si>
    <t>F J DE AZEVEDO</t>
  </si>
  <si>
    <t>Faltou as quantidades solicitadas</t>
  </si>
  <si>
    <t>são 03 tamanhos de ziper e lá na aba do código, só aceita um código</t>
  </si>
  <si>
    <t>acc65314-1739-44cc-85df-c454639ec457</t>
  </si>
  <si>
    <t>AGULHA PRA PISTOLA</t>
  </si>
  <si>
    <t>AGULHA PRA PISTOLA DE PREÇO</t>
  </si>
  <si>
    <t>da93c293-6143-42c9-aa9c-e063aa53a116</t>
  </si>
  <si>
    <t>NS CONSTANTINO</t>
  </si>
  <si>
    <t>COMPOSIÇÃO</t>
  </si>
  <si>
    <t xml:space="preserve">QUANTIDADE NÃO ENVIADA </t>
  </si>
  <si>
    <t>APENAS 7 UNIDADES DE ETIQUETA DE COMPOSIÇÃO ESTÃO FALTANDO</t>
  </si>
  <si>
    <t>c827244d-cac9-4d22-83de-ccf7be7a1dc5</t>
  </si>
  <si>
    <t>IVANILDO JOSE DE SOUZA - ME</t>
  </si>
  <si>
    <t>Reposição traseiros completo (pala, bolso)</t>
  </si>
  <si>
    <t>Não veio.</t>
  </si>
  <si>
    <t>Solicitação de reposição traseiros completo (pala, bolso), segue abaixo.   TAMANHOS:  TAM: 40= 5 traseiros   TAM: 38=1 traseiro  TAM:36=4 traseiros  TOTAL: 10 traseiros</t>
  </si>
  <si>
    <t>9f808c0e-33d1-4bc3-80c6-86c390a5634f</t>
  </si>
  <si>
    <t>AGULHA DA PISTOLA</t>
  </si>
  <si>
    <t>AGULHA PRA PISTOLA DE ETIQUETAS</t>
  </si>
  <si>
    <t>4dd479fd-b655-4a81-8ed8-76d20c9ee717</t>
  </si>
  <si>
    <t>Serrana Textil</t>
  </si>
  <si>
    <t>340 etiquetas</t>
  </si>
  <si>
    <t>adb13f2f-61b4-47bd-9228-12c6b0b37a90</t>
  </si>
  <si>
    <t xml:space="preserve">g4 confecções </t>
  </si>
  <si>
    <t>g4confecção@gmail.com</t>
  </si>
  <si>
    <t xml:space="preserve">vies para bocada do bolso dianteiro na cor preta </t>
  </si>
  <si>
    <t>nao veio na om</t>
  </si>
  <si>
    <t>A om nao veio os vies preto visto no ato da conferencia</t>
  </si>
  <si>
    <t>ad5218bd-0b9f-4226-bad0-677108a725e0</t>
  </si>
  <si>
    <t>Quantidade que veio foi insuficiente</t>
  </si>
  <si>
    <t>1fc350ee-c80c-4df1-b222-5243afe2ebb6</t>
  </si>
  <si>
    <t>10 cones</t>
  </si>
  <si>
    <t>insuficiente para iniciar a ordem</t>
  </si>
  <si>
    <t>quantidades de cones insuficientes para terminar a ordem</t>
  </si>
  <si>
    <t>511e77e8-b5a5-4dff-8c34-8d2eedf54436</t>
  </si>
  <si>
    <t>AS Confecções Ltda</t>
  </si>
  <si>
    <t>Etiqueta de Cós</t>
  </si>
  <si>
    <t>material insuficiente para finalizar op</t>
  </si>
  <si>
    <t>Etiqueta esta com o código errado no PLM. a etiqueta correta é uma branca com os tamanhos escritos 11-12 e 13-14</t>
  </si>
  <si>
    <t>4a1a7d4a-a8c4-4463-9ba9-0aa2021c35c4</t>
  </si>
  <si>
    <t xml:space="preserve">ALINE RODRIGUES DE LIMA ARAUJO </t>
  </si>
  <si>
    <t>DEBORACLOTHING.TEXTIL@GMAIL.COM</t>
  </si>
  <si>
    <t xml:space="preserve">INSUFICIENTE PARA FINALIZAR ORDEM </t>
  </si>
  <si>
    <t>f09b47ee-cf70-4aa3-b734-4b70d367e2d4</t>
  </si>
  <si>
    <t xml:space="preserve">B&amp;N SILVA CONFEÇÕES </t>
  </si>
  <si>
    <t xml:space="preserve">VIES DA BOCA BOLSO - CRU </t>
  </si>
  <si>
    <t xml:space="preserve">8 ROLOS </t>
  </si>
  <si>
    <t xml:space="preserve">VIES DA BOCA BOLSO - CRU - 8 ROLOS </t>
  </si>
  <si>
    <t>384e8c29-7332-4005-9ca3-487f2ab55dd7</t>
  </si>
  <si>
    <t xml:space="preserve">DI3 CONFECÇÕES </t>
  </si>
  <si>
    <t xml:space="preserve">Etiqueta de composição </t>
  </si>
  <si>
    <t xml:space="preserve">Material insuficiente </t>
  </si>
  <si>
    <t>9dedb357-4def-4355-9647-9a70da1309a2</t>
  </si>
  <si>
    <t>M.A VIEIRA DE ALMEIDA</t>
  </si>
  <si>
    <t xml:space="preserve">filme para fusionar passante </t>
  </si>
  <si>
    <t>não enviado pela guararapes</t>
  </si>
  <si>
    <t>97268307-5b4b-4e09-8738-96e425ea9d93</t>
  </si>
  <si>
    <t xml:space="preserve">JOSÉ MEDEIROS </t>
  </si>
  <si>
    <t>TAGS DE PREÇO</t>
  </si>
  <si>
    <t>843b73cb-95e3-4a31-87ab-f4065f3616b6</t>
  </si>
  <si>
    <t>416abf37-1fc5-4fd1-bb9f-2ed3db6ead86</t>
  </si>
  <si>
    <t>material não enviado</t>
  </si>
  <si>
    <t>7269f0b9-41c3-474e-8ed7-b4ec99227188</t>
  </si>
  <si>
    <t>ziper 17cm</t>
  </si>
  <si>
    <t>material incompleto</t>
  </si>
  <si>
    <t>72361e42-206c-46ce-8217-c07d7044728e</t>
  </si>
  <si>
    <t>ziper 15cm</t>
  </si>
  <si>
    <t>a4cb406d-ee02-418f-832b-01966a947cdd</t>
  </si>
  <si>
    <t>F E L MATRIZ</t>
  </si>
  <si>
    <t>cós</t>
  </si>
  <si>
    <t>material insuficiente para terminar a ordem</t>
  </si>
  <si>
    <t>b72a23b3-43bf-435a-a87f-8307a4978067</t>
  </si>
  <si>
    <t>TECE COSTURAS E CONFECÇÕES LTDA</t>
  </si>
  <si>
    <t>GOLA</t>
  </si>
  <si>
    <t>3b963ac2-11ce-4448-9a06-1fc14ffb72aa</t>
  </si>
  <si>
    <t>PUNHO</t>
  </si>
  <si>
    <t>67e1a676-6343-49cc-acb5-648a2b0f7d42</t>
  </si>
  <si>
    <t>A S Confecções Ltda</t>
  </si>
  <si>
    <t>Plastico de fusionar passante</t>
  </si>
  <si>
    <t>insulficiente para finalizar op</t>
  </si>
  <si>
    <t>Plástico de fusionar passante</t>
  </si>
  <si>
    <t>9af31983-4b48-478d-b185-4deed7de1c4f</t>
  </si>
  <si>
    <t>TROPICALLIZ CONFECÇÕES LTDA</t>
  </si>
  <si>
    <t>gola e punho peça para toda ordem</t>
  </si>
  <si>
    <t>Não foi enviado pela guararapes</t>
  </si>
  <si>
    <t>Não enviado pela guararapes</t>
  </si>
  <si>
    <t>0246a5fd-6b69-4d90-85d5-935aa524d9c2</t>
  </si>
  <si>
    <t>Gola e Punho toda ordem não foi enviado pel guararapes</t>
  </si>
  <si>
    <t>967f69f3-282d-49bc-88a9-a4338c50a74e</t>
  </si>
  <si>
    <t xml:space="preserve">AJG </t>
  </si>
  <si>
    <t xml:space="preserve">Etiqueta composição </t>
  </si>
  <si>
    <t>Faltou 14 tamanho 36</t>
  </si>
  <si>
    <t>Faltou 14 etiquetas tamanho 36</t>
  </si>
  <si>
    <t>8e098fce-d062-4267-9904-f14ab039bb3b</t>
  </si>
  <si>
    <t>800 PEÇAS</t>
  </si>
  <si>
    <t>NÃO FOI ENVIADO PELA GUARARAPES</t>
  </si>
  <si>
    <t>Boa tarde, estamos refazendo o pedido de reposição do plástico filme,  Desde já agradecemos.</t>
  </si>
  <si>
    <t>886d5ddb-d66d-4ce2-a33f-3f10a8a00a6f</t>
  </si>
  <si>
    <t xml:space="preserve">ACARI TEXTIL </t>
  </si>
  <si>
    <t xml:space="preserve">BRAGUILHA  - PANINHO DO ZÍPER </t>
  </si>
  <si>
    <t>6f14720e-ecf0-4369-a97b-2c55036a829b</t>
  </si>
  <si>
    <t xml:space="preserve">NÃO ENVIADO </t>
  </si>
  <si>
    <t>6721bcc1-c762-45ed-91fc-8bf40ec2b1f3</t>
  </si>
  <si>
    <t xml:space="preserve">SACOS PARA ARTOKS </t>
  </si>
  <si>
    <t xml:space="preserve">FALTA </t>
  </si>
  <si>
    <t>41c53ce8-0bd8-4765-99b4-ff5bd8dc9cf6</t>
  </si>
  <si>
    <t>PAPELÃO</t>
  </si>
  <si>
    <t>FALTA</t>
  </si>
  <si>
    <t>8d29ef94-55d3-491d-b06d-e8b4d3339f50</t>
  </si>
  <si>
    <t>papelão para gabarito</t>
  </si>
  <si>
    <t xml:space="preserve">estamos sem </t>
  </si>
  <si>
    <t>1230fb75-730f-47f3-99c8-08d38a09d659</t>
  </si>
  <si>
    <t xml:space="preserve">Potengi Têxtil </t>
  </si>
  <si>
    <t xml:space="preserve">Etiqueta de preço  </t>
  </si>
  <si>
    <t xml:space="preserve">Não dá pra finalizar a ordem </t>
  </si>
  <si>
    <t xml:space="preserve">Insuficiente para finalizar ordem </t>
  </si>
  <si>
    <t>8b3178ee-1809-4d4e-a5de-d27646de2014</t>
  </si>
  <si>
    <t>FALTOU PARA FINALIZAR OP</t>
  </si>
  <si>
    <t>28099c6d-b97e-4cc3-8301-6a56b24de9ef</t>
  </si>
  <si>
    <t>genesis</t>
  </si>
  <si>
    <t>PALA TRASEIRO</t>
  </si>
  <si>
    <t>cada peça utiliza 4 palas</t>
  </si>
  <si>
    <t>a0555c49-111c-4250-9736-2c5aa4bac7a0</t>
  </si>
  <si>
    <t>FALTOU PARA FINALIZAR</t>
  </si>
  <si>
    <t>8e37170e-250e-4c6a-8fb9-9b38839a1cd3</t>
  </si>
  <si>
    <t>pala traseira</t>
  </si>
  <si>
    <t>cada peça utiliza 4 pala</t>
  </si>
  <si>
    <t>36148fdd-967c-4f6c-b7e3-c10d3e37f878</t>
  </si>
  <si>
    <t>pala traseiro</t>
  </si>
  <si>
    <t>85f36194-5073-49eb-a9f8-b69fec17d6e4</t>
  </si>
  <si>
    <t>FOI</t>
  </si>
  <si>
    <t>MATERIAL PRA FINALIZAR ORDEM CITADA E PRODUZIR ORDEM 300268100</t>
  </si>
  <si>
    <t>5c27ad8b-0c74-4afa-8e58-d767b31fa6a6</t>
  </si>
  <si>
    <t>MATERIAL PRA FINALIZAR OP CITADA E PRODUZIR ORDEM 300268100</t>
  </si>
  <si>
    <t>412018f2-2598-4161-8ac9-89d7d681865b</t>
  </si>
  <si>
    <t>FIO E LINHA</t>
  </si>
  <si>
    <t>MATERIAL NÃO ENVIADO PELA GUARARAPES</t>
  </si>
  <si>
    <t>b45dd653-cfad-4d1c-b5fc-1ebeadb35358</t>
  </si>
  <si>
    <t>F W DE SOUZA CONFECÇÕES</t>
  </si>
  <si>
    <t>arconfec-oes@hotmamil.com</t>
  </si>
  <si>
    <t>FIO DE SILICONE PARA PASSANTE</t>
  </si>
  <si>
    <t>INSUFICIENTE PARA FINALIZAR A OP</t>
  </si>
  <si>
    <t>76280d10-8da0-4a2e-8880-a0251740cf14</t>
  </si>
  <si>
    <t>8/9 - 10000220031</t>
  </si>
  <si>
    <t>d3cfa4cb-3c8d-41cd-a8df-bf4d9736caaa</t>
  </si>
  <si>
    <t>jm confecções &amp; cia ltda</t>
  </si>
  <si>
    <t>sjarlandia@hotmail.com</t>
  </si>
  <si>
    <t xml:space="preserve">ziper para bolso lateral </t>
  </si>
  <si>
    <t>faltando</t>
  </si>
  <si>
    <t>1bed56a9-4400-4ea8-bad9-6c8c8377e873</t>
  </si>
  <si>
    <t xml:space="preserve">jm confecções filial </t>
  </si>
  <si>
    <t xml:space="preserve">plastico para fusionar passante </t>
  </si>
  <si>
    <t xml:space="preserve">faltando </t>
  </si>
  <si>
    <t>3cf36d81-1127-48ab-afeb-91503c1a5ef4</t>
  </si>
  <si>
    <t>13f2ceb6-e1bf-4d57-aef7-28854fe920d7</t>
  </si>
  <si>
    <t>DI3 CONFECÇÕES</t>
  </si>
  <si>
    <t>b8d1b608-a342-4527-9314-f7f9af23464f</t>
  </si>
  <si>
    <t>VIÉS LISTRADO</t>
  </si>
  <si>
    <t>1.220 PEÇAS</t>
  </si>
  <si>
    <t>364d6405-72c8-403e-9e43-5eea4e7bd385</t>
  </si>
  <si>
    <t>FLAVIA GEORGIA BRAGA SILVA CONFECÇÕES LTDA</t>
  </si>
  <si>
    <t>PLÁSTICO FILME PARA PASSANTES</t>
  </si>
  <si>
    <t>ESTAMOS PRECISANDO PARA AS ORDENS</t>
  </si>
  <si>
    <t>ec49c6d4-cbf9-4160-b954-af7533303faa</t>
  </si>
  <si>
    <t>ba0350ab-81d9-4bbb-8ea1-c8340923d04f</t>
  </si>
  <si>
    <t xml:space="preserve">FLAVIA GEORGIA BRAGA SILVA CONFECÇÕES LTDA </t>
  </si>
  <si>
    <t xml:space="preserve">FIOS </t>
  </si>
  <si>
    <t xml:space="preserve">VEIO FALTANDO NA ORDEM </t>
  </si>
  <si>
    <t>85e35cd5-e464-46af-a5b8-8021f2971ae5</t>
  </si>
  <si>
    <t xml:space="preserve">LINHAS </t>
  </si>
  <si>
    <t xml:space="preserve">3 CONES DE LINHAS </t>
  </si>
  <si>
    <t>f0ba2434-b37f-4c81-bb8f-35f6f85af57c</t>
  </si>
  <si>
    <t>IDEAL CONGFEÇÕES LTDA</t>
  </si>
  <si>
    <t>ETIQUETA COMPOSIÇÃO</t>
  </si>
  <si>
    <t>58187c8f-3728-4bea-af1b-edbb96c77a9e</t>
  </si>
  <si>
    <t>AMORIM E PEDRO</t>
  </si>
  <si>
    <t>FILME DE FUSIONAR PASSANTE</t>
  </si>
  <si>
    <t>ba36b3d1-d986-44d5-97ef-30f14b0cbb0f</t>
  </si>
  <si>
    <t>Oficina de Costura Santos LTDA</t>
  </si>
  <si>
    <t>VISTA</t>
  </si>
  <si>
    <t>material insuficiente para finalizar a ordem</t>
  </si>
  <si>
    <t>lado esquerdo de quem veste</t>
  </si>
  <si>
    <t>44b81793-8db4-43df-8982-d03ece6faf63</t>
  </si>
  <si>
    <t>geferson alan dos santos silva</t>
  </si>
  <si>
    <t xml:space="preserve">traseiros </t>
  </si>
  <si>
    <t xml:space="preserve">nao enviado </t>
  </si>
  <si>
    <t>aldeiza nos orientou a enviar uma peça pra teste de tonalidade, a ordem veio faltando 54 traseiros g</t>
  </si>
  <si>
    <t>24ea06e3-bb23-4de8-8484-aa78293d93b2</t>
  </si>
  <si>
    <t xml:space="preserve">geferson alan dos santos silva </t>
  </si>
  <si>
    <t>traseiros e frente</t>
  </si>
  <si>
    <t>32 frente G : 32 traseiras M</t>
  </si>
  <si>
    <t>material nao enviado pela guararapes</t>
  </si>
  <si>
    <t>FALTOU 32 frente G : 32 traseiras M . ja mandamos a peça para teste de tonalidade coforme audeiza pediu</t>
  </si>
  <si>
    <t>99301c48-3c3f-4fa9-b3f2-de421e9afee1</t>
  </si>
  <si>
    <t>fios do sertão</t>
  </si>
  <si>
    <t>plastico para fusionar passante</t>
  </si>
  <si>
    <t xml:space="preserve">material insuficiente para finalizar a op </t>
  </si>
  <si>
    <t xml:space="preserve">enviar peãs suficiente para as duas oficinas </t>
  </si>
  <si>
    <t>2334f6a0-6a48-4668-8729-c4a8eda1286b</t>
  </si>
  <si>
    <t>material insuficiente para finalizar a op</t>
  </si>
  <si>
    <t xml:space="preserve">mandar suficiente para as duas fabricas, matriz e filial </t>
  </si>
  <si>
    <t>fe9fccd3-a508-45ab-9dc0-74def0a78fc8</t>
  </si>
  <si>
    <t>Lacres para as OPS</t>
  </si>
  <si>
    <t>Acabou</t>
  </si>
  <si>
    <t>Pedido de envio de Lacres.</t>
  </si>
  <si>
    <t>e1e5fe1d-f59d-41b2-8da2-a321cdb692e6</t>
  </si>
  <si>
    <t>ae06d352-2086-4d15-98fc-01f4d9e690b4</t>
  </si>
  <si>
    <t xml:space="preserve">ACAUÃ </t>
  </si>
  <si>
    <t xml:space="preserve">Linha e fio </t>
  </si>
  <si>
    <t xml:space="preserve">Insuficiente pra fazer a ordem </t>
  </si>
  <si>
    <t>Preciso de reposição de linhas e fio e o código do fio é esse 10000071686</t>
  </si>
  <si>
    <t>06a959f6-e071-415c-8ebd-057b6f7808be</t>
  </si>
  <si>
    <t xml:space="preserve">LC têxtil </t>
  </si>
  <si>
    <t xml:space="preserve">Gola </t>
  </si>
  <si>
    <t xml:space="preserve">Veio faltando, repôs e veio com tonalidade. </t>
  </si>
  <si>
    <t xml:space="preserve">Estou enviando a peça para tonalidade vim certa, pede a reposição e tonalidade veio errada. </t>
  </si>
  <si>
    <t>7b6f614f-1230-45f6-abf6-09bc9c8174cf</t>
  </si>
  <si>
    <t>FRENTE E TRASEIRO</t>
  </si>
  <si>
    <t>MATERIAL INSUFICIENTE E MUITOS PEDAÇOS SEM UTILIDADE</t>
  </si>
  <si>
    <t>0996ca6b-74d6-4172-834c-9e7bc26f5d13</t>
  </si>
  <si>
    <t>fa038a79-665f-4084-9f6f-4c364cc27db1</t>
  </si>
  <si>
    <t>c627844a-3152-4c22-9d15-cea4722a2fba</t>
  </si>
  <si>
    <t>4c2aa0e2-75c1-49ec-a955-0ed879626bb7</t>
  </si>
  <si>
    <t>LD CONFECCOES</t>
  </si>
  <si>
    <t>falta</t>
  </si>
  <si>
    <t xml:space="preserve">estou com uma op que veio passando uma frente de cada numeração. porem não veio as etiquetas passando, o que faço? solicito as traseiras com as etiquetas? ou posso devolver? </t>
  </si>
  <si>
    <t>798797dd-d451-4082-8bc2-73e376b51ecc</t>
  </si>
  <si>
    <t>FORTE FORTEX</t>
  </si>
  <si>
    <t>Etiqueta de Composição</t>
  </si>
  <si>
    <t>Quantidade insuficiente de etiquetas. Vieram faltando.</t>
  </si>
  <si>
    <t>ORDEM - 300269057; MATERIAL INSUFICIENTE PARA FINALIZAR OP;</t>
  </si>
  <si>
    <t>92213a08-a9e7-4167-9f17-2dce707a920a</t>
  </si>
  <si>
    <t xml:space="preserve">Noel Pereira de Azevedo confecção </t>
  </si>
  <si>
    <t xml:space="preserve">Veio faltando </t>
  </si>
  <si>
    <t>c9e48385-a54f-4eba-8286-95707550809a</t>
  </si>
  <si>
    <t xml:space="preserve">Etiqueta marca </t>
  </si>
  <si>
    <t>e002d9c0-9024-4518-86f1-4898b263e8c5</t>
  </si>
  <si>
    <t xml:space="preserve">Joseni Maria </t>
  </si>
  <si>
    <t xml:space="preserve">frentes </t>
  </si>
  <si>
    <t xml:space="preserve">insuficiente  </t>
  </si>
  <si>
    <t>d8022a1d-3233-44fd-86e9-53052ed8fcd4</t>
  </si>
  <si>
    <t>Danjan confecções</t>
  </si>
  <si>
    <t>etq</t>
  </si>
  <si>
    <t>Veio faltando na ordem</t>
  </si>
  <si>
    <t>cb4ce193-c41e-4aa3-a328-08d32f561df9</t>
  </si>
  <si>
    <t>Elastico</t>
  </si>
  <si>
    <t>8 rolos</t>
  </si>
  <si>
    <t>Não deu pra conclui a ordem</t>
  </si>
  <si>
    <t>os elásticos que veio não deu pra conclui a ordem</t>
  </si>
  <si>
    <t>615fbe4c-8cb3-4ded-b61b-7bef2a1f99d3</t>
  </si>
  <si>
    <t>VIES</t>
  </si>
  <si>
    <t>O SUFICIENTE PARA ORDEM TODA</t>
  </si>
  <si>
    <t>469895c7-d99a-43a3-8335-653473662b0d</t>
  </si>
  <si>
    <t xml:space="preserve">Pentilho e alça </t>
  </si>
  <si>
    <t xml:space="preserve">Insuficiente para finalizar a ordem. </t>
  </si>
  <si>
    <t>6a5f2d6f-abdc-4be7-9b98-638287eb3e39</t>
  </si>
  <si>
    <t>VIVO</t>
  </si>
  <si>
    <t>OS VIVOS VEIO COM A ENTRETELA COLADA NO LADO ERRADO</t>
  </si>
  <si>
    <t>5798dceb-3b23-4097-b9e7-4ba7fcf84fb9</t>
  </si>
  <si>
    <t>LC TEXTIL</t>
  </si>
  <si>
    <t xml:space="preserve">insuficiente para finalizar op </t>
  </si>
  <si>
    <t>0cb4aad1-b50a-4951-a807-66aa22fa3322</t>
  </si>
  <si>
    <t>CONFECÃO SAO SEBASTIAO</t>
  </si>
  <si>
    <t>ZIPER TAMANHO 17CM</t>
  </si>
  <si>
    <t>FALTAND0 216 ZIPER TAMNHO 17CM, PARA MONTAGEM DAS PEÇAS TAMANHO 44.</t>
  </si>
  <si>
    <t>aa509686-350a-4237-b023-db64fbd40409</t>
  </si>
  <si>
    <t>Etiqueta de composição tamanho 38</t>
  </si>
  <si>
    <t>Material insuficiente para finalizar a OP</t>
  </si>
  <si>
    <t>9c015d4b-6fb8-4fec-9be2-0cd4afa3255d</t>
  </si>
  <si>
    <t>Faltando.</t>
  </si>
  <si>
    <t>5b124a53-3247-4ed8-be1a-0cb0ef2c3e1d</t>
  </si>
  <si>
    <t>FILME PLÁSTICO - PASSANTE</t>
  </si>
  <si>
    <t xml:space="preserve">FILME PARA FUSIONAR </t>
  </si>
  <si>
    <t>d6d69606-37e6-4522-9dcf-62dcae2b3392</t>
  </si>
  <si>
    <t>INSUFICIENTES</t>
  </si>
  <si>
    <t>e0f43dc9-5ca7-4808-b0e5-b2e0edcc7c31</t>
  </si>
  <si>
    <t xml:space="preserve">JOSENI </t>
  </si>
  <si>
    <t>0139fd41-8e08-4975-9375-1d859e13a20e</t>
  </si>
  <si>
    <t>ORDEM - 300268566; MATERIAL INSUFICIENTE PARA FINALIZAR OP;</t>
  </si>
  <si>
    <t>e3989631-468b-4220-bf5c-b56e5083c441</t>
  </si>
  <si>
    <t>20d03e04-fe5e-4e96-ba89-e9eca054a462</t>
  </si>
  <si>
    <t>FACÇÃO ELLO LTDA</t>
  </si>
  <si>
    <t>6ac96731-9234-444c-aee8-6e5cbb19d22b</t>
  </si>
  <si>
    <t>ORDEM - 300269951; MATERIAL INSUFICIENTE PARA FINALIZAR OP;</t>
  </si>
  <si>
    <t>c23478a8-e28c-4deb-a00e-cd3fb0b19015</t>
  </si>
  <si>
    <t>FALTARAM ETIQUETAS</t>
  </si>
  <si>
    <t>9e9aeef0-962d-4b42-bf00-a42a23af404f</t>
  </si>
  <si>
    <t>TRASEIRO (LADO DO SILK, LADO ESQUERDO DE QUEM VESTE)</t>
  </si>
  <si>
    <t>LADO DO SILK, LADO ESQUERDO DE QUEM VESTE</t>
  </si>
  <si>
    <t>0ae77008-9a8c-43c0-85bf-1f4a7f531ffc</t>
  </si>
  <si>
    <t>CÓS INTERNO E EXTERNO</t>
  </si>
  <si>
    <t>NÃO ENVIADOS PELA GUARARAPES</t>
  </si>
  <si>
    <t>O PEDIDO É COM LOTES DE CÓS INTERNO E EXTERNO!</t>
  </si>
  <si>
    <t>835f2710-3e47-4fe7-9d7e-3ddeb3ec351e</t>
  </si>
  <si>
    <t>linhas</t>
  </si>
  <si>
    <t xml:space="preserve">20 cones </t>
  </si>
  <si>
    <t>insufiente</t>
  </si>
  <si>
    <t>0f4dc221-c792-4c8b-b026-1ccd344400e6</t>
  </si>
  <si>
    <t>dcdf10ff-eb6d-4afd-946c-5aa134b315af</t>
  </si>
  <si>
    <t>BOLSO RELÓGIO</t>
  </si>
  <si>
    <t>8140548b-1a1e-4592-94ae-d4fe2c6c1083</t>
  </si>
  <si>
    <t>PERTINGAL</t>
  </si>
  <si>
    <t>f4253d36-cd1b-4858-b22d-b7dc1c2866b2</t>
  </si>
  <si>
    <t>ESTÁ ACABANDO</t>
  </si>
  <si>
    <t>65077a7e-df93-4342-b0b4-49b99dbc5919</t>
  </si>
  <si>
    <t xml:space="preserve">PARA 770 PEÇAS </t>
  </si>
  <si>
    <t>fec6739e-f2f4-4439-af9a-7686d844b861</t>
  </si>
  <si>
    <t>TAG DE PREÇO</t>
  </si>
  <si>
    <t>6a4e4a2c-05ed-49af-b580-92b0db3d0d75</t>
  </si>
  <si>
    <t>PEDIDMOS REPOSIÇÃO E AINDA VEIO FALTANDO</t>
  </si>
  <si>
    <t>f2fd27f7-37c9-4d89-a523-092824a2f77d</t>
  </si>
  <si>
    <t>A. S. Empreendimentos</t>
  </si>
  <si>
    <t>filme</t>
  </si>
  <si>
    <t>acabou o filme de fusionar passante</t>
  </si>
  <si>
    <t>ffd46b4f-3ca0-42f8-918a-9fa287628f3f</t>
  </si>
  <si>
    <t>Insuficiente</t>
  </si>
  <si>
    <t>Faltando - Cor:650</t>
  </si>
  <si>
    <t>bcfae669-7320-4442-97aa-cf204b0ddaca</t>
  </si>
  <si>
    <t>Faltando cor:343</t>
  </si>
  <si>
    <t>1f95d292-9712-4e20-b7ad-e9727b807afa</t>
  </si>
  <si>
    <t>JOSÉ MEDEIROS DE ARAÚJO EPP</t>
  </si>
  <si>
    <t>2475bd89-1bda-4717-a48c-5650d6b9a2b6</t>
  </si>
  <si>
    <t>Tendência Confecções</t>
  </si>
  <si>
    <t xml:space="preserve">zíper </t>
  </si>
  <si>
    <t>Faltou na OP</t>
  </si>
  <si>
    <t>000000010000245278 - 9.Z0756.014.AZUL00; ZÍPER INOX METAL MEDIO AZUL 14CM</t>
  </si>
  <si>
    <t>24e20500-8076-4ae9-96de-729027cb694d</t>
  </si>
  <si>
    <t>ziper cru tamanho 12cm</t>
  </si>
  <si>
    <t>a90ea7f6-63dc-432a-a972-313d42ad251e</t>
  </si>
  <si>
    <t>Veio errado</t>
  </si>
  <si>
    <t xml:space="preserve">São a quantidade dos tamanhos em pares, a ordem é preta e veio azul marinho. </t>
  </si>
  <si>
    <t>87dc3e32-fb07-469c-8418-1ef6d690f022</t>
  </si>
  <si>
    <t>TAG  DE PREÇO</t>
  </si>
  <si>
    <t xml:space="preserve">ORDEM PRONTA FALTANDO APENAS ESSAS TAGS DE PREÇO </t>
  </si>
  <si>
    <t>2348b47f-1e1b-4182-9b62-b234ba5e9995</t>
  </si>
  <si>
    <t>Potengi textil</t>
  </si>
  <si>
    <t>porengitextil@outlook.com.br</t>
  </si>
  <si>
    <t xml:space="preserve">Etiqueta de preço </t>
  </si>
  <si>
    <t>Insuficiente para finalizar op</t>
  </si>
  <si>
    <t>e6f63aef-6b78-4592-b5ee-c723359f75f5</t>
  </si>
  <si>
    <t>Insuficiente para finalizar ordem.</t>
  </si>
  <si>
    <t xml:space="preserve">Insuficiente para finalizar ordem. </t>
  </si>
  <si>
    <t>bf791065-a5fc-46b1-a6b2-4c39d93bcdc7</t>
  </si>
  <si>
    <t xml:space="preserve">jm confeccoes matriz </t>
  </si>
  <si>
    <t>sjarlandia@hotmail.co</t>
  </si>
  <si>
    <t xml:space="preserve">passante </t>
  </si>
  <si>
    <t>6-800</t>
  </si>
  <si>
    <t xml:space="preserve">feito errado </t>
  </si>
  <si>
    <t xml:space="preserve">foi feito o passante no aparelho luana normal e não ao contrário </t>
  </si>
  <si>
    <t>6504b762-c442-4a0f-af4a-b29cc721a7d7</t>
  </si>
  <si>
    <t xml:space="preserve">Clara A de Medeiros Leite </t>
  </si>
  <si>
    <t xml:space="preserve">Dianteiro </t>
  </si>
  <si>
    <t xml:space="preserve">Lotes com defeito </t>
  </si>
  <si>
    <t>1f771f87-2630-4fde-a9a8-a8b92fdc4645</t>
  </si>
  <si>
    <t>linha TIT25</t>
  </si>
  <si>
    <t>insuficiente para concluir a ordem</t>
  </si>
  <si>
    <t>veio poucos cones dela e vai usar em muitas operações</t>
  </si>
  <si>
    <t>66d9e82a-ab79-4e87-8300-9de71fc1a3bf</t>
  </si>
  <si>
    <t>F&amp;L AZEVEDO MATRIZ</t>
  </si>
  <si>
    <t>felconfccao@gmail.com</t>
  </si>
  <si>
    <t>frentes</t>
  </si>
  <si>
    <t>VEIO COM DEFEITO</t>
  </si>
  <si>
    <t>VEIO COM DEFEITO NO BORDADO</t>
  </si>
  <si>
    <t>fad0dd88-8359-400a-a4f9-6b75f040c27d</t>
  </si>
  <si>
    <t>FACCAO ELLO LTDA</t>
  </si>
  <si>
    <t>e40562db-d2d8-4b6e-85dd-58d3c46f5cea</t>
  </si>
  <si>
    <t>F &amp; L AZEVEDO CONFECCAO LTDA MATRIZ</t>
  </si>
  <si>
    <t>PEÇAS COM DEFEITO NO BORDADO</t>
  </si>
  <si>
    <t>AS PEÇAS VEIO COM DEFEITO NO BORDADO</t>
  </si>
  <si>
    <t>a0d1fef9-f639-437b-8380-295937b25194</t>
  </si>
  <si>
    <t>M A P FORTE FORTEX PRODUCAO TEXTIL</t>
  </si>
  <si>
    <t>ORDEM - 300269070; MATERIAL INSUFICIENTE PARA FINALIZAR OP;</t>
  </si>
  <si>
    <t>FREIRE SILVA CONFECCOES LTDA</t>
  </si>
  <si>
    <t xml:space="preserve">Material não enviado pela Guararapes. </t>
  </si>
  <si>
    <t>FLAVIA GEORGIA BRAGA SILVA CONFECCOES LTDA</t>
  </si>
  <si>
    <t>ESTAMOS PRECISANDO PARA AS ORDENS MESTRES</t>
  </si>
  <si>
    <t>MATERIAL NÃO VEIO</t>
  </si>
  <si>
    <t>CONFECCOES FRANOELDA MAGNEUDA DE MEDEIROS ARAUJO LTDA</t>
  </si>
  <si>
    <t>filme plastico para passante</t>
  </si>
  <si>
    <t>Etiqueta de marca/composição</t>
  </si>
  <si>
    <t>INSUFICIENTE PRA FINALIZAR A OP</t>
  </si>
  <si>
    <t>INSUFICIENTE PARA A DISTRIBUIÇÃO DAS MAQUINAS</t>
  </si>
  <si>
    <t>faltou</t>
  </si>
  <si>
    <t>VIVO DO BOLSO TRASEIRO , VIVO DE PREGAR NO FORRO, JÁ QUE A PEÇA VEIO DO BOLSO AUTOMÁTICO</t>
  </si>
  <si>
    <t>SEM CÓDIGO</t>
  </si>
  <si>
    <t>JUCURUTU TEXTIL LTDA</t>
  </si>
  <si>
    <t>feio com defeito não abre</t>
  </si>
  <si>
    <t>preciso de 40 ziper por que veio com defeito desmantelado não abre,</t>
  </si>
  <si>
    <t>ACAUA CONFECCOES LTDA</t>
  </si>
  <si>
    <t>Etiquetas insuficientes pra finalizar a op</t>
  </si>
  <si>
    <t>Faltando 30 Etiquetas XG</t>
  </si>
  <si>
    <t>5 rolos</t>
  </si>
  <si>
    <t>ta acabando</t>
  </si>
  <si>
    <t>preciso de papel filme por que ta acabando</t>
  </si>
  <si>
    <t>N S CONSTANTINO LTDA</t>
  </si>
  <si>
    <t>RECEBEMO O MATERIAL COM VARIAÇÃO DE MP.</t>
  </si>
  <si>
    <t xml:space="preserve">GOLA RODADA </t>
  </si>
  <si>
    <t xml:space="preserve">790 - T- SHIRT BASICO </t>
  </si>
  <si>
    <t>1 ROLO DE PAPELÃO</t>
  </si>
  <si>
    <t>CABOU</t>
  </si>
  <si>
    <t xml:space="preserve">O BOTÃO É PARA A GOLA. RECEBEMOS MUITAS OP'S FALTANDO ESSES BOTÕES. </t>
  </si>
  <si>
    <t>CONFECCAO G. B. DA SILVA JUNIOR &amp; CIA LTDA</t>
  </si>
  <si>
    <t>NÃO TENHO O CÓDIGO, POIS A ETIQUETA NÃO VEIO</t>
  </si>
  <si>
    <t>Etiqueta</t>
  </si>
  <si>
    <t>10000214602 / 10000214511.</t>
  </si>
  <si>
    <t>FALTOU PARA COMPLETAR A ORDEM</t>
  </si>
  <si>
    <t>NÃO TENHO O CÓDIGO DO TRASEIRO E FRENTE</t>
  </si>
  <si>
    <t>FALTOU PEÇAS PARA COMPLETAR A ORDEM</t>
  </si>
  <si>
    <t>NÃO TENHO O CÓDIGO DO TRASEIRO</t>
  </si>
  <si>
    <t>MATERIAL NÃO ENVIADO PARA OFICINA</t>
  </si>
  <si>
    <t>NÃO FOI ENVIADO PARA OFICINA</t>
  </si>
  <si>
    <t>10000214602 / 10000214516</t>
  </si>
  <si>
    <t>ALANIS SANTOS LTDA</t>
  </si>
  <si>
    <t>77.abatista@gmail.com</t>
  </si>
  <si>
    <t>AVIAMENTO NÃO RECEBIDO.</t>
  </si>
  <si>
    <t>NÃO RECEBEMOS NENHUMA QUANTIDADE DE NENHUM TAMANHO.</t>
  </si>
  <si>
    <t>Veio faltando 107 Mangas M</t>
  </si>
  <si>
    <t>Veio faltando 107 mangas M</t>
  </si>
  <si>
    <t>REPOSIÇÃO NÃO RECEBIDA</t>
  </si>
  <si>
    <t>OFICINA NÃO RECEBEU NENHUMA QUANTIDADE DE NENHUM TAMANHO.</t>
  </si>
  <si>
    <t xml:space="preserve">VEIO FALTANDO NA ORDEM MESTRE </t>
  </si>
  <si>
    <t>Viés</t>
  </si>
  <si>
    <t>1178 PEÇAS</t>
  </si>
  <si>
    <t>OFICINA NÃO RECEBEU NENHUMA QUANTIDADE</t>
  </si>
  <si>
    <t>02 rolos</t>
  </si>
  <si>
    <t>Acabou na Oficina</t>
  </si>
  <si>
    <t>LEANDRO MATIAS DA SILVA</t>
  </si>
  <si>
    <t>10 UNDIDADES DE CADA TAMANHO</t>
  </si>
  <si>
    <t>JAKELINE F DE AZEVEDO</t>
  </si>
  <si>
    <t>jakeline.jl.confeccoes@gmail.com</t>
  </si>
  <si>
    <t>A QUANTIDADE É INSUFICIENTE PARA FINALIZAR A ORDEM</t>
  </si>
  <si>
    <t xml:space="preserve">ETQ RCHLO TOP INFANTIL 65X12 </t>
  </si>
  <si>
    <t>10000218092; 10000208288:</t>
  </si>
  <si>
    <t>CONFECCOES GENESIS LTDA</t>
  </si>
  <si>
    <t>os viés enviados vieram todos misturados e desalinhados, ocasionando o desperdicio</t>
  </si>
  <si>
    <t>FAZER UNS CONCERTOS</t>
  </si>
  <si>
    <t>6 PEÇAS 6 CONCERTO DE ALÇA</t>
  </si>
  <si>
    <t xml:space="preserve">quantidade insuficiente </t>
  </si>
  <si>
    <t>OFICINA NÃO RECEBEU PEÇA PILOTO</t>
  </si>
  <si>
    <t>MATERIAL NÃO ESTÁ NO PLM. OFICINA TERÁ DIFICULDADE NO OPERACIONAL.</t>
  </si>
  <si>
    <t>etiqueta veio faltando 2 unidades</t>
  </si>
  <si>
    <t>não veio , faltou</t>
  </si>
  <si>
    <t>não estou incluindo o Cód. do material , pois o Check-in não veio por completo ,não tem tem no check-in esses tamanhos que faltaram</t>
  </si>
  <si>
    <t>não veio o check-in completo, veio só uma parte</t>
  </si>
  <si>
    <t>Veio faltando</t>
  </si>
  <si>
    <t>Não recebemos por check-in completo, por isso não tenho os codigo dos pedidos</t>
  </si>
  <si>
    <t>não veio código, o check-in veio incompleto</t>
  </si>
  <si>
    <t>IVANILDO JOSE DE SOUZA</t>
  </si>
  <si>
    <t>Veio faltando.</t>
  </si>
  <si>
    <t>Tamanho 36: 10 etiquetas de composição.  Tamanho 38: 10 etiquetas de composição.  Tamanho 40: 10 etiquetas de composição.  Tamanho 42: 10 etiquetas de composição.  Tamanho 44: 10 etiquetas de composição.  Tamanho 46: 10 etiquetas de composição.  Tamanho 48: 10 etiquetas de composição.  Tamanho 50: 10 etiquetas de composição.  Total do pedido: 80 etiquetas de composição.</t>
  </si>
  <si>
    <t xml:space="preserve">QUANTIDADE INSUFICIENTE </t>
  </si>
  <si>
    <t xml:space="preserve">MALHA </t>
  </si>
  <si>
    <t xml:space="preserve">MATERIAL NÃO ENVIADO </t>
  </si>
  <si>
    <t>TRASEIROS</t>
  </si>
  <si>
    <t>ESTA ACABANDO</t>
  </si>
  <si>
    <t xml:space="preserve">INSUFICIENTE PARA FINALIZA A ORDEM </t>
  </si>
  <si>
    <t xml:space="preserve">RECEBIR POUCOS LINHAS E TENHO 5 ORDEM DESSA MESMA COR E JA ESTOU USANDO AS LINHAS DAS OUTRA ORDEM E TALVEZ NEM DER PARA FINALIZA </t>
  </si>
  <si>
    <t xml:space="preserve">Veio um atado com cortes assimétricos </t>
  </si>
  <si>
    <t>Cós fusionado</t>
  </si>
  <si>
    <t>150 pares de cós</t>
  </si>
  <si>
    <t>Faltando para finalização de ordem para liberação</t>
  </si>
  <si>
    <t xml:space="preserve">Estamos precisando de papelão </t>
  </si>
  <si>
    <t>LINEA INDUSTRIA, COMERCIO &amp; SERVICOS DE CONFECCOES LTDA</t>
  </si>
  <si>
    <t>linealtda@gmail.com</t>
  </si>
  <si>
    <t>Precisamos dessa reposição com urgência para finalização dessa ordem que é de maio.</t>
  </si>
  <si>
    <t>9.LI001.036.171142</t>
  </si>
  <si>
    <t xml:space="preserve">PRECISO DE 10 ROLOS POIS NOSSO ESTOQUE ESTA COM APENAS UM ROLO. NAO COLOQUEI CODIGO PQ NAO TENHO COM SABER </t>
  </si>
  <si>
    <t>Linha e Fio</t>
  </si>
  <si>
    <t>INSUFICIENTE PARA FINALIZAR</t>
  </si>
  <si>
    <t>Material não enviado pela guararapes.</t>
  </si>
  <si>
    <t>etiqueta de cós SLIM</t>
  </si>
  <si>
    <t>9.ETN72.001.PR9001</t>
  </si>
  <si>
    <t>DONA TICA CONFECCOES LTDA MATRIZ</t>
  </si>
  <si>
    <t>FENIX INDUSTRIA TEXTIL LTDA</t>
  </si>
  <si>
    <t>novaconfeccoes2.0@hotmail.com</t>
  </si>
  <si>
    <t>Não recebemos os zíper e etiquetas de marca e cos para os tamanhos 38, 40, 42, 44, 46 e 48</t>
  </si>
  <si>
    <t xml:space="preserve">Reposição de etiquetas de marca, cos e zíper! Não recebemos </t>
  </si>
  <si>
    <t>LAJEDO JEANS CONFECCOES LTDA</t>
  </si>
  <si>
    <t>lajedoconf5@gmail.com</t>
  </si>
  <si>
    <t>ASA CONFECCOES LTDA</t>
  </si>
  <si>
    <t>material insuficiente pra terminar ordem</t>
  </si>
  <si>
    <t>faltou 5 ziper tamanho 15cm.</t>
  </si>
  <si>
    <t>UNIAO CONFECCOES LTDA</t>
  </si>
  <si>
    <t xml:space="preserve">Faltou 23 etiquetas tamanho 6/7 </t>
  </si>
  <si>
    <t xml:space="preserve">Faltou 23 etiquetas </t>
  </si>
  <si>
    <t>KSW CONFECCOES LTDA</t>
  </si>
  <si>
    <t>fALTARAM VIESES</t>
  </si>
  <si>
    <t xml:space="preserve">Não tem </t>
  </si>
  <si>
    <t>QUANTIDADE INSUFICIENTE PARA DISTRIBUIR NAS MAQUINAS</t>
  </si>
  <si>
    <t>LINHAS</t>
  </si>
  <si>
    <t>Etiqueta de modelagem ( a que é pregada próxima a etiqueta de tamnho)o</t>
  </si>
  <si>
    <t>não tenho codigo</t>
  </si>
  <si>
    <t>FALTOU PARA FINALIZAÇÃO</t>
  </si>
  <si>
    <t>VIÉS DE GOLA PARA 50 PEÇAS</t>
  </si>
  <si>
    <t>POEST INDUSTRIA E COMERCIO DE VESTUARIO LTDA</t>
  </si>
  <si>
    <t>papelao para gabarito</t>
  </si>
  <si>
    <t>filme plástico do estreito</t>
  </si>
  <si>
    <t>filme plástico do estreito para passante</t>
  </si>
  <si>
    <t>23 pçs</t>
  </si>
  <si>
    <t>peças com etiqueta 36 ,mas não é 36 .</t>
  </si>
  <si>
    <t>lote com etiqueta 36 ,mas não é 36 , é tamanho 40 .</t>
  </si>
  <si>
    <t xml:space="preserve">ETIQUETAS NÃO ENVIADA </t>
  </si>
  <si>
    <t xml:space="preserve">Não enviado pela guararapes </t>
  </si>
  <si>
    <t xml:space="preserve">Não recebi as etiquetas junto da ordem. </t>
  </si>
  <si>
    <t>M A VIEIRA DE ALMEIDA</t>
  </si>
  <si>
    <t xml:space="preserve">veio todo manchado e molhado </t>
  </si>
  <si>
    <t>veio tudo os forro manchados e molhado</t>
  </si>
  <si>
    <t>Tonalidade diferente da peça</t>
  </si>
  <si>
    <t>Tonalidade da cor da peça para a cor da gola</t>
  </si>
  <si>
    <t>ORDEM - 300269511; MATERIAL INSUFICIENTE PARA FINALIZAR OP;</t>
  </si>
  <si>
    <t>falconcofeccoes@hotmail.com</t>
  </si>
  <si>
    <t>A ETQ MODEL POOL 40 BOOTCUT 60*10 BR , etiqueta fit.</t>
  </si>
  <si>
    <t>MATERIAL NÃO ENVIANDO PELA GUARARAPES</t>
  </si>
  <si>
    <t>FRENTE LADO DIREITO</t>
  </si>
  <si>
    <t>MANSOUR &amp; DANTAS CONFECCOES LTDA</t>
  </si>
  <si>
    <t>BJMANSOURCONFEC@GMAIL.COM</t>
  </si>
  <si>
    <t xml:space="preserve">NÃO EVIADO DA GUARARAPES </t>
  </si>
  <si>
    <t>VEIO FALTANDO 128 FRENTE/TRASEIRO E MANGA DO TAMANHO G</t>
  </si>
  <si>
    <t>NÃO ENVIADO DA GUARARAPES</t>
  </si>
  <si>
    <t xml:space="preserve">NÃO VEIO A FRENTE, TRASEIRO E MANGA TAMANHO G </t>
  </si>
  <si>
    <t xml:space="preserve">NÃO ENVIADO DA GUARARAPES </t>
  </si>
  <si>
    <t>vieram faltando 10 etiquetas de composição de cada tamanho.</t>
  </si>
  <si>
    <t>Faltaram 40 perdigal</t>
  </si>
  <si>
    <t>faltaram 40 perdigal do tamanho 11-12</t>
  </si>
  <si>
    <t xml:space="preserve">NAO ENVIADO </t>
  </si>
  <si>
    <t>EVALBER DE CASTRO DANTAS</t>
  </si>
  <si>
    <t>300 PEÇAS</t>
  </si>
  <si>
    <t>Veio com quantidade incompleta para toda a ORDEM</t>
  </si>
  <si>
    <t>Plástico filme: ESPESSURA -3,5/1- para a Ordem 300266689.</t>
  </si>
  <si>
    <t>Bom dia, solicito o envio de plástico filme 3,5/1 para a Ordem 300266689. Justifico a falta do código do material por não constar na ficha técnica.</t>
  </si>
  <si>
    <t>FIOS DO SERTÃO</t>
  </si>
  <si>
    <t xml:space="preserve">linha cor 0742 tit: 25 e tit: 80 5 cones de cada linha. a quantidade enviada não da pra finalizar a op </t>
  </si>
  <si>
    <t>QUANTIDADE INSUFICIENTE</t>
  </si>
  <si>
    <t>Estão faltando 10 etq. do tam.: PP; 10 etq. tam.: P; 20 etq. do tam.: M; 20 etq. do tam.: G; 10 etq. do tam.: GG.</t>
  </si>
  <si>
    <t>10000209178 / 10000209179 / 10000209180 / 10000209181 / 10000209182</t>
  </si>
  <si>
    <t>PEDI REPOSIÇÃO MAS VEIO FALTANDO NOVAMENTE</t>
  </si>
  <si>
    <t>TENDENCIA CONFECCOES LTDA</t>
  </si>
  <si>
    <t>Faltou, não veio junto a OP</t>
  </si>
  <si>
    <t>Faltou 274 etiquetas de preço tamanho 8-9</t>
  </si>
  <si>
    <t>NÃO FOI ENVIADO O CADARÇO PARA PARA SER PREGADO NO BOLSO DA CALÇA (OBS: O CADARÇO É DE 5CM)</t>
  </si>
  <si>
    <t>000000010000068670 - 9.C0001.025.CRU000 CADARÇO CO25MM CRU000</t>
  </si>
  <si>
    <t>ELÁSTICO PARA 500 PEÇAS</t>
  </si>
  <si>
    <t>PINO DA PISTOLA</t>
  </si>
  <si>
    <t>INSUFICIENTE PARA ENVIAR OP</t>
  </si>
  <si>
    <t>Insuficiente para finalizar a OP</t>
  </si>
  <si>
    <t>A ordem está com falta de 25 peças e estamos com vários pedaços de partes. Preciso de reposição para peça completa assim como também as etiquetas de composição.</t>
  </si>
  <si>
    <t>CHAMADO PARA O CORTE N° 28155</t>
  </si>
  <si>
    <t>INSUFICIENTE PARA TERMINAR A ORDEM</t>
  </si>
  <si>
    <t>LOTE NÃO ENVIADO</t>
  </si>
  <si>
    <t xml:space="preserve">PEÇAS A MAIS NA ORDEM </t>
  </si>
  <si>
    <t>A ORDEM POSSUI PEÇAS A MAIS, POR ESTE MOTIVOS SOLICITAMOS MAIS ETIQUETAS</t>
  </si>
  <si>
    <t xml:space="preserve">ETIQUETA COMPOSIÇÕES </t>
  </si>
  <si>
    <t>Falta para finalização de ordem</t>
  </si>
  <si>
    <t xml:space="preserve">Faltando para finalização de ordem precisamos o mais rápido possível. </t>
  </si>
  <si>
    <t>MATERIAL DIVERGENTE DO ESPECIFICADO</t>
  </si>
  <si>
    <t xml:space="preserve"> PASSANTE PEDI DE 2,5 E RECEBEMOS DE 3,5</t>
  </si>
  <si>
    <t xml:space="preserve">Faltou 15 pares de punho tamanho M </t>
  </si>
  <si>
    <t>BOTÃO PARA 200 PEÇAS - SÃO 5 BOTÕES NA VISTA</t>
  </si>
  <si>
    <t>NÃO ENVIANDO PELA GUARARAPES</t>
  </si>
  <si>
    <t>1032 peças</t>
  </si>
  <si>
    <t>REFORÇO DO BOLSO TRASEIRO</t>
  </si>
  <si>
    <t xml:space="preserve">REFORÇO DE BOLSO </t>
  </si>
  <si>
    <t xml:space="preserve">Estamos sem lacre </t>
  </si>
  <si>
    <t>Estou sem lacre de tudo!!</t>
  </si>
  <si>
    <t xml:space="preserve">Terminou </t>
  </si>
  <si>
    <t>PRECISO DO GABARITO</t>
  </si>
  <si>
    <t xml:space="preserve">ATENÇÃO PRECISO DO GABARITO PARA FAAZER A MARCAÇÃO DAS PEÇAS </t>
  </si>
  <si>
    <t>PRECISO DE REPOSIÇÃO PARA GABARITO</t>
  </si>
  <si>
    <t>não recebemos as linhas tit 50 s. 608</t>
  </si>
  <si>
    <t xml:space="preserve">material não enviado pela guararapes para toda ordem </t>
  </si>
  <si>
    <t>não veio cos interno para toda ordem</t>
  </si>
  <si>
    <t>LD CONFECÇÕES</t>
  </si>
  <si>
    <t>6 rolos</t>
  </si>
  <si>
    <t>material insuficiente</t>
  </si>
  <si>
    <t xml:space="preserve">material insuficiente </t>
  </si>
  <si>
    <t xml:space="preserve">solicitando filme plastico para pasante, motivo estamos com apenas um rolo na fabrica. </t>
  </si>
  <si>
    <t>papelão</t>
  </si>
  <si>
    <t>LIVIA REBOUCAS DE CARVALHO</t>
  </si>
  <si>
    <t>Passante costurado com linha errada</t>
  </si>
  <si>
    <t>Estou a usar o último rolo em oficina.</t>
  </si>
  <si>
    <t>as frentes bordadas dessa ordem não vieram.</t>
  </si>
  <si>
    <t>frentes bordadas</t>
  </si>
  <si>
    <t>VIES DE BOCADA CRU</t>
  </si>
  <si>
    <t>SEGUNDO DONA ISLANIA-EMPREGADORA ESSE MATERIAL NAO FOI ENVIADO PELA GUARARAPES JUNTO A ORDEM</t>
  </si>
  <si>
    <t xml:space="preserve">8 cones </t>
  </si>
  <si>
    <t>Faltou linha título 36</t>
  </si>
  <si>
    <t xml:space="preserve">Faltou linha pra finalizar op </t>
  </si>
  <si>
    <t>000000010000072001 - 9.FI000.001.191759</t>
  </si>
  <si>
    <t>LC TEXTIL LTDA</t>
  </si>
  <si>
    <t>Insuficiente para finalizar ordem</t>
  </si>
  <si>
    <t>NÃO TEM SUFICIENTE PARA COMPLETAR A ORDEM</t>
  </si>
  <si>
    <t>ENNVIAR URGENTE</t>
  </si>
  <si>
    <t>NÃO ENVIADA PEÇA GUARARAPES</t>
  </si>
  <si>
    <t>FALTOU A FRENTE/TRASEIRO DO LADO DO SILK! (LADO ESQUERDO DE QUEM VESTE)</t>
  </si>
  <si>
    <t>ORDEM - 300261174; MATERIAL INSUFICIENTE PARA FINALIZAR A OP;</t>
  </si>
  <si>
    <t>Insuficientepara finalização de ordem</t>
  </si>
  <si>
    <t>Faltando enviar o mais breve possível.</t>
  </si>
  <si>
    <t>A A PEREIRA LIMITADA</t>
  </si>
  <si>
    <t>AJG CONFECCOES LTDA</t>
  </si>
  <si>
    <t xml:space="preserve">Faltou 16 etiquetas de composição tamanho 8/9 </t>
  </si>
  <si>
    <t xml:space="preserve">Faltou 16 etiquetas de composição </t>
  </si>
  <si>
    <t xml:space="preserve">N tem </t>
  </si>
  <si>
    <t>Tag</t>
  </si>
  <si>
    <t xml:space="preserve">faltou para o tamanho pp </t>
  </si>
  <si>
    <t>faltou para o tamanho pp</t>
  </si>
  <si>
    <t xml:space="preserve">tag de preço </t>
  </si>
  <si>
    <t>NÃO RECEBEMOS O PASSANTE PARA A ORDEM INTEIRA</t>
  </si>
  <si>
    <t>NÃO RECEBEMOS OS PASSANTES</t>
  </si>
  <si>
    <t>O motivo do pedido, é porque a quantidade que veio, é insuficiente.</t>
  </si>
  <si>
    <t>Tamanho 36: Pedido de 8 Etiquetas de composição. Tamanho 38: Pedido de 8 Etiquetas de composição. Tamanho 40: Pedido de 8 Etiquetas de composição. Tamanho 42: Pedido de 8 Etiquetas de composição. Tamanho 44: Pedido de 8 Etiquetas de composição. Tamanho 46: Pedido de 8 Etiquetas de composição. Tamanho 48: Pedido de 8 Etiquetas de composição.  Total do pedido: 56 etiquetas de composição.</t>
  </si>
  <si>
    <t>15 cones</t>
  </si>
  <si>
    <t>esta ordem não veio a linha tit 50 s.650 , que é pra ser usada no chuleado e no interno.</t>
  </si>
  <si>
    <t xml:space="preserve">Etiquetas extraviadas </t>
  </si>
  <si>
    <t xml:space="preserve"> Etiquetas extraviadas ao limpar as peças com a maquina limpa fios</t>
  </si>
  <si>
    <t xml:space="preserve">Tam.:13-14/ Cód.;10000216489, Tam.:11-12/ Cód.;10000216488, Tam.: 9-10/Cód.; 10000216487, Tam.: 8-9/Cód.; 10000216484, Tam.: 6-7/Cód.: 10000216483   </t>
  </si>
  <si>
    <t>8 cones</t>
  </si>
  <si>
    <t>não veio a linha tit 50s.650</t>
  </si>
  <si>
    <t>13 unidades tamanho GG</t>
  </si>
  <si>
    <t>Faltou</t>
  </si>
  <si>
    <t>ETQ MODEL BERMUDA SLIM 60X10 BR</t>
  </si>
  <si>
    <t xml:space="preserve">FORRO SUPERIOR ESQUERDO </t>
  </si>
  <si>
    <t xml:space="preserve">ERRO </t>
  </si>
  <si>
    <t xml:space="preserve">FORRO SUPERIOR DIREITO </t>
  </si>
  <si>
    <t>danificado</t>
  </si>
  <si>
    <t xml:space="preserve">NÃO ENVIADO PELA GUARARAPES </t>
  </si>
  <si>
    <t>*</t>
  </si>
  <si>
    <t xml:space="preserve">MATERIAL INSUFICIENTE PARA FINALIZAR A OP </t>
  </si>
  <si>
    <t>insuficiente para finalizar a op</t>
  </si>
  <si>
    <t>etiquetas de composição</t>
  </si>
  <si>
    <t>Etiqueta de composição do 3° risco não foi enviado</t>
  </si>
  <si>
    <t>Material não enviado</t>
  </si>
  <si>
    <t xml:space="preserve">FALTARAM OS BOTÕES DA GOLA. INFELIZMENTE SÓ PEDIMOS PARA VISTA. </t>
  </si>
  <si>
    <t>estamos precisando de lacres para envios das peças produzidas</t>
  </si>
  <si>
    <t xml:space="preserve">(op em produção) </t>
  </si>
  <si>
    <t xml:space="preserve">VEIO FALTANDO ESSES CÓS </t>
  </si>
  <si>
    <t xml:space="preserve">INSUFICIENTE A PARA A OM </t>
  </si>
  <si>
    <t xml:space="preserve">10000072007 - FIO 100%PES S.8192 193921 </t>
  </si>
  <si>
    <t>INSUFICIENTE PARA A OM</t>
  </si>
  <si>
    <t>10000072579 - LINHA 100%PES TÍT120 C. 44 S.703 193921</t>
  </si>
  <si>
    <t>ORDEM - 300261175; MATERIAL INSUFICIENTE PARA FINALIZAR OP;</t>
  </si>
  <si>
    <t xml:space="preserve">10000072007 -  FIO 100%PES S.8192 193921 </t>
  </si>
  <si>
    <t xml:space="preserve">10000072007 - FIO 100% PES S.8192 193921 </t>
  </si>
  <si>
    <t>Faltando para finalização de ordem, Precisamos o mais Rápido póssivel.</t>
  </si>
  <si>
    <t>temos uma ordem pra fixar os cintos na bandeira</t>
  </si>
  <si>
    <t>A reposição é de bandeira pra pregar cinto</t>
  </si>
  <si>
    <t xml:space="preserve">Faltou pra finalizar a ordem </t>
  </si>
  <si>
    <t>vies veiomisturado</t>
  </si>
  <si>
    <t>junto ao vies de gola veio vies de ombro a ombro ai faltou os de gola</t>
  </si>
  <si>
    <t>PEDRO E ODAIR</t>
  </si>
  <si>
    <t>O motivo do pedido, é porque a quantidade que veio, é insuficiente para concluir a OP.</t>
  </si>
  <si>
    <t>Pedido de 55 etiquetas de composição, para o tamanho 36.</t>
  </si>
  <si>
    <t xml:space="preserve">pedi só para o 1°Enfesto, Faltou pedi o do 2°Enfesto </t>
  </si>
  <si>
    <t>forro para o 2°Enfesto</t>
  </si>
  <si>
    <t>Pedido de 55 etiquetas de cós, para o tamanho 36.  Total do pedido: 55 etiquetas de cós.</t>
  </si>
  <si>
    <t xml:space="preserve">Faltou viés cava e decote pra 300 peças </t>
  </si>
  <si>
    <t xml:space="preserve">Faltou viés pra 300 peças </t>
  </si>
  <si>
    <t>Viés de passante</t>
  </si>
  <si>
    <t xml:space="preserve">VIES DE PASSANTE </t>
  </si>
  <si>
    <t>INSUFICIENTE PARA A ORDEM MESTRE</t>
  </si>
  <si>
    <t>ESTAMOS PRECISANDO PARA CONCLUIR A OM</t>
  </si>
  <si>
    <t>LIMA CONFECCOES LTDA</t>
  </si>
  <si>
    <t>1230 de tamanho, 1230 FIT</t>
  </si>
  <si>
    <t>Preciso de todas as etiquetas de tamanho e marca fit desta para fazer o concerto de um rejeito na oficina</t>
  </si>
  <si>
    <t>Etiquetas de cós , tamanho e Fit</t>
  </si>
  <si>
    <t>não foi enviado</t>
  </si>
  <si>
    <t>ziper 13cm</t>
  </si>
  <si>
    <t>insuficiente</t>
  </si>
  <si>
    <t xml:space="preserve">PARA 300 PEÇAS </t>
  </si>
  <si>
    <t xml:space="preserve">Faltou 240 palas </t>
  </si>
  <si>
    <t xml:space="preserve">Faltou </t>
  </si>
  <si>
    <t xml:space="preserve">Faltou 120 praças de frentes e vistas </t>
  </si>
  <si>
    <t xml:space="preserve">Faltou 120 peças de frentes e vistas . </t>
  </si>
  <si>
    <t>Bom dia, escolhi a opção papelão para gabarito, no entanto, não é, O QUE FALTOU FOI O GABARITO.</t>
  </si>
  <si>
    <t xml:space="preserve">Bom dia, SÓ RELEMBRANDO, É O GABARITO QUE ESTÁ FALTANDO. </t>
  </si>
  <si>
    <t>5 MIL</t>
  </si>
  <si>
    <t>NÃO RECEBEMOS SEMANA PASSADA</t>
  </si>
  <si>
    <t>ORDEM - 300262745; MATERIAL INSUFICIENTE PARA FINALIZAR OP;</t>
  </si>
  <si>
    <t>ORDEM - 300272276; MATERIAL INSUFICIENTE PARA FINALIZAR OP;</t>
  </si>
  <si>
    <t>ORDEM - 300262591; MATERIAL INSUFICIENTE PARA FINALIZAR OP;</t>
  </si>
  <si>
    <t>ORDEM - 300262590; MATERIAL INSUFICIENTE PARA FINALIZAR OP;</t>
  </si>
  <si>
    <t>Estou precisando de filme plastico para passante</t>
  </si>
  <si>
    <t>Estou sem filme plastico</t>
  </si>
  <si>
    <t>Não enviada pela guararapes</t>
  </si>
  <si>
    <t>Na sequência do enfesto 001 faltou todos os: passantes, jota, pertingal, vista, frente, bolso relogio, bolso traseiro, dianteiro, palas. Na sequencia 002 faltou todos os : traseiros, cós, passantes.</t>
  </si>
  <si>
    <t>VEIO FALTANDO ETIQUETA FIT</t>
  </si>
  <si>
    <t>veio faltando 10 cós interno de cada lote</t>
  </si>
  <si>
    <t xml:space="preserve">veio faltando </t>
  </si>
  <si>
    <t xml:space="preserve">Material não enviado pela Guararapes </t>
  </si>
  <si>
    <t>etiqueta de composição tamanho 42</t>
  </si>
  <si>
    <t xml:space="preserve">Reposição de lacres </t>
  </si>
  <si>
    <t xml:space="preserve">FOI ENVIADA O PREÇO INCORRETO </t>
  </si>
  <si>
    <t>PRECISO DAS ETIQUETAS URGENTEMENTE, JA VOU INICIAR A ORDEM</t>
  </si>
  <si>
    <t xml:space="preserve">Está faltando na oficina </t>
  </si>
  <si>
    <t xml:space="preserve">Estamos sem lacres. </t>
  </si>
  <si>
    <t>lctextil@outloo.com.br</t>
  </si>
  <si>
    <t xml:space="preserve">Não temos na oficina </t>
  </si>
  <si>
    <t xml:space="preserve">Estamos sem lacre na oficina </t>
  </si>
  <si>
    <t xml:space="preserve">Estamos sem o material </t>
  </si>
  <si>
    <t xml:space="preserve">Estamos sem na oficina </t>
  </si>
  <si>
    <t xml:space="preserve">Estamos sem lacres na oficina </t>
  </si>
  <si>
    <t>MATERIAL INSUFICIENTE PARA FINALIZAR A ORDEM MESTRE</t>
  </si>
  <si>
    <t>125 peças</t>
  </si>
  <si>
    <t>O que veio foi insuficiente</t>
  </si>
  <si>
    <t xml:space="preserve">Material não enviado pela guararapes </t>
  </si>
  <si>
    <t xml:space="preserve">Material não enviado junto da ordem. </t>
  </si>
  <si>
    <t>quantidade insuficiente para finalizar a op</t>
  </si>
  <si>
    <t>MATERIAL INSUFICIENTE PARA TERMINAMOS A ORDEM</t>
  </si>
  <si>
    <t>Faltando para finalização de ordem</t>
  </si>
  <si>
    <t xml:space="preserve">Faltando para finalização da ordem </t>
  </si>
  <si>
    <t>di3confecções@gmail.com</t>
  </si>
  <si>
    <t>NÃO ENCONTRAMOS OS VIVOS DO 1° RISCO TAMANHOS 38, 40, 42 E 1 PACOTE DO 46</t>
  </si>
  <si>
    <t>MATERIAL NÃO ENVIADO</t>
  </si>
  <si>
    <t xml:space="preserve">Etiqueta de composição. </t>
  </si>
  <si>
    <t>Faltou 50 golas para completar o tamanho M</t>
  </si>
  <si>
    <t>Faltou 100 etiquetas tamanho 36</t>
  </si>
  <si>
    <t>INSUFICIENTE PARA ALGUNS TAMANHOS DO ENFESTO 1</t>
  </si>
  <si>
    <t>Boa tarde, ORDEM veio faltando etiquetas de composição do enfesto 1, quantidade acima de tamanhos especificados.</t>
  </si>
  <si>
    <t>8 pç</t>
  </si>
  <si>
    <t>esta ordem veio com os bolsos pregados , mas veio um lote de traseiro sem o bolso tamanho 38</t>
  </si>
  <si>
    <t>esta ordem veio um lote sem o bolso traseiro tamanho 38</t>
  </si>
  <si>
    <t>10000241485 / 10000241487</t>
  </si>
  <si>
    <t xml:space="preserve">ACABANDO O QUE ESTÁ EM OFICINA. </t>
  </si>
  <si>
    <t xml:space="preserve">3 CAIXAS DE PINO </t>
  </si>
  <si>
    <t>Essa reposição é de sacos para artok</t>
  </si>
  <si>
    <t>essa reposição é de sacos de artok</t>
  </si>
  <si>
    <t>Sacos para artok</t>
  </si>
  <si>
    <t>ARAUJO E M CONFECCOES LTDA</t>
  </si>
  <si>
    <t>ACABANDO</t>
  </si>
  <si>
    <t>M C CONFECCOES LTDA</t>
  </si>
  <si>
    <t>mc.confeccoes15@gmail.com</t>
  </si>
  <si>
    <t>Quantidade insuficiente.</t>
  </si>
  <si>
    <t>Faltaram 35 etiquetas de composição tamanho 44.</t>
  </si>
  <si>
    <t xml:space="preserve">Faltou botão para 25 peças </t>
  </si>
  <si>
    <t xml:space="preserve">A quantidade não está sendo suficiente para a produção </t>
  </si>
  <si>
    <t>A X DA PENHA FILHO LTDA</t>
  </si>
  <si>
    <t>afconfeccoes26@gmail.com</t>
  </si>
  <si>
    <t xml:space="preserve">veio apenas a parte da frente </t>
  </si>
  <si>
    <t xml:space="preserve">Não veio </t>
  </si>
  <si>
    <t>S.759</t>
  </si>
  <si>
    <t>Veio faltando a parte traseira</t>
  </si>
  <si>
    <t>VEIO FALTANDO NA ORDEM MESTRE</t>
  </si>
  <si>
    <t>Essa reposição é para 3 ordens do mesmo material.</t>
  </si>
  <si>
    <t xml:space="preserve">Erro no processo de fabricacao </t>
  </si>
  <si>
    <t>Reprocesso de ordem</t>
  </si>
  <si>
    <t xml:space="preserve">Erro no processo  </t>
  </si>
  <si>
    <t xml:space="preserve">Reprocesso de ordem. </t>
  </si>
  <si>
    <t>VEIO FALTANDO NA ORDEM</t>
  </si>
  <si>
    <t xml:space="preserve">Insuficiente para finalizar a ordem </t>
  </si>
  <si>
    <t>Só veio na ordem os tamanhos P; M e G</t>
  </si>
  <si>
    <t>NÃO VEIO JUNTO DA OP</t>
  </si>
  <si>
    <t>ETIQUETA DE TAMANHO</t>
  </si>
  <si>
    <t xml:space="preserve">Faltou pra 300 peças </t>
  </si>
  <si>
    <t xml:space="preserve">Veio muitos viés com defeito no corte . </t>
  </si>
  <si>
    <t xml:space="preserve">Insuficiente pra finalizar ordem </t>
  </si>
  <si>
    <t>Faltando para finlização de ordem</t>
  </si>
  <si>
    <t>Precisando com muita atenção apenas 5 peças</t>
  </si>
  <si>
    <t>Material insuficiente para finalizar OP.</t>
  </si>
  <si>
    <t xml:space="preserve">etiqueta de composição </t>
  </si>
  <si>
    <t>JA FIZ A SOLICTAÇÃO DESSA REPOSIÇÃO, MAS QUANDO FUI CONFERIR, AINDA VEIO FALTANDO 272 CÓS</t>
  </si>
  <si>
    <t>ERRO DA OFICINA NA PRODUÇÃO</t>
  </si>
  <si>
    <t>ERRO NO PROCESSO</t>
  </si>
  <si>
    <t>filme para passante</t>
  </si>
  <si>
    <t>esta acabando</t>
  </si>
  <si>
    <t>NÃO É SUFICIENTE</t>
  </si>
  <si>
    <t>FALTARAM PARTES PARA COMPLETAR A ORDEM</t>
  </si>
  <si>
    <t>Material insuficiente para finalizar a ordem</t>
  </si>
  <si>
    <t>código da cor 717</t>
  </si>
  <si>
    <t xml:space="preserve">Veio faltando 98 zíper </t>
  </si>
  <si>
    <t>Veio faltando 98 ziper</t>
  </si>
  <si>
    <t>Estamos sem papelão</t>
  </si>
  <si>
    <t>Estamos sem papelão de gabarito</t>
  </si>
  <si>
    <t>ERRO NO PROCESSO DE FABRICAÇÃO</t>
  </si>
  <si>
    <t>NÃO TEM PEÇAS SUFICIENTE PARA FINALIZAR OP</t>
  </si>
  <si>
    <t>MATERIAL VEIO COM A QUANTIDADE DIVERGENTE</t>
  </si>
  <si>
    <t>ENVIAR URGENTEMENTE!! POIS JA ESTOU PRA INICIAR NA ORDEM</t>
  </si>
  <si>
    <t>000000010000214518- 9.ETR37.048.BR9999 ETQ POOL JEANS 75X18 TAM 48BRA // 000000010000214517- 9.ETR37.046.BR9999 ETQ POOL JEANS 75X18 TAM 46BRA // 000000010000214515- 9.ETR37.042.BR9999 ETQ POOL JEANS 75X18 TAM 42BRA // 000000010000214512- 9.ETR37.040.BR9999 ETQ POOL JEANS 75X18 TAM 40BRA</t>
  </si>
  <si>
    <t xml:space="preserve">PRECISAMOS PARA O USO DA POLO </t>
  </si>
  <si>
    <t>PRECISAMOS PARA O USO DA POLO</t>
  </si>
  <si>
    <t>6 cones de linha</t>
  </si>
  <si>
    <t>material insulficiente para terminar aordem</t>
  </si>
  <si>
    <t>LINHA 100%PES TÍT36 S.333 130403</t>
  </si>
  <si>
    <t>NÃO VEIO NENHUM ELASTICO E NEM CODIGO</t>
  </si>
  <si>
    <t>MATERIAL NÃO ENVIADO PELA GUARARARPES</t>
  </si>
  <si>
    <t>NÃO VEIO NENHUMA ETIQUETA DE COMPOSIÇÃO</t>
  </si>
  <si>
    <t xml:space="preserve">Pistolas falhando/travando - Agulhas cegas. </t>
  </si>
  <si>
    <t>etq de composição</t>
  </si>
  <si>
    <t>ERRO NO PROCSSO</t>
  </si>
  <si>
    <t>agulha para pistola pois a que tinhamos em estoque foi da primeira vez que veio e acabou!</t>
  </si>
  <si>
    <t xml:space="preserve">agulha para pistola </t>
  </si>
  <si>
    <t>RECEBEMOS TODOS OS INSUMOS, LINHAS E ETIQUETAS DE UMA OUTRA ORDEM.</t>
  </si>
  <si>
    <t>CONFECCOES J. S. LTDA</t>
  </si>
  <si>
    <t>confeccoesjsltda@outlook.com</t>
  </si>
  <si>
    <t xml:space="preserve">Todos os forros da ordem (1.125) vou mandar a foto da guia para se orientar tamanhos e quantidades </t>
  </si>
  <si>
    <t>Os forros eram crus e vieram marrom</t>
  </si>
  <si>
    <t>Material insuficiente para finalizar OP</t>
  </si>
  <si>
    <t>15 unidades 4 anos e 4 unidades 1 ano</t>
  </si>
  <si>
    <t>20 FIO 20 LINHAS</t>
  </si>
  <si>
    <t>INSUFICIENTE PARA DISTRIBUIR NAS MAQUINAS E NAO SERÁ SUFICIENTE PARA FINALIZAR A ORDEM</t>
  </si>
  <si>
    <t xml:space="preserve">faltou 100 etiquetas de composição tamanho 36 </t>
  </si>
  <si>
    <t xml:space="preserve">faltou </t>
  </si>
  <si>
    <t xml:space="preserve">n tem </t>
  </si>
  <si>
    <t>FALTA DE PEÇAS PARA FINALIZAR A ORDEM</t>
  </si>
  <si>
    <t>FALTA DE PARTES PARA COMPLETAR A ORDEM</t>
  </si>
  <si>
    <t>confeccoesgbdas@hotmmail.com</t>
  </si>
  <si>
    <t>insuficiente para acabar a op</t>
  </si>
  <si>
    <t xml:space="preserve">filme para fusionar passante, madar 10 unidades que serve para a matriz e filial </t>
  </si>
  <si>
    <t>000000010000216489- 9.ETR07.14A.BR9999 ETQ RCHLO BOTTOM INFANTIL65X18 13- 14BR</t>
  </si>
  <si>
    <t>Faltando ziper para finalização de ordem</t>
  </si>
  <si>
    <t>Precisamos para amanhã.</t>
  </si>
  <si>
    <t>FALTARAM ETIQUETAS PARA COMPLETAR A ORDEM</t>
  </si>
  <si>
    <t>Não veio 25 pares de pala do N°40 do 3° Enfesto, 34  pares de pala do N°38 do 3°Enfesto , 17 pares de pala do N°38 do 4°Enfesto</t>
  </si>
  <si>
    <t>Trocar etiquetas de um rejeito</t>
  </si>
  <si>
    <t>Preciso de todas as etiquetas de tamanho dessa ordem, para fazer a troca de um rejeito.</t>
  </si>
  <si>
    <t>TIT: 80 COR: 714</t>
  </si>
  <si>
    <t>G4 INDUSTRIA E COMERCIO DO VESTUARIO LTDA</t>
  </si>
  <si>
    <t>Linha insuficiente para finalizar a ordem</t>
  </si>
  <si>
    <t xml:space="preserve">Ordem já em produção </t>
  </si>
  <si>
    <t>INSUFICIENTE PARA A ORDEM</t>
  </si>
  <si>
    <t>10000072834 / 10000062489</t>
  </si>
  <si>
    <t xml:space="preserve">VEIO ERRADO </t>
  </si>
  <si>
    <t xml:space="preserve">O CÓS É INTERNO </t>
  </si>
  <si>
    <t>ARAUJO CAMARA LTDA</t>
  </si>
  <si>
    <t xml:space="preserve">Não temos papelão </t>
  </si>
  <si>
    <t>Papelão para gabaritos</t>
  </si>
  <si>
    <t>NAO ENVIADO PELA GUARARAPES</t>
  </si>
  <si>
    <t>8 tamanho 17</t>
  </si>
  <si>
    <t>Precisando o mais rápido possível.</t>
  </si>
  <si>
    <t xml:space="preserve">Insuficiente para finalizar op </t>
  </si>
  <si>
    <t xml:space="preserve">Material acabou na oficina </t>
  </si>
  <si>
    <t>FERREIRA E ARAUJO CONFECCOES LTDA</t>
  </si>
  <si>
    <t>ferreiraaraujoconfeccoes@gmail.com</t>
  </si>
  <si>
    <t>Precisa com urgência do plástico filme.</t>
  </si>
  <si>
    <t xml:space="preserve">5 zíper tamanho 12cm </t>
  </si>
  <si>
    <t xml:space="preserve">Golas de camisas polo </t>
  </si>
  <si>
    <t>faltou no tamanho 13-14</t>
  </si>
  <si>
    <t xml:space="preserve">Não veio suficiente pra o tamanho </t>
  </si>
  <si>
    <t>Veio trocado com uns 15</t>
  </si>
  <si>
    <t xml:space="preserve">insuficiente para finalizar a op </t>
  </si>
  <si>
    <t xml:space="preserve">mandar suficiente para as duas oficinas. </t>
  </si>
  <si>
    <t xml:space="preserve">Veio errado </t>
  </si>
  <si>
    <t xml:space="preserve">Veio errado o material é tamanho </t>
  </si>
  <si>
    <t xml:space="preserve">Falta para finalizar ordem </t>
  </si>
  <si>
    <t>enviado errado pela guararapes</t>
  </si>
  <si>
    <t>ziper tamanho 13. O que veio na OP é diferente dos outros.</t>
  </si>
  <si>
    <t>000000010000065075 - 9.Z0127.013.190512</t>
  </si>
  <si>
    <t>JOLI TEXTIL SERVICOS E COMERCIO LTD</t>
  </si>
  <si>
    <t>jolitextilfabrica@gmail.com</t>
  </si>
  <si>
    <t>6 fios e 10 linhas</t>
  </si>
  <si>
    <t>0962 00746</t>
  </si>
  <si>
    <t>MATERIAL INSULFICIENTE PARA FINALIZAR OM</t>
  </si>
  <si>
    <t>4 CONES DE LINHA</t>
  </si>
  <si>
    <t>INSUFICIENTE PARA CONCLUIR A OP</t>
  </si>
  <si>
    <t xml:space="preserve">ultimamente todas as ordens vem faltando etiquetas de composição </t>
  </si>
  <si>
    <t>20 Rolos</t>
  </si>
  <si>
    <t>Acabou na oficina</t>
  </si>
  <si>
    <t>Material Acabou na Oficina</t>
  </si>
  <si>
    <t>TRASEIRO COMPLETO, OS DOIS LADOS</t>
  </si>
  <si>
    <t>PALA PARA 20 PEÇAS</t>
  </si>
  <si>
    <t>PALA PARA 20 PEÇAS COMPLETA, OS DOIS LADOS</t>
  </si>
  <si>
    <t>A op veio com 344 peças a mais, faltou todo o material como linha, fio, etiqueta de composiçao e etiqueta de preço</t>
  </si>
  <si>
    <t>0971 - 00081 - ETIQUETA DE COMPOSIÇÃO E ETIQUETA DE  PREÇO</t>
  </si>
  <si>
    <t>Peças danificadas na costura.</t>
  </si>
  <si>
    <t>24 unidades de cós tamanhos 6-7</t>
  </si>
  <si>
    <t>8 cones de fio 8 linhas</t>
  </si>
  <si>
    <t>Veio peças sobrando e não temos material pra finalizar</t>
  </si>
  <si>
    <t>0971 00081</t>
  </si>
  <si>
    <t>Veio peças sobrando e precisamos para finalizar OP</t>
  </si>
  <si>
    <t>etiqueta composição</t>
  </si>
  <si>
    <t>quantidade insuficiente para o tamanho 50</t>
  </si>
  <si>
    <t>VEIO PEÇA SOBRANDO E PRECISAMOS PARA FINALIZAR A OP</t>
  </si>
  <si>
    <t>ETIQUETA PRECO</t>
  </si>
  <si>
    <t>OP VEIO COM PEÇAS A MAIS E FALTOU MATERIAL PRA FINALIZAR</t>
  </si>
  <si>
    <t>Faltou para concluir a op</t>
  </si>
  <si>
    <t xml:space="preserve">Etiqueta composição que vai na parte interna da peça </t>
  </si>
  <si>
    <t>9.ET2E2.001.000001</t>
  </si>
  <si>
    <t>LINHA  100% PES TIT 50 S.333</t>
  </si>
  <si>
    <t>ZÍPER MT MÉDIO NIQ FIXO 13CM</t>
  </si>
  <si>
    <t>10000065215 - 9.Z0127.013</t>
  </si>
  <si>
    <t>130 -14 cm</t>
  </si>
  <si>
    <t>insuficiente para terminar a ordem</t>
  </si>
  <si>
    <t>ziper 14 cm</t>
  </si>
  <si>
    <t>10 ROLS DE VIES PARA BOCADA</t>
  </si>
  <si>
    <t xml:space="preserve">10 ROLOS </t>
  </si>
  <si>
    <t>VIES PARA BOCADA CRU</t>
  </si>
  <si>
    <t>Frentes do enfesto 2 não veio.</t>
  </si>
  <si>
    <t>FACCAO SANTANENSE LTDA</t>
  </si>
  <si>
    <t>ivan.vereadorcamara@hotmail.com</t>
  </si>
  <si>
    <t>um rolo</t>
  </si>
  <si>
    <t>está faltando</t>
  </si>
  <si>
    <t>está faltando papelão</t>
  </si>
  <si>
    <t>ETIQUETA DE TAMANHO/VEIO 15 ETIQUETAS A MENOS EM TODOS OS TAMANHO</t>
  </si>
  <si>
    <t>NÃO VEIO JUNTO DA OP FOI PEDIDO REPOSIÇAO E NA REPOSIÇÃO VEIO FALTANDO 15 ETIQUETAS POR TAMANHO</t>
  </si>
  <si>
    <t xml:space="preserve">FALTANDO </t>
  </si>
  <si>
    <t>10000157258 / 100001774423</t>
  </si>
  <si>
    <t>faltaram para 56 peças tamanho M</t>
  </si>
  <si>
    <t>sobraram 62 etiquetas no tamanho G e faltaram 56 no tamanho M, o que leva a crer que foi impressa errada</t>
  </si>
  <si>
    <t>J M CONFECCOES &amp; CIA LTDA</t>
  </si>
  <si>
    <t xml:space="preserve">não veio na op </t>
  </si>
  <si>
    <t xml:space="preserve">não veio elástico na ordem e não veio o código do aviamento </t>
  </si>
  <si>
    <t xml:space="preserve">não veio na ordem </t>
  </si>
  <si>
    <t xml:space="preserve">bandeirola para pregar os cadarços </t>
  </si>
  <si>
    <t>20/ tamanho 8-9</t>
  </si>
  <si>
    <t xml:space="preserve">20/ tamanho 8-9. Não enviado </t>
  </si>
  <si>
    <t>faltando pequenas quantidades de cada tamanho</t>
  </si>
  <si>
    <t>ALÇAS</t>
  </si>
  <si>
    <t>Bordas desfiadas impossibilitando de ser confeccionada</t>
  </si>
  <si>
    <t>BABADO</t>
  </si>
  <si>
    <t xml:space="preserve"> Material não enviado pela Guararapes </t>
  </si>
  <si>
    <t>ZÍPER</t>
  </si>
  <si>
    <t>VEIO FALTANDO O ZIPER MT MEDIO FIXO 17CM CRU</t>
  </si>
  <si>
    <t>VEIO FALTANDO ETIQUETA DE COMPOSICAO NA ORDEM 300276276.</t>
  </si>
  <si>
    <t>QUALIDADE@SOLYBRASIL.COM.BR</t>
  </si>
  <si>
    <t xml:space="preserve">NAO VEIO JUNTO DA ORDEM </t>
  </si>
  <si>
    <t>material insuficiente pra cocluir ordem</t>
  </si>
  <si>
    <t>insuficiente pra concluir ordem</t>
  </si>
  <si>
    <t xml:space="preserve">NÃO VEIO JUNTO DA ORDEM </t>
  </si>
  <si>
    <t>isuficiente pra finalizar op</t>
  </si>
  <si>
    <t>insufiente pra concluir ordem</t>
  </si>
  <si>
    <t>PISTOLA</t>
  </si>
  <si>
    <t xml:space="preserve">Material danificado </t>
  </si>
  <si>
    <t xml:space="preserve">Pistola de pregar tags de preço </t>
  </si>
  <si>
    <t>NÃO VEIO JUNTO A OP</t>
  </si>
  <si>
    <t xml:space="preserve">ETIQUETAS DE TAMANHO </t>
  </si>
  <si>
    <t>BOLSO RELOGIO</t>
  </si>
  <si>
    <t xml:space="preserve">Nao veio grade completa </t>
  </si>
  <si>
    <t>Bolso relogio</t>
  </si>
  <si>
    <t>VIÉS DE PASSANTE</t>
  </si>
  <si>
    <t xml:space="preserve">Foi feiro com a linha errada </t>
  </si>
  <si>
    <t>Oo</t>
  </si>
  <si>
    <t>AS QUE VIERAM ESTÃO COM PROBLEMAS, DEFEITO</t>
  </si>
  <si>
    <t xml:space="preserve">2 PISTOLAS PARA QUE CONSIGAMOS COLOCAR PREÇO COM MAIS AGILIDADE </t>
  </si>
  <si>
    <t xml:space="preserve">ACABARAM TODAS AS UNIDADES </t>
  </si>
  <si>
    <t>FALTOU PRA FINALIZAR</t>
  </si>
  <si>
    <t>VIÉS DE REFORÇO</t>
  </si>
  <si>
    <t>420 PEÇAS</t>
  </si>
  <si>
    <t>VIÉS DE GOLA SUFICIENTE PARA 420 PEÇAS</t>
  </si>
  <si>
    <t xml:space="preserve">Só veio zíper 13 cm faltou os 14 e 15 </t>
  </si>
  <si>
    <t xml:space="preserve">Faltou os zíper 14 e 15 cm . Veio 13 cm pra toda op . </t>
  </si>
  <si>
    <t>O BOLSO JÁ VEIO PREGADO PARA OFICINA.</t>
  </si>
  <si>
    <t>Material não enviado pela guararapes</t>
  </si>
  <si>
    <t>não veio a linha fina.</t>
  </si>
  <si>
    <t>material insuficiente para finalizar OP</t>
  </si>
  <si>
    <t>material não enviado pela guararapes</t>
  </si>
  <si>
    <t>PP-5; P-5; M-5; G-5; GG-5</t>
  </si>
  <si>
    <t>ETIQUETA SLIM OU FIT</t>
  </si>
  <si>
    <t>AMORIM &amp; PEDRO CONFECCOES LTDA</t>
  </si>
  <si>
    <t xml:space="preserve">insuficiente para finalizar a ordem </t>
  </si>
  <si>
    <t>plástico filme para fusionar passantes</t>
  </si>
  <si>
    <t>LADO DIREITO</t>
  </si>
  <si>
    <t>LADO ESQUERDO</t>
  </si>
  <si>
    <t xml:space="preserve">reprocesso de medidas de cós ,teve que tirar o passante </t>
  </si>
  <si>
    <t xml:space="preserve">reprocesso d emedidas de cós e teve que cortar o passante </t>
  </si>
  <si>
    <t>bjmansourconfec@gmail.com</t>
  </si>
  <si>
    <t xml:space="preserve">CÓS INTERNO </t>
  </si>
  <si>
    <t xml:space="preserve">reprocesso de cós e estragou alguns no desmanche </t>
  </si>
  <si>
    <t>B &amp; N SILVA CONFECCOES LTDA</t>
  </si>
  <si>
    <t xml:space="preserve">15 CONES </t>
  </si>
  <si>
    <t xml:space="preserve">LINHA 100%PES TIT 36 S.333 130403 </t>
  </si>
  <si>
    <t>material insuficiente para finalizar op.</t>
  </si>
  <si>
    <t>5 etiquetas de cada tamanho</t>
  </si>
  <si>
    <t>VAI FALTAR</t>
  </si>
  <si>
    <t>FILME PLASTICO PARA PASSANTE</t>
  </si>
  <si>
    <t>FILME PARA PASSANTE</t>
  </si>
  <si>
    <t>Veio todas tamanho 38</t>
  </si>
  <si>
    <t xml:space="preserve">As etiquetas de marcas veio todas tamanho 38 </t>
  </si>
  <si>
    <t>Falta</t>
  </si>
  <si>
    <t>O</t>
  </si>
  <si>
    <t>FIOS</t>
  </si>
  <si>
    <t>PEÇAS A MAIS QUE O GUIA DE RISCO</t>
  </si>
  <si>
    <t>NÃO TEM CÓDIGO</t>
  </si>
  <si>
    <t>faltou etiqueta</t>
  </si>
  <si>
    <t xml:space="preserve">ACABANDO </t>
  </si>
  <si>
    <t>PINOS ACABANDO/ PRECISAMOS URGENTE</t>
  </si>
  <si>
    <t xml:space="preserve">etiqueta disney </t>
  </si>
  <si>
    <t>ebenezerindustrat@hotmail.com</t>
  </si>
  <si>
    <t>FRENTE</t>
  </si>
  <si>
    <t>MANGA</t>
  </si>
  <si>
    <t>SACOS PARA ARTOKS</t>
  </si>
  <si>
    <t xml:space="preserve">ESTAMOS SEM NENHUM </t>
  </si>
  <si>
    <t>Pacote</t>
  </si>
  <si>
    <t>NÃO ENVIADO PARA OFICINA</t>
  </si>
  <si>
    <t>FRENTE ESQUERDA DE QUEM VESTE</t>
  </si>
  <si>
    <t>NÃO INFORMADO</t>
  </si>
  <si>
    <t>confeccoesgbdas@gmail.com</t>
  </si>
  <si>
    <t>MATERIAL NAO ENVIADO PELA GUARARAPES</t>
  </si>
  <si>
    <t>ETQ POOL JEANS 75X18 TAMA 46 BRA CÓDIGO: 10000214517</t>
  </si>
  <si>
    <t>MATERIAL INSUFICIENTE PARA FINALIZAR ORDEM</t>
  </si>
  <si>
    <t>AUXIFORTE@HOTMAIL.COM</t>
  </si>
  <si>
    <t>ERRO DE CORTE</t>
  </si>
  <si>
    <t>PARA TODA ORDEM</t>
  </si>
  <si>
    <t xml:space="preserve">INSUFICIENTE PARA COMPLETAR ORDEM </t>
  </si>
  <si>
    <t>Não recebemos para esse material.</t>
  </si>
  <si>
    <t>Não recebemos pistolas para o processo da polo.</t>
  </si>
  <si>
    <t>insuficiente para distribuir nas máquinas</t>
  </si>
  <si>
    <t>Material insuficiente para finalizar a OP.</t>
  </si>
  <si>
    <t>Material insuficiente.</t>
  </si>
  <si>
    <t>Veio 1 pacote com 34 mangas cortadas na ponta, do tamanho M primeiro risco</t>
  </si>
  <si>
    <t xml:space="preserve">Etiqueta de tamanho pregada no cos </t>
  </si>
  <si>
    <t>quantidade insuficiente para concluir a ordem</t>
  </si>
  <si>
    <t>Os viés enviados pela Guararapes foram insuficientes.</t>
  </si>
  <si>
    <t xml:space="preserve">Viés de Gola Polo </t>
  </si>
  <si>
    <t>As etiquetas de composição dessa OP não vieram</t>
  </si>
  <si>
    <t xml:space="preserve">INSUFIENTE </t>
  </si>
  <si>
    <t>NÃO VEIO NNEHUMA ETIQUETA DE COMPOSIÇÃO</t>
  </si>
  <si>
    <t>Não veio junto a op</t>
  </si>
  <si>
    <t>Faltou 54 ziper, tamanho 13cm</t>
  </si>
  <si>
    <t>000000010000065215 - 9.Z0127.013.140708; ZÍPER MT MÉDIO NIQ FIXO 13CM 140708</t>
  </si>
  <si>
    <t>9.Z0127.012.CRU000</t>
  </si>
  <si>
    <t>VIÉS DE BOCADA</t>
  </si>
  <si>
    <t>NÃO VEIO A LINHA FINA DE COR 333</t>
  </si>
  <si>
    <t>SÓ VEIO A LINHA GROSSA DA 333, FALTANDO A FINA.</t>
  </si>
  <si>
    <t>ORDEM - 300274423; MATERIAL INSUFICIENTE PARA FINALIZAR OP;</t>
  </si>
  <si>
    <t>Quantidade insuficiente para próximas ordens.</t>
  </si>
  <si>
    <t>PAPELÃO PARA GABARITO</t>
  </si>
  <si>
    <t>MATERIAL INSUFICIENTE PARA FINALIZAR OP;</t>
  </si>
  <si>
    <t>não veio linha fina junto a op</t>
  </si>
  <si>
    <t>Não veio linha intermediaria junto a OP</t>
  </si>
  <si>
    <t xml:space="preserve">linha s.333 130403 intermediaria </t>
  </si>
  <si>
    <t>NÃO VEIO A QUANTIDADE SUFICIENTE PARA FINALIZAR A  ORDEM</t>
  </si>
  <si>
    <t>ETC RCHLO BOTTOM INFANTIL 65X18</t>
  </si>
  <si>
    <t>Partes das peças faltando</t>
  </si>
  <si>
    <t>MATERIAL PRA FINALIZAR 2 ORDENS 300273863 E ORDEM 300273862</t>
  </si>
  <si>
    <t>MATERIAL PARA FINALIZAR 2 ORDENS, 300273863 E ORDEM 300273862</t>
  </si>
  <si>
    <t xml:space="preserve">Faltou 2 tamanhos </t>
  </si>
  <si>
    <t xml:space="preserve">Faltou os tamanhos 36 e 38 de bolsos relógio . </t>
  </si>
  <si>
    <t>VEIO FALTANDO PARA O TAMANHO 52</t>
  </si>
  <si>
    <t>PEDIMOS EMPRESTADO DE OUTRA FABRICA OS PLÁSTICOS DE PASSANTE QUANDO NÃO TINHAMOS, POR ISSO A SOLICITAÇÃO DE MAIS.</t>
  </si>
  <si>
    <t xml:space="preserve">Atenção - ordem no processo precisamos com antecedência </t>
  </si>
  <si>
    <t>ELÁSTICO</t>
  </si>
  <si>
    <t>ELÁSTICO PARA 980 PEÇAS.</t>
  </si>
  <si>
    <t>ELÁSTICO PARA 960 PEÇAS</t>
  </si>
  <si>
    <t>Viés de Bocada</t>
  </si>
  <si>
    <t>25 rolos de vies cru de 2,5cm</t>
  </si>
  <si>
    <t xml:space="preserve">Botões de camisa polo </t>
  </si>
  <si>
    <t>Gsragazziconfeccoes@yahoo.com</t>
  </si>
  <si>
    <t>Etiqueta de Preço</t>
  </si>
  <si>
    <t xml:space="preserve">Nao foi suficiente </t>
  </si>
  <si>
    <t>Ordens da mesma referência veio falando de tamanhos variados, porém fomos encaixando de outras que sobraram e mesmo assim ainda faltou essas 12 para completar .</t>
  </si>
  <si>
    <t>Filme Plástico</t>
  </si>
  <si>
    <t>o que temos está acabando</t>
  </si>
  <si>
    <t>Papelão para Gabarito</t>
  </si>
  <si>
    <t>só temos um pedaço</t>
  </si>
  <si>
    <t>VEIO SEM O NUMERO DA OP IMPRESSA.</t>
  </si>
  <si>
    <t>Maildjanatalia17@gmail.com</t>
  </si>
  <si>
    <t xml:space="preserve">Nao veio suficiente </t>
  </si>
  <si>
    <t>Material insuficiente para finalizar a op</t>
  </si>
  <si>
    <t>COS VEIO MAS FINO, ESTA ESTOURANDO</t>
  </si>
  <si>
    <t>Bolso Frente</t>
  </si>
  <si>
    <t>65 pares</t>
  </si>
  <si>
    <t>Veio faltando  bolso do lado esquerdo</t>
  </si>
  <si>
    <t>veio faltando 65 pares de bolso do lado esquerdo</t>
  </si>
  <si>
    <t>bolso de vestido</t>
  </si>
  <si>
    <t>TESTE</t>
  </si>
  <si>
    <t>300084426@guararapes.ind.br</t>
  </si>
  <si>
    <t>232ew</t>
  </si>
  <si>
    <t>40 pares</t>
  </si>
  <si>
    <t>MATERIAL  NÃO ENVIADO PELA GUARARAPES</t>
  </si>
  <si>
    <t>J F CONFECCOES LTDA</t>
  </si>
  <si>
    <t>JESSICAROSANA823@GMAIL.COM</t>
  </si>
  <si>
    <t>6 und</t>
  </si>
  <si>
    <t>cone dos fios amassados</t>
  </si>
  <si>
    <t>fios amassados, improprios para o uso.</t>
  </si>
  <si>
    <t xml:space="preserve">1031 tít 167 cor 8083 </t>
  </si>
  <si>
    <t>jessicarosana823@gmail.com</t>
  </si>
  <si>
    <t>Linhas</t>
  </si>
  <si>
    <t>poucas und de linha, não da para as duas ordens</t>
  </si>
  <si>
    <t xml:space="preserve">vai faltar linha, para produção de duas ordens </t>
  </si>
  <si>
    <t xml:space="preserve"> 2051 tít 120/ 0714</t>
  </si>
  <si>
    <t xml:space="preserve">etiqueta de marca </t>
  </si>
  <si>
    <t xml:space="preserve">FALTOU PARA FINALIZAR </t>
  </si>
  <si>
    <t>FOI PEÇO AS 1500 E SÓ VEIO 800</t>
  </si>
  <si>
    <t>Insuficiente para finalizar a ordem</t>
  </si>
  <si>
    <t>10000216175; 10000216176; 10000216177; 10000216178; 10000216179; 10000216500</t>
  </si>
  <si>
    <t>Viés de Passante</t>
  </si>
  <si>
    <t>tonalidade</t>
  </si>
  <si>
    <t>viés de passante</t>
  </si>
  <si>
    <t>10000216178; 10000216175</t>
  </si>
  <si>
    <t>Viés de Reforço</t>
  </si>
  <si>
    <t xml:space="preserve">Viés listrado </t>
  </si>
  <si>
    <t>está acabando aqui</t>
  </si>
  <si>
    <t>Envie plástico filme, por favor</t>
  </si>
  <si>
    <t>plástico filme</t>
  </si>
  <si>
    <t>50 etiquetas do tamanho 8-9 e 50 etiquetas do tamanho 9-10</t>
  </si>
  <si>
    <t xml:space="preserve">Reposição incompleta </t>
  </si>
  <si>
    <t>Veio insuficiente para concluir a OP</t>
  </si>
  <si>
    <t>Pedido de Etiquetas de Composição.</t>
  </si>
  <si>
    <t>000000010000214511/000000010000214499</t>
  </si>
  <si>
    <t xml:space="preserve">Material insuficiente para finalizar a OP </t>
  </si>
  <si>
    <t>PLÁSTICO PARA FUSIONAR PASSANTE</t>
  </si>
  <si>
    <t>SEM O MATERIAL NA FABRICA</t>
  </si>
  <si>
    <t>ENVIAR  UMA PISTOLA PARA COLOCAR ETIQUETA</t>
  </si>
  <si>
    <t>insuficiente para terminar a op</t>
  </si>
  <si>
    <t>A bocada da frente veio toda picotada.</t>
  </si>
  <si>
    <t xml:space="preserve">A bocada da frente, lado direito e esquerdo, está todo picotado. </t>
  </si>
  <si>
    <t>NÃO ENVIADAS PELA GUARARAPES</t>
  </si>
  <si>
    <t>PRODUTO COM DEFEITO</t>
  </si>
  <si>
    <t>veio imcompleta</t>
  </si>
  <si>
    <t>veio faltando as etiquetas</t>
  </si>
  <si>
    <t xml:space="preserve">São 2 botões por peça </t>
  </si>
  <si>
    <t xml:space="preserve">Produto com defeito </t>
  </si>
  <si>
    <t xml:space="preserve">Peça branca </t>
  </si>
  <si>
    <t>não veio na ordem</t>
  </si>
  <si>
    <t>elastico branco 49mm</t>
  </si>
  <si>
    <t>não veio junto com a ordem</t>
  </si>
  <si>
    <t>elástico para cós da cor branco 49mm</t>
  </si>
  <si>
    <t xml:space="preserve">Faltou para finalizar ordem </t>
  </si>
  <si>
    <t>EM FALTA</t>
  </si>
  <si>
    <t>MATERIAL FALTANDO</t>
  </si>
  <si>
    <t>LUIZ LUPERCIO DA SILVA JUNIOR</t>
  </si>
  <si>
    <t>Lapela</t>
  </si>
  <si>
    <t>11-12-33, 13-14-33</t>
  </si>
  <si>
    <t>Faltando 1 lote 11-12 e 13-14 com 33 unidades cada</t>
  </si>
  <si>
    <t>Faltando precisando de imediato</t>
  </si>
  <si>
    <t>Papelão</t>
  </si>
  <si>
    <t>faltou um lote do lado direito de quem veste.</t>
  </si>
  <si>
    <t>babado da bainha bordado lado direito de quem veste.</t>
  </si>
  <si>
    <t>Material não enviado pela Guararapes.</t>
  </si>
  <si>
    <t xml:space="preserve">CORTE DIVERGENTE </t>
  </si>
  <si>
    <t>RECEBEMOS O ZIPER APENAS DE TAMANHO 12, SENDO ASSIM PRECISAMOS DE BRAGUILHA PARA 376 PEÇAS</t>
  </si>
  <si>
    <t>STNA TYSON SKY BLUE00</t>
  </si>
  <si>
    <t>Pertingal</t>
  </si>
  <si>
    <t>A ORDEM VEIO COM DIVERGENCIA</t>
  </si>
  <si>
    <t>BANDEIROLAS PARA PREGAR CINTOS.</t>
  </si>
  <si>
    <t xml:space="preserve">Plástico de passante </t>
  </si>
  <si>
    <t>ester.rodrigues@guararapes.ind.br</t>
  </si>
  <si>
    <t xml:space="preserve">Faltou viés degolo pra 15 peças </t>
  </si>
  <si>
    <t xml:space="preserve">Faltou viés pra 15 peças </t>
  </si>
  <si>
    <t>Tam.: 17-cód.: 10000064317, Tam.: 13- Cód.: 10000065215</t>
  </si>
  <si>
    <t>QUANTIDADE INSUFICIENTE PARA DISTRIBUIR NAS MÁQUINAS E FINALIZAR A OP</t>
  </si>
  <si>
    <t xml:space="preserve">Material infuficiente. </t>
  </si>
  <si>
    <t>Ultimamente estamos recebendo as etiquetas a quantidade certa ou faltando. Antes vinham etiquetas sobrando.</t>
  </si>
  <si>
    <t xml:space="preserve">Veio faltando 2 atados tamanho 8-9 de 31 peças </t>
  </si>
  <si>
    <t>Veio faltando na primeira sequência 2 atados de traseiro tamanho 8-9</t>
  </si>
  <si>
    <t>quantidade recebida é menor que os lotes de tamanho.</t>
  </si>
  <si>
    <t>M &amp; F EMPREENDIMENTOS LTDA</t>
  </si>
  <si>
    <t>Perda na fase da  operação</t>
  </si>
  <si>
    <t xml:space="preserve">NÃO TEM </t>
  </si>
  <si>
    <t>ZIPER TAMANHO 13CM PARA O TAMANHO 38</t>
  </si>
  <si>
    <t>NÃO SEI POIS NÃO VEIO NA ORDEM</t>
  </si>
  <si>
    <t>NÃO VENHO A LINHA DE COR 333 TITULO 80, SO VEIO 2 CONE PARA TRAVETE. POREM TEM CHULEADO E TODAS AS INTERLOCK PARA USAR</t>
  </si>
  <si>
    <t>10000063146 - 9.LI001.080.130403</t>
  </si>
  <si>
    <t>nao temos</t>
  </si>
  <si>
    <t>peças a mais</t>
  </si>
  <si>
    <t>peças que vieram a mais</t>
  </si>
  <si>
    <t>sem código</t>
  </si>
  <si>
    <t>22 rolos</t>
  </si>
  <si>
    <t>Faltando Linha tit -36  cor- 554</t>
  </si>
  <si>
    <t>Faltando estamos precisando pois ordem vai para que está no processo.</t>
  </si>
  <si>
    <t xml:space="preserve">FALTOU PARA CONCLUIMOS A ORDEM </t>
  </si>
  <si>
    <t>enviada errada</t>
  </si>
  <si>
    <t>Enviada errada</t>
  </si>
  <si>
    <t>faltaram 100 zíper tamanho 17</t>
  </si>
  <si>
    <t>ENTRETELA COLADO NO LADO ERRADO</t>
  </si>
  <si>
    <t>Etiqueta Slim ou Fit</t>
  </si>
  <si>
    <t xml:space="preserve">Não suficiente </t>
  </si>
  <si>
    <t xml:space="preserve">Etiqueta model short mom </t>
  </si>
  <si>
    <t>Etiqueta Bandeirola</t>
  </si>
  <si>
    <t xml:space="preserve">Tecido para fazer as bandeiras e pregar os viés </t>
  </si>
  <si>
    <t>7270-9.LI001.120.144102</t>
  </si>
  <si>
    <t xml:space="preserve">Item não enviado para oficina, necessário para aplicação das etiquetas de preços </t>
  </si>
  <si>
    <t>insuficiente para finalizar ordem</t>
  </si>
  <si>
    <t>não informado</t>
  </si>
  <si>
    <t>faltando na oficina</t>
  </si>
  <si>
    <t>Faltou para concluimos a ordem mestre</t>
  </si>
  <si>
    <t>NECESSITAMOS DE CÓS PARA OS TAMANHOS 48 E 46 POR ISSO COLOQUEI REPOSIÇÃO PARCIAL</t>
  </si>
  <si>
    <t>linha 100% pes TIT.:25 C. 244</t>
  </si>
  <si>
    <t>Bolso Relógio</t>
  </si>
  <si>
    <t>SOLICITO 290 BOLSO RELOGIO PARA O TAM 36 - 120 E O TAMANHO 38 - 170</t>
  </si>
  <si>
    <t xml:space="preserve">o que temos será insuficiente </t>
  </si>
  <si>
    <t xml:space="preserve">Pede umas argolas na ponta de um cinto e não veio essas argolas </t>
  </si>
  <si>
    <t xml:space="preserve">Essa ordem pede umas argolas na ponta do cinto e não veio junto com a ordem </t>
  </si>
  <si>
    <t xml:space="preserve">Nao tenho </t>
  </si>
  <si>
    <t xml:space="preserve">14 rolos </t>
  </si>
  <si>
    <t xml:space="preserve">Só veio 7 rolos, cada rolo só dá pra 16 peças. </t>
  </si>
  <si>
    <t>TONALIDADE</t>
  </si>
  <si>
    <t xml:space="preserve">VIVOS COM TONALIDADE. VAMOS ENVIAR UMA PEÇA PARA VERIFICAR </t>
  </si>
  <si>
    <t>´TONALIDADE</t>
  </si>
  <si>
    <t>CÓS EXTERNO DA COR DA PEÇA</t>
  </si>
  <si>
    <t>O motivo do pedido, porque vieram insuficientes para concluir a OP.</t>
  </si>
  <si>
    <t>Pedido de Etiqueta de Composição para todos os tamanhos, sendo o pedido de 8 etiquetas de composição para cada tamanho</t>
  </si>
  <si>
    <t>000000010000220032/000000010000219954/000000010000220031/000000010000220033/000000010000220034</t>
  </si>
  <si>
    <t>38 PARES</t>
  </si>
  <si>
    <t>38 PARES DE TRASEIRO TAMANHO 48</t>
  </si>
  <si>
    <t>Pinos acabando.</t>
  </si>
  <si>
    <t>Faltando as etiquetas de preço, não vieram com a ordem.</t>
  </si>
  <si>
    <t>Precisamos urgente, ETIQUETA DE PREÇO. Não vieram junto com a ordem.</t>
  </si>
  <si>
    <t>...</t>
  </si>
  <si>
    <t>Etiqueta de composição tamanho 42</t>
  </si>
  <si>
    <t>Quantidade insuficiente para próxima ordem.</t>
  </si>
  <si>
    <t>Sacos para Artoks</t>
  </si>
  <si>
    <t>material insuficiente para arrumar as ordens</t>
  </si>
  <si>
    <t xml:space="preserve">sacos para colocar nos artoks </t>
  </si>
  <si>
    <t>NA CONFERENCIA FOI INDENTIFICADO QUE FALTOU 3 LOTES DA SEGUNDA SEQUENCIA DO TAMANHO 40</t>
  </si>
  <si>
    <t>FALTOU 3 LOTES DE 23 PEÇAS NO TAMANHO 40.</t>
  </si>
  <si>
    <t>Precisamos de 12 unidades do traseiro tamanho 50 lado direito que não veio junto com a op</t>
  </si>
  <si>
    <t xml:space="preserve">Etiqueta de composição que prega do lado interno da calça </t>
  </si>
  <si>
    <t>INSUFICIENTE PRA FINALIZAR ORDEM</t>
  </si>
  <si>
    <t>MATERIAL NÃO ENVIADO PELA GUARARAPES;</t>
  </si>
  <si>
    <t>rolo</t>
  </si>
  <si>
    <t>Faltando para processo</t>
  </si>
  <si>
    <t>PERCA</t>
  </si>
  <si>
    <t>10 cones intermediarios tit.36</t>
  </si>
  <si>
    <t xml:space="preserve">insuficiente pra finalizar a op </t>
  </si>
  <si>
    <t>preciso de 10 cones tit.36 cor:0333</t>
  </si>
  <si>
    <t>cor da linha 0333</t>
  </si>
  <si>
    <t xml:space="preserve">000000010000241456 - 9.Z0756.015.PR8001   000000010000241458 - 9.Z0756.017.PR8001           </t>
  </si>
  <si>
    <t>Peças com cós enrugados, precisa serem trocados e junto com eles, também preciso de passantes.</t>
  </si>
  <si>
    <t xml:space="preserve">Preciso da reposição de cós e passantes, com quantidade para fazer 45 peças. </t>
  </si>
  <si>
    <t xml:space="preserve">Estamos sem material em oficina. </t>
  </si>
  <si>
    <t>Peças com corte assimétrico. Chamado n° 28532</t>
  </si>
  <si>
    <t xml:space="preserve">INSUFICIENTE PARA FUZIONAR PASSANTES </t>
  </si>
  <si>
    <t>FALTA DE FRENTES</t>
  </si>
  <si>
    <t>42 etiquetas de tamanho P.</t>
  </si>
  <si>
    <t xml:space="preserve">Reprocesso de ordem </t>
  </si>
  <si>
    <t xml:space="preserve">Ordem rejeitada, quando foi desmanchar danificou as etiquetas </t>
  </si>
  <si>
    <t xml:space="preserve">Ordem reprovada, danificou no desmanche. </t>
  </si>
  <si>
    <t xml:space="preserve">Ordem reprovada, danificou as etiquetas no desmanche </t>
  </si>
  <si>
    <t xml:space="preserve">Ordem reprovada, danificou a etiqueta no processo </t>
  </si>
  <si>
    <t>Danificou no desmanche</t>
  </si>
  <si>
    <t xml:space="preserve">Danificou no desmanche do cos </t>
  </si>
  <si>
    <t>Faltou 40 etiquetas de composição do TAM 46</t>
  </si>
  <si>
    <t>Precisamos de 40 unidades de etiqueta de composição do tamanho 46 para concluir a ordem.</t>
  </si>
  <si>
    <t>Precisamos de plástico para fusionar passante</t>
  </si>
  <si>
    <t>POUCOS CONES DE LINHA PARA A ORDEM</t>
  </si>
  <si>
    <t xml:space="preserve">VEIO POUCAS LINHAS PARA A ORDRM, OCASIONANDO FALTA PARA MUITAS PARTES </t>
  </si>
  <si>
    <t>O pedido de Zíper, tais como:  Para o Tamanho 9-10, o pedido para a quantidade 168.  Para o Tamanho: 8-9, o pedido de quantidade: 144.  Quantidade somada dos dois tamanhos total: 312 zíper para ser solicitado.  O Tamanho do zíper para ser solicitado: 10cm, para a quantidade de 312.</t>
  </si>
  <si>
    <t>Não veio nenhuma Composição.</t>
  </si>
  <si>
    <t>Pedido de todas as Composições. Não vieram nenhum.</t>
  </si>
  <si>
    <t>000000010000062975 - 9.LI001.080.190405; LINHA 100%PES TÍT80 S.759 190405</t>
  </si>
  <si>
    <t>FELCONFECCAO@GMAIL.com</t>
  </si>
  <si>
    <t>AGULHA PARA PISTOLA DE TAGS</t>
  </si>
  <si>
    <t>FALTOU ETIQUETA PARA COMPLETAR A ORDEM</t>
  </si>
  <si>
    <t xml:space="preserve">viés de cavas para 100 peças </t>
  </si>
  <si>
    <t>LINHA 100%PES TIT 36 S.616 171028</t>
  </si>
  <si>
    <t>POR FAVOR NOS ENVIE A SOLICITAÇÃO FEITA POIS ESTAMOS PRECISANDO PARA CONCLUIR A ORDEM. OU NOS SINALIZE SE NAO EXISTE A MATERIA PRIMA E SE PODEMOS ENVIAR A ORDEM FALTANDO OS CÓS</t>
  </si>
  <si>
    <t>Apenas que faltou essa quantidade solicitada</t>
  </si>
  <si>
    <t>Cod.: Tam.; 13: 10000152015, Cod.: Tam.: 14: 10000065048, Cod.: Tam.: 15, 10000152016</t>
  </si>
  <si>
    <t xml:space="preserve">não veio suficiente </t>
  </si>
  <si>
    <t>Faltando para finalizar ordem</t>
  </si>
  <si>
    <t>Precisando o mais rápido possivel.</t>
  </si>
  <si>
    <t xml:space="preserve">Precisando </t>
  </si>
  <si>
    <t xml:space="preserve">Plástico do passante urgente </t>
  </si>
  <si>
    <t xml:space="preserve">Acabou </t>
  </si>
  <si>
    <t xml:space="preserve">Acabou filme plástico </t>
  </si>
  <si>
    <t>uniaoconfecção.me@gmail.com</t>
  </si>
  <si>
    <t>para 1166 peças</t>
  </si>
  <si>
    <t>viés de passante veio em cor e tecido diferente do restante da ordem</t>
  </si>
  <si>
    <t>Js.silva6815@gmail.com</t>
  </si>
  <si>
    <t xml:space="preserve">os dois gabaritos o de marcar e o de pranchar </t>
  </si>
  <si>
    <t xml:space="preserve">obs é o gabaito do bolso e o gabarito de marcar a peça </t>
  </si>
  <si>
    <t xml:space="preserve">é o gabarito de marcar o bolso e o de pranchar </t>
  </si>
  <si>
    <t>ESTA FALTANDO</t>
  </si>
  <si>
    <t>Veio faltando 60 pares de cos</t>
  </si>
  <si>
    <t xml:space="preserve">Veio faltando 60 pares de cos, estou precisando para finalizar a ordem </t>
  </si>
  <si>
    <t xml:space="preserve">10  ROLOS </t>
  </si>
  <si>
    <t>NAO TEM</t>
  </si>
  <si>
    <t>Insuficiente pra finalizar ordem</t>
  </si>
  <si>
    <t>1 CAIXA</t>
  </si>
  <si>
    <t>2 PISTOLAS</t>
  </si>
  <si>
    <t>O TAMANHO 9-10 VEIO FALTANDO 100 ETIQUETAS</t>
  </si>
  <si>
    <t>Não temos o material</t>
  </si>
  <si>
    <t>Aviamento Completo</t>
  </si>
  <si>
    <t>A linha não deu para finalizar a op</t>
  </si>
  <si>
    <t>37 unidades</t>
  </si>
  <si>
    <t>37 unidades do tamanho  M  veio faltando.</t>
  </si>
  <si>
    <t xml:space="preserve">Viés de alça e pentilho para blusa de alcinha, não veio junto da ordem. </t>
  </si>
  <si>
    <t>10000062795 / 10000063371</t>
  </si>
  <si>
    <t>NÃO VEIO O TAMANHO 9-10</t>
  </si>
  <si>
    <t xml:space="preserve">NÃO VEIO O TAMANHO 9 E 10 ANOS </t>
  </si>
  <si>
    <t xml:space="preserve">Veio faltando no lote </t>
  </si>
  <si>
    <t>Costas</t>
  </si>
  <si>
    <t xml:space="preserve">NÃO RECEBEMOS </t>
  </si>
  <si>
    <t xml:space="preserve">só temos 1 rolo </t>
  </si>
  <si>
    <t xml:space="preserve">Faltando para finalização de ordem </t>
  </si>
  <si>
    <t>Atenção!! Precisando com uma atenção se não ordem para.</t>
  </si>
  <si>
    <t>título 25</t>
  </si>
  <si>
    <t>título 36</t>
  </si>
  <si>
    <t>ldinizconfeccoes@gmail.com</t>
  </si>
  <si>
    <t>O PEDIDO É REFERENTE AO FORRO DO BOLSO DA FRENTE</t>
  </si>
  <si>
    <t>Insuficiente para terminar a OP</t>
  </si>
  <si>
    <t>Preciso de 8 cones dessa linha para concluir a OP</t>
  </si>
  <si>
    <t>Precisamos de reposição do papelão para gabarito</t>
  </si>
  <si>
    <t>PEÇAS COM DEFEITOS</t>
  </si>
  <si>
    <t>MATERIAL COM DEFEITO, CORTES. FIZ CHAMADO MAIS NÃO RECEBI NÃO RECEBI NENHUMA CONFIRMAÇÃO DO CHAMADO.</t>
  </si>
  <si>
    <t>Artok Vazio</t>
  </si>
  <si>
    <t>ARTOX FOI ENVIADO COM OUTRA OM</t>
  </si>
  <si>
    <t>MOTIVO DESSA SOLICITAÇÃO FOI DEVIDO AO USO DE 2 ARTOX EM OUTRA OM ENVIADA</t>
  </si>
  <si>
    <t>QUANTIDADE DE VIÉS SERÁ INSUFICIENTE PARA FINALIZAÇÃO DA ORDEM</t>
  </si>
  <si>
    <t>**</t>
  </si>
  <si>
    <t xml:space="preserve">Insuficiente p termine a op </t>
  </si>
  <si>
    <t xml:space="preserve">Zíper 13 cm </t>
  </si>
  <si>
    <t>dantasepaulino@gmail.con</t>
  </si>
  <si>
    <t xml:space="preserve">Imsufiente </t>
  </si>
  <si>
    <t>65 Pertigal do tamanho 40</t>
  </si>
  <si>
    <t>Insuficiente para terminar a ordem</t>
  </si>
  <si>
    <t>Precisamos de 20 unidades de etiqueta FIT (Bermuda Slim) para concluir a op.</t>
  </si>
  <si>
    <t>15 ROLOS</t>
  </si>
  <si>
    <t>MATERIAL INSUFICIENTE NA EMPRESA PARA CONCLUIR A ORDEM</t>
  </si>
  <si>
    <t>COLOQUEI REPOSIÇÃO COMPLETA PORQUE A ORDEM É MUITO GRANDE E A QUANTIDADE DE FILMA PLASTICO PARA FUSIONAR EXISTENTE NA OFICINA É MUITO POUCA</t>
  </si>
  <si>
    <t xml:space="preserve">Veio 3 lotes faltando e não deu pra terminar a ordem </t>
  </si>
  <si>
    <t>parte interna do bolso, (forro)</t>
  </si>
  <si>
    <t>Enrugamento.</t>
  </si>
  <si>
    <t>o pedido já foi feito, porém esqueceram uma gaiola e  a mesma chegou ontem em oficina. Foi feito a revisão e foi encontrada mais peças enrugadas, necessitando da troca do cós  e passantes. Logo Esse pedido de reposição de cós e passantes é o complementos do pedido já feito e não total.</t>
  </si>
  <si>
    <t>10000218092 / 10000208288 / 10000208287</t>
  </si>
  <si>
    <t>pedi reposição e veio faltando</t>
  </si>
  <si>
    <t>Porque a quantidade é insuficiente para concluir a OP.</t>
  </si>
  <si>
    <t>Pedido de 5 Etiquetas de Composição para todos os tamanhos.</t>
  </si>
  <si>
    <t>10000216487/10000216483/10000216484/10000216488/10000216489</t>
  </si>
  <si>
    <t>Insuficiente para enviar ordens</t>
  </si>
  <si>
    <t>Etiqueta de composição tamanho 48</t>
  </si>
  <si>
    <t>35 pares</t>
  </si>
  <si>
    <t>Lote com defeito no corte (BOCADA RASA)</t>
  </si>
  <si>
    <t>Um lote de frente com erro no corte (BOCADA RASA). Tamanho 46, 35 pares</t>
  </si>
  <si>
    <t>000000010000147183 - 2.I0991.PCP.BLUE00</t>
  </si>
  <si>
    <t>000000010000248646 - 9.EIA81.14A.VERD00</t>
  </si>
  <si>
    <t>MARIONETE M DE A CAMARA</t>
  </si>
  <si>
    <t>Faltou para concluir a ordem</t>
  </si>
  <si>
    <t xml:space="preserve">Et de composição 11-12 que prega na parte interna da peça </t>
  </si>
  <si>
    <t xml:space="preserve">Incomoleta </t>
  </si>
  <si>
    <t xml:space="preserve">20 CONES </t>
  </si>
  <si>
    <t xml:space="preserve">VEIO POUCAS E PRECISAMOS DE MAIS </t>
  </si>
  <si>
    <t>LINHA 100%PES TIT36 S.616 171028</t>
  </si>
  <si>
    <t>DANIFICADA</t>
  </si>
  <si>
    <t>AGULHA DA PISTOLA DE PREÇO</t>
  </si>
  <si>
    <t>Veio apenas a metade da quantidade necessária</t>
  </si>
  <si>
    <t>Viés </t>
  </si>
  <si>
    <t>VIES CRU</t>
  </si>
  <si>
    <t xml:space="preserve">Insuficiente </t>
  </si>
  <si>
    <t>Insuficiente para concluir</t>
  </si>
  <si>
    <t xml:space="preserve">FALTA DE AGULHA </t>
  </si>
  <si>
    <t>nao enviado pela guararapes</t>
  </si>
  <si>
    <t>vies de bocada na cor preta de 2,5 com</t>
  </si>
  <si>
    <t>ETIQUETAS COM O  PREÇO SEM O TAMANHO</t>
  </si>
  <si>
    <t>MUITA ETIQUETAS SÓ COM O PREÇO SEM O TAMAMNHO</t>
  </si>
  <si>
    <t>PRECISANDO DE AGULHA PRA PISTOLA DE ETIQUETAS</t>
  </si>
  <si>
    <t>Pedido de 476 zíper preto,  do tamanho 15</t>
  </si>
  <si>
    <t>FIOS DO SERTÃO LTDA. (FILIAL)</t>
  </si>
  <si>
    <t>filialfiosdosertao@gmail.com</t>
  </si>
  <si>
    <t>Insuficiente para finalização da OP</t>
  </si>
  <si>
    <t>110 zipers 113 cm preto</t>
  </si>
  <si>
    <t>G&amp;C EMPREENDIMENTOS TEXTIL LTDA</t>
  </si>
  <si>
    <t>flordosertaotextil2025@gmail.com</t>
  </si>
  <si>
    <t>Reposição viés de decote frente e traseiro ( pregado na Galoneira)</t>
  </si>
  <si>
    <t>Quantidade para mais</t>
  </si>
  <si>
    <t>72 peças a mais produzidas no tamanho G</t>
  </si>
  <si>
    <t>MATERIAL NÃO ENVIADO PELA GUARARAPES, PRECISO DA REPOSIÇÃO URGENTE, JA ESTOU PRA INICIAR NA ORDEM</t>
  </si>
  <si>
    <t>000000010000069183 - 9.EL022.030.CRU000 001-12-5202 TCX ELÁSTICO 30MM CRU</t>
  </si>
  <si>
    <t>CORDÃO PARA SER PREGADO NO CÓS, PARA 1155 PEÇAS</t>
  </si>
  <si>
    <t>000000010000069692 - 9.CD035.006.CRU000 001-12-5202 TCX CORDÃO CO 6MM CRU000</t>
  </si>
  <si>
    <t>MAterial não enviado pela Guararapes.</t>
  </si>
  <si>
    <t>Precisamos com atenção pois ordem pode parar</t>
  </si>
  <si>
    <t>ester.rodrigues@guarapes.ind.br</t>
  </si>
  <si>
    <t>9.LI001.080.190205</t>
  </si>
  <si>
    <t>A linha não é suficiente para finalizar a ordem.</t>
  </si>
  <si>
    <t xml:space="preserve">Se possível enviar 4 cones da linha </t>
  </si>
  <si>
    <t>Faltando para finalizção de ordem</t>
  </si>
  <si>
    <t>Atenção precisando de imediato</t>
  </si>
  <si>
    <t xml:space="preserve">insuficientte </t>
  </si>
  <si>
    <t>Veio manga cortada no meio e precisamos dessas unidades para costurar o lote</t>
  </si>
  <si>
    <t>Problema de corte</t>
  </si>
  <si>
    <t>Frente lado direito tamanho 44. 50 unidades</t>
  </si>
  <si>
    <t>frente lado direito</t>
  </si>
  <si>
    <t>etiqueta de composição tamanho 48</t>
  </si>
  <si>
    <t xml:space="preserve">ETIQUETA MARVEL </t>
  </si>
  <si>
    <t>10000068899;10000068898;10000068897;10000068895</t>
  </si>
  <si>
    <t>Não vai da para terminar a ordem.</t>
  </si>
  <si>
    <t>já estou usando o último rolo em oficina.</t>
  </si>
  <si>
    <t>O CÓS INTERTELADO VEIO TODA A ORDEM PELO AVESSO</t>
  </si>
  <si>
    <t>A ORDEM VEIO COM O COS ERRADO O CÓS INTERTELADO VEIO PELO AVESSO</t>
  </si>
  <si>
    <t>COS</t>
  </si>
  <si>
    <t>A ETIQUETA QUE PRECISO É A CASUAL MENSWEAR QUE É PREGADA NA TRASEIRA ACIMA DO BOLSO</t>
  </si>
  <si>
    <t>Viés de gola, os rolos estão apresentando uma dobra dentro deles e ta instruindo muito.</t>
  </si>
  <si>
    <t>JÁ FOI SOLICITADO ESSE PEDIDO ANTERIORMENTE, ESTAMOS PEDINDO NOVAMENTE PORQUE PRECISAMOS DE MAIS 5 DE CADA TAMANHO.</t>
  </si>
  <si>
    <t>a ordem veio sem o cós interno</t>
  </si>
  <si>
    <t>o có que veio faltando foi o interno</t>
  </si>
  <si>
    <t xml:space="preserve">Faltou 26 etiquetas </t>
  </si>
  <si>
    <t>Faltou 26 etiquetas tamanho 42</t>
  </si>
  <si>
    <t>so restamos um rolo</t>
  </si>
  <si>
    <t xml:space="preserve">Faltou 26 etiquetas tamanho M </t>
  </si>
  <si>
    <t xml:space="preserve">Faltou 26 etiquetas de preço tamanho M </t>
  </si>
  <si>
    <t>96 pares internos e externos</t>
  </si>
  <si>
    <t>Faltaram 96 pares de cós para o tamanho 36, interno e externo</t>
  </si>
  <si>
    <t>..</t>
  </si>
  <si>
    <t>70 UND - NUMERAÇÃO 40</t>
  </si>
  <si>
    <t xml:space="preserve">SOLICITO 70 UND DE COS PARA CONCLUSAO DA NUMERAÇÃO 40. QUANTIDADE RECEBIDA INSUFICIENTE </t>
  </si>
  <si>
    <t>Foi feita os sacos vinheram pequenos, estamos precisando para envio de ordem.</t>
  </si>
  <si>
    <t>PARA ESSA ORDEM NÃO VEIO FIO, LINHA E ETIQUETA DE PREÇO.</t>
  </si>
  <si>
    <t>P A VITURINO SERVIÇOES E CONFECÇÕES LTDA</t>
  </si>
  <si>
    <t>paulaviturinoconfeccoes@gmail.com</t>
  </si>
  <si>
    <t>quantidade insuficiente para terminar a op</t>
  </si>
  <si>
    <t xml:space="preserve">Faltou o concluir a op </t>
  </si>
  <si>
    <t xml:space="preserve">Faltou nesses dois tamanhos, op finalizada! </t>
  </si>
  <si>
    <t>ETIQUETA DE MARCA - Etiqueta com falha</t>
  </si>
  <si>
    <t>Etiqueta com falha</t>
  </si>
  <si>
    <t xml:space="preserve">Faltou as etiquetas de composição </t>
  </si>
  <si>
    <t xml:space="preserve">Não veio as etiquetas de composição </t>
  </si>
  <si>
    <t xml:space="preserve">Faltou 8 etiquetas de composição </t>
  </si>
  <si>
    <t xml:space="preserve">Faltou 10 etiquetas de composição </t>
  </si>
  <si>
    <t>MATERIA NÃO ENVIADO PELA GUARARAPES</t>
  </si>
  <si>
    <t>babado BORDADO, 20 do tamanho 6 do lado esquerdo de quem veste; 47 do tamanho 5 sendo 30 do lado direito de quem veste e 17 do lado esquerdo de quem veste; 50 do tamanho 2 do lado direito de quem veste!!!! todas essas reposições são BORDADAS.</t>
  </si>
  <si>
    <t>VIÉS DE BOCADA PRETO</t>
  </si>
  <si>
    <t>Faltando parafinalizção de ordem</t>
  </si>
  <si>
    <t>Cor azul flesh dourado</t>
  </si>
  <si>
    <t>AS ETIQUETA DESSA ORDEM FOI COMIDA PELA LATERAL E COBRIU A CNPJ DA GUARARAPES, PORISO PRECISO DESSA OUTRA ETIQUETA PARA TROCA. ESTOU PRECISANDO COM URGENCIA POIS JA PASSOU DO PRASO DE ENTREGA!!</t>
  </si>
  <si>
    <t>URGENTE</t>
  </si>
  <si>
    <t>quantidade insuficiente para concluir op</t>
  </si>
  <si>
    <t xml:space="preserve">NÃO ENVIADO NA ORDEM </t>
  </si>
  <si>
    <t xml:space="preserve"> 3 Tamanhos de zíperes- 15/14/13</t>
  </si>
  <si>
    <t>10000064452 - 9.Z0127.015/10000189901 - 9.Z0127.014/10000065215 - 9.Z0127.013</t>
  </si>
  <si>
    <t>ETQ POOL JEANS 75X18 TAM 52/50/48/46/44/42/40/38 (TODAS)</t>
  </si>
  <si>
    <t>10000214531 - 9.ETR37.052/50/48/46/44/42/40/38</t>
  </si>
  <si>
    <t>ETIQUETA RETA</t>
  </si>
  <si>
    <t>10000228848 - 9.ETR38.BRA.BERRET</t>
  </si>
  <si>
    <t>Material insuficiente para finalizar a OP..</t>
  </si>
  <si>
    <t xml:space="preserve">Está faltando a peça completa FRENTE, COSTA e MANGA. </t>
  </si>
  <si>
    <t>DANIFICADAS NO PROCESSO DE COSTURA</t>
  </si>
  <si>
    <t xml:space="preserve">ETIQUETAS FORAM DANIFICADAS NA COSTURA </t>
  </si>
  <si>
    <t>NÃO TEM CODIGO</t>
  </si>
  <si>
    <t>Etiqueta de Gola</t>
  </si>
  <si>
    <t>MATERIAL NÃO ENVIADO PELA GUARARAPES.</t>
  </si>
  <si>
    <t>MATERIAL MÃO ENVIADO PELA GUARARAPES</t>
  </si>
  <si>
    <t>Não veio quantidade suficiente para finalizar a op</t>
  </si>
  <si>
    <t xml:space="preserve">insuficiente para finalizar ordem </t>
  </si>
  <si>
    <t xml:space="preserve">1000 peças </t>
  </si>
  <si>
    <t>Nao enviado pela guararapes</t>
  </si>
  <si>
    <t>Reposição do vies de passante.</t>
  </si>
  <si>
    <t>Material não enviado pela Guararapes; Risco em falta - 46 UNIDADES; TAMANHO - P;</t>
  </si>
  <si>
    <t>MATERIAL ENVIADO EM QUANTIDADE INSUFICIENTE;</t>
  </si>
  <si>
    <t>filme para fusionar passante</t>
  </si>
  <si>
    <t xml:space="preserve">Material insuficiente para finalizar a OP. </t>
  </si>
  <si>
    <t xml:space="preserve">Linha não foi enviada. </t>
  </si>
  <si>
    <t>Viés para a bocada frente</t>
  </si>
  <si>
    <t xml:space="preserve">Viés para interno bocada frente </t>
  </si>
  <si>
    <t>veio faltando saia frente para 26 peças</t>
  </si>
  <si>
    <t>SAIA FRENTE</t>
  </si>
  <si>
    <t>VEIO FALTANDO SAIA TRASEIRO PARA 26 PEÇAS</t>
  </si>
  <si>
    <t>SAIA TRASEIRO</t>
  </si>
  <si>
    <t xml:space="preserve">VEIO </t>
  </si>
  <si>
    <t>VEIO FALTANDO PARA 26 PEÇAS TAMANO 1</t>
  </si>
  <si>
    <t>VEIO FALTANDO TODAS AS PARTES PARA 26 PEÇAS</t>
  </si>
  <si>
    <t>FALTOU O CONJUNTO COMPLETO DA PEÇA NO TAMANHO 5. NÃO FORAM ENVIADAS AS PARTES QUE COMPÕEM AS PEÇAS. SOLICITO O ENVIO COMPLETO PARA MONTAGEM DE 26 PEÇAS</t>
  </si>
  <si>
    <t>veio faltando pala para 26 peças TAM 1</t>
  </si>
  <si>
    <t>PALA FRENTE E PALA TRASEIRA</t>
  </si>
  <si>
    <t xml:space="preserve">Bom dia acredito que esse elástico vem pronto é emendado na automação mais não veio junto com a ordem e até agora não recebi e-mail confirmando o envio </t>
  </si>
  <si>
    <t>VEIO TODA COM DEFEITO</t>
  </si>
  <si>
    <t>AS ETIQUETAS VIERAM, MAS VIERAM TODAS COM DEFEITO E FOI ORIENTADO POR MAILSON PEDIR REPOSIÇÃO</t>
  </si>
  <si>
    <t>RECEBEMOS PENAS A FOLHA SEM IMPRESSÃO</t>
  </si>
  <si>
    <t xml:space="preserve">ORDEM PRONTA AGUARDANDO TAGS </t>
  </si>
  <si>
    <t>ETIQUETA DE TAG</t>
  </si>
  <si>
    <t>FALTOU SER ENVIADAS</t>
  </si>
  <si>
    <t>FALTOU SER ENVIADA PELA GUARARAPES</t>
  </si>
  <si>
    <t xml:space="preserve">filme plástico do estreito </t>
  </si>
  <si>
    <t>tlcserranatêxtil@gmail.com</t>
  </si>
  <si>
    <t>Frente menores e algumas com um rasgo no bordado</t>
  </si>
  <si>
    <t>ETIQUETAS DE TAG</t>
  </si>
  <si>
    <t>Danificadas na costura</t>
  </si>
  <si>
    <t>Danificadas ao pregar o travete</t>
  </si>
  <si>
    <t>sem codigo</t>
  </si>
  <si>
    <t>ETIQUETAS DE PREÇO</t>
  </si>
  <si>
    <t xml:space="preserve">Filme plástico para fusionar passantes </t>
  </si>
  <si>
    <t>72 peças (ambos os lados)</t>
  </si>
  <si>
    <t>Problemas no corte</t>
  </si>
  <si>
    <t>Ambos os lados da frente</t>
  </si>
  <si>
    <t>material divergente</t>
  </si>
  <si>
    <t>viés de passante de material divergente do restante da op</t>
  </si>
  <si>
    <t xml:space="preserve">Faltou o finalizar op </t>
  </si>
  <si>
    <t xml:space="preserve">Cos do tamanho 36 faltando 79 peças </t>
  </si>
  <si>
    <t>faltando um lote da frente</t>
  </si>
  <si>
    <t>faltando 1 lote</t>
  </si>
  <si>
    <t>297 unidades tamanho G</t>
  </si>
  <si>
    <t xml:space="preserve">O VIES QUE VEIO NA ORDEM FOI POUCO, JA ESTOU PEGANDO DA OUTRA ORDEM QUE VEIO COM O MESMO MATERIAL </t>
  </si>
  <si>
    <t xml:space="preserve">Quantidade de peças divergente da guia de risco. </t>
  </si>
  <si>
    <t>Insuficienta para finalizar op</t>
  </si>
  <si>
    <t>QQuantidade de peças recebida, divergente da guia de risco</t>
  </si>
  <si>
    <t>Quantidade de peças recebida divergente da guia de risco</t>
  </si>
  <si>
    <t>10000214516, 10000214515, 10000214512</t>
  </si>
  <si>
    <t>insuficiente para completar a ordem</t>
  </si>
  <si>
    <t xml:space="preserve">Viés preto para bocada </t>
  </si>
  <si>
    <t>w.anny.k@hotamil.com</t>
  </si>
  <si>
    <t xml:space="preserve">13 CONES </t>
  </si>
  <si>
    <t>10000071713 FIO 100%PES S.931 151040</t>
  </si>
  <si>
    <t xml:space="preserve">4 CONES </t>
  </si>
  <si>
    <t>10000062750 LINHA 100%PES TÍT120 C.227 151116</t>
  </si>
  <si>
    <t>ENVIADO DE TAMANHO ERRADO</t>
  </si>
  <si>
    <t>9.EIA85.09A.VERD00</t>
  </si>
  <si>
    <t>VEIO FALTANDO TRASEIRAS</t>
  </si>
  <si>
    <t xml:space="preserve">Viés de reforço da Gola Polo </t>
  </si>
  <si>
    <t xml:space="preserve">Viés de reforço da Gola polo </t>
  </si>
  <si>
    <t xml:space="preserve">Insuficiente para finalizar </t>
  </si>
  <si>
    <t>NÃO VEIO O CHECK LIST</t>
  </si>
  <si>
    <t>VEIO SOBRANDO PEÇAS E FALTANDO ETIQUETA DE COMPOSIÇÃO</t>
  </si>
  <si>
    <t>quantidade insuficiente para terminar op.</t>
  </si>
  <si>
    <t xml:space="preserve">Faltando 200 Punho da Gola polo </t>
  </si>
  <si>
    <t xml:space="preserve">Faltando 200 Punho dessa ordem da gola polo </t>
  </si>
  <si>
    <t xml:space="preserve">Quantidade insuficiente para concluir a ordem </t>
  </si>
  <si>
    <t xml:space="preserve">Etiqueta que prega na frente perna direita acima da barra </t>
  </si>
  <si>
    <t>9.ET2W1.001.BEGE00</t>
  </si>
  <si>
    <t>Vieram os traseiros e mangas e faltaram as frentes</t>
  </si>
  <si>
    <t xml:space="preserve">Material insuficiente para finalizar ordem </t>
  </si>
  <si>
    <t xml:space="preserve">insufiente </t>
  </si>
  <si>
    <t xml:space="preserve">23 pares </t>
  </si>
  <si>
    <t xml:space="preserve">23 PARES DE MANGA </t>
  </si>
  <si>
    <t>QUANTIDADE ENVIADA DIVERGENTE</t>
  </si>
  <si>
    <t xml:space="preserve">ETIQUETAS DE COMPOSIÇÃO </t>
  </si>
  <si>
    <t>ziper com defeito</t>
  </si>
  <si>
    <t xml:space="preserve">INSUFICIENTE PERA FINALIZA A ORDEM </t>
  </si>
  <si>
    <t xml:space="preserve">A LINHA QUE VEIO É POUCA PARA PRODUZI A ORDEM. JA REBUBINEI, MAS MESMO ASSIM NAO VAI DAR, SE POSSIVEL ENVIA ALGUNS FIOS TAMBEM </t>
  </si>
  <si>
    <t>C5312</t>
  </si>
  <si>
    <t xml:space="preserve">VEIO SOBRANDO PEÇAS E FALTANDO ETIQUETA </t>
  </si>
  <si>
    <t>NÃO TEM</t>
  </si>
  <si>
    <t>A LINHA DE CHULIAR TITULO 50 NÃO VEIO NENHUM CONE A LINHA É NUMERO 333 E TESTURA 50</t>
  </si>
  <si>
    <t>seridoconfeccoes@gmail.com</t>
  </si>
  <si>
    <t xml:space="preserve">viés enviado foi insuficiente para finalizar a op </t>
  </si>
  <si>
    <t>10000063135 / 10000063328</t>
  </si>
  <si>
    <t>Não veio suficiente</t>
  </si>
  <si>
    <t>etiquetas de preço veio incompleta</t>
  </si>
  <si>
    <t>PESSAOL SELECIONEI ESSA OPCAO DEVIDO NAO TEM O NOME DA ETIQUETA QUE PRECISO.A ETIQUETA QUE ESTAMOS PRECISANDO E A CASUAL MENSWEAR ALL SEASON.</t>
  </si>
  <si>
    <t>NAO TEMOS MAIS PARA ENVIO DA OM</t>
  </si>
  <si>
    <t>4 ARTROKS VAZIA PARA ENVIO DA OM</t>
  </si>
  <si>
    <t xml:space="preserve">Faltando 50 golas P da polo </t>
  </si>
  <si>
    <t>Faltando 50 Golas P</t>
  </si>
  <si>
    <t>Faltando partes</t>
  </si>
  <si>
    <t>insuficiente pra concluir a ordem</t>
  </si>
  <si>
    <t>veio faltando duas</t>
  </si>
  <si>
    <t>plastico para passante</t>
  </si>
  <si>
    <t>não recebemos</t>
  </si>
  <si>
    <t xml:space="preserve">alem dos bolsos relogios também vai precisar de reposição de pertigal e vista para o tam 36-20 </t>
  </si>
  <si>
    <t xml:space="preserve">PEÇAS SOBRANDO </t>
  </si>
  <si>
    <t>Gola e Pé de gola</t>
  </si>
  <si>
    <t>GOLA: 45 / PÉ DE GOLA: 40</t>
  </si>
  <si>
    <t>FORAM ESTRAGADAS DURANTE O PROCESSO DE PRODUÇÃO.</t>
  </si>
  <si>
    <t>ERRO NO CORTE</t>
  </si>
  <si>
    <t>A VISTA VEIO COM PROBLEMAS DE CORTE.</t>
  </si>
  <si>
    <t>PEÇAS COM FALHAS</t>
  </si>
  <si>
    <t>GOLAS RODADA</t>
  </si>
  <si>
    <t xml:space="preserve">Estamos sem papelão para gabarito </t>
  </si>
  <si>
    <t>NÃO RECEBEMOS</t>
  </si>
  <si>
    <t>50 ziper do tamanho 14</t>
  </si>
  <si>
    <t>INSUFICIENTE PARA COMPLETAR A ORDEM</t>
  </si>
  <si>
    <t>VIÉS PARA PASSANTE</t>
  </si>
  <si>
    <t>PARA 200 PEÇAS</t>
  </si>
  <si>
    <t>INSUFICIENTE PARA CONCLUIR A ORDEM</t>
  </si>
  <si>
    <t>suficiente para 1482 peças</t>
  </si>
  <si>
    <t>Viés de passante mais estreito do que o que pede na ficha</t>
  </si>
  <si>
    <t>Recebemos duas ordens de mesmo material, ambas com o viés de passante mais estreito do que pede na ficha. Precisamos da reposição completa de ambas as ordens que totaliza 1482 peças.</t>
  </si>
  <si>
    <t>PEÇAS SOBRANDO E FALTANDO ETIQUETA</t>
  </si>
  <si>
    <t>PEÇAS SOBRANDO E ETIQUETA FALTANDO</t>
  </si>
  <si>
    <t>Faltando para finalização de ordem.</t>
  </si>
  <si>
    <t>Faltando para finalização de ordem que está no processo</t>
  </si>
  <si>
    <t>QUEBRADA</t>
  </si>
  <si>
    <t xml:space="preserve">Viés da bocada dos bolsos não veio </t>
  </si>
  <si>
    <t xml:space="preserve">Não veio os viés da bocada dos bolsos </t>
  </si>
  <si>
    <t>Insuficiente para finalizar OP.</t>
  </si>
  <si>
    <t>Viés tobogã 2,5cm</t>
  </si>
  <si>
    <t xml:space="preserve">não recebemos </t>
  </si>
  <si>
    <t>o tamanho 42 veio faltando um lote de 60 peças e veio com a celagem 42 so que é do tamaho do 52</t>
  </si>
  <si>
    <t>Faltando partes para finalizar a op</t>
  </si>
  <si>
    <t>CHAMADO Nº-28777</t>
  </si>
  <si>
    <t>sueniafazevedo@outlook.com</t>
  </si>
  <si>
    <t xml:space="preserve">Todos </t>
  </si>
  <si>
    <t>Os viés passantes vieram jeans e a ordem é em sarja</t>
  </si>
  <si>
    <t>Aí vc coloca lá nas observações que os passantes vieram com a matéria prima errada ao invés de sarja veio jeans</t>
  </si>
  <si>
    <t>FALTA DE ETIQUETA PARA FINALIZAR OP</t>
  </si>
  <si>
    <t>Linhas insuficiente para finalização da ordem</t>
  </si>
  <si>
    <t xml:space="preserve">Necessitamos dessa reposição com urgência. </t>
  </si>
  <si>
    <t>Bolso Traseiro</t>
  </si>
  <si>
    <t>20 peças</t>
  </si>
  <si>
    <t>Não enviado pela a guararapes</t>
  </si>
  <si>
    <t>Essa ordem faltou o bolso traseiro do tamanho 46 da 2ª sequência, o total de 20 peças.</t>
  </si>
  <si>
    <t>A ordem é sarja e os passantes vieram jeans</t>
  </si>
  <si>
    <t xml:space="preserve">O pedido é de viés de passante pois os mesmo vieram com a matéria prima errada, a ordem é sarja e veio jeans </t>
  </si>
  <si>
    <t>Peças insuficiente.</t>
  </si>
  <si>
    <t xml:space="preserve">Peças insuficiente. </t>
  </si>
  <si>
    <t xml:space="preserve">São 17 pares. </t>
  </si>
  <si>
    <t xml:space="preserve">FALANTANDO OS TAMANHOS GG E XG </t>
  </si>
  <si>
    <t xml:space="preserve">50 pares de cós </t>
  </si>
  <si>
    <t>não encontramos as etiquetas</t>
  </si>
  <si>
    <t>2 PISTOLAS E AGULHAS.</t>
  </si>
  <si>
    <t>AS PISTOLAS ESTÃO QUEBRANDO OS PINOS. EX.: TORA 5 PINOS PARA PODER COLOCAR UMA ETIQUETA.</t>
  </si>
  <si>
    <t xml:space="preserve">2 PISTOLAS E AGULHAS </t>
  </si>
  <si>
    <t>M-150</t>
  </si>
  <si>
    <t>NÃO VEIO NADA DE LINHA FINA PARA OS CHULEADOS E TRAVETES</t>
  </si>
  <si>
    <t>Não veio a linha fina de chuleado e travetes.</t>
  </si>
  <si>
    <t>NÃO SEI</t>
  </si>
  <si>
    <t>MATERIAL ISULFICIENTE PARA FINALIZAR ORDEM</t>
  </si>
  <si>
    <t>MATERIAL INSULFICIENTE PARA FINALIZAR ORDEM</t>
  </si>
  <si>
    <t>7 ROLOS, VIES BOCADA. 15 ROLOS VIES PASSANTE.</t>
  </si>
  <si>
    <t xml:space="preserve">VIES </t>
  </si>
  <si>
    <t>viés de degolo</t>
  </si>
  <si>
    <t xml:space="preserve">FALTOU ETIQUETA DE PREÇO PARA FINALIZAR OP </t>
  </si>
  <si>
    <t>veio com a etiqueta errada ,a etiqueta dis tamanho 10cm ,mas não é , medir é tamanho 12cm</t>
  </si>
  <si>
    <t>a etiqueta veio tamanho 10cm ,mas não é .</t>
  </si>
  <si>
    <t>35 pares de cós, no tamanho 46</t>
  </si>
  <si>
    <t>REPROVAÇÃO POR MEDIDAS</t>
  </si>
  <si>
    <t>Quantidade insuficiente Enviada pela guararpes</t>
  </si>
  <si>
    <t>Linha tit-36 cor preta.</t>
  </si>
  <si>
    <t xml:space="preserve">114 zíper </t>
  </si>
  <si>
    <t xml:space="preserve">75 etiquetas </t>
  </si>
  <si>
    <t>asaequador@gmaial.com</t>
  </si>
  <si>
    <t>30 par</t>
  </si>
  <si>
    <t>veio faltando 30 cós ext 30 cós int</t>
  </si>
  <si>
    <t>veio faltando não dá pra concluir a ordem.</t>
  </si>
  <si>
    <t>veio faltando30 cósext ,30int</t>
  </si>
  <si>
    <t>tá faltando 30 par  ,pra concluir a ordem.</t>
  </si>
  <si>
    <t>RETRABALHO</t>
  </si>
  <si>
    <t>estamos sem pra fazer passante</t>
  </si>
  <si>
    <t>não temos filme pra fazer os passantes</t>
  </si>
  <si>
    <t>os viés vieram cortados de forma que não conseguimos costurar</t>
  </si>
  <si>
    <t>Faltando em ordem no processo</t>
  </si>
  <si>
    <t xml:space="preserve">Atenção, o mais breve possível </t>
  </si>
  <si>
    <t>QUANTIDADE ENVIADA NÃO É SUFICIENTE PARA CONCLUIR A OP</t>
  </si>
  <si>
    <t>Está acabando</t>
  </si>
  <si>
    <t>Plástico filme para os passantes.</t>
  </si>
  <si>
    <t>Insuficiente para finalizar as peças</t>
  </si>
  <si>
    <t>10000216488; 10000216487; 10000216484</t>
  </si>
  <si>
    <t>10000216488; 10000216487</t>
  </si>
  <si>
    <t xml:space="preserve">Material com defeito </t>
  </si>
  <si>
    <t>REPROVADA</t>
  </si>
  <si>
    <t>40 - TAM 9-10</t>
  </si>
  <si>
    <t>Não foi enviado pela GUARARAPES.</t>
  </si>
  <si>
    <t>60 etiquetas - tam 13-14</t>
  </si>
  <si>
    <t>70 ziper 10 cm/ TAM 8-9</t>
  </si>
  <si>
    <t>70 tam 8-9</t>
  </si>
  <si>
    <t xml:space="preserve">insuficiente para finaliza a ordem </t>
  </si>
  <si>
    <t>Precisamos dessa linha com urgência</t>
  </si>
  <si>
    <t>40 tam 8-9</t>
  </si>
  <si>
    <t>estamos precisando com urgência , ordem esta no processo</t>
  </si>
  <si>
    <t>Veio faltando120 ziper</t>
  </si>
  <si>
    <t>Veio faltando, e estou precisando para finalizar a ordem</t>
  </si>
  <si>
    <t>corte acimetrico</t>
  </si>
  <si>
    <t>perdigal veio com o corte errado, na parte de baixo com apenas 3,5 cm. fica impossível de fazer o jota com a largura correta</t>
  </si>
  <si>
    <t>70 tam 9-10</t>
  </si>
  <si>
    <t>FALTA PARA FINALIZAR OP</t>
  </si>
  <si>
    <t>LINHA 100%CO TIT40 C.0CRUA</t>
  </si>
  <si>
    <t>pra ordem toda</t>
  </si>
  <si>
    <t>nãorecebemos a linha tit 50 c.35</t>
  </si>
  <si>
    <t>LINHA 100%C0 TIT20  C.0CRUA</t>
  </si>
  <si>
    <t>Porque o que  veio, é insuficiente para concluir a OP.</t>
  </si>
  <si>
    <t>10000220032/10000220031/10000219954</t>
  </si>
  <si>
    <t>Faltou na ordem</t>
  </si>
  <si>
    <t>10000214531-10000214511</t>
  </si>
  <si>
    <t>VEIO FALTANDO UMA ETIQ NO TAMANHO  38 E 6 ETIQ NO TAMANHO 40</t>
  </si>
  <si>
    <t>Faltando as etiquetas de preço G e M</t>
  </si>
  <si>
    <t xml:space="preserve">Estamos precisando de 3 agulhas para as pistolas de pregar etiquetas de preço </t>
  </si>
  <si>
    <t xml:space="preserve">Precisando de 3 agulhas para as pistolas de etiquetas de preço </t>
  </si>
  <si>
    <t xml:space="preserve">Não veio na ordem os viés de bocada </t>
  </si>
  <si>
    <t xml:space="preserve">Insuficiente para finalizar a OP. </t>
  </si>
  <si>
    <t xml:space="preserve">nao veio </t>
  </si>
  <si>
    <t xml:space="preserve">PRECISAMOS DE 100 ZÍPER PARA O TAMANHO 15CM </t>
  </si>
  <si>
    <t xml:space="preserve">MATERIAL VEIO INCOMPLETO </t>
  </si>
  <si>
    <t xml:space="preserve">10000211585 ZÍPER INOX METAL MEDIO AZUL 15CM </t>
  </si>
  <si>
    <t>FALTA DE SACOS PARA EMBALAR OP</t>
  </si>
  <si>
    <t>9.EL238.050.CRU000</t>
  </si>
  <si>
    <t xml:space="preserve">corte acimetrico no cos </t>
  </si>
  <si>
    <t xml:space="preserve">veio com o cos mais fino estourando durante a costura. </t>
  </si>
  <si>
    <t xml:space="preserve">Lote não enviado pela guararapes </t>
  </si>
  <si>
    <t xml:space="preserve">Frente de camisa polo, vim com o pentilho feito </t>
  </si>
  <si>
    <t xml:space="preserve">São 21 pares de manga </t>
  </si>
  <si>
    <t>Insuficiente para terminar a produção</t>
  </si>
  <si>
    <t>10000218092; 10000208287</t>
  </si>
  <si>
    <t xml:space="preserve">A ORDEM VEIO COM A GOLA ERRADA, JA FALEI COM O PESSOAU DO CORTE E ELES ACONSELHARAM A PEDIR REPOÇISAO </t>
  </si>
  <si>
    <t>FALTA MATERIAL PARA CONCLUIR OP</t>
  </si>
  <si>
    <t>PISTOLA PARA COLOCAR ETIQUETA</t>
  </si>
  <si>
    <t>quebrou</t>
  </si>
  <si>
    <t>AS PEÇAS VIERAM DANIFICADAS</t>
  </si>
  <si>
    <t>LADO DIREITO FRENTE</t>
  </si>
  <si>
    <t>Peça Completa</t>
  </si>
  <si>
    <t>Identificamos a falta de 32 peças e vários pedaços que não casam. Foi aberto chamado n° 28865</t>
  </si>
  <si>
    <t>chamado n° 28865</t>
  </si>
  <si>
    <t>Linhas insuficientes para conclusão da ordem</t>
  </si>
  <si>
    <t>9.LI001.080.165804</t>
  </si>
  <si>
    <t>Falta de material</t>
  </si>
  <si>
    <t xml:space="preserve">Por favor, nos enviar o quanto antes. Ficamos no aguardo! </t>
  </si>
  <si>
    <t xml:space="preserve">MATERIAL FALTANDO </t>
  </si>
  <si>
    <t>INSUFICIENTE PRA FINALIZAR OP</t>
  </si>
  <si>
    <t xml:space="preserve">Estou precisando de filme plástico para passante </t>
  </si>
  <si>
    <t xml:space="preserve">Estou sem filme plástico para passante </t>
  </si>
  <si>
    <t>TRASEIRO É COMPLETO (OS DOIS LADOS)</t>
  </si>
  <si>
    <t>FALTA DE ETIQUETA PARA FINALIZAR A ORDEM</t>
  </si>
  <si>
    <t>O TRASEIRO É COMPLETO (OS DOIS LADOS)</t>
  </si>
  <si>
    <t>FALTOU CADARÇO PARA 500 PEÇAS, POR ISSO ESTAMOS SOLICITANDO A REPOSIÇÃO.</t>
  </si>
  <si>
    <t xml:space="preserve">VEIO FALTANDO NA OM </t>
  </si>
  <si>
    <t xml:space="preserve">10000068708 - CADARÇO CO 10MM MULTIC </t>
  </si>
  <si>
    <t xml:space="preserve">400 CADARÇO </t>
  </si>
  <si>
    <t>FALTOU CADARÇO PARA 400 PEÇAS, POR ISSO ESTAMOS SOLICITANDO A REPOSIÇÃO.</t>
  </si>
  <si>
    <t xml:space="preserve">10000068708 CADARÇO CO 10MM MULTIC </t>
  </si>
  <si>
    <t xml:space="preserve">ESTAMOS PRECISANDO PARA AS ORDENS </t>
  </si>
  <si>
    <t>90 tamanho 34 e 50 tamanho 36</t>
  </si>
  <si>
    <t>insuficiente para finalizar a ordem</t>
  </si>
  <si>
    <t xml:space="preserve">os mesmos vieram faltando </t>
  </si>
  <si>
    <t>precisamos para finalizar a ordem</t>
  </si>
  <si>
    <t xml:space="preserve">COMO PRECISEI DESMANCHAR AS GOLA DO TAMANHO GG E G, TIVE QUE DESMANCHA TBM O VIES DE REFORÇO E PORISO NAO VOU TE SUFICIENTE PARA FINALIZA A ORDEM  </t>
  </si>
  <si>
    <t xml:space="preserve">VIES DE OMBRO A OMBRO </t>
  </si>
  <si>
    <t>ORDEM REJEITADA, VAI SER PRECISO A RETIRADA DOS PASSANTES</t>
  </si>
  <si>
    <t>Ferreiraaraujoconfeccoes@gmail.com</t>
  </si>
  <si>
    <t xml:space="preserve">Estou precisando </t>
  </si>
  <si>
    <t>FJDEAZEVEDO@HOTMAIL.COM</t>
  </si>
  <si>
    <t>NÃO TEM ESSE FILME COM LARGURA DE 03CM</t>
  </si>
  <si>
    <t>FIME PLÁSTICO COM LARGURA DE 3,50CM, POIS A FITA É COM ENTRADA DE 5,50 E SAÍDA 1,50CM</t>
  </si>
  <si>
    <t xml:space="preserve">ENVIAR MAIOR QUANTIDADE, DEVIDO PRODUÇÃO DIÁRIA SER ALTA </t>
  </si>
  <si>
    <t xml:space="preserve">Não veio junto a ordem </t>
  </si>
  <si>
    <t xml:space="preserve">Elástico para o cos da calça </t>
  </si>
  <si>
    <t>Viés para a bocada bolso dianteiro</t>
  </si>
  <si>
    <t>Ficha pedi para ser com 3 cm e veio cortado com 2 5 cm</t>
  </si>
  <si>
    <t>Diante a situação que recebemos a ordem e veio com a fita do passante menor, abrimos chamado e o rapaz disse que solicitassemos reposição, por que na ficha estava pedindo com 3cm.  o que cebemos veio com 2,5.  então fizemos a solicitação via email  na segunda feira dia 20.07.2026 por que não tinha essa opção aqui no link de reposição e ate o momento não recebemos nenhum posicionamento.</t>
  </si>
  <si>
    <t>20 cones</t>
  </si>
  <si>
    <t>linha insuficente para finalizar a ordem</t>
  </si>
  <si>
    <t>20 cones de linha text.36 cor 9701</t>
  </si>
  <si>
    <t xml:space="preserve">estamos sem na oficina </t>
  </si>
  <si>
    <t xml:space="preserve">n temos </t>
  </si>
  <si>
    <t xml:space="preserve">estamos precisando </t>
  </si>
  <si>
    <t>n tem</t>
  </si>
  <si>
    <t>MATERIAL INSUFUCIENTE PARA FINALIZAR OP</t>
  </si>
  <si>
    <t>FOI ENVIADO UMA PEÇA PRA TESTE DE TONALIDADE, AOS CUIDADOS DE RANIERE</t>
  </si>
  <si>
    <t xml:space="preserve">O elástico não veio </t>
  </si>
  <si>
    <t xml:space="preserve">O elástico não foi enviado </t>
  </si>
  <si>
    <t>administrativo@zajaconfeccoes.com</t>
  </si>
  <si>
    <t xml:space="preserve">Essa ordem o elástico vem pronto já emendado,só que não veio junto com a ordem e preciso com urgência </t>
  </si>
  <si>
    <t xml:space="preserve">Não tenho </t>
  </si>
  <si>
    <t>Faltou 39 cos tamanho 40</t>
  </si>
  <si>
    <t>Material não veio</t>
  </si>
  <si>
    <t>9.LI001.036.PR8001</t>
  </si>
  <si>
    <t>Peitilho</t>
  </si>
  <si>
    <t>120 pçs</t>
  </si>
  <si>
    <t>cos com entrada de faca</t>
  </si>
  <si>
    <t>esses cos vinheram com uma entrada de faca</t>
  </si>
  <si>
    <t>Danificada no processo</t>
  </si>
  <si>
    <t>8 etiquetas de composição tamanho 42 e 2 etiquetas de composição tamanho 40</t>
  </si>
  <si>
    <t>asaequado@gmail.com</t>
  </si>
  <si>
    <t xml:space="preserve">não veio os traseiro e nem as palas , e essa ordem veio ja com os bolso pregado.  </t>
  </si>
  <si>
    <t>veio as frentes sobrando</t>
  </si>
  <si>
    <t xml:space="preserve">VEIO FALTANDO  NA ORDEM </t>
  </si>
  <si>
    <t>10000072012 FIO 100%PES S.906 194118</t>
  </si>
  <si>
    <t>10000072584 LINHA 100%PES TÍT120 C.93 S.425 194118</t>
  </si>
  <si>
    <t>MATERIAL ISUFUCIENTE PARA FINALIZAR OP</t>
  </si>
  <si>
    <t>10000071718 FIO 100%PES S.910 152214</t>
  </si>
  <si>
    <t>10000072658 LINHA 100%PES TÍT120 C.88 152214</t>
  </si>
  <si>
    <t>Solicito a reposição dos seguintes zíperes para produção:  Zíper 14 cm – 100 unidades Código: 10000241455 Zíper 13 cm – 100 unidades Código: 10000241454</t>
  </si>
  <si>
    <t>10000072019 FIO 100%PES S.998 PR8001</t>
  </si>
  <si>
    <t>10000072593 LINHA 100%PES TÍT120 C.PT S.998 PR8001</t>
  </si>
  <si>
    <t>690 peças</t>
  </si>
  <si>
    <t xml:space="preserve">solicitamos reposição de viés de passante para 690 peças </t>
  </si>
  <si>
    <t>10 UND</t>
  </si>
  <si>
    <t>veio faltando os traseiro  palas</t>
  </si>
  <si>
    <t>essa ordem ja veio com os bolsos pregados , e veio faltando 3 traseiros e as palas 13/14  , 2-8/9  ,2 -6/72</t>
  </si>
  <si>
    <t>VEIO PARTES DAS PEÇAS FURADAS E FALTOU TODAS AS PARTES PARA 27 PEÇAS</t>
  </si>
  <si>
    <t>PARTES FALTANTES BOLSO, FRENTE E TRASEIRO</t>
  </si>
  <si>
    <t>Danificada na produção</t>
  </si>
  <si>
    <t>etiqueta de composição tamanho 40</t>
  </si>
  <si>
    <t xml:space="preserve">reposição de viés para 690 peças </t>
  </si>
  <si>
    <t>19 peças</t>
  </si>
  <si>
    <t>Material não enviado.</t>
  </si>
  <si>
    <t>Após várias contagens foi constatado que faltou 1 lote com 19 peças tamanho 42 da terceira sequência.</t>
  </si>
  <si>
    <t>Só aguardando a reposição pra concluir a ordem.</t>
  </si>
  <si>
    <t>nao tem</t>
  </si>
  <si>
    <t>faltando etiqueta para complementar a quantidade das peças</t>
  </si>
  <si>
    <t>3 etiquetas de composição de todos tamanhos.</t>
  </si>
  <si>
    <t xml:space="preserve">ribana com tonalidade </t>
  </si>
  <si>
    <t>tonalidade na gola, vamos ter que desmanchar e consequentemente teremos que repor o viés de reforço</t>
  </si>
  <si>
    <t>Lupercio-fnb@hotmail.com</t>
  </si>
  <si>
    <t>Faltando para finalização de ordem, precisamos o mais breve possível</t>
  </si>
  <si>
    <t>Precisamos o mais breve possivel, Atenção.</t>
  </si>
  <si>
    <t>6 cones</t>
  </si>
  <si>
    <t>6 cones dessa linha</t>
  </si>
  <si>
    <t>350 pçs</t>
  </si>
  <si>
    <t>A conta do consumo do viés foi feito errado</t>
  </si>
  <si>
    <t>Viés de cavas e decote para 350 pçs</t>
  </si>
  <si>
    <t>viés de cava e decote</t>
  </si>
  <si>
    <t>4 cones desta linha</t>
  </si>
  <si>
    <t>36 do tamanho 50</t>
  </si>
  <si>
    <t>Ordem molhada</t>
  </si>
  <si>
    <t xml:space="preserve">A ordem chegou molhada na oficina </t>
  </si>
  <si>
    <t>MATEROAL NÃO ENVIADO PELA GUARARSPES</t>
  </si>
  <si>
    <t>não tem codigo</t>
  </si>
  <si>
    <t>276 und</t>
  </si>
  <si>
    <t>Material não enviado completo</t>
  </si>
  <si>
    <t>NÃO FOI ENVIADO</t>
  </si>
  <si>
    <t>FALTA DE COMPOSIÇÃO PARA FINALIZAR OP</t>
  </si>
  <si>
    <t xml:space="preserve">O PEDIDO É DE REFORÇO DE BOLSO. NAS OPÇÕES NÃO ENCONTREI, DEVERIA TER A OPÇÃO OUTROS PARA PARTES QUE NÃO CONTÉM NA LISTA. </t>
  </si>
  <si>
    <t xml:space="preserve">5 ROLOS </t>
  </si>
  <si>
    <t xml:space="preserve">FALTOU VÍES DA GOLA NESSA ORDEM </t>
  </si>
  <si>
    <t xml:space="preserve">filma plastico do passante </t>
  </si>
  <si>
    <t xml:space="preserve">FALTOU ETIQUETA CASUAL PARA ESTA ORDEM </t>
  </si>
  <si>
    <t xml:space="preserve">10000212591 ETIQUETA CASUAL MENSWEAR ALL SEASON </t>
  </si>
  <si>
    <t>40 tam 9-10</t>
  </si>
  <si>
    <t xml:space="preserve">Foi enviada errada </t>
  </si>
  <si>
    <t>NÃO VEIO O CÓDIGO</t>
  </si>
  <si>
    <t>Faltou 30 etiquetas de gola, tamanho M</t>
  </si>
  <si>
    <t>000000010000247914 - 9.EIA22.00M.VERD00, ETIQUETA RIA CLIP TOP VERDE M</t>
  </si>
  <si>
    <t>NÃO VEIO CÓDIGO</t>
  </si>
  <si>
    <t>10000065077 - ZÍPER MT MÉDIO NIQ FIXO 13CM 190912</t>
  </si>
  <si>
    <t>10000064370 ZÍPER MT MEDIO FIXO 17CM 190912</t>
  </si>
  <si>
    <t>QUANTIDADE INSUFICIENTE PARA DISTRIBUIR NAS MÁQUINAS</t>
  </si>
  <si>
    <t>LINHAS INSUFICIENTES PARA FINALIZAR A ORDEM</t>
  </si>
  <si>
    <t>Revel</t>
  </si>
  <si>
    <t>Não veio junto OP</t>
  </si>
  <si>
    <t>Faltou 55 revel do bolso frente, tamanho 44</t>
  </si>
  <si>
    <t>revel 44 017 M1 1S 55F B</t>
  </si>
  <si>
    <t>linha insuficiente</t>
  </si>
  <si>
    <t>10000062491 e 10000063284</t>
  </si>
  <si>
    <t>OS CÓS VIERAM COM A ENTRETELA ERRADA</t>
  </si>
  <si>
    <t>VEIO FALTANDO ESSE LOTES</t>
  </si>
  <si>
    <t>elastico de cós não veio junto com a ordem</t>
  </si>
  <si>
    <t>elastico para o cós</t>
  </si>
  <si>
    <t>102 PARES - 2 ALTURAS</t>
  </si>
  <si>
    <t>São duas alturas de 51 peças, 102 pares.  Tamanho 46</t>
  </si>
  <si>
    <t>2 cones</t>
  </si>
  <si>
    <t>A linha não deu pra concluí a ordem</t>
  </si>
  <si>
    <t>Peças molhadas e manchadas</t>
  </si>
  <si>
    <t xml:space="preserve">peças molhadas e manchadas </t>
  </si>
  <si>
    <t>As etq tamanho 6-7 não veio na ordem</t>
  </si>
  <si>
    <t xml:space="preserve">viés de bocada </t>
  </si>
  <si>
    <t xml:space="preserve">FALTOU 3 LOTES DE TRASEIROS </t>
  </si>
  <si>
    <t xml:space="preserve">FALTOU 3 LOTES COM 60 PEÇAS TRASEIROS </t>
  </si>
  <si>
    <t>N TEM</t>
  </si>
  <si>
    <t xml:space="preserve">NÃO FOI ENVIADO NA ORDEM </t>
  </si>
  <si>
    <t>LINHA 100% PES TIT80 S.623</t>
  </si>
  <si>
    <t>10000063107-9LI001.080</t>
  </si>
  <si>
    <t xml:space="preserve">VAI FALTAR PRA FINALIZAR ORDEM </t>
  </si>
  <si>
    <t xml:space="preserve">FALTOU LINHAS </t>
  </si>
  <si>
    <t xml:space="preserve">VIES PARA TIRA DE REFORÇO </t>
  </si>
  <si>
    <t xml:space="preserve">FALTOU VIES DE TIRA DE REFORÇO PARA A OP COMPLETA </t>
  </si>
  <si>
    <t>Erro na produção</t>
  </si>
  <si>
    <t>Viés de passante.</t>
  </si>
  <si>
    <t>LINHA 80</t>
  </si>
  <si>
    <t>000 LINHA 80</t>
  </si>
  <si>
    <t>NÃO VEIO CODIGO</t>
  </si>
  <si>
    <t>000 LINHA 57 ESCURA</t>
  </si>
  <si>
    <t>NÃO VEIO O CODIGO</t>
  </si>
  <si>
    <t>LINHA 57 ESCURA</t>
  </si>
  <si>
    <t>38 ziper para o tam 38</t>
  </si>
  <si>
    <t xml:space="preserve">VEIO POUCA LINHA PRECISAMOS COM URGENCIA </t>
  </si>
  <si>
    <t xml:space="preserve">Precisamos com urgência dessa linha. </t>
  </si>
  <si>
    <t xml:space="preserve">não veio linha suficiente, precisamos com urgência </t>
  </si>
  <si>
    <t>linha 100%pes tit80 s.623 164519</t>
  </si>
  <si>
    <t>QUANTIDADE INSUFICIENTE PARA FINALIZAR OP;</t>
  </si>
  <si>
    <t xml:space="preserve">Material insuficiente. </t>
  </si>
  <si>
    <t xml:space="preserve">Ficou faltando um lote. </t>
  </si>
  <si>
    <t xml:space="preserve">Reposição COMPLETA do LOTE: manga, viés, frente, punho e gola. </t>
  </si>
  <si>
    <t>FALTA DE ETIQUETA PARA FINALIZAR ORDEM</t>
  </si>
  <si>
    <t>Produto danificado na costura</t>
  </si>
  <si>
    <t>Produto danificado na costura, se possível enviar no próximo abastecimento.</t>
  </si>
  <si>
    <t>MATERIAL EXTRAVIZADO NA EMPRESA</t>
  </si>
  <si>
    <t>FOI PREGADO ERRADO, NO DESMACHE ESTRAGOU</t>
  </si>
  <si>
    <t>PEÇAS VINHERAM COM FALHA DE CORTE</t>
  </si>
  <si>
    <t>OP SENDO FINALIZADA AGUARDANDO ESSA REPOSIÇÃO</t>
  </si>
  <si>
    <t>10 MIL</t>
  </si>
  <si>
    <t>FALTANDP PRA FINALIZAR AS OPS</t>
  </si>
  <si>
    <t>PINOS PRA ETIQUETAR OP ACABOU  HJ</t>
  </si>
  <si>
    <t xml:space="preserve">QUANTIDADE DIFERENTE </t>
  </si>
  <si>
    <t>ORDEM EM PRODUÇÃO</t>
  </si>
  <si>
    <t xml:space="preserve">ETIQUETAS </t>
  </si>
  <si>
    <t>MANGAS LADO ESQUERDO E LADO DIREITO</t>
  </si>
  <si>
    <t>MANGAS</t>
  </si>
  <si>
    <t>Não veio o tamanho 50</t>
  </si>
  <si>
    <t>Estamos precisando o mais breve possivel.</t>
  </si>
  <si>
    <t>A linha grossa que veio foi a tit 36 no lugar da tit 50 então precisamos da linha tit 80 cor 623 para os travetes, chuleado, interno e caseado.</t>
  </si>
  <si>
    <t xml:space="preserve">Faltando pra finalizar a ordem </t>
  </si>
  <si>
    <t>etiqueta de marca</t>
  </si>
  <si>
    <t>10000229824; 10000214499; 10000214511</t>
  </si>
  <si>
    <t xml:space="preserve">São pares. </t>
  </si>
  <si>
    <t xml:space="preserve">VEIO INSUFICIENTE PARA CONCLUIR A OP </t>
  </si>
  <si>
    <t>MATERIAL INSUFICIENTE PARA TERMINAR A OP</t>
  </si>
  <si>
    <t>NA COR PRETA</t>
  </si>
  <si>
    <t>Linha- 36 cor- 1808</t>
  </si>
  <si>
    <t xml:space="preserve">Quantidade insuficiente para finalizar </t>
  </si>
  <si>
    <t>MATERIAL EXTRAVIZADO NA OFICINA</t>
  </si>
  <si>
    <t>Para 24 peças completas</t>
  </si>
  <si>
    <t>Porque faltou reposição para 24 peças completa.</t>
  </si>
  <si>
    <t>Todas as reposições para total de 24 peças completas.</t>
  </si>
  <si>
    <t>Reposição para 24 peças completas.</t>
  </si>
  <si>
    <t>Porque faltou reposição para 24 peças completas.</t>
  </si>
  <si>
    <t>Reposição para 24 peças completas. Do Tamanho 48: reposição para 2 peças completas.  Do Tamanho 46: reposição para 2 peças completas.  Do Tamanho 44: reposição para 2 peças completas.  Do Tamanho 42: reposição para 7 peças completas.  Do Tamanho 40: reposição para 4 peças completas.  Do Tamanho 38: reposição para 5 peças completas.  Do Tamanho 36: reposição para 2 peças completas.</t>
  </si>
  <si>
    <t>100000 (20 CONES)</t>
  </si>
  <si>
    <t xml:space="preserve">NÃO ENVIADA LINHAS FINAS </t>
  </si>
  <si>
    <t>LINHA 100%PES TIT80 S.623</t>
  </si>
  <si>
    <t>4 rolos</t>
  </si>
  <si>
    <t>LINHA 100%PES TIT80 S.442</t>
  </si>
  <si>
    <t>10000153931-9LI001.080</t>
  </si>
  <si>
    <t>FALTA DE ETIQUETA DE PREÇO PARA FINALIZAR OP</t>
  </si>
  <si>
    <t>falta de linha</t>
  </si>
  <si>
    <t>REPOSIÇÃO DE REFORÇO DO PASSANTE (NAO IDENTIFIQUEI PORQUE NAO EXISTIA A OPÇÃO LA POR ESSE MOTIVO SÓ COLOQUEI PASSANTE)</t>
  </si>
  <si>
    <t>fio para fazer passantes</t>
  </si>
  <si>
    <t>9.ETR38.BRA.SKINNY</t>
  </si>
  <si>
    <t>9.Z0127.013.144201</t>
  </si>
  <si>
    <t>Etiquetas vinheram fom falhas, para mantém o padrão estamos pedindo reposição para concerto</t>
  </si>
  <si>
    <t>5 ROLO</t>
  </si>
  <si>
    <t>ESTÀ FALTANDO</t>
  </si>
  <si>
    <t>O FILME DE FUSIONAR ESTÁ FALTANDO</t>
  </si>
  <si>
    <t>70 zipers 13 cm que faltou pra finalizar o tamanho</t>
  </si>
  <si>
    <t>infelizmente, ao invés de vir 605 ziper, só vieram 600 ziper</t>
  </si>
  <si>
    <t xml:space="preserve">o filme de fusionar passante acabou </t>
  </si>
  <si>
    <t>Por favor, Urgente.</t>
  </si>
  <si>
    <t>ffconfeccoesobr@hotmail.com</t>
  </si>
  <si>
    <t xml:space="preserve">59 do tamanho 40 </t>
  </si>
  <si>
    <t>o forro tem um lado maior e outro menor, não veio o lado maior do tamanho 40.</t>
  </si>
  <si>
    <t>Estamos precisando o mais breve possível.</t>
  </si>
  <si>
    <t>Recebemos apenas 112 unidades, faltando 8</t>
  </si>
  <si>
    <t>Insuficiente para finalizar</t>
  </si>
  <si>
    <t>incompleta</t>
  </si>
  <si>
    <t xml:space="preserve">FRENTES PAR </t>
  </si>
  <si>
    <t xml:space="preserve">Está faltando essa quantidade para finalizar a ordem </t>
  </si>
  <si>
    <t xml:space="preserve">Ordem veio sem elástico. </t>
  </si>
  <si>
    <t xml:space="preserve">Quantidade insuficiente para produção. </t>
  </si>
  <si>
    <t>Viés de passante com largura variando (mais estreito do que o pedido na ficha)</t>
  </si>
  <si>
    <t xml:space="preserve">não veio linha fina. Esta cadastrado o consumo errado. </t>
  </si>
  <si>
    <t>50-207; 48-290; 46-414; 44-559; 42-559; 40-290; 38-207</t>
  </si>
  <si>
    <t>não recebemos a linhas finas. Acredito que esta cadastrado errado o consumo da linha fina.</t>
  </si>
  <si>
    <t>000000010000153931 -</t>
  </si>
  <si>
    <t>ADMINISTRATIVO@ZAJACONFECCOES.COM.BR</t>
  </si>
  <si>
    <t>NÃO FOI ENVIADA</t>
  </si>
  <si>
    <t>Solicitacao de lacre</t>
  </si>
  <si>
    <t>170 pares</t>
  </si>
  <si>
    <t>material veio com corte acimetrico no cos, colocando muitos a perder</t>
  </si>
  <si>
    <t>cos veio com corte acimetrico. deveria esta com 7 cm e estava apenas com 6 assim tornando impossivel passar no aparelho sem estourar.</t>
  </si>
  <si>
    <t>os lacres acabaram</t>
  </si>
  <si>
    <t>Tonalidade</t>
  </si>
  <si>
    <t>Enviar gola e punho</t>
  </si>
  <si>
    <t>LINHA 100%CO TIT20 C.0CRUA S.9223</t>
  </si>
  <si>
    <t>CORTE DIVERGENTE  -  VEIO BEM FINO</t>
  </si>
  <si>
    <t>as etiquetas de preço não foram entregues na oficina</t>
  </si>
  <si>
    <t>10000211370 / 100002111349 / 10000218944</t>
  </si>
  <si>
    <t>VIÉS PARA 200 PEÇAS</t>
  </si>
  <si>
    <t xml:space="preserve">ESTA FALTANDO PINOS TODA SEMANA </t>
  </si>
  <si>
    <t>VEIO FALTANDO 9 FRENTE NESSA ORDEM MESTRE</t>
  </si>
  <si>
    <t>Silicone</t>
  </si>
  <si>
    <t>6 Rolos</t>
  </si>
  <si>
    <t>Estamos com o estoque de silicone baixo</t>
  </si>
  <si>
    <t>Silicone de passante</t>
  </si>
  <si>
    <t xml:space="preserve">Faltaram 140 etiquetas de preço </t>
  </si>
  <si>
    <t>Zíper tamanho 15 cm</t>
  </si>
  <si>
    <t>Só veio apenas 1 cone de fio para produzir a op.</t>
  </si>
  <si>
    <t>Só veio 1 cone de linha para produzir toda op</t>
  </si>
  <si>
    <t>Só veio 1 cone de fio para produzir toda op</t>
  </si>
  <si>
    <t>Insuficiente para finalizar a produção</t>
  </si>
  <si>
    <t>as etiquetas vieram erradas, eram pra ser vertical e vieram horizontal</t>
  </si>
  <si>
    <t>ETIQUETAS VIERAM ERRADAS</t>
  </si>
  <si>
    <t>etiquetas eram pra ser vertical e vieram horizontal</t>
  </si>
  <si>
    <t>ETIQUETAS DE MARCA VIERAM ERRADAS</t>
  </si>
  <si>
    <t>Faltou 20 etiquetas de marca tamanho 9-10</t>
  </si>
  <si>
    <t>Por gentileza,mandem a etiqueta de preço ,não foi enviada novamente e com isso atrasa o nosso processo aqui !!!!</t>
  </si>
  <si>
    <t>Material insuficiente para finalização da ordem</t>
  </si>
  <si>
    <t>Precisamos desse material com urgência</t>
  </si>
  <si>
    <t>96 etiqueta de composiçâo</t>
  </si>
  <si>
    <t>veio faltando 96 etiqueta de composiçâo tamanhos 11_12!</t>
  </si>
  <si>
    <t>xxxxx</t>
  </si>
  <si>
    <t>Peça Piloto</t>
  </si>
  <si>
    <t>Peça piloto nao enviada</t>
  </si>
  <si>
    <t>Atenção estamos precisando o mais breve possível!</t>
  </si>
  <si>
    <t xml:space="preserve">vieis veio errado , de vez de vir cru veio branco </t>
  </si>
  <si>
    <t>Vieis de bocada Cru</t>
  </si>
  <si>
    <t>não tem</t>
  </si>
  <si>
    <t>20 ROLOS</t>
  </si>
  <si>
    <t>31 etiquetas de composição.</t>
  </si>
  <si>
    <t>As mesmas estavam com falhas.</t>
  </si>
  <si>
    <t>Etiquetas de composição.</t>
  </si>
  <si>
    <t>10000214518/10000214517/10000214516/10000214515/10000214512/10000214511.</t>
  </si>
  <si>
    <t>ALANIS QUEIROZ LTDA</t>
  </si>
  <si>
    <t>77.ABATISTA@GMAIL.COM</t>
  </si>
  <si>
    <t>NÃO RECEBEMOS NENHUMA QUANTIDADE.</t>
  </si>
  <si>
    <t>INICIAREMOS ESSA ORDEM DIA 31/07</t>
  </si>
  <si>
    <t>Solicitamos essa reposição ontem e ela veio,mas sendo que mandaram a etiquetas de preço com o material e valor da peça errado!</t>
  </si>
  <si>
    <t>Infelizmente enviaram errado a reposição,o material veio errado e o valor da etiqueta!</t>
  </si>
  <si>
    <t>veio pouco</t>
  </si>
  <si>
    <t>faltou o passante para o 3 risco</t>
  </si>
  <si>
    <t>Botão pes red furo 11mm 114201 fosco</t>
  </si>
  <si>
    <t>100.000 (20 CONES)</t>
  </si>
  <si>
    <t>Estão faltado 10 etq. tam.: 1; 5 etq. tam.: 2; 5 etq. tam.: 3; 5 etq. tam.: 4; 5 etq. tam.: 5; 10 etq. tam.: 6. Material não enviado pela Guararapes.</t>
  </si>
  <si>
    <t>10000249817 / 10000247623 / 10000247650 / 10000247655 / 10000253895 / 10000247658</t>
  </si>
  <si>
    <t>etiquetas veio incompletas</t>
  </si>
  <si>
    <t>A Linha da ordem não deu pra conclui a produção</t>
  </si>
  <si>
    <t xml:space="preserve">Faltou 20 etiquetas de composição </t>
  </si>
  <si>
    <t xml:space="preserve">Faltou no aviamento </t>
  </si>
  <si>
    <t>ESTAMOS PRECISANDO DE 50 CÓS PARA ESTA ORDEM</t>
  </si>
  <si>
    <t xml:space="preserve">FALTOU MANGA </t>
  </si>
  <si>
    <t>FALTOU MANGA PARA 10 CAMISAS G</t>
  </si>
  <si>
    <t>Não tenho artoks vazios para enviar as próximas ordens</t>
  </si>
  <si>
    <t xml:space="preserve">refazer a peça </t>
  </si>
  <si>
    <t>precisamos do cos e passante, vamos refazer a operação</t>
  </si>
  <si>
    <t xml:space="preserve">Faltou o finalizar </t>
  </si>
  <si>
    <t xml:space="preserve">Faltando 21 cos do tamanho 50 com urgência </t>
  </si>
  <si>
    <t>Atenção o mais breve posível.</t>
  </si>
  <si>
    <t>fio 10000072017, Linha 10000072590</t>
  </si>
  <si>
    <t>peça preta e veio zíper azul</t>
  </si>
  <si>
    <t xml:space="preserve">no chekin de aviamentos veio cadastrado o zíper azul (tam 17cm) e preto (tam 13 e a4). Mas todos os zíperes vieram na cor azul  </t>
  </si>
  <si>
    <t>10000241455; 10000241454</t>
  </si>
  <si>
    <t xml:space="preserve">Faltou filme plástico </t>
  </si>
  <si>
    <t>OP VEIO COM MANGAS FALTANDO</t>
  </si>
  <si>
    <t>OP faltando 18 pares de manga GG</t>
  </si>
  <si>
    <t>10000209079- 10000209075</t>
  </si>
  <si>
    <t>ORDEM VEIO APENAS COM AS FRENTES</t>
  </si>
  <si>
    <t>faltando saco para om</t>
  </si>
  <si>
    <t>saco para artroks</t>
  </si>
  <si>
    <t>faltando pistolas</t>
  </si>
  <si>
    <t>enviar com as agulhas também</t>
  </si>
  <si>
    <t>peças sobrando e faltando etiqueta</t>
  </si>
  <si>
    <t>sobrando peças e faltando etiqueta</t>
  </si>
  <si>
    <t>O tamanho 4 veio repetido e o tamanho 5 não veio, os outros tamanhos veio faltando na contagem</t>
  </si>
  <si>
    <t>10000253895      10000247658     10000249817     10000247623    10000247650</t>
  </si>
  <si>
    <t>O motivo do pedido, é porque não vieram.</t>
  </si>
  <si>
    <t>TAMANHO: 46. Quantidade: forro de bolso para 100 peças.</t>
  </si>
  <si>
    <t>insuficiente para finalizar a produção</t>
  </si>
  <si>
    <t>10000208284; 10000208287; 10000218092; 10000208288</t>
  </si>
  <si>
    <t>6 Etiquetas de composição tamanho 40</t>
  </si>
  <si>
    <t>Estamos precisando de 2 pistolas ,pois tínhamos só duas e uma quebrou e não tá dando conta ,pois nossa produção é 2000 peças dia</t>
  </si>
  <si>
    <t xml:space="preserve">Estamos precisando de 2 pistolas urgentemente,a demanda tá alta </t>
  </si>
  <si>
    <t>não enviado pelo guararapes</t>
  </si>
  <si>
    <t>veio faltando 1.124 zipes</t>
  </si>
  <si>
    <t>ZÍPER INOX METAL MEDIO AZUL 10CM</t>
  </si>
  <si>
    <t>veio faltando as etiquetas do cos</t>
  </si>
  <si>
    <t>não veio as etiquetas do cós</t>
  </si>
  <si>
    <t>ETQ RIA HORIZ BOT MOM INFANT VER 13-14</t>
  </si>
  <si>
    <t>quantidade insuficiente para distribuir nas máquinas  finalizar a op</t>
  </si>
  <si>
    <t xml:space="preserve">INSUFICIENTE PARA FINALIZAR </t>
  </si>
  <si>
    <t>Quantidade insuficiente para finalização da ordem</t>
  </si>
  <si>
    <t>Quantidade insuficiente para a finalização da ordem</t>
  </si>
  <si>
    <t xml:space="preserve">GOLA DE RIBANA </t>
  </si>
  <si>
    <t>TAGS DE PREÇO NÃO ENVIADO PELA GUARARAPES</t>
  </si>
  <si>
    <t xml:space="preserve">10 cones </t>
  </si>
  <si>
    <t>insuficiente para todas as maquinas do processo</t>
  </si>
  <si>
    <t>linha cor: 0321 tit: 36</t>
  </si>
  <si>
    <t>Quantidade Insuficiente para a finalização da ordem</t>
  </si>
  <si>
    <t>REPOSIÇÃO DE PLÁSTICO PARA FUSIONAR PASSANTE</t>
  </si>
  <si>
    <t>Estamos precisando de etiqueta de cós para finalizar a ordem</t>
  </si>
  <si>
    <t>Estou precisando das etiquetas para finalizar a ordem</t>
  </si>
  <si>
    <t>10000214499  /  10000214512</t>
  </si>
  <si>
    <t>ISUFICIENTE PRA FINALIZAR OP/REMONTE</t>
  </si>
  <si>
    <t>INSUFICIENTE PRA FINALIZAR OP/VIES DE REFORÇO DE GOLA</t>
  </si>
  <si>
    <t>aeconfec-oes@hotmail.com</t>
  </si>
  <si>
    <t>quantidade insuficiente para finalizar a OP</t>
  </si>
  <si>
    <t>7 cones</t>
  </si>
  <si>
    <t>9.LI001.120.120815</t>
  </si>
  <si>
    <t>P - 244</t>
  </si>
  <si>
    <t>Qtde insuficiente</t>
  </si>
  <si>
    <t>9.LI001.140.190415</t>
  </si>
  <si>
    <t>Qtde para abastecimento</t>
  </si>
  <si>
    <t>9.FI000.001.120104</t>
  </si>
  <si>
    <t>244 peças</t>
  </si>
  <si>
    <t>9.LI001.120.120720</t>
  </si>
  <si>
    <t>Qtde insuficiente para abastecimento</t>
  </si>
  <si>
    <t>9.FI000.001.130916</t>
  </si>
  <si>
    <t>filme plástico para passante</t>
  </si>
  <si>
    <t xml:space="preserve">filme insuficiente para finalizar a op </t>
  </si>
  <si>
    <t>NÃO VEIO NENHUM ELASTICO JUNTO A ORDEM</t>
  </si>
  <si>
    <t xml:space="preserve">Quantidade insuficiente </t>
  </si>
  <si>
    <t xml:space="preserve">Se possível nos enviar no próximo carregamento com destino a G4 ou a Poest </t>
  </si>
  <si>
    <t>46 pares</t>
  </si>
  <si>
    <t>TRASEIRO E BOLSO TRASEIRO</t>
  </si>
  <si>
    <t>NÃO VEIO NENHUM ELASTICO</t>
  </si>
  <si>
    <t>Não veio nenhum elástico</t>
  </si>
  <si>
    <t>reposição completa porque não veio nenhum elástico, não sei dizer quantidade por tamanho pq não recebi o guia ainda.</t>
  </si>
  <si>
    <t xml:space="preserve">não veio nenhum elástico </t>
  </si>
  <si>
    <t xml:space="preserve">não veio nenhum elástico, preciso de reposição completa, não consigo dizer quantidade por tam porque ainda não recebi o guia </t>
  </si>
  <si>
    <t>plástico de fusionar passante</t>
  </si>
  <si>
    <t>RIBANA</t>
  </si>
  <si>
    <t>top frente</t>
  </si>
  <si>
    <t>top traseiro</t>
  </si>
  <si>
    <t>13 pares</t>
  </si>
  <si>
    <t>2 etiquetas, tamanho 48, enfesto 1</t>
  </si>
  <si>
    <t>25 tamanho 42</t>
  </si>
  <si>
    <t xml:space="preserve">partes diferentes </t>
  </si>
  <si>
    <t xml:space="preserve">Na conferência das peças, identificamos que, no tamanho 42, todo o perdigal está menor que o zíper. portanto solicitamos o ziper de  14cm </t>
  </si>
  <si>
    <t>neemias.sc@hotmial.com</t>
  </si>
  <si>
    <t>não temos</t>
  </si>
  <si>
    <t>plastico de fusionar passantes</t>
  </si>
  <si>
    <t>TOTA A ORDEM VEIO SEM GOLA</t>
  </si>
  <si>
    <t>OFICINA JÁ INICIOU COSTURA.</t>
  </si>
  <si>
    <t xml:space="preserve">NÃO VEIO A ETIQUETA DE MODELO </t>
  </si>
  <si>
    <t>NÃO VEIO A ETIQUETA DE MODELO</t>
  </si>
  <si>
    <t>Urgente</t>
  </si>
  <si>
    <t>plastico para fusionar passantes</t>
  </si>
  <si>
    <t xml:space="preserve">Viés de ombro a ombro insuficiente pra finalizar a ordem </t>
  </si>
  <si>
    <t xml:space="preserve">VIÉS DE OMBRO A OMBRO </t>
  </si>
  <si>
    <t>TODA ORDEM RECEBIDA SEM GOLA</t>
  </si>
  <si>
    <t>OFICINA JÁ INICIOU PRODUÇÃO NA COSTURA</t>
  </si>
  <si>
    <t>veio faltando 198 de ziper 13 cm</t>
  </si>
  <si>
    <t>veio faltando 198 ziper de 13 cm</t>
  </si>
  <si>
    <t>16 ROLOS</t>
  </si>
  <si>
    <t>DE ACORDO COM O CHICKIN FALTOU 16 ROLOS DE VIÉS DO DECOTE 5,2CM</t>
  </si>
  <si>
    <t>viés do decote 5,2cm</t>
  </si>
  <si>
    <t>FALTOU 29 FRENTE PARA ESTA ORDEM</t>
  </si>
  <si>
    <t>Se possível nos enviar no próximo carregamento com destino a G4 ou Poest</t>
  </si>
  <si>
    <t>peças a mais que no guia de risco</t>
  </si>
  <si>
    <t xml:space="preserve">guia de risco 537 peças. Recebi 797 </t>
  </si>
  <si>
    <t>guia de risco com 537 peças. Recebi 797</t>
  </si>
  <si>
    <t>eu recebi 260 peças a mais. Além disso, vieram faltando 45 etiquetas para as 537 do guia de risco. Por isso, estou solicitando 305 etiquetas</t>
  </si>
  <si>
    <t>207811/247807/247754/247753247752</t>
  </si>
  <si>
    <t>Material Insuficiente para finalizar a op</t>
  </si>
  <si>
    <t>1.242 peças</t>
  </si>
  <si>
    <t>Material foi devolvido com etiqueta errada, não temos a etiqueta correta</t>
  </si>
  <si>
    <t xml:space="preserve">8 rolos, que serão para suprir a necessidade de 202 peças (cava e decote). </t>
  </si>
  <si>
    <t>AS LINHAS JA VIERAM USADAS E NÃO SERAM SUFICIENTE PARA FINALIZAR A OP</t>
  </si>
  <si>
    <t>A PISTOLA QUE TINHA AQUI QUEBROU</t>
  </si>
  <si>
    <t>Não veio cós 48 e 46 pra o segundo risco ,veio sobrando tamanho 44 que dá pra usar no 46,mas não dá no 48</t>
  </si>
  <si>
    <t xml:space="preserve">nao tem </t>
  </si>
  <si>
    <t>A ORDEM VEIO FALTANDO 2 ATADOS DE FRENTE XG, UM LOTE FOI ACHADO MISTURADO NAS GG. MESMO ASSIM CONTINUOU FALTANDO 1 ATADO DE 34 PEÇAS</t>
  </si>
  <si>
    <t>Acabou para o próximo op</t>
  </si>
  <si>
    <t>SOBRANDO PEÇAS E FALTANDO ETIQUETA</t>
  </si>
  <si>
    <t>FALTANDO LACRE</t>
  </si>
  <si>
    <t xml:space="preserve">XUXA PARA PREGA NO LAÇO, QUAL QUE DUVIDA ENTRA EM CONTATO COM JOAO PEDRO </t>
  </si>
  <si>
    <t xml:space="preserve">Sobrou um traseiro </t>
  </si>
  <si>
    <t>A REMESSA VEIO COM O ZIPER ERRADO.</t>
  </si>
  <si>
    <t>RECEBEMOS A ORDEM COM A ETIQUETA ERRADA.</t>
  </si>
  <si>
    <t>NÃO VEIO JUNTO A ORDEM</t>
  </si>
  <si>
    <t>PRECISAMOS DO NINHO PARA MONTARMOS OS GABARITOS DA PEÇA.</t>
  </si>
  <si>
    <t>NINHO</t>
  </si>
  <si>
    <t>NINHO PARA PREPARAÇÃO DE GABARITOS DE MARCAÇÃO.</t>
  </si>
  <si>
    <t>material danificado no processo</t>
  </si>
  <si>
    <t>uma etiqueta tamanho 38 e 2 etiquetas tamanho 48</t>
  </si>
  <si>
    <t xml:space="preserve">5 rolos </t>
  </si>
  <si>
    <t xml:space="preserve">Pedido de envio de Filme Plástico </t>
  </si>
  <si>
    <t>FALTA DE PARTES PARA FINALIZAR OP</t>
  </si>
  <si>
    <t>FRENTE E TRASEIRO!!!</t>
  </si>
  <si>
    <t>Viés de reforço de gola</t>
  </si>
  <si>
    <t>para 180 peças</t>
  </si>
  <si>
    <t xml:space="preserve">Etiquetas de preço veio erradas </t>
  </si>
  <si>
    <t xml:space="preserve">Veio erradas </t>
  </si>
  <si>
    <t xml:space="preserve">faltou etiquetas de composição para os tamanhos </t>
  </si>
  <si>
    <t>na conferencia faltou essas etiquetas para a quantidade das peças.</t>
  </si>
  <si>
    <t>Envio errado pela guararapes</t>
  </si>
  <si>
    <t>Ordem no processo precisamos o mais rápido possível</t>
  </si>
  <si>
    <t>insuficiente para finalizar ordem.</t>
  </si>
  <si>
    <t>Enviado errado pela guararapes</t>
  </si>
  <si>
    <t>Atenção ordem no processo, só estamos com ela.</t>
  </si>
  <si>
    <t>Peças que vieram a mais e fui autorizado a pedir reposição</t>
  </si>
  <si>
    <t>OBS.: peças que vieram a mais</t>
  </si>
  <si>
    <t>insuficiente para finalizar</t>
  </si>
  <si>
    <t>nova etiqueta riachuelo-reta</t>
  </si>
  <si>
    <t>no tam.:06, peças que vieram a mais, e os outros tamanhos, foi que faltou mesmo</t>
  </si>
  <si>
    <t>Vieram peças a mais</t>
  </si>
  <si>
    <t>Tam 06.; cód.: 10000247658, Tam.: 04-Cód.: 10000247655,Tam.: 03-Cód.: 10000247650</t>
  </si>
  <si>
    <t xml:space="preserve">PRECISAMOS DE 500 CÓS PARA TROCAMOS OS CÓS DE ALGUMAS PEÇAS DESSA ORDEM </t>
  </si>
  <si>
    <t>Acabou o viés</t>
  </si>
  <si>
    <t xml:space="preserve">Por favor, nos enviar o mais breve possível para que possamos finalizar a OP. </t>
  </si>
  <si>
    <t xml:space="preserve">PRECISO DE PASSANTE PARA 500 PEÇAS </t>
  </si>
  <si>
    <t xml:space="preserve">Insuficiente para enviar as ordens </t>
  </si>
  <si>
    <t>OFICINA RECEBEU POUCAS UNIDADES.</t>
  </si>
  <si>
    <t>LINHA RECEBIDA ROMPENDO NA CASEADEIRA.</t>
  </si>
  <si>
    <t>000000010000072577 - 9.LI001.120.193907</t>
  </si>
  <si>
    <t xml:space="preserve">Urgente </t>
  </si>
  <si>
    <t>20 pares</t>
  </si>
  <si>
    <t>20 pares de bolso traseiro do 48 do 2°enfesto</t>
  </si>
  <si>
    <t>faltou pedir tam 10, para finalizar a ordem</t>
  </si>
  <si>
    <t xml:space="preserve">só tem ziper 12 e fica grande para a peça </t>
  </si>
  <si>
    <t>Faltou para finalizar op</t>
  </si>
  <si>
    <t>forro menor que a peça</t>
  </si>
  <si>
    <t>faltndo</t>
  </si>
  <si>
    <t>159 peças</t>
  </si>
  <si>
    <t>Faltou para todo o tamanho P</t>
  </si>
  <si>
    <t>454 peças</t>
  </si>
  <si>
    <t>Vai faltar para o tamanho P e M</t>
  </si>
  <si>
    <t>FALTOU ETIQUETA DE COMPOSIÇÃO PARA FINALIZAR OP</t>
  </si>
  <si>
    <t>FALTA DE ETIQUETA DE COMPOSIÇÃO PARA FINALIZAR A OP</t>
  </si>
  <si>
    <t>Produto insuficiente para termino da op</t>
  </si>
  <si>
    <t>Por favor enviar na próxima entrega, pois é de extrema necessidade para para o termino.</t>
  </si>
  <si>
    <t>acabou , fita plastica para passante</t>
  </si>
  <si>
    <t>para passante.</t>
  </si>
  <si>
    <t>10000208285; 10000208286; 10000208287; 10000218092; 10000208288</t>
  </si>
  <si>
    <t>nao veio suficiente para finalizar a ordem</t>
  </si>
  <si>
    <t>material insuficiente para finalizar a OP</t>
  </si>
  <si>
    <t>PRECISO DO NINHO PARA FAZER CONFERÊNCIA E GABARITOS</t>
  </si>
  <si>
    <t xml:space="preserve">viés de reforço </t>
  </si>
  <si>
    <t>Só recebemos a linha 36. precisamos da linha 80</t>
  </si>
  <si>
    <t xml:space="preserve">20 ROLOS </t>
  </si>
  <si>
    <t>Nao tem</t>
  </si>
  <si>
    <t>Enviaram etiqueta de preço de outro OP</t>
  </si>
  <si>
    <t>FAIXA DE AMARRAÇÃO</t>
  </si>
  <si>
    <t xml:space="preserve">Insuficiente ata finalizar ordem </t>
  </si>
  <si>
    <t xml:space="preserve">Já havia solicitado e Veio com o material errado </t>
  </si>
  <si>
    <t>50 PARES DE LAÇOS</t>
  </si>
  <si>
    <t xml:space="preserve">FALTOU UM LOTE </t>
  </si>
  <si>
    <t>Quantidade enviada pouca</t>
  </si>
  <si>
    <t>Linha do pesponto principal, veio apenas 5 cones</t>
  </si>
  <si>
    <t>9.LI001.036.154008</t>
  </si>
  <si>
    <t>20 peças completas</t>
  </si>
  <si>
    <t>Faltou 20 peças completas frente, traseiro ,pala, pertigal, braguilha,ziper, forro,bolso relogio, vista etc.. do tamanho 48 do 2°Enfesto</t>
  </si>
  <si>
    <t>Viés de gola (gola de galoneira)</t>
  </si>
  <si>
    <t>material insuficiente pra finalizar a ordem</t>
  </si>
  <si>
    <t>NEGADA</t>
  </si>
  <si>
    <t>374 PEÇAS</t>
  </si>
  <si>
    <t>EN006.150.BR9999</t>
  </si>
  <si>
    <t>10000071727, 10000072671</t>
  </si>
  <si>
    <t>veio faltando para o tamanho 36 105 etiquetas</t>
  </si>
  <si>
    <t>Veio faltando 105 etiquetas da numeração 36</t>
  </si>
  <si>
    <t>Está faltando para produção</t>
  </si>
  <si>
    <t>Faltou para a produção</t>
  </si>
  <si>
    <t>estamos sem</t>
  </si>
  <si>
    <t xml:space="preserve">nao temos </t>
  </si>
  <si>
    <t>MATERIAL PARA UM TOTAL DE 930 PEÇAS</t>
  </si>
  <si>
    <t>MATERIAL NÃO ENVIADO PELA GUARARAPES;  Enviar Fios (S.991), linhas (5927), fitas para alça de sustentação e ETIQUETAS DE VIÉS.</t>
  </si>
  <si>
    <t xml:space="preserve">Enviar Fios (S.991), linhas (5927), fitas para alça de sustentação e ETIQUETAS DE VIÉS, </t>
  </si>
  <si>
    <t>VEIO FALTANDO NA ORDEM MESTRE 220 COS FUSIONADO</t>
  </si>
  <si>
    <t>frente pra montar 5 peças!</t>
  </si>
  <si>
    <t>sobrou cinco trazeira  sem montar pois faltou frente então fui orientada a pedir reposiçâo das frente! e preciso que envie tambem 5 etiqueta de composiçâo!</t>
  </si>
  <si>
    <t>sobrou 5 trazeira dessa ordem que nâo deu pra montar pq faltou as frentes e a oficina foi orientada por josivan a pedir reposiçâo!</t>
  </si>
  <si>
    <t>xxxxxxxxxxxxxxx</t>
  </si>
  <si>
    <t>FALTARAM PEÇAS PARA FINALIZAR A OP</t>
  </si>
  <si>
    <t>FRENTE E TRASEIRO (OS DOIS LADOS!! LADO DIREITO E ESQUERDO!!!)</t>
  </si>
  <si>
    <t>falta de peças para finallizar op</t>
  </si>
  <si>
    <t>ACABOU NOSSO ESTOQUE</t>
  </si>
  <si>
    <t xml:space="preserve">Não veio na OP </t>
  </si>
  <si>
    <t>ORDEM 99% CONCLUIDA</t>
  </si>
  <si>
    <t>10000248119 / 10000248118 / 10000248117 / 10000248116 / 10000248115</t>
  </si>
  <si>
    <t xml:space="preserve">ficou faltando </t>
  </si>
  <si>
    <t xml:space="preserve">enviar ziper 18 uni  de 14 cm </t>
  </si>
  <si>
    <t>ZÍPER INOX METAL MEDIO PRETO 14CM</t>
  </si>
  <si>
    <t>op completa</t>
  </si>
  <si>
    <t>PROBLEMAS COM ENTRADA DE FACA</t>
  </si>
  <si>
    <t>GOLAS MAL CORTADAS</t>
  </si>
  <si>
    <t>Qualidade@solybrasil.com.br</t>
  </si>
  <si>
    <t>ETQ POOL JEANS 75*18 TAM 36</t>
  </si>
  <si>
    <t>ZIPER INOX METAL MEDIO PRETO 13 CM</t>
  </si>
  <si>
    <t xml:space="preserve">qualntidade completa para 1528 peças </t>
  </si>
  <si>
    <t>não veio nem uma linha nessa cor</t>
  </si>
  <si>
    <t xml:space="preserve">solicito prioridade, peças estao paradas. </t>
  </si>
  <si>
    <t>danificada no processo</t>
  </si>
  <si>
    <t>5 etiquetas de composição tamanho 38</t>
  </si>
  <si>
    <t>ELASTICO PARA CÓS</t>
  </si>
  <si>
    <t>elástico para cós</t>
  </si>
  <si>
    <t>Elástico de cós</t>
  </si>
  <si>
    <t>Faltando 3 etiqueta</t>
  </si>
  <si>
    <t>Precisando para finalizar ordem</t>
  </si>
  <si>
    <t xml:space="preserve"> FALTOU 10 FRENTE PARA ESTA ORDEM</t>
  </si>
  <si>
    <t>Se possível nos enviar no próximo carregamento com destino a G4 ou a Poest</t>
  </si>
  <si>
    <t>Recebemos a ordem com fios BRANCOS.</t>
  </si>
  <si>
    <t>Recebemos a ordem com fios BRANCOS, e no BOM, especifica os fios na cor MARROM.</t>
  </si>
  <si>
    <t>FIO 100%PES S.981 190912 COR: 0981.---</t>
  </si>
  <si>
    <t xml:space="preserve">92 PEÇAS COM PROBLEMA NO CORTE DOS OMBROS </t>
  </si>
  <si>
    <t>V2731421806</t>
  </si>
  <si>
    <t>Vieram da cor errada, vieram linhas BRANCAS</t>
  </si>
  <si>
    <t>recebemos a OP, com fios e linhas BRANCAS, e no BOM, especefica linha marrom.</t>
  </si>
  <si>
    <t>LINHA 100%PES TÍT120 S.470 191109	 COR 0470</t>
  </si>
  <si>
    <t>Faltando viés.</t>
  </si>
  <si>
    <t xml:space="preserve">Faltando viés, vieram poucas unidades. </t>
  </si>
  <si>
    <t>Marcação interna do tamanho veio errada.</t>
  </si>
  <si>
    <t>A estampa interna de indentificação do tamanho veio errada. A peça foi estampada com o tamanho 13-14, ma o correto seria 6-7.</t>
  </si>
  <si>
    <t>quantidade insuficiente para finalizar OP</t>
  </si>
  <si>
    <t>linha: COR: 0650 - TIT: 80 - QTD: 20 CONES</t>
  </si>
  <si>
    <t>divergência no corte</t>
  </si>
  <si>
    <t>A vista da  braguilha,veio com divergência</t>
  </si>
  <si>
    <t xml:space="preserve">BOLSO FRENTE BORDADO </t>
  </si>
  <si>
    <t>PRECISO DE ELÁSTICO PARA 500 PEÇAS.</t>
  </si>
  <si>
    <t xml:space="preserve">PRECISO DE 500 ETIQUETA DE MARCA PARA ESTA ORDEM </t>
  </si>
  <si>
    <t>A Guararapes nos enviou o viés de ombro a ombro errado dessa ordem, é de outra ordem 2 material de tonalidade bem diferente!!!</t>
  </si>
  <si>
    <t>Preciso que envie urgentemente a reposição desses viés de ombro a ombro correto,pois a Guararapes enviou errado o viés , é de outra ordem e tonalidade diferente!!!!</t>
  </si>
  <si>
    <t>ETIQUETA DA BARRA</t>
  </si>
  <si>
    <t>Colchete</t>
  </si>
  <si>
    <t>QUANTIDADE MENOR</t>
  </si>
  <si>
    <t>APENAS 26 UNIDADES DO AVIAMENTO.</t>
  </si>
  <si>
    <t>000000010000061287 - 9.RG001.010.ONIX00</t>
  </si>
  <si>
    <t>APENAS 45 UNIDADES</t>
  </si>
  <si>
    <t>000000010000070452 - 9.A0017.010.ONIX00</t>
  </si>
  <si>
    <t>APENAS 200 UNIDADES DE BOTÕES.</t>
  </si>
  <si>
    <t>000000010000131211 - 9.BB013.011.193907</t>
  </si>
  <si>
    <t>PARTES NAO ENVIADAS PELA GUARARAPES</t>
  </si>
  <si>
    <t>OS LOTES SAO COMPLETOS, FRENTE E TRASEIRO, OS DOIS LADOS (DIREITO E ESQUERDO)</t>
  </si>
  <si>
    <t>falta de envio</t>
  </si>
  <si>
    <t>falta de etiqueta e codigo de aviamento</t>
  </si>
  <si>
    <t>FALTA DE FILME PLASTICO PARA FAZER PASSANTE</t>
  </si>
  <si>
    <t xml:space="preserve">ZIPER  MT MEDIO NIQ FIXO 15CM </t>
  </si>
  <si>
    <t>NÃO ENVIADO PELA GUARARPES</t>
  </si>
  <si>
    <t xml:space="preserve">FICOU FALTANDO 52 ETIQUETA POOL 52 SLIM </t>
  </si>
  <si>
    <t xml:space="preserve">A ORDEM JÁ ESTÁ TODA PRONTA, O CAMINHÃO VEM COLETAR HOJE. SERA QUE NÃO TERIA A POSSIBILIDADE DESSAS ETIQUETAS SEREM COLOCADAS AI?  </t>
  </si>
  <si>
    <t xml:space="preserve">NAO TEMOS </t>
  </si>
  <si>
    <t>Não veio a quantidade total da ordem, antes que pergunte, não enviaram o papel que contem os aviamentos.</t>
  </si>
  <si>
    <t>9.Z0756.015.CRU000</t>
  </si>
  <si>
    <t>Insuficiente para finalizar a ordem.</t>
  </si>
  <si>
    <t>Bolso frente bordado</t>
  </si>
  <si>
    <t>Filme plástico para passante</t>
  </si>
  <si>
    <t>Filme Plástico para passante</t>
  </si>
  <si>
    <t xml:space="preserve">faltou para finalização de ordem </t>
  </si>
  <si>
    <t>'XUXA" PARA PREGA NO LAÇO</t>
  </si>
  <si>
    <t xml:space="preserve">Fios insuficiente pra iniciar a Op </t>
  </si>
  <si>
    <t>Fios insuficientes</t>
  </si>
  <si>
    <t xml:space="preserve">Linhas insuficientes pra iniciar a Op </t>
  </si>
  <si>
    <t xml:space="preserve">3 cones </t>
  </si>
  <si>
    <t xml:space="preserve">Veio poucas </t>
  </si>
  <si>
    <t xml:space="preserve">Vai faltar finalizar Op </t>
  </si>
  <si>
    <t>ETIQUETA COM FALHA NAS INFORMAÇÕES</t>
  </si>
  <si>
    <t>ETIQUETAS COM FALHAS NA INFORMAÇÕES</t>
  </si>
  <si>
    <t>Faltando para finalização de ordem no processo</t>
  </si>
  <si>
    <t xml:space="preserve">190 pares de cós </t>
  </si>
  <si>
    <t>nao enviada</t>
  </si>
  <si>
    <t xml:space="preserve">etiqueta de marca (short chino) </t>
  </si>
  <si>
    <t>ETIQUETA COM INFORMAÇÕES COM FALHA</t>
  </si>
  <si>
    <t>ETIQUETAS COM INFORMAÇÕES COM FALHA</t>
  </si>
  <si>
    <t>10000247727; 10000247728; 10000247729; 10000247750; 10000253910; 10000247751</t>
  </si>
  <si>
    <t>Material insuficiente para guardar as peças</t>
  </si>
  <si>
    <t>Sacos para artoks</t>
  </si>
  <si>
    <t>22 peças</t>
  </si>
  <si>
    <t>Veio faltando o atado tamanho M 4796435</t>
  </si>
  <si>
    <t>Veio faltando somente este atado</t>
  </si>
  <si>
    <t>1.071 peças</t>
  </si>
  <si>
    <t>18 cones para abastecimento</t>
  </si>
  <si>
    <t>000000010000072078 - 9.FI000.001.190912</t>
  </si>
  <si>
    <t>1071 peças</t>
  </si>
  <si>
    <t>32 cones para abastecimento</t>
  </si>
  <si>
    <t>000000010000062706 - 9.LI001.120.191432</t>
  </si>
  <si>
    <t>ZÍPER MT MÉDIO NIQ FIXO 14CM, 15CM151217</t>
  </si>
  <si>
    <t>000000010000065048 - 9.Z0127.014.151217; 000000010000152016 - 9.Z0127.015.151217</t>
  </si>
  <si>
    <t>Veio faltando os punhos do tamanho GG-XG</t>
  </si>
  <si>
    <t>MATERIAL ENVIADO COM DEFEITO/FALTANDO</t>
  </si>
  <si>
    <t>Material enviado veio com defeito, sem a logo marca da riachuelo e totalmente em branco na parte traseira da etiqueta.</t>
  </si>
  <si>
    <t>1.071 peças.</t>
  </si>
  <si>
    <t xml:space="preserve"> 28 cones para abastecimento</t>
  </si>
  <si>
    <t>9.LI001.120.191432</t>
  </si>
  <si>
    <t xml:space="preserve">VEIO FALTANDO BOLSO EM OUTRA ORDEM E PEGAMOS DESSA PARA SUBSTITUIR </t>
  </si>
  <si>
    <t>Faltando 100 golas tamanho M</t>
  </si>
  <si>
    <t>filme plastico do estreito para passante</t>
  </si>
  <si>
    <t>35 tam 15cm</t>
  </si>
  <si>
    <t xml:space="preserve">Incompleto </t>
  </si>
  <si>
    <t>São 150 ziperes tamanho 13cm</t>
  </si>
  <si>
    <t>cor:5051 tit:36</t>
  </si>
  <si>
    <t>cor: 0688 10 cones</t>
  </si>
  <si>
    <t>cor 0688 10 cones</t>
  </si>
  <si>
    <t>quantidade enviada insuficiente para finalizar a op</t>
  </si>
  <si>
    <t>ETIQUETAS COM INFORMAÇÕES FALHADAS</t>
  </si>
  <si>
    <t>CÓS NA COR PRETA</t>
  </si>
  <si>
    <t>10 CONES</t>
  </si>
  <si>
    <t>MATERIAL INSUFICIENTE PARA CONCLUIR A ORDEM</t>
  </si>
  <si>
    <t>VIERAM POUCOS CONES DA REFERIDA LINHA</t>
  </si>
  <si>
    <t>3=20</t>
  </si>
  <si>
    <t>VEIO QUANTIDADE INSUFICIENTE</t>
  </si>
  <si>
    <t>10 ROLOS</t>
  </si>
  <si>
    <t>SEM MATERIAL NA OFICINA PARA DAR CONTINUIDADE NA ORDEM</t>
  </si>
  <si>
    <t>não veio com a ordem</t>
  </si>
  <si>
    <t>Faltou 4 et</t>
  </si>
  <si>
    <t>Faltou para concluir op</t>
  </si>
  <si>
    <t>Etiqueta no interno do cos</t>
  </si>
  <si>
    <t>9.ETR07.12A.BR9999</t>
  </si>
  <si>
    <t xml:space="preserve">Sequência de enfesto 002 não enviado. </t>
  </si>
  <si>
    <t xml:space="preserve">Lotes do Enfesto 002 não enviado. </t>
  </si>
  <si>
    <t>VEIO SEM CODIGO DE AVIAMENTO E FALTOU PARA FINALIZAR OP</t>
  </si>
  <si>
    <t>várias etiquetas com falha no código</t>
  </si>
  <si>
    <t>Já tinhamos concluido a ordem, mas fomos revisar novamente e achamos muitas etiquetas de preço com falha. se possivel enviar no caminhão de hoje, ficaremos agradecidos.</t>
  </si>
  <si>
    <t xml:space="preserve">Veio apenas lado direito ,preciso do lado esquerdo </t>
  </si>
  <si>
    <t xml:space="preserve">Tenho lado direito e preciso do lado esquerdo </t>
  </si>
  <si>
    <t>vai faltar</t>
  </si>
  <si>
    <t>Só me restam um rolo de plástico filme pra passantes</t>
  </si>
  <si>
    <t>Vai acabar o papelão</t>
  </si>
  <si>
    <t>Vai acabar os papelão aqui</t>
  </si>
  <si>
    <t>administrativo@zajaconfecoes.com.br</t>
  </si>
  <si>
    <t xml:space="preserve">insuficente </t>
  </si>
  <si>
    <t xml:space="preserve">peitinlho das costas </t>
  </si>
  <si>
    <t xml:space="preserve">Faltou 15 etiquetas de marca tamanho 11-12 </t>
  </si>
  <si>
    <t xml:space="preserve">ta faltando </t>
  </si>
  <si>
    <t xml:space="preserve">LINHA 100%PES TIT80 S.650 154008 </t>
  </si>
  <si>
    <t>quantidade insuficiente para finalizar a ordem</t>
  </si>
  <si>
    <t>3 trazeira 36 2 trazeira 42 1 traseira 40 1 traseira 38</t>
  </si>
  <si>
    <t>sobrou 3 frente 36,2 frente 42 1 frente 40 e 1 frente38 e não veio as trazeiras pra montar!3 trazeira</t>
  </si>
  <si>
    <t>preciso das etiquetas de composiçâo tambem!</t>
  </si>
  <si>
    <t>xxxxxxxx</t>
  </si>
  <si>
    <t>Martingal</t>
  </si>
  <si>
    <t>938 PEÇAS</t>
  </si>
  <si>
    <t xml:space="preserve">ESSE PEDIDO NÃO É PARA AGULHA, É PARA MARTINGAL. </t>
  </si>
  <si>
    <t>6 ROLOS</t>
  </si>
  <si>
    <t>SÓ TEM 1 ROLO</t>
  </si>
  <si>
    <t>15 cones de linha</t>
  </si>
  <si>
    <t>Veio insuficiente para concluir a OP.</t>
  </si>
  <si>
    <t>Envio de 15 cones de linha.</t>
  </si>
  <si>
    <t xml:space="preserve">VERIO FALTANDO </t>
  </si>
  <si>
    <t xml:space="preserve">VEIO FALTANDO OS FORROS DO 2 ENFESTO </t>
  </si>
  <si>
    <t>Veio faltando na contagem</t>
  </si>
  <si>
    <t xml:space="preserve">OS CÓS VIERAM COM O FUSIONAMENTO ERRADO </t>
  </si>
  <si>
    <t>OS VIVOS VIERAM COM O FUSIONAMENTO ERRADO</t>
  </si>
  <si>
    <t>190 VIÉS</t>
  </si>
  <si>
    <t>QUANTIDADE INSUFICIENTE PARA TERMINAR OP</t>
  </si>
  <si>
    <t xml:space="preserve">Faltou para concluir op </t>
  </si>
  <si>
    <t xml:space="preserve">Faixa para 29 peças completa </t>
  </si>
  <si>
    <t>O que temos é insuficiente para concluir a OP.</t>
  </si>
  <si>
    <t>Pedido de envio de 5 rolos de Filme Plástico.</t>
  </si>
  <si>
    <t>tlcserrantextil@gmail.com</t>
  </si>
  <si>
    <t>PP - 13</t>
  </si>
  <si>
    <t>180 VIÉS</t>
  </si>
  <si>
    <t>V27.145.30325</t>
  </si>
  <si>
    <t>MARTINGALE PARA 864 PEÇAS</t>
  </si>
  <si>
    <t>ESSE PEDIDO NÃO É PARA AGULHA, É PARA MARTINGALE.</t>
  </si>
  <si>
    <t xml:space="preserve">As linhas 80 e 36 não veio no aviamento </t>
  </si>
  <si>
    <t xml:space="preserve">Não veio as linhas 36 e 80 </t>
  </si>
  <si>
    <t xml:space="preserve">Viés de gola </t>
  </si>
  <si>
    <t xml:space="preserve">Faltou 9 etiquetas composição </t>
  </si>
  <si>
    <t xml:space="preserve">FALTA DE ETIQUETA DE PREÇO PARA FINALIZAR OP </t>
  </si>
  <si>
    <t>Material insuficiente para finalizar a op;</t>
  </si>
  <si>
    <t>Material insuficiente para finalizar op;</t>
  </si>
  <si>
    <t>FALTOU GOLAS PARA OS MATANHOS M E G</t>
  </si>
  <si>
    <t>PEDIMOD REPOSIÇÃO DE GOLAS QUE FALTOU.</t>
  </si>
  <si>
    <t>recantoconfeccoes.js@gmail.com</t>
  </si>
  <si>
    <t>Para fazer concerto de reprocesso</t>
  </si>
  <si>
    <t>A ordem voltou para reprocesso e enviamos as linhas junto da ordem,não dispomos de nenhuma aqui na oficina</t>
  </si>
  <si>
    <t>10000062825 10000063189 100000227632</t>
  </si>
  <si>
    <t>Reposição já atendida, solicitação apenas para constar em registro</t>
  </si>
  <si>
    <t xml:space="preserve">VIES (LAÇO) </t>
  </si>
  <si>
    <t>INSUFICIENTE PRA FINALIZAR A ORDEM, SÓ VEIO 3 ROLOS</t>
  </si>
  <si>
    <t>9.EL238.040.CRU000</t>
  </si>
  <si>
    <t>Fios insuficiente para iniciar a Op ,mesmo rebobinando não vai dá !</t>
  </si>
  <si>
    <t xml:space="preserve">Fios insuficiente para iniciar a Op </t>
  </si>
  <si>
    <t xml:space="preserve">Linhas insuficientes para iniciar a ordem </t>
  </si>
  <si>
    <t>Linhas insuficientes para iniciar a ordem,mesmo rebobinando não vai dá !</t>
  </si>
  <si>
    <t>di3confec@hotmail.com</t>
  </si>
  <si>
    <t>ENVIADO SEM O CODIGO DE QRCODE NO VERSO</t>
  </si>
  <si>
    <t xml:space="preserve">Material enviado errado. </t>
  </si>
  <si>
    <t xml:space="preserve">Faltou um lote do traseiro. </t>
  </si>
  <si>
    <t>105 zíperes no tamanho 10cm.</t>
  </si>
  <si>
    <t xml:space="preserve">Nao veio a quantidade ibformada </t>
  </si>
  <si>
    <t xml:space="preserve">passante para 30 peças </t>
  </si>
  <si>
    <t>10 PARES DE LAÇOS</t>
  </si>
  <si>
    <t xml:space="preserve">Faltou para finalizar a ordem </t>
  </si>
  <si>
    <t>Insuficiente para terminar op</t>
  </si>
  <si>
    <t>Por favor enviar o quanto antes, pois estamos precisando para o termino.</t>
  </si>
  <si>
    <t>cveio faltando</t>
  </si>
  <si>
    <t>Reposição de etiqueta de cós tamanho 36</t>
  </si>
  <si>
    <t>não tem cod</t>
  </si>
  <si>
    <t>a ordem foi enviada para reparo.</t>
  </si>
  <si>
    <t>precisamos dessa reposição com urgência, pois estamos fazendo o reparo de uma ordem.</t>
  </si>
  <si>
    <t xml:space="preserve">Lotes não enviados pela guararapes </t>
  </si>
  <si>
    <t xml:space="preserve">Frente de polo vim com pentilho feito </t>
  </si>
  <si>
    <t xml:space="preserve">Lotes não enviado pela guararapes </t>
  </si>
  <si>
    <t xml:space="preserve">não veio fusionado, enviamos para ser colocado as entretelas e o setor responsável não recebeu, isto já faz quase um mês. Sendo assim fomos orientados a solicitar reposição </t>
  </si>
  <si>
    <t xml:space="preserve">Frentes de polo, enviar com pentilho feito. </t>
  </si>
  <si>
    <t>falta de etiqueta para finalizar op</t>
  </si>
  <si>
    <t>MATERIAL ENVIADO NÃO CONDIZ COM A ORDEM ENVIADA;</t>
  </si>
  <si>
    <t>falta de ninho (gabarito)</t>
  </si>
  <si>
    <t>enviar ninho (gabarito) da ordem.</t>
  </si>
  <si>
    <t>Foram enviadas etiquetas tamanho 50 ao invés de etiquetas tamanho 36 na ordem supracitada</t>
  </si>
  <si>
    <t>CADARÇO SEM PONTEIRA DE ACETATO</t>
  </si>
  <si>
    <t>OS CADARÇOS PRECISAM DA PONTEIRA DE ACETATO, E A PONTEIRA NAO VEIO JUNTO AO CADARÇO</t>
  </si>
  <si>
    <t>Faltou traseiro de 1 lote.</t>
  </si>
  <si>
    <t>246 peças</t>
  </si>
  <si>
    <t>G - 60 peças</t>
  </si>
  <si>
    <t>Faltou atado completo</t>
  </si>
  <si>
    <t>Não veio o atado completo</t>
  </si>
  <si>
    <t>17 cones</t>
  </si>
  <si>
    <t>000000010000072593 - 9.LI001.120.PR8001</t>
  </si>
  <si>
    <t>Quantidade insuficiente para abastecimento</t>
  </si>
  <si>
    <t>000000010000072740 - 9.LI001.120.165804</t>
  </si>
  <si>
    <t>Está faltando para colocar na próxima ordem</t>
  </si>
  <si>
    <t>Faltou 30 zíperes, tamanho 15cm.</t>
  </si>
  <si>
    <t>000000010000152016 - 9.Z0127.015.151217; ZIPER MET MED NIQUE FIXO 15CM 151217</t>
  </si>
  <si>
    <t xml:space="preserve">Estou precisando de filme plastico para passante </t>
  </si>
  <si>
    <t>Estamos sem filme plastico</t>
  </si>
  <si>
    <t>Estou precisando de 10 etiquetas tamanho 13-14</t>
  </si>
  <si>
    <t>faltando etiquetas de composição</t>
  </si>
  <si>
    <t>etiquetas de composição que estão falando na om.</t>
  </si>
  <si>
    <t xml:space="preserve">10000248079; 10000248112; 10000248113; 10000252407;  10000252407; </t>
  </si>
  <si>
    <t xml:space="preserve">Faltou 2 pacotes de traseiros tamanho 38 com 15 peças cada </t>
  </si>
  <si>
    <t>Faltou 30 traseiros tamanho 38</t>
  </si>
  <si>
    <t>veio cortado do lado errado</t>
  </si>
  <si>
    <t>veio cortado errado</t>
  </si>
  <si>
    <t>A ETIQUETA DE PREÇO VEIO COM INFORMAÇÕES INCORRETAS</t>
  </si>
  <si>
    <t>A ETIQUETA DE PREÇO VEIO COM A IDENTIFICAÇÃO "SHORT" ERA PARA TER VINDO "CALÇA"</t>
  </si>
  <si>
    <t>Aviamento completo para 55 peças.</t>
  </si>
  <si>
    <t>Veio faltando 55 peças por completo.</t>
  </si>
  <si>
    <t>Pedido de 55 peças por completo (todas as partes).</t>
  </si>
  <si>
    <t xml:space="preserve">Pedido de 55 peças por completo (todas as partes). </t>
  </si>
  <si>
    <t>A OP veio faltando 55 peças por completo.</t>
  </si>
  <si>
    <t>Pedido de 55 peças por completo (todas as partes). Para o Tamanho 9-10.</t>
  </si>
  <si>
    <t xml:space="preserve">os forros enviados vieram com defeito </t>
  </si>
  <si>
    <t xml:space="preserve">30 pares de forros </t>
  </si>
  <si>
    <t>03 Und</t>
  </si>
  <si>
    <t>9.ETR38.BRA.SHOMOM</t>
  </si>
  <si>
    <t xml:space="preserve">veio pouca linha </t>
  </si>
  <si>
    <t>linha 100%pes tit80 c.pt s.998 pr800</t>
  </si>
  <si>
    <t>Quantidade insuficiente, para finalizar op</t>
  </si>
  <si>
    <t>Por favor enviar no próximo frete.</t>
  </si>
  <si>
    <t>QUANTIDADE INSUFICIENTE PARA FINALIZAR A OP</t>
  </si>
  <si>
    <t>CADARÇO VEIO COM TONALIDADE</t>
  </si>
  <si>
    <t>O motivo do pedido, é porque a quantidade que veio é insuficiente para concluir a OP.</t>
  </si>
  <si>
    <t>Pedido de 10 Cones da LINHA 100%PES TÍT36 C.53 S.695 171137. Código: 10000073228.  Total do pedido: 10 cones.</t>
  </si>
  <si>
    <t>80.000 metros</t>
  </si>
  <si>
    <t>Quantidade insuficiente para termina op</t>
  </si>
  <si>
    <t>Por favor fazer o envio no próximo frete.</t>
  </si>
  <si>
    <t>40 unidades</t>
  </si>
  <si>
    <t>Tit. 36</t>
  </si>
  <si>
    <t>Tit. 25</t>
  </si>
  <si>
    <t>quantidade insuficiente tanto da 80 quanto da 36</t>
  </si>
  <si>
    <t>9.LI001.080.193920   /   9.LI001.036.193920</t>
  </si>
  <si>
    <t>OP VEIO EM FALTA DE PUNHO</t>
  </si>
  <si>
    <t>OP VEIO EM FALTA DE GOLA</t>
  </si>
  <si>
    <t>NÃO FOI ENVIADO PELA GUARARAPES , FALTOU.</t>
  </si>
  <si>
    <t>Por favor, urgente.</t>
  </si>
  <si>
    <t>insuficiente para as ordens</t>
  </si>
  <si>
    <t>8 etiquetas de composição tamanho 38</t>
  </si>
  <si>
    <t>10000248078; 10000248079; 10000248112; 10000248113; 10000248114; 10000252407</t>
  </si>
  <si>
    <t>Total do pedido: 339 etiquetas de composição.</t>
  </si>
  <si>
    <t>Motivo do pedido, porque não vieram.</t>
  </si>
  <si>
    <t>Pedido de reposição de etiqueta composição:</t>
  </si>
  <si>
    <t>10000220034 / 10000220033 / 10000220032 / 10000220031 / 10000219954</t>
  </si>
  <si>
    <t>Composição não enviadas pela Guararapes</t>
  </si>
  <si>
    <t>As etiquetas não foi enviadas pela Guararapes</t>
  </si>
  <si>
    <t>insuficiente para terminar a Ordem</t>
  </si>
  <si>
    <t>tlcserranatextil@gmail.com.br</t>
  </si>
  <si>
    <t>Golas: 68 Punhos: 80</t>
  </si>
  <si>
    <t>As golas e punhos vieram somente em um tamanho</t>
  </si>
  <si>
    <t>Solicitação de Reposição: 1617. Veio nessa solicitação mas nos tamanhos errados. Só gola GG/XG  e só punho PP/P</t>
  </si>
  <si>
    <t>Quantidade insuficiente para termino de op.</t>
  </si>
  <si>
    <t>Por favor mandar no próximo frete.</t>
  </si>
  <si>
    <t>10000065169; 10000065047; 10000064458</t>
  </si>
  <si>
    <t>2, tamanho 44</t>
  </si>
  <si>
    <t xml:space="preserve">Quantidade insuficiente para termino de op </t>
  </si>
  <si>
    <t>administratiivo@zajaconfeccoes.com.br</t>
  </si>
  <si>
    <t>2, tamanho 42, enfesto 4</t>
  </si>
  <si>
    <t xml:space="preserve">incompleta </t>
  </si>
  <si>
    <t>Gola: 68peças Punho: 80 peças</t>
  </si>
  <si>
    <t>A reposição veio só e um tamanho</t>
  </si>
  <si>
    <t>As golas vieram só em tamanho GGXG e o punho PP/P na última reposição que solicitei a Solicitação de reposição: 1617</t>
  </si>
  <si>
    <t>Quantidade insuficiente para o termino da op.</t>
  </si>
  <si>
    <t>10000214530; 10000214518; 10000214517; 10000214516; 10000214515; 10000214512; 10000214511; 10000214499</t>
  </si>
  <si>
    <t xml:space="preserve">Tamanho não enviado. </t>
  </si>
  <si>
    <t>10000189902 ZÍPER MT MÉDIO NIQ FIXO 14CM 190506</t>
  </si>
  <si>
    <t>Estou precisando para finalizar a ordem</t>
  </si>
  <si>
    <t>Estou precisando para finalizar  a ordem, que veio faltando</t>
  </si>
  <si>
    <t>10000248580 / 10000248582</t>
  </si>
  <si>
    <t>Arconfec-OES@hotmail.com</t>
  </si>
  <si>
    <t>etiqueta de marca di cos</t>
  </si>
  <si>
    <t>DEFEITOS DE COSTURA</t>
  </si>
  <si>
    <t>ETIQUETAS COMPOSIÇÕES</t>
  </si>
  <si>
    <t xml:space="preserve">Só veio o elástico da perna </t>
  </si>
  <si>
    <t>ESSA OP SO VEIO OS TRASEIROS E OS BOLSOS TRASEIROS, ESTA FALTANDO TODAS AS OUTRAS PARTES.</t>
  </si>
  <si>
    <t>SO VEIO DUAS PARTES, TRASEIRO E BOLSO TRASEIRO</t>
  </si>
  <si>
    <t>10000211582; 10000211550; 10000065729</t>
  </si>
  <si>
    <t>Total Ontem</t>
  </si>
  <si>
    <t>Total_Ontem</t>
  </si>
  <si>
    <t>Completas_Ontem</t>
  </si>
  <si>
    <t>Incompletas_Ontem</t>
  </si>
  <si>
    <t>Total_Semana</t>
  </si>
  <si>
    <t>Completas_Semana</t>
  </si>
  <si>
    <t>Incompletas_Semana</t>
  </si>
  <si>
    <t>Oficina_1</t>
  </si>
  <si>
    <t>Qtd_1</t>
  </si>
  <si>
    <t>Oficina_2</t>
  </si>
  <si>
    <t>Qtd_2</t>
  </si>
  <si>
    <t>Oficina_3</t>
  </si>
  <si>
    <t>Qtd_3</t>
  </si>
  <si>
    <t>Peca_1</t>
  </si>
  <si>
    <t>Qtd_Peca_1</t>
  </si>
  <si>
    <t>Peca_2</t>
  </si>
  <si>
    <t>Qtd_Peca_2</t>
  </si>
  <si>
    <t>Peca_3</t>
  </si>
  <si>
    <t>Qtd_Peca_3</t>
  </si>
  <si>
    <t>MP_Jeans</t>
  </si>
  <si>
    <t>MP_Malha</t>
  </si>
  <si>
    <t>MP_Tear</t>
  </si>
  <si>
    <t>MP_Polo</t>
  </si>
  <si>
    <t>Completa_peça</t>
  </si>
  <si>
    <t>completa_valor</t>
  </si>
  <si>
    <t>Completa_peça2</t>
  </si>
  <si>
    <t>completa_valor2</t>
  </si>
  <si>
    <t>Completa_peça22</t>
  </si>
  <si>
    <t>completa_valor22</t>
  </si>
  <si>
    <t>Incompleta_peça3</t>
  </si>
  <si>
    <t>incompleta_valor4</t>
  </si>
  <si>
    <t>Incompleta_peça32</t>
  </si>
  <si>
    <t>incompleta_valor42</t>
  </si>
  <si>
    <t>Incompleta_peça33</t>
  </si>
  <si>
    <t>incompleta_valor43</t>
  </si>
  <si>
    <t>Completas Ontem</t>
  </si>
  <si>
    <t>Incompletas Ontem</t>
  </si>
  <si>
    <t>Indicadores da Semana</t>
  </si>
  <si>
    <t>Total_Julho</t>
  </si>
  <si>
    <t>Completas_Julho</t>
  </si>
  <si>
    <t>Incompletas_Julho</t>
  </si>
  <si>
    <t>Total_Junho</t>
  </si>
  <si>
    <t>Completas_Junho</t>
  </si>
  <si>
    <t>Incompletas_Junho</t>
  </si>
  <si>
    <t>Total Semana</t>
  </si>
  <si>
    <t>Completas Semana</t>
  </si>
  <si>
    <t>Incompletas Semana</t>
  </si>
  <si>
    <t xml:space="preserve"> </t>
  </si>
  <si>
    <t>(Vários itens)</t>
  </si>
  <si>
    <t>(Tudo)</t>
  </si>
  <si>
    <t>Contagem de PARTE DA PEÇA</t>
  </si>
  <si>
    <t>Contagem de OFICINA</t>
  </si>
  <si>
    <t>Total Julho</t>
  </si>
  <si>
    <t>Completas Julho</t>
  </si>
  <si>
    <t>Incompletas Julho</t>
  </si>
  <si>
    <t xml:space="preserve">  </t>
  </si>
  <si>
    <t>Total Agosto</t>
  </si>
  <si>
    <t>Completas Agosto</t>
  </si>
  <si>
    <t>Incompletas Agosto</t>
  </si>
  <si>
    <t>Total Geral</t>
  </si>
  <si>
    <t>alt + F5</t>
  </si>
  <si>
    <t>DATA DE CONCLUSÃO</t>
  </si>
  <si>
    <t>DETALHES DA TAREFA</t>
  </si>
  <si>
    <t>2026-05-26T16:01:47.9266161Z</t>
  </si>
  <si>
    <t>203-300250247-FENIX INDUSTRIA TÊXTIL LTDA-Etiqueta de preço</t>
  </si>
  <si>
    <t>2026-05-26T16:04:13.8076888Z</t>
  </si>
  <si>
    <t>240-300261856-LIVIA REBOUCAS DE CARVALHO - ME-Artok vazio</t>
  </si>
  <si>
    <t>2026-05-26T16:02:03.9624147Z</t>
  </si>
  <si>
    <t>198-300260280-DONA TICA CONFECCOES MATRIZ-Etiqueta de preço</t>
  </si>
  <si>
    <t>2026-05-26T16:04:15.3623705Z</t>
  </si>
  <si>
    <t>239-300261856-LIVIA REBOUCAS DE CARVALHO - ME-Filme plástico</t>
  </si>
  <si>
    <t>2026-05-26T16:04:11.8203983Z</t>
  </si>
  <si>
    <t>241-300260709-NOEL PEREIRA DE AZEVEDO CONFECCAO-Zíper</t>
  </si>
  <si>
    <t>2026-05-26T16:01:54.6823921Z</t>
  </si>
  <si>
    <t>224-300260709-NOEL PEREIRA DE AZEVEDO CONFECCAO-Cadarço</t>
  </si>
  <si>
    <t>2026-05-26T16:04:24.56809Z</t>
  </si>
  <si>
    <t>201-300000000-F &amp; L AZEVEDO CONFECCAO LTDA FILIAL-Pistola</t>
  </si>
  <si>
    <t>26/05/2026 15:55</t>
  </si>
  <si>
    <t>233-300259104-F A N CONFECCOES LTDA-Linha</t>
  </si>
  <si>
    <t>244-300263702-TENDENCIA CONFECCOES LTDA - ME-Zíper</t>
  </si>
  <si>
    <t>26/05/2026 15:56</t>
  </si>
  <si>
    <t>248-300261089-ARAUJO E M CONFECCOES EIRELI-Lacre</t>
  </si>
  <si>
    <t>207-300262454-IVANILDO JOSE DE SOUSA - ME-Linha</t>
  </si>
  <si>
    <t>243-300262465-TECE COSTURAS E CONFECCOES LTDA-Botão</t>
  </si>
  <si>
    <t>250-300263947-CONFECCOES GENESIS LTDA ME-Etiqueta composição</t>
  </si>
  <si>
    <t>245-300262464-FLAVIA GEORGIA B SILVA CONFECCOES EIRELI-Pistola</t>
  </si>
  <si>
    <t>26/05/2026 16:53</t>
  </si>
  <si>
    <t>153-300257650-G4 CONFECCOES-Cós</t>
  </si>
  <si>
    <t>26/05/2026 17:05</t>
  </si>
  <si>
    <t>234-300260708-N S CONSTANTINO-Cadarço</t>
  </si>
  <si>
    <t>27/05/2026 08:55</t>
  </si>
  <si>
    <t>260-300261090-DI3 CONFECCOES LTDA-SACOS PARA EMBALAR ORDENS</t>
  </si>
  <si>
    <t>263-300259161-A. S. EMPREENDIMENTOS LTDA-Lacre</t>
  </si>
  <si>
    <t>262-300259161-A. S. EMPREENDIMENTOS LTDA-Filme plástico</t>
  </si>
  <si>
    <t>27/05/2026 11:39</t>
  </si>
  <si>
    <t>257-300265054-JOSENI MARIA DE MEDEIROS-Etiqueta composição</t>
  </si>
  <si>
    <t>270-300266686-LEANDRO MATIAS DA SILVA - ME-Papelão para gabarito</t>
  </si>
  <si>
    <t>27/05/2026 14:47</t>
  </si>
  <si>
    <t>226-300262135-M. &amp; F. EMPREENDIMENTOS LTDA-Forro</t>
  </si>
  <si>
    <t>287-300264792-A S CONFECCOES LTDA-Aviamento completo</t>
  </si>
  <si>
    <t>272-300262245-CONFECCOES GENESIS LTDA ME-Etiqueta de preço</t>
  </si>
  <si>
    <t>237-300264402-FREIRE SILVA CONFECÇÕES LTDA-Gola e pé de gola</t>
  </si>
  <si>
    <t>27/05/2026 16:27</t>
  </si>
  <si>
    <t>258-300262881-EBENEZER INDUSTRIA TEXTIL LTDA-AGULHA DE PISTOLA</t>
  </si>
  <si>
    <t>255-300264397-POTENGI TEXTIL LTDA-Linha</t>
  </si>
  <si>
    <t>259-300265054-JOSENI MARIA DE MEDEIROS-Etiqueta de marca/modelagem</t>
  </si>
  <si>
    <t>27/05/2026 16:32</t>
  </si>
  <si>
    <t>300-300265376-CONFECCAO G. B. DA S. JUNIOR &amp; CIA LTDA-LACRE PARA EMBALAR OP</t>
  </si>
  <si>
    <t>265-300261824-OFICINA DE COSTURA SANTOS LTDA-Etiqueta de marca/modelagem</t>
  </si>
  <si>
    <t>27/05/2026 17:16</t>
  </si>
  <si>
    <t>274-300261565-TENDENCIA CONFECCOES LTDA - ME-Etiqueta de preço</t>
  </si>
  <si>
    <t>291-300260279-DONA TICA CONFECCOES MATRIZ-Etiqueta de preço</t>
  </si>
  <si>
    <t>293-300249483-FENIX INDUSTRIA TÊXTIL LTDA-Etiqueta de preço</t>
  </si>
  <si>
    <t>27/05/2026 19:40</t>
  </si>
  <si>
    <t>304-300267336-CONFECCAO G. B. DA S. JUNIOR &amp; CIA LTDA-Etiqueta de marca/modelagem</t>
  </si>
  <si>
    <t>27/05/2026 19:41</t>
  </si>
  <si>
    <t>299-300267146-LC TÊXTIL LTDA.-Botão</t>
  </si>
  <si>
    <t>297-300267147-POTENGI TEXTIL LTDA-Botão</t>
  </si>
  <si>
    <t>303-300266474-DI3 CONFECCOES LTDA-Linhas e fios</t>
  </si>
  <si>
    <t>298-300266476-DI3 CONFECCOES LTDA-Linhas e fios</t>
  </si>
  <si>
    <t>27/05/2026 21:20</t>
  </si>
  <si>
    <t>277-300260144-ACARI TÊXTIL LTDA-Etiqueta de marca/modelagem</t>
  </si>
  <si>
    <t>27/05/2026 21:19</t>
  </si>
  <si>
    <t>307-300260144-ACARI TÊXTIL LTDA-Linha</t>
  </si>
  <si>
    <t>278-300260144-ACARI TÊXTIL LTDA-Linha</t>
  </si>
  <si>
    <t>27/05/2026 21:22</t>
  </si>
  <si>
    <t>308-300265360-ASA CONFECCOES LTDA - ME-Linha</t>
  </si>
  <si>
    <t>288-300265376-CONFECCAO G. B. DA S. JUNIOR &amp; CIA LTDA-FILME PLÁSTICO</t>
  </si>
  <si>
    <t>27/05/2026 21:23</t>
  </si>
  <si>
    <t>310-300259133-JANUNCIO NOBREGA DE AZEVEDO-Frente</t>
  </si>
  <si>
    <t>27/05/2026 21:38</t>
  </si>
  <si>
    <t>309-300265360-ASA CONFECCOES LTDA - ME-Zíper</t>
  </si>
  <si>
    <t>27/05/2026 21:45</t>
  </si>
  <si>
    <t>289-300265376-CONFECCAO G. B. DA S. JUNIOR &amp; CIA LTDA-Papelão para gabarito</t>
  </si>
  <si>
    <t>283-300000000-DONA TICA CONFECCOES MATRIZ-Papelão para gabarito</t>
  </si>
  <si>
    <t>28/05/2026 09:25</t>
  </si>
  <si>
    <t>329-300263681-POTENGI TEXTIL LTDA-Filme plástico</t>
  </si>
  <si>
    <t>328-300261831-POTENGI TEXTIL LTDA-Filme plástico</t>
  </si>
  <si>
    <t>327-300264397-POTENGI TEXTIL LTDA-Filme plástico</t>
  </si>
  <si>
    <t>28/05/2026 09:42</t>
  </si>
  <si>
    <t>333-300265765-S RAMOS DE AZEVEDO NETO CONFECCOES-Filme plástico</t>
  </si>
  <si>
    <t>28/05/2026 12:51</t>
  </si>
  <si>
    <t>312-300261835-FACCAO ELLO LTDA - ME-Lacre</t>
  </si>
  <si>
    <t>28/05/2026 12:52</t>
  </si>
  <si>
    <t>313-300262877-EBENEZER INDUSTRIA TEXTIL LTDA-Lacre</t>
  </si>
  <si>
    <t>28/05/2026 12:50</t>
  </si>
  <si>
    <t>324-300262517-M DALISON DE MEDEIROS-Etiqueta composição</t>
  </si>
  <si>
    <t>331-300261936-AJG CONFECÇÕES LTDA-Etiqueta composição</t>
  </si>
  <si>
    <t>335-300263682-AMORIM &amp; PEDRO CONFECCOES LTDA - ME-Papelão para gabarito</t>
  </si>
  <si>
    <t>334-300263682-AMORIM &amp; PEDRO CONFECCOES LTDA - ME-Lacre</t>
  </si>
  <si>
    <t>28/05/2026 12:49</t>
  </si>
  <si>
    <t>336-300265953-ALINE RODRIGUES DE LIMA ARAUJO-Etiqueta composição</t>
  </si>
  <si>
    <t>311-300265382-EVALBER DE CASTRO DANTAS ME-Linha</t>
  </si>
  <si>
    <t>326-300257636-M DALISON DE MEDEIROS-Linha</t>
  </si>
  <si>
    <t>28/05/2026 14:25</t>
  </si>
  <si>
    <t>352-300266213-B&amp;N SILVA CONFECCOES LTDA-Capas de artok</t>
  </si>
  <si>
    <t>348-300265376-CONFECCAO G. B. DA S. JUNIOR &amp; CIA LTDA-Artok vazio</t>
  </si>
  <si>
    <t>28/05/2026 15:05</t>
  </si>
  <si>
    <t>301-300263620-CONFECCAO G. B. DA S. JUNIOR &amp; CIA LTDA-Etiqueta de marca/modelagem</t>
  </si>
  <si>
    <t>302-300263609-CONFECCAO G. B. DA S. JUNIOR &amp; CIA LTDA-Etiqueta de marca/modelagem</t>
  </si>
  <si>
    <t>28/05/2026 15:07</t>
  </si>
  <si>
    <t>285-300265382-EVALBER DE CASTRO DANTAS ME-Linha</t>
  </si>
  <si>
    <t>359-300261110-DANJAN CONFECCOES LTDA-Papelão para gabarito</t>
  </si>
  <si>
    <t>361-300259107-DANJAN CONFECCOES LTDA-Lacre</t>
  </si>
  <si>
    <t>28/05/2026 16:05</t>
  </si>
  <si>
    <t>355-300262455-M K DE AZEVEDO MEDEIROS INDUSTRIA TEXTIL-Linha</t>
  </si>
  <si>
    <t>28/05/2026 16:08</t>
  </si>
  <si>
    <t>340-300259642-W A 2 CONFECCOES LTDA-Linhas e fios</t>
  </si>
  <si>
    <t>320-300264295-I M DE OLIVEIRA SILVA-Linha</t>
  </si>
  <si>
    <t>28/05/2026 16:09</t>
  </si>
  <si>
    <t>347-300253306-CONFECCAO G. B. DA S. JUNIOR &amp; CIA LTDA-Etiqueta de preço</t>
  </si>
  <si>
    <t>341-300259642-W A 2 CONFECCOES LTDA-ETIQUETA DE CÓS</t>
  </si>
  <si>
    <t>28/05/2026 16:06</t>
  </si>
  <si>
    <t>296-300265106-POTENGI TEXTIL LTDA-Botão</t>
  </si>
  <si>
    <t>28/05/2026 16:10</t>
  </si>
  <si>
    <t>343-300264801-ACARI TÊXTIL LTDA-Zíper</t>
  </si>
  <si>
    <t>28/05/2026 16:48</t>
  </si>
  <si>
    <t>346-300253306-CONFECCAO G. B. DA S. JUNIOR &amp; CIA LTDA-Etiqueta composição</t>
  </si>
  <si>
    <t>28/05/2026 17:08</t>
  </si>
  <si>
    <t>261-300263216-LINEA IND. COM. SER. CONFECCOES LTDA-Etiqueta de marca/modelagem</t>
  </si>
  <si>
    <t>351-300248760-DONA TICA CONFECCOES MATRIZ-Zíper</t>
  </si>
  <si>
    <t>28/05/2026 17:06</t>
  </si>
  <si>
    <t>247-300248761-FENIX INDUSTRIA TÊXTIL LTDA-Zíper</t>
  </si>
  <si>
    <t>350-300248729-DONA TICA CONFECCOES MATRIZ-Zíper</t>
  </si>
  <si>
    <t>28/05/2026 17:07</t>
  </si>
  <si>
    <t>363-300266267-ACARI TÊXTIL LTDA-Zíper</t>
  </si>
  <si>
    <t>28/05/2026 17:32</t>
  </si>
  <si>
    <t>252-300263232-TROPICALLIZ CONFECCOES LTDA-Cós</t>
  </si>
  <si>
    <t>28/05/2026 17:39</t>
  </si>
  <si>
    <t>256-300244397-POTENGI TEXTIL LTDA-Linha</t>
  </si>
  <si>
    <t>28/05/2026 18:23</t>
  </si>
  <si>
    <t>286-300259133-JANUNCIO NOBREGA DE AZEVEDO-Linha</t>
  </si>
  <si>
    <t>28/05/2026 20:32</t>
  </si>
  <si>
    <t>372-300264296-DANTAS E PAULINO CONFECCOES LTDA-Linha</t>
  </si>
  <si>
    <t>28/05/2026 20:30</t>
  </si>
  <si>
    <t>353-300259644-P &amp; A CONFECCOES LTDA-Etiqueta bandeirola</t>
  </si>
  <si>
    <t>28/05/2026 20:29</t>
  </si>
  <si>
    <t>338-300248836-JANUNCIO NOBREGA DE AZEVEDO-Etiqueta de marca/modelagem</t>
  </si>
  <si>
    <t>28/05/2026 20:33</t>
  </si>
  <si>
    <t>373-300263241-M. A. VIEIRA DE ALMEIDA - ME-Papelão para gabarito</t>
  </si>
  <si>
    <t>28/05/2026 21:29</t>
  </si>
  <si>
    <t>246-300265051-ACAUÃ CONFECÇÕES LTDA-Fios</t>
  </si>
  <si>
    <t>28/05/2026 21:42</t>
  </si>
  <si>
    <t>238-300264890-FACCAO ELLO LTDA - ME-Elástico</t>
  </si>
  <si>
    <t>29/05/2026 15:18</t>
  </si>
  <si>
    <t>393-300263327-TENDENCIA CONFECCOES LTDA - ME-Etiqueta composição</t>
  </si>
  <si>
    <t>29/05/2026 15:28</t>
  </si>
  <si>
    <t>160-300252104-CABUGI CONFECCOES LTDA.-Cós</t>
  </si>
  <si>
    <t>188-300263704-TENDENCIA CONFECCOES LTDA - ME-Vivo</t>
  </si>
  <si>
    <t>187-300261963-KSW CONFECÇÕES LTDA-Frente</t>
  </si>
  <si>
    <t>185-300263704-TENDENCIA CONFECCOES LTDA - ME-Traseiro</t>
  </si>
  <si>
    <t>29/05/2026 15:32</t>
  </si>
  <si>
    <t>208-300263231-JUCURUTU TEXTIL LTDA ME-Traseiro</t>
  </si>
  <si>
    <t>266-300262509-NOVA CONFECCOES LTDA-Forro</t>
  </si>
  <si>
    <t>29/05/2026 15:59</t>
  </si>
  <si>
    <t>391-300264843-POTENGI TEXTIL LTDA-Elástico</t>
  </si>
  <si>
    <t>29/05/2026 18:15</t>
  </si>
  <si>
    <t>402-300266430-MAXWELA ARAÚJO SILVA LTDA-Botão</t>
  </si>
  <si>
    <t>29/05/2026 18:16</t>
  </si>
  <si>
    <t>374-300262871-EBENEZER INDUSTRIA TEXTIL LTDA-Pino</t>
  </si>
  <si>
    <t>379-300261824-OFICINA DE COSTURA SANTOS LTDA-Linha</t>
  </si>
  <si>
    <t>29/05/2026 18:17</t>
  </si>
  <si>
    <t>387-300265966-FLAVIA GEORGIA B SILVA CONFECCOES EIRELI-Fios</t>
  </si>
  <si>
    <t>389-300263198-IDEAL CONFECCOES LTDA-Linha</t>
  </si>
  <si>
    <t>403-300266431-MAXWELA ARAÚJO SILVA LTDA-Botão</t>
  </si>
  <si>
    <t>396-300261310-CONFECCOES GENESIS LTDA ME-Linhas e fios</t>
  </si>
  <si>
    <t>378-300265852-B&amp;N SILVA CONFECCOES LTDA-Linha</t>
  </si>
  <si>
    <t>29/05/2026 18:14</t>
  </si>
  <si>
    <t>400-300265360-ASA CONFECCOES LTDA - ME-Linha</t>
  </si>
  <si>
    <t>401-300266419-MAXWELA ARAÚJO SILVA LTDA-Botão</t>
  </si>
  <si>
    <t>395-300262245-CONFECCOES GENESIS LTDA ME-Etiqueta de preço</t>
  </si>
  <si>
    <t>388-300241488-ALINE RODRIGUES DE LIMA ARAUJO-Etiqueta de preço</t>
  </si>
  <si>
    <t>29/05/2026 20:20</t>
  </si>
  <si>
    <t>407-300248836-JK INDUSTRIA TEXTIL LTDA-Etiqueta de marca/modelagem</t>
  </si>
  <si>
    <t>397-300266999-M. A. VIEIRA DE ALMEIDA - ME-Lacre</t>
  </si>
  <si>
    <t>413-300266213-B&amp;N SILVA CONFECCOES LTDA-Zíper</t>
  </si>
  <si>
    <t>29/05/2026 20:21</t>
  </si>
  <si>
    <t>399-300267388-DI3 CONFECCOES LTDA-Papelão para gabarito</t>
  </si>
  <si>
    <t>390-300266687-IDEAL CONFECCOES LTDA-Filme plástico</t>
  </si>
  <si>
    <t>408-300259994-F J DE AZEVEDO - ME-Linha</t>
  </si>
  <si>
    <t>30/05/2026 21:04</t>
  </si>
  <si>
    <t>171-300262870-F &amp; L AZEVEDO CONFECCAO LTDA FILIAL-Gola</t>
  </si>
  <si>
    <t>161-300252104-CABUGI CONFECCOES LTDA.-Passante</t>
  </si>
  <si>
    <t>235-300263362-SOLIS CONFECCOES LTDA-Frente e traseiro</t>
  </si>
  <si>
    <t>411-300261208-F DA SILVA JUNIOR-Etiqueta de preço  aguardando   a impressão  da etiqueta  de preço</t>
  </si>
  <si>
    <t>418-300267383-POTENGI TEXTIL LTDA-Elástico</t>
  </si>
  <si>
    <t>417-300267384-POTENGI TEXTIL LTDA-Elástico</t>
  </si>
  <si>
    <t>420-300262452-FENIX INDUSTRIA TÊXTIL LTDA-Linhas e fios</t>
  </si>
  <si>
    <t>419-300262451-DONA TICA CONFECCOES MATRIZ-Linhas e fios</t>
  </si>
  <si>
    <t>410-300260639-JANUNCIO NOBREGA DE AZEVEDO-Linha  aguardando   retorno  da oficina</t>
  </si>
  <si>
    <t>409-300260651-JANUNCIO NOBREGA DE AZEVEDO-Linha  aguardando   retorno  da oficina</t>
  </si>
  <si>
    <t>429-300265908-VITALIZE CONFECCOES LTDA-Etiqueta de preço</t>
  </si>
  <si>
    <t>431-300265907-VITALIZE CONFECCOES LTDA-Etiqueta de preço</t>
  </si>
  <si>
    <t>428-300264442-POTENGI TEXTIL LTDA-Etiqueta de preço</t>
  </si>
  <si>
    <t>427-300261052-CONFECÇÃO SÃO SEBASTIÃO LTDA-Artok vazio</t>
  </si>
  <si>
    <t>196-300260279-DONA TICA CONFECCOES MATRIZ-Viés de gola</t>
  </si>
  <si>
    <t>227-300259918-DONA TICA CONFECCOES MATRIZ-Passante</t>
  </si>
  <si>
    <t>432-300267376-JANUNCIO NOBREGA DE AZEVEDO-Elástico</t>
  </si>
  <si>
    <t>357-300260830-DONA TICA MATRIZ-Manga</t>
  </si>
  <si>
    <t>405-300263211-CABUGI CONFECCOES LTDA.-Vista</t>
  </si>
  <si>
    <t>325-300263692-M DALISON DE MEDEIROS-Vista</t>
  </si>
  <si>
    <t>332-300242504-LINEA IND. COM. SER. CONFECCOES LTDA-Cinto</t>
  </si>
  <si>
    <t>442-300267521-F DA SILVA JUNIOR-Lacre</t>
  </si>
  <si>
    <t>456-300261803-JOSE MEDEIROS DE ARAUJO-Papelão para gabarito</t>
  </si>
  <si>
    <t>448-300261509-F &amp; K FACCAO LTDA-Etiqueta de preço</t>
  </si>
  <si>
    <t>441-300267170-POTENGI TEXTIL LTDA-Etiqueta de preço</t>
  </si>
  <si>
    <t>450-300261509-F &amp; K FACCAO LTDA-Linhas e fios</t>
  </si>
  <si>
    <t>439-300268567-DI3 CONFECCOES LTDA-Fios</t>
  </si>
  <si>
    <t>438-300268567-DI3 CONFECCOES LTDA-Linha</t>
  </si>
  <si>
    <t>452-300267377-JANUNCIO NOBREGA DE AZEVEDO-Elástico</t>
  </si>
  <si>
    <t>459-300255985-CONFECCOES GENESIS LTDA ME-Etiqueta de preço</t>
  </si>
  <si>
    <t>440-300268568-DI3 CONFECCOES LTDA-Linhas e fios</t>
  </si>
  <si>
    <t>486-300259842-EBENEZER INDUSTRIA TEXTIL LTDA-Etiqueta de preço</t>
  </si>
  <si>
    <t>482-300268561-JOSE MEDEIROS DE ARAUJO-Etiqueta de preço</t>
  </si>
  <si>
    <t>449-300261509-F &amp; K FACCAO LTDA-Botão</t>
  </si>
  <si>
    <t>421-300262517-M DALISON DE MEDEIROS-Etiqueta composição</t>
  </si>
  <si>
    <t>472-300000000-JANUNCIO NOBREGA DE AZEVEDO-Papelão para gabarito</t>
  </si>
  <si>
    <t>489-300266272-JUCURUTU TEXTIL LTDA ME-Filme plástico</t>
  </si>
  <si>
    <t>458-300269148-JOSE MEDEIROS DE ARAUJO-Capas de artok</t>
  </si>
  <si>
    <t>412-300264452-F DA SILVA JUNIOR-Etiqueta composição</t>
  </si>
  <si>
    <t>446-300261343-F &amp; K FACCAO LTDA-Botão</t>
  </si>
  <si>
    <t>434-300265101-TECE COSTURAS E CONFECCOES LTDA-Botão</t>
  </si>
  <si>
    <t>465-300268011-OFICINA DE COSTURA SANTOS LTDA-Lacre</t>
  </si>
  <si>
    <t>464-300268011-OFICINA DE COSTURA SANTOS LTDA-Filme plástico</t>
  </si>
  <si>
    <t>473-300000000-JK INDUSTRIA TEXTIL LTDA-Papelão para gabarito</t>
  </si>
  <si>
    <t>435-300265103-TECE COSTURAS E CONFECCOES LTDA-Botão</t>
  </si>
  <si>
    <t>468-300259994-F J DE AZEVEDO - ME-Lacre</t>
  </si>
  <si>
    <t>466-300265090-TROPICALLIZ CONFECCOES LTDA-Botão</t>
  </si>
  <si>
    <t>503-300265098-SERRANA TEXTIL LTDA-Botão</t>
  </si>
  <si>
    <t>484-300266700-JANUNCIO NOBREGA DE AZEVEDO-Elástico</t>
  </si>
  <si>
    <t>483-300260131-JANUNCIO NOBREGA DE AZEVEDO-Botão</t>
  </si>
  <si>
    <t>474-300261803-JOSE MEDEIROS DE ARAUJO-Etiqueta de marca/modelagem</t>
  </si>
  <si>
    <t>426-300261481-CONFECÇÃO SÃO SEBASTIÃO LTDA-Capas de artok</t>
  </si>
  <si>
    <t>424-300231420-JANUNCIO NOBREGA DE AZEVEDO-Peça piloto</t>
  </si>
  <si>
    <t>364-300261829-ANTONIO IGOR DANTAS DE SOUZA-Passante</t>
  </si>
  <si>
    <t>155-300250465-ALINE RODRIGUES DE LIMA ARAUJO-tag de preço</t>
  </si>
  <si>
    <t>358-300258186-ANTONIO IGOR DANTAS DE SOUZA-Cós</t>
  </si>
  <si>
    <t>269-300251486-DI3 CONFECCOES LTDA-Gola</t>
  </si>
  <si>
    <t>319-300260816-DONA TICA CONFECCOES MATRIZ-Manga</t>
  </si>
  <si>
    <t>268-300251486-DI3 CONFECCOES LTDA-Manga</t>
  </si>
  <si>
    <t>354-300266217-P &amp; A CONFECCOES LTDA-Pala</t>
  </si>
  <si>
    <t>267-300251486-DI3 CONFECCOES LTDA-Frente</t>
  </si>
  <si>
    <t>416-300261054-ACARI TÊXTIL LTDA-Forro</t>
  </si>
  <si>
    <t>316-300263211-CABUGI CONFECCOES LTDA.-Forro</t>
  </si>
  <si>
    <t>230-300259845-P A VITURINO SERVIÇOS E CONFECÇÕES LTDA-Frente</t>
  </si>
  <si>
    <t>477-300265103-TECE COSTURAS E CONFECCOES LTDA-Fios</t>
  </si>
  <si>
    <t>515-300268122-FORTE FORTEX PRODUÇÃO TEXTIL-Etiqueta de preço</t>
  </si>
  <si>
    <t>467-300238301-CONFECCAO G. B. DA S. JUNIOR &amp; CIA LTDA-Etiqueta composição</t>
  </si>
  <si>
    <t>508-300262924-FORTE FORTEX PRODUÇÃO TEXTIL-Etiqueta composição</t>
  </si>
  <si>
    <t>318-300255569-ACAUÃ CONFECÇÕES LTDA-Viés de gola</t>
  </si>
  <si>
    <t>322-300247382-DONA TICA CONFECCOES MATRIZ-Passante</t>
  </si>
  <si>
    <t>321-300247381-DONA TICA CONFECCOES MATRIZ-Passante</t>
  </si>
  <si>
    <t>356-300265051-ACAUÃ CONFECÇÕES LTDA-Viés de reforço</t>
  </si>
  <si>
    <t>514-300255982-FORTE FORTEX PRODUÇÃO TEXTIL-Lacre</t>
  </si>
  <si>
    <t>509-300248761-FENIX INDUSTRIA TÊXTIL LTDA-Zíper</t>
  </si>
  <si>
    <t>530-300266629-EVALBER DE CASTRO DANTAS ME-Filme plástico</t>
  </si>
  <si>
    <t>506-300265345-CONFECCOES FRANOELDA M. M. ARAUJO EIRELI-Papelão para gabarito</t>
  </si>
  <si>
    <t>524-300266589-CONFECCOES GENESIS LTDA ME-Etiqueta de preço</t>
  </si>
  <si>
    <t>528-300267636-M DALISON DE MEDEIROS-Zíper</t>
  </si>
  <si>
    <t>529-300267375-F A N CONFECCOES LTDA-Filme plástico</t>
  </si>
  <si>
    <t>526-300252644-N S CONSTANTINO-Etiqueta de preço</t>
  </si>
  <si>
    <t>512-300248729-DONA TICA CONFECCOES MATRIZ-Zíper</t>
  </si>
  <si>
    <t>504-300265099-SERRANA TEXTIL LTDA-Botão</t>
  </si>
  <si>
    <t>511-300248760-DONA TICA CONFECCOES MATRIZ-Zíper</t>
  </si>
  <si>
    <t>533-300000000-JK INDUSTRIA TEXTIL LTDA-Artok vazio</t>
  </si>
  <si>
    <t>534-300000000-JK INDUSTRIA TEXTIL LTDA-Capas de artok</t>
  </si>
  <si>
    <t>532-300000000-JANUNCIO NOBREGA DE AZEVEDO-Capas de artok</t>
  </si>
  <si>
    <t>531-300000000-JANUNCIO NOBREGA DE AZEVEDO-Artok vazio</t>
  </si>
  <si>
    <t>535-300268069-AMORIM &amp; PEDRO CONFECCOES LTDA - ME-Capas de artok</t>
  </si>
  <si>
    <t>478-300265103-TECE COSTURAS E CONFECCOES LTDA-Gola</t>
  </si>
  <si>
    <t>516-300266431-MAXWELA ARAÚJO SILVA LTDA-Punho</t>
  </si>
  <si>
    <t>521-300265101-TECE COSTURAS E CONFECCOES LTDA-Gola</t>
  </si>
  <si>
    <t>517-300266431-MAXWELA ARAÚJO SILVA LTDA-Gola</t>
  </si>
  <si>
    <t>538-300260651-JK INDUSTRIA TEXTIL LTDA-Botão</t>
  </si>
  <si>
    <t>539-300260651-JK INDUSTRIA TEXTIL LTDA-Botão</t>
  </si>
  <si>
    <t>518-300265455-VITALIZE CONFECCOES LTDA-Linhas e fios</t>
  </si>
  <si>
    <t>522-300267149-POTENGI TEXTIL LTDA-Botão</t>
  </si>
  <si>
    <t>580-300268617-TECE COSTURAS E CONFECCOES LTDA-Fios</t>
  </si>
  <si>
    <t>437-300267521-F DA SILVA JUNIOR-Traseiro</t>
  </si>
  <si>
    <t>392-300260620-FACCAO ELLO LTDA - ME-Cós</t>
  </si>
  <si>
    <t>422-300267115-GEFERSON ALAN DOS SANTOS SILVA-Traseiro</t>
  </si>
  <si>
    <t>425-300266181-LC TÊXTIL LTDA.-Gola</t>
  </si>
  <si>
    <t>520-300263844-SOLIS CONFECCOES LTDA-Etiqueta composição</t>
  </si>
  <si>
    <t>510-300267532-POTENGI TEXTIL LTDA-Etiqueta composição</t>
  </si>
  <si>
    <t>536-300268034-W A 2 CONFECCOES LTDA-Etiqueta composição</t>
  </si>
  <si>
    <t>436-300264560-EBENEZER INDUSTRIA TEXTIL LTDA-Viés de reforço</t>
  </si>
  <si>
    <t>554-300268223-CONFECCOES GENESIS LTDA ME-Etiqueta composição</t>
  </si>
  <si>
    <t>544-300260650-JK INDUSTRIA TEXTIL LTDA-Botão</t>
  </si>
  <si>
    <t>542-300260650-JK INDUSTRIA TEXTIL LTDA-Botão</t>
  </si>
  <si>
    <t>547-300260639-JK INDUSTRIA TEXTIL LTDA-Botão</t>
  </si>
  <si>
    <t>540-300260651-JK INDUSTRIA TEXTIL LTDA-Peça piloto</t>
  </si>
  <si>
    <t>549-300260639-JK INDUSTRIA TEXTIL LTDA-Peça piloto</t>
  </si>
  <si>
    <t>545-300260650-JK INDUSTRIA TEXTIL LTDA-Peça piloto</t>
  </si>
  <si>
    <t>546-300260639-JANUNCIO NOBREGA DE AZEVEDO-Botão</t>
  </si>
  <si>
    <t>596-300265942-N S CONSTANTINO-Etiqueta de preço</t>
  </si>
  <si>
    <t>604-300267149-POTENGI TEXTIL LTDA-Botão</t>
  </si>
  <si>
    <t>598-300248762-M K DE AZEVEDO MEDEIROS INDUSTRIA TEXTIL-Zíper</t>
  </si>
  <si>
    <t>597-300248762-M K DE AZEVEDO MEDEIROS INDUSTRIA TEXTIL-Zíper</t>
  </si>
  <si>
    <t>587-300267465-F. W. DE SOUZA CONFECCOES-Filme plástico</t>
  </si>
  <si>
    <t>594-300265333-LIVIA REBOUCAS DE CARVALHO - ME-Filme plástico</t>
  </si>
  <si>
    <t>593-300265331-LINEA IND. COM. SER. CONFECCOES LTDA-Filme plástico</t>
  </si>
  <si>
    <t>591-300265333-LIVIA REBOUCAS DE CARVALHO - ME-Papelão para gabarito</t>
  </si>
  <si>
    <t>595-300265823-TROPICALLIZ CONFECCOES LTDA-Papelão para gabarito</t>
  </si>
  <si>
    <t>588-300266688-N S CONSTANTINO-Papelão para gabarito</t>
  </si>
  <si>
    <t>548-300266687-IDEAL CONFECCOES LTDA-Papelão para gabarito</t>
  </si>
  <si>
    <t>575-300000000-FENIX INDUSTRIA TÊXTIL LTDA-Papelão para gabarito</t>
  </si>
  <si>
    <t>573-300248728-M K DE AZEVEDO MEDEIROS INDUSTRIA TEXTIL-Zíper</t>
  </si>
  <si>
    <t>589-300248760-DONA TICA MATRIZ-Linhas e fios</t>
  </si>
  <si>
    <t>571-300266271-ANTONIO IGOR DANTAS DE SOUZA-Zíper</t>
  </si>
  <si>
    <t>586-300262633-EBENEZER INDUSTRIA TEXTIL LTDA-Pino</t>
  </si>
  <si>
    <t>577-300248762-ACAUÃ CONFECÇÕES LTDA-Zíper</t>
  </si>
  <si>
    <t>610-300268132-F &amp; K FACCAO LTDA-Viés de gola</t>
  </si>
  <si>
    <t>555-300266589-CONFECCOES GENESIS LTDA ME-Linhas e fios</t>
  </si>
  <si>
    <t>605-300268619-IDEAL CONFECCOES LTDA-Etiqueta composição</t>
  </si>
  <si>
    <t>543-300269108-DANJAN CONFECCOES LTDA-Etiqueta de gola</t>
  </si>
  <si>
    <t>498-300265374-CONFECCAO G. B. DA S. JUNIOR &amp; CIA LTDA-Braguilha</t>
  </si>
  <si>
    <t>500-300265374-CONFECCAO G. B. DA S. JUNIOR &amp; CIA LTDA-Bolso traseiro</t>
  </si>
  <si>
    <t>496-300265374-CONFECCAO G. B. DA S. JUNIOR &amp; CIA LTDA-Bolso relógio</t>
  </si>
  <si>
    <t>499-300265374-CONFECCAO G. B. DA S. JUNIOR &amp; CIA LTDA-Forro</t>
  </si>
  <si>
    <t>493-300265374-CONFECCAO G. B. DA S. JUNIOR &amp; CIA LTDA-Pala</t>
  </si>
  <si>
    <t>494-300265374-CONFECCAO G. B. DA S. JUNIOR &amp; CIA LTDA-Vista</t>
  </si>
  <si>
    <t>497-300265374-CONFECCAO G. B. DA S. JUNIOR &amp; CIA LTDA-Cós</t>
  </si>
  <si>
    <t>495-300265374-CONFECCAO G. B. DA S. JUNIOR &amp; CIA LTDA-Perdigal</t>
  </si>
  <si>
    <t>501-300265374-CONFECCAO G. B. DA S. JUNIOR &amp; CIA LTDA-Frente</t>
  </si>
  <si>
    <t>502-300265374-CONFECCAO G. B. DA S. JUNIOR &amp; CIA LTDA-Traseiro</t>
  </si>
  <si>
    <t>475-300267378-JOSE MEDEIROS DE ARAUJO-Alças</t>
  </si>
  <si>
    <t>485-300266458-FREIRE SILVA CONFECÇÕES LTDA-Gola e pé de gola</t>
  </si>
  <si>
    <t>552-300261802-DANJAN CONFECCOES LTDA-Etiqueta de marca/modelagem</t>
  </si>
  <si>
    <t>603-300264839-NOEL PEREIRA DE AZEVEDO CONFECCAO-Elástico</t>
  </si>
  <si>
    <t>590-300266688-N S CONSTANTINO-Peça piloto</t>
  </si>
  <si>
    <t>621-300265330-IDEAL CONFECCOES LTDA-Filme plástico</t>
  </si>
  <si>
    <t>643-300262467-IDEAL CONFECCOES LTDA-Lacre</t>
  </si>
  <si>
    <t>635-300266585-JOSENI MARIA DE MEDEIROS-Insumo</t>
  </si>
  <si>
    <t>637-300264562-JOSENI MARIA DE MEDEIROS-Fios</t>
  </si>
  <si>
    <t>615-300263199-IDEAL CONFECCOES LTDA-Fios</t>
  </si>
  <si>
    <t>641-300262467-IDEAL CONFECCOES LTDA-Linha</t>
  </si>
  <si>
    <t>642-300262467-IDEAL CONFECCOES LTDA-Fios</t>
  </si>
  <si>
    <t>644-300265330-IDEAL CONFECCOES LTDA-Papelão para gabarito</t>
  </si>
  <si>
    <t>620-300265330-I M DE OLIVEIRA SILVA-Papelão para gabarito</t>
  </si>
  <si>
    <t>629-300268567-DI3 CONFECCOES LTDA-Capas de artok</t>
  </si>
  <si>
    <t>626-300269339-B&amp;N SILVA CONFECCOES LTDA-Capas de artok</t>
  </si>
  <si>
    <t>636-300268035-ASA CONFECCOES LTDA - ME-Viés de reforço</t>
  </si>
  <si>
    <t>572-300268036-CONFECÇÃO SÃO SEBASTIÃO LTDA-Viés de reforço</t>
  </si>
  <si>
    <t>574-300000000-FENIX INDUSTRIA TÊXTIL LTDA-Lacre</t>
  </si>
  <si>
    <t>647-300266626-CLARA A DE MEDEIROS LEITE-Filme plástico</t>
  </si>
  <si>
    <t>657-300268961-IDEAL CONFECCOES LTDA-Papelão para gabarito</t>
  </si>
  <si>
    <t>648-300266430-MAXWELA ARAÚJO SILVA LTDA-Lacre</t>
  </si>
  <si>
    <t>581-300263352-SOLIS CONFECCOES LTDA-Frente e manga</t>
  </si>
  <si>
    <t>519-300259994-F J DE AZEVEDO - ME-Traseiro</t>
  </si>
  <si>
    <t>541-300266753-SOLIS CONFECCOES LTDA-Traseiro</t>
  </si>
  <si>
    <t>609-300254531-CONFECCAO G. B. DA S. JUNIOR &amp; CIA LTDA-Bolso frente</t>
  </si>
  <si>
    <t>523-300267149-POTENGI TEXTIL LTDA-Frente</t>
  </si>
  <si>
    <t>607-300266450-F &amp; L AZEVEDO CONFECCAO LTDA FILIAL-Gola</t>
  </si>
  <si>
    <t>654-300269834-TECE COSTURAS E CONFECCOES LTDA-Linhas e fios</t>
  </si>
  <si>
    <t>480-300268561-JOSENI MARIA DE MEDEIROS-Traseiro  material   foi localizado</t>
  </si>
  <si>
    <t>633-300270798-ACAUÃ CONFECÇÕES LTDA-Linha</t>
  </si>
  <si>
    <t>634-300270798-ACAUÃ CONFECÇÕES LTDA-Fios</t>
  </si>
  <si>
    <t>660-300257148-POTENGI TEXTIL LTDA-Botão</t>
  </si>
  <si>
    <t>659-300269756-FLAVIA GEORGIA B SILVA CONFECCOES EIRELI-Etiqueta de marca/modelagem</t>
  </si>
  <si>
    <t>665-300265455-VITALIZE CONFECCOES LTDA-Etiqueta de preço</t>
  </si>
  <si>
    <t>661-300263220-FLAVIA GEORGIA B SILVA CONFECCOES EIRELI-Viés de gola</t>
  </si>
  <si>
    <t>469-300259163-FENIX INDUSTRIA TÊXTIL LTDA-Forro</t>
  </si>
  <si>
    <t>613-300267245-DIAS E ALVES CONFECCOES LTDA-Forro</t>
  </si>
  <si>
    <t>628-300262514-G4 CONFECCOES-Pala</t>
  </si>
  <si>
    <t>666-300265453-VITALIZE CONFECCOES LTDA-Etiqueta de preço</t>
  </si>
  <si>
    <t>700-300267089-EBENEZER INDUSTRIA TEXTIL LTDA-Insumo</t>
  </si>
  <si>
    <t>699-300267092-EBENEZER INDUSTRIA TEXTIL LTDA-Insumo</t>
  </si>
  <si>
    <t>698-300267090-EBENEZER INDUSTRIA TEXTIL LTDA-Insumo</t>
  </si>
  <si>
    <t>616-300261560-CONFECCAO G. B. DA S. JUNIOR &amp; CIA LTDA-Pistola</t>
  </si>
  <si>
    <t>592-300265942-N S CONSTANTINO-Pistola</t>
  </si>
  <si>
    <t>559-300267173-LC TÊXTIL LTDA.-Pistola</t>
  </si>
  <si>
    <t>584-300268567-DI3 CONFECCOES LTDA-Pistola</t>
  </si>
  <si>
    <t>561-300265389-POTENGI TEXTIL LTDA-Pistola</t>
  </si>
  <si>
    <t>576-300000000-DONA TICA CONFECCOES MATRIZ-Pistola</t>
  </si>
  <si>
    <t>673-300267524-F DA SILVA JUNIOR-Pistola</t>
  </si>
  <si>
    <t>679-300266589-CONFECCOES GENESIS LTDA ME-Agulha</t>
  </si>
  <si>
    <t>599-300267376-JANUNCIO NOBREGA DE AZEVEDO-Cinto</t>
  </si>
  <si>
    <t>662-300267148-POTENGI TEXTIL LTDA-Punho</t>
  </si>
  <si>
    <t>674-300269834-TECE COSTURAS E CONFECCOES LTDA-Punho</t>
  </si>
  <si>
    <t>649-300266979-IDEAL CONFECCOES LTDA-Pala</t>
  </si>
  <si>
    <t>12-300268639- Serrana Textil LTDA -Botão</t>
  </si>
  <si>
    <t>694-300269753-DI3 CONFECCOES LTDA-Linha</t>
  </si>
  <si>
    <t>678-300267245-DIAS E ALVES CONFECCOES LTDA-Zíper</t>
  </si>
  <si>
    <t>695-300269753-DI3 CONFECCOES LTDA-Linha</t>
  </si>
  <si>
    <t>668-300269812-JANUNCIO NOBREGA DE AZEVEDO-Linha</t>
  </si>
  <si>
    <t>671-300264027-POTENGI TEXTIL LTDA-Etiqueta de marca/modelagem</t>
  </si>
  <si>
    <t>690-300268635-EVALBER DE CASTRO DANTAS ME-Lacre</t>
  </si>
  <si>
    <t>564-300267172-LC TÊXTIL LTDA.-Pino</t>
  </si>
  <si>
    <t>568-300266481-LC TÊXTIL LTDA.-Pino</t>
  </si>
  <si>
    <t>34-300268639- Serrana Textil LTDA -Pinos para fast pin</t>
  </si>
  <si>
    <t>582-300262633-EBENEZER INDUSTRIA TEXTIL LTDA-Pino</t>
  </si>
  <si>
    <t>566-300267220-LC TÊXTIL LTDA.-Pino</t>
  </si>
  <si>
    <t>21-300000000- teste -0000</t>
  </si>
  <si>
    <t>567-300267222-LC TÊXTIL LTDA.-Pino</t>
  </si>
  <si>
    <t>39-300268551- SOLIS CONFECCOES -PINO</t>
  </si>
  <si>
    <t>693-300000000-SOLY BRASIL LTDA-Lacre</t>
  </si>
  <si>
    <t>578-300263199-IDEAL CONFECCOES LTDA-Pistola</t>
  </si>
  <si>
    <t>557-300266589-CONFECCOES GENESIS LTDA ME-Pistola</t>
  </si>
  <si>
    <t>565-300267179-LC TÊXTIL LTDA.-Pino</t>
  </si>
  <si>
    <t>26-300267090- EBENEZER INDUSTRIA -PINO</t>
  </si>
  <si>
    <t>583-300262633-EBENEZER INDUSTRIA TEXTIL LTDA-Pino</t>
  </si>
  <si>
    <t>562-300267538-LC TÊXTIL LTDA.-Pino</t>
  </si>
  <si>
    <t>563-300267173-LC TÊXTIL LTDA.-Pino</t>
  </si>
  <si>
    <t>669-300269350-AMORIM &amp; PEDRO CONFECCOES LTDA - ME-Papelão para gabarito</t>
  </si>
  <si>
    <t>556-300262226-SOLY BRASIL LTDA-Viés de gola</t>
  </si>
  <si>
    <t>691-300265966-FLAVIA GEORGIA B SILVA CONFECCOES EIRELI-Viés de gola</t>
  </si>
  <si>
    <t>608-300267510-F &amp; L AZEVEDO CONFECCAO LTDA FILIAL-Viés de gola</t>
  </si>
  <si>
    <t>646-300266626-CLARA A DE MEDEIROS LEITE-Traseiro</t>
  </si>
  <si>
    <t>612-300262896-CONFECCOES GENESIS LTDA ME-Viés de gola</t>
  </si>
  <si>
    <t>177-300263205-SERRANA TEXTIL LTDA-Manga</t>
  </si>
  <si>
    <t>656-300248729-DONA TICA CONFECCOES MATRIZ-Bolso traseiro</t>
  </si>
  <si>
    <t>624-300263238-F. W. DE SOUZA CONFECCOES-Traseiro</t>
  </si>
  <si>
    <t>463-300268619-IDEAL CONFECCOES LTDA-Cós</t>
  </si>
  <si>
    <t>663-300268059-IVANILDO JOSE DE SOUSA - ME-Etiqueta composição</t>
  </si>
  <si>
    <t>3-300265791- Dantas e paulino  -etiqueta de composição</t>
  </si>
  <si>
    <t>479-300267546-TENDENCIA CONFECCOES LTDA - ME-Viés de gola</t>
  </si>
  <si>
    <t>617-300263199-IDEAL CONFECCOES LTDA-Viés de gola</t>
  </si>
  <si>
    <t>670-300264027-POTENGI TEXTIL LTDA-Etiqueta composição</t>
  </si>
  <si>
    <t>702-300269326-IDEAL CONFECCOES LTDA-Etiqueta composição</t>
  </si>
  <si>
    <t>688-300269337-M. A. VIEIRA DE ALMEIDA - ME-Etiqueta composição</t>
  </si>
  <si>
    <t>681-300267386-A DE M DIAS ALVES LIMITADA-Elástico</t>
  </si>
  <si>
    <t>667-300269812-JANUNCIO NOBREGA DE AZEVEDO-Elástico</t>
  </si>
  <si>
    <t>685-300269797-FENIX INDUSTRIA TÊXTIL LTDA-Elástico</t>
  </si>
  <si>
    <t>689-300268635-EVALBER DE CASTRO DANTAS ME-Filme plástico</t>
  </si>
  <si>
    <t>527-300252448-JOSENI MARIA DE MEDEIROS-Gola</t>
  </si>
  <si>
    <t>682-300266766-SOLY BRASIL LTDA-Gola</t>
  </si>
  <si>
    <t>701-300267513-POTENGI TEXTIL LTDA-Viés de reforço</t>
  </si>
  <si>
    <t>697-300267245-DIAS E ALVES CONFECCOES LTDA-Vivo</t>
  </si>
  <si>
    <t>664-300269765-ARAUJO E M CONFECCOES EIRELI-Vivo</t>
  </si>
  <si>
    <t xml:space="preserve">8-300269380- asa confecções -passantes </t>
  </si>
  <si>
    <t>655-300268012-M K INDUSTRIA TEXTIL LTDA-Zíper  AG  retorno  da oficina</t>
  </si>
  <si>
    <t xml:space="preserve">16-300266280- LEANDRO MATIAS  -FILME DE FUSIONAR PASSANTE </t>
  </si>
  <si>
    <t>48-300269338- EVALBER CASTRO -PLÁSTICO FILME</t>
  </si>
  <si>
    <t xml:space="preserve">52-300270778- Potengi têxtil  -Filme plástico </t>
  </si>
  <si>
    <t>49-300269338- EVALBER CASTRO -LACRES</t>
  </si>
  <si>
    <t xml:space="preserve">89-300267378- JOSÉ MEDEIROS  -SACOS PARA ARTOKS </t>
  </si>
  <si>
    <t xml:space="preserve">73-300269337- M.A VIEIRA DE ALMEIDA -filme para fusionar passante </t>
  </si>
  <si>
    <t xml:space="preserve">46-300269351- B&amp;N SILVA CONFECÇÕES  -PANO PARA ARTOKS </t>
  </si>
  <si>
    <t>33-300266587- GENESIS -SILICONE</t>
  </si>
  <si>
    <t>90-300267378- JOSÉ MEDEIROS  -PAPELÃO</t>
  </si>
  <si>
    <t>82-300269761- A S Confecções Ltda -Plastico de fusionar passante</t>
  </si>
  <si>
    <t>61-300250060- SOLIS CONFECCOES -AGULHA PRA PISTOLA</t>
  </si>
  <si>
    <t>86-300269338- EVALBER CASTRO -PLÁSTICO FILME</t>
  </si>
  <si>
    <t>64-300256000- SOLIS CONFECCOES -AGULHA DA PISTOLA</t>
  </si>
  <si>
    <t>254-300263199-IDEAL CONFECCOES LTDA-Traseiro</t>
  </si>
  <si>
    <t>683-300263199-IDEAL CONFECCOES LTDA-Traseiro</t>
  </si>
  <si>
    <t xml:space="preserve">36-300263684- AJG confecções  -Frente e as vistas </t>
  </si>
  <si>
    <t>569-300231420-JANUNCIO NOBREGA DE AZEVEDO-Viés de gola</t>
  </si>
  <si>
    <t>680-300268647-CONFECCOES FRANOELDA M. M. ARAUJO EIRELI-Linha</t>
  </si>
  <si>
    <t>13-300268633- P&amp;A Confecções -Cós</t>
  </si>
  <si>
    <t xml:space="preserve">35-300265791- Dantas e Paulino -cos </t>
  </si>
  <si>
    <t>29-300263962- MAXWELA ARAUJO SILVA LTDA -LINHA</t>
  </si>
  <si>
    <t>28-300263962- MAXWELA ARAUJO -FIO</t>
  </si>
  <si>
    <t>32-300266587- GENESIS -ETIQUETA DE PREÇO</t>
  </si>
  <si>
    <t xml:space="preserve">14-300269760- ACARI TEXTIL -ZIPER </t>
  </si>
  <si>
    <t>20-300267464- LIVIA REBOUÇAS DE CARVALHO ME -etiqueta</t>
  </si>
  <si>
    <t>18-300266686- LEANDRO MATIAS  -ZIPER</t>
  </si>
  <si>
    <t>30-300270508- FEL AZEVEDO CONFECÇÃO -ETIQUETA DE GOLA</t>
  </si>
  <si>
    <t>19-300268637- Lima Confecções -Etiqueta FIT</t>
  </si>
  <si>
    <t>23-300267464- livia rebouças de carvalho me -ziper</t>
  </si>
  <si>
    <t>5-300269351- B&amp;N SILVA CONFECÇÕES  -ETQ MODEL POOL 52 SLIM 60X10 BR</t>
  </si>
  <si>
    <t>27-300248729- DONA TICA CONFECÇÕES -ETIQUETA BANDEIROLA</t>
  </si>
  <si>
    <t>40-300267377- JANUNCIO NOBREGA DE AZEVEDO -ETIQUETA</t>
  </si>
  <si>
    <t>41-300267377- JANUNCIO NOBREGA DE AZEVEDO -ETIQUETA</t>
  </si>
  <si>
    <t>42-300267377- JANUNCIO NOBREGA DE AZEVEDO -ETIQUETA</t>
  </si>
  <si>
    <t>15-300269380- asa confecções -linha tit 50s.321</t>
  </si>
  <si>
    <t>25-300269812- JANUNCIO NOBREGA DE AZEVEDO -LINHA</t>
  </si>
  <si>
    <t>24-300267376- JANUNCIO NOBREGA DE AZEVEDO -LINHA</t>
  </si>
  <si>
    <t xml:space="preserve">53-300270454- FREIRE SILVA CONFECÇÕES  -Etiqueta de cós e etiqueta de preço. </t>
  </si>
  <si>
    <t>65-300268639- Serrana Textil -Etiqueta de preço</t>
  </si>
  <si>
    <t xml:space="preserve">92-300269892- Potengi Têxtil  -Etiqueta de preço  </t>
  </si>
  <si>
    <t>74-300268561- JOSÉ MEDEIROS  -TAGS DE PREÇO</t>
  </si>
  <si>
    <t>273-300263203-SERRANA TEXTIL LTDA-Manga  09/6</t>
  </si>
  <si>
    <t>51-300267046- js &amp; silva ltda -elastico</t>
  </si>
  <si>
    <t xml:space="preserve">45-300269799- Potengi têxtil  -Elástico </t>
  </si>
  <si>
    <t>31-300262451- DONA TICA CONFECÇÕES -LINHA</t>
  </si>
  <si>
    <t>44-300270840- IDEAL CONFECÇÕES -linha</t>
  </si>
  <si>
    <t>37-300270840- Ideal Confecções -Fio</t>
  </si>
  <si>
    <t>75-300270432- GENESIS -ETIQUETA DE MARCA</t>
  </si>
  <si>
    <t>60-300259607- F J DE AZEVEDO -ziper</t>
  </si>
  <si>
    <t>57-300269321- JOSENI MARIA -ETIQUETA DE MARCA</t>
  </si>
  <si>
    <t xml:space="preserve">59-300269321- JOSENI MARIA  -ETIQUETA DE MARCA </t>
  </si>
  <si>
    <t xml:space="preserve">58-300269321- JOSENI MARIA  -ETIQUETA DE  MARCA </t>
  </si>
  <si>
    <t xml:space="preserve">72-300269753- DI3 CONFECÇÕES  -Etiqueta de composição </t>
  </si>
  <si>
    <t xml:space="preserve">88-300253185- JOSENI MARIA  -ETIQUETA DE COMPOSIÇÃO </t>
  </si>
  <si>
    <t>9-300269337- M.A VIEIRA DE ALMEIDA-ME  -Etiqueta de composição</t>
  </si>
  <si>
    <t xml:space="preserve">111-300269152- FLAVIA GEORGIA BRAGA SILVA CONFECÇÕES LTDA  -LINHAS </t>
  </si>
  <si>
    <t xml:space="preserve">110-300269152- FLAVIA GEORGIA BRAGA SILVA CONFECÇÕES LTDA  -FIOS </t>
  </si>
  <si>
    <t xml:space="preserve">6-300269351- B&amp;N SILVA CONFECOES  -PALAS </t>
  </si>
  <si>
    <t>652-300268561-JOSE MEDEIROS DE ARAUJO-Manga</t>
  </si>
  <si>
    <t>91-300000000- A DE M DIAS ALVES LIMITADA -papelão para gabarito</t>
  </si>
  <si>
    <t xml:space="preserve">4-300269351- B&amp;N SILVA CONFECÇÕES  -ZIPER INOX METAL MEDIO PRETO 15 CM </t>
  </si>
  <si>
    <t xml:space="preserve">71-300270291- B&amp;N SILVA CONFEÇÕES  -VIES DA BOCA BOLSO - CRU </t>
  </si>
  <si>
    <t>43-300269351- B&amp;N SILVA CONFECÇOES  -VIES DE BOCA</t>
  </si>
  <si>
    <t>11-300269380- asa confecções -vies da boca do bolso da frente</t>
  </si>
  <si>
    <t xml:space="preserve">67-300264365- g4 confecções  -vies para bocada do bolso dianteiro na cor preta </t>
  </si>
  <si>
    <t>100-300268953- MAXWELA ARAUJO SILVA LTDA -FIO E LINHA</t>
  </si>
  <si>
    <t>98-300268101- MAXWELA ARAUJO SILVA LTDA -FOI</t>
  </si>
  <si>
    <t>99-300268101- MAXWELA ARAUJO SILVA LTDA -LINHA</t>
  </si>
  <si>
    <t>125-300270427- GENESIS -10</t>
  </si>
  <si>
    <t>158-300266587- GENESIS -TAG DE PREÇO</t>
  </si>
  <si>
    <t>97-300271999- genesis -pala traseiro</t>
  </si>
  <si>
    <t>96-300272000- genesis -pala traseira</t>
  </si>
  <si>
    <t xml:space="preserve">130-300270772- Noel Pereira de Azevedo confecção  -Etiqueta marca </t>
  </si>
  <si>
    <t>133-300268957- Danjan confecções -Elastico</t>
  </si>
  <si>
    <t>124-300270427- GENESIS -ETIQUETA DE COMPOSIÇÃO</t>
  </si>
  <si>
    <t>69-300267387- AS Confecções Ltda -Etiqueta de Cós   Joyce   está    verificando as  et</t>
  </si>
  <si>
    <t>126-300270427- GENESIS -ETIQUETA DE MARCA</t>
  </si>
  <si>
    <t>138-300269328- CONFECÃO SAO SEBASTIAO -ZIPER TAMANHO 17CM</t>
  </si>
  <si>
    <t>136-300269770- ARAUJO E M -VIVO  Janílson</t>
  </si>
  <si>
    <t xml:space="preserve">103-300264863- jm confecções &amp; cia ltda -ziper para bolso lateral </t>
  </si>
  <si>
    <t>102-300248762- M K DE AZEVEDO MEDEIROS INDUSTRIA TEXTIL -ETIQUETA BANDEIROLA</t>
  </si>
  <si>
    <t>80-300263646- TECE COSTURAS E CONFECÇÕES LTDA -GOLA</t>
  </si>
  <si>
    <t>143-300266586- JOSENI  -TAGS DE PREÇO</t>
  </si>
  <si>
    <t>156-300266586- JOSENI MARIA  -SILICONE</t>
  </si>
  <si>
    <t>132-300268957- Danjan confecções -etq</t>
  </si>
  <si>
    <t>118-300264381- 300264381 -papelão para gabarito</t>
  </si>
  <si>
    <t>146-300262599- FACÇÃO ELLO LTDA -PAPELÃO</t>
  </si>
  <si>
    <t>119-300269359- IVANILDO JOSE DE SOUZA - ME -Lacres para as OPS</t>
  </si>
  <si>
    <t>145-300268560- EBENEZER INDUSTRIA -PINO</t>
  </si>
  <si>
    <t>142-310000000- ACARI TEXTIL -LACRES</t>
  </si>
  <si>
    <t>109-300269763- FLAVIA GEORGIA BRAGA SILVA CONFECÇÕES LTDA -LACRE</t>
  </si>
  <si>
    <t xml:space="preserve">121-300271686- ACAUÃ  -Linha e fio </t>
  </si>
  <si>
    <t>141-300000000- ACARI TEXTIL  -FILME PLÁSTICO - PASSANTE</t>
  </si>
  <si>
    <t>117-300264381- fios do sertão -plastico para fusionar passante</t>
  </si>
  <si>
    <t>108-300269763- 15775496 -PLÁSTICO FILME PARA PASSANTES</t>
  </si>
  <si>
    <t>101-300270287- F W DE SOUZA CONFECÇÕES -FIO DE SILICONE PARA PASSANTE</t>
  </si>
  <si>
    <t xml:space="preserve">104-300271095- jm confecções filial  -plastico para fusionar passante </t>
  </si>
  <si>
    <t>113-300269350- AMORIM E PEDRO -FILME DE FUSIONAR PASSANTE</t>
  </si>
  <si>
    <t xml:space="preserve">129-300270772- Noel Pereira de Azevedo confecção  -Etiqueta de composição </t>
  </si>
  <si>
    <t>128-300269057- FORTE FORTEX -Etiqueta de Composição</t>
  </si>
  <si>
    <t>386-300265966-FLAVIA GEORGIA B SILVA CONFECCOES EIRELI-Manga</t>
  </si>
  <si>
    <t>151-300271110- JOSÉ MEDEIROS  -linhas</t>
  </si>
  <si>
    <t>171-300271094- Oficina de Costura Santos LTDA -linha TIT25</t>
  </si>
  <si>
    <t>560-300269148-JOSENI MARIA DE MEDEIROS-Etiqueta de marca/modelagem  pré d chegada / dia 09/06</t>
  </si>
  <si>
    <t xml:space="preserve">164-300269773- Tendência Confecções -zíper </t>
  </si>
  <si>
    <t>165-300270706- livia rebouças de carvalho me -ziper cru tamanho 12cm</t>
  </si>
  <si>
    <t>161-300271535- TROPICALLIZ CONFECÇÕES LTDA -Linha</t>
  </si>
  <si>
    <t>160-300271535- TROPICALLIZ CONFECÇÕES LTDA -Linha</t>
  </si>
  <si>
    <t>155-300271093- CONFECÇÃO GB DA SILVA -LACRE PARA EMBALAR OP</t>
  </si>
  <si>
    <t>159-300268951- A. S. Empreendimentos -filme</t>
  </si>
  <si>
    <t>202-300265966-FLAVIA GEORGIA BRAGA SILVA CONFECCOES LTDA  - Manga</t>
  </si>
  <si>
    <t>157-300270509- GENESIS -TAG DE PREÇO</t>
  </si>
  <si>
    <t xml:space="preserve">169-300267081- Potengi têxtil  -Etiqueta de preço </t>
  </si>
  <si>
    <t>167-300270796- ALINE RODRIGUES DE LIMA ARAUJO  -TAG  DE PREÇO</t>
  </si>
  <si>
    <t>162-300253184- JOSÉ MEDEIROS DE ARAÚJO EPP -TAGS DE PREÇO</t>
  </si>
  <si>
    <t>192-300266445-JANUNCIO NOBREGA DE AZEVEDO  - Etiqueta</t>
  </si>
  <si>
    <t>177-300270903-FLAVIA GEORGIA BRAGA SILVA CONFECCOES LTDA  - Filme plástico</t>
  </si>
  <si>
    <t>179-300271101-CONFECCOES FRANOELDA MAGNEUDA DE MEDEIROS ARAUJO LTDA  - Filme plástico</t>
  </si>
  <si>
    <t>84-300263209- TROPICALLIZ CONFECÇÕES LTDA -Gola e Punho toda ordem não foi enviado pel guararapes</t>
  </si>
  <si>
    <t>180-300266586-JOSENI MARIA DE MEDEIROS  - tag de preço</t>
  </si>
  <si>
    <t>83-300263208- TROPICALLIZ CONFECÇÕES LTDA -gola e punho peça para toda ordem</t>
  </si>
  <si>
    <t>222-300268935-FACCAO ELLO LTDA  - Capas de artok</t>
  </si>
  <si>
    <t>204-300264320-F J DE AZEVEDO  - Papelão para gabarito</t>
  </si>
  <si>
    <t>181-300270501-EBENEZER INDUSTRIA TEXTIL LTDA  - Pino</t>
  </si>
  <si>
    <t>220-300268935-FACCAO ELLO LTDA  - Artok vazio</t>
  </si>
  <si>
    <t>189-300271099-JUCURUTU TEXTIL LTDA  - Papelão para gabarito</t>
  </si>
  <si>
    <t>611-300270687-F &amp; K FACCAO LTDA-Gola e punho</t>
  </si>
  <si>
    <t>230-300242504-LINEA INDUSTRIA, COMERCIO &amp; SERVICOS DE CONFECCOES LTDA  - Linha</t>
  </si>
  <si>
    <t>210-300268651-DANTAS E PAULINO CONFECCOES LTDA  - Linha</t>
  </si>
  <si>
    <t>176-300272654-FREIRE SILVA CONFECCOES LTDA  - Linha</t>
  </si>
  <si>
    <t>183-300261034-M K DE AZEVEDO MEDEIROS INDUSTRIA TEXTIL  - Linha</t>
  </si>
  <si>
    <t>112-300270729- IDEAL CONGFEÇÕES LTDA -ETIQUETA COMPOSIÇÃO</t>
  </si>
  <si>
    <t>218-300269359-IVANILDO JOSE DE SOUZA  - Etiqueta composição</t>
  </si>
  <si>
    <t>93-300262239- FEL AZEVEDO CONFECÇÃO -ETIQUETA DE COMPOSIÇÃO</t>
  </si>
  <si>
    <t>214-300264320-F J DE AZEVEDO  - Zíper</t>
  </si>
  <si>
    <t>190-300260651-JK INDUSTRIA TEXTIL LTDA  - Botão</t>
  </si>
  <si>
    <t>80-300263646- TECE COSTURAS E CONFECÇÕES LTDA -GOLA  rani</t>
  </si>
  <si>
    <t>185-300264026-JUCURUTU TEXTIL LTDA  - Zíper</t>
  </si>
  <si>
    <t>193-300266645-JANUNCIO NOBREGA DE AZEVEDO  - Zíper</t>
  </si>
  <si>
    <t>207-300269323-JAKELINE F DE AZEVEDO  - Etiqueta</t>
  </si>
  <si>
    <t>198-300268611-JANUNCIO NOBREGA DE AZEVEDO  - Etiqueta</t>
  </si>
  <si>
    <t>191-300271767-CONFECCAO G. B. DA SILVA JUNIOR &amp; CIA LTDA  - Etiqueta de Cós</t>
  </si>
  <si>
    <t>182-300248762-M K DE AZEVEDO MEDEIROS INDUSTRIA TEXTIL  - Etiqueta de marca/composição</t>
  </si>
  <si>
    <t>213-300268647-CONFECCOES FRANOELDA MAGNEUDA DE MEDEIROS ARAUJO LTDA  - Etiqueta</t>
  </si>
  <si>
    <t>187-300271099-JUCURUTU TEXTIL LTDA  - Filme plástico</t>
  </si>
  <si>
    <t>197-300270295-F &amp; L AZEVEDO CONFECCAO LTDA MATRIZ  - Elástico</t>
  </si>
  <si>
    <t>87-300269766- ACARI TEXTIL  -BRAGUILHA  - PANINHO DO ZÍPER luan</t>
  </si>
  <si>
    <t>241-300264321-NOVA CONFECCOES LTDA  - Zíper</t>
  </si>
  <si>
    <t>247-300268938-UNIAO CONFECCOES LTDA  - Etiqueta de marca/modelagem</t>
  </si>
  <si>
    <t>487-300261963-KSW CONFECÇÕES LTDA-Frente</t>
  </si>
  <si>
    <t>488-300261963-KSW CONFECÇÕES LTDA-Traseiro</t>
  </si>
  <si>
    <t>263-300271783-POTENGI TEXTIL LTDA  - Etiqueta composição</t>
  </si>
  <si>
    <t>423-300269150-DANJAN CONFECCOES LTDA-Etiqueta de marca/modelagem    estarmos  aguardando  a chegada  das  etiquetas  9/6</t>
  </si>
  <si>
    <t>243-300000000-DONA TICA CONFECCOES LTDA MATRIZ  - Lacre</t>
  </si>
  <si>
    <t>251-300263334-F &amp; K FACCAO LTDA  - Lacre</t>
  </si>
  <si>
    <t>259-300268711-POEST INDUSTRIA E COMERCIO DE VESTUARIO LTDA  - Filme plástico</t>
  </si>
  <si>
    <t>246-300000000-DONA TICA CONFECCOES LTDA MATRIZ  - Filme plástico</t>
  </si>
  <si>
    <t>240-300000000-FENIX INDUSTRIA TEXTIL LTDA  - Filme plástico</t>
  </si>
  <si>
    <t>239-300000000-FENIX INDUSTRIA TEXTIL LTDA  - Lacre</t>
  </si>
  <si>
    <t>231-300268060-I M DE OLIVEIRA SILVA  - Filme plástico</t>
  </si>
  <si>
    <t>242-300270700-LAJEDO JEANS CONFECCOES LTDA  - Papelão para gabarito</t>
  </si>
  <si>
    <t>229-300270870-GEFERSON ALAN DOS SANTOS SILVA  - Lacre</t>
  </si>
  <si>
    <t>235-300000000-DONA TICA CONFECCOES LTDA MATRIZ  - Papelão para gabarito</t>
  </si>
  <si>
    <t>238-300000000-FENIX INDUSTRIA TEXTIL LTDA  - Papelão para gabarito</t>
  </si>
  <si>
    <t>236-300000000-JK INDUSTRIA TEXTIL LTDA  - Papelão para gabarito</t>
  </si>
  <si>
    <t>258-300268711-POEST INDUSTRIA E COMERCIO DE VESTUARIO LTDA  - Papelão para gabarito</t>
  </si>
  <si>
    <t>237-300000000-JANUNCIO NOBREGA DE AZEVEDO  - Papelão para gabarito</t>
  </si>
  <si>
    <t>253-300268616-NOEL PEREIRA DE AZEVEDO CONFECCAO  - Papelão para gabarito</t>
  </si>
  <si>
    <t>140-300265824- TROPICALLIZ CONFECÇÕES LTDA -Cós</t>
  </si>
  <si>
    <t>226-300000000-M K INDUSTRIA TEXTIL LTDA  - Papelão para gabarito</t>
  </si>
  <si>
    <t>268-300000000-JANUNCIO NOBREGA DE AZEVEDO  - Filme plástico</t>
  </si>
  <si>
    <t>264-300271852-M A VIEIRA DE ALMEIDA  - Filme plástico</t>
  </si>
  <si>
    <t>269-300000000-JK INDUSTRIA TEXTIL LTDA  - Filme plástico</t>
  </si>
  <si>
    <t>215-300264320-F J DE AZEVEDO  - Etiqueta de marca/modelagem</t>
  </si>
  <si>
    <t>224-300270319-DI3 CONFECCOES LTDA  - Cós</t>
  </si>
  <si>
    <t xml:space="preserve">163-300266626- Clara A de Medeiros Leite  -Dianteiro </t>
  </si>
  <si>
    <t>188-300267134-N S CONSTANTINO LTDA  - Gola</t>
  </si>
  <si>
    <t>208-300270432-CONFECCOES GENESIS LTDA  - Viés</t>
  </si>
  <si>
    <t>696-300267092-EBENEZER INDUSTRIA TEXTIL LTDA-Frente</t>
  </si>
  <si>
    <t>152-300252448- JOSENI MARIA  -GOLA</t>
  </si>
  <si>
    <t>206-300266636-IDEAL CONFECCOES LTDA  - Etiqueta composição</t>
  </si>
  <si>
    <t>245-300267048-DONA TICA CONFECCOES LTDA MATRIZ  - Etiqueta composição</t>
  </si>
  <si>
    <t>149-300261931- CONFECÇÃO GB DA SILVA -TRASEIRO (LADO DO SILK, LADO ESQUERDO DE QUEM VESTE)</t>
  </si>
  <si>
    <t xml:space="preserve">170-300270779- jm confeccoes matriz  -passante </t>
  </si>
  <si>
    <t>107-300231420- JANUNCIO NOBREGA DE AZEVEDO -VIÉS LISTRADO</t>
  </si>
  <si>
    <t>244-300269380-ASA CONFECCOES LTDA  - Zíper</t>
  </si>
  <si>
    <t>228-300265451-DANJAN CONFECCOES LTDA  - Etiqueta de marca/modelagem</t>
  </si>
  <si>
    <t>249-300262154-JOSENI MARIA DE MEDEIROS  - Etiqueta bandeirola</t>
  </si>
  <si>
    <t>254-300271999-CONFECCOES GENESIS LTDA  - Linhas e fios</t>
  </si>
  <si>
    <t>233-300270730-JANUNCIO NOBREGA DE AZEVEDO  - Linha e Fio</t>
  </si>
  <si>
    <t>273-300270413-EBENEZER INDUSTRIA TEXTIL LTDA  - Pino</t>
  </si>
  <si>
    <t>282-300266689-EVALBER DE CASTRO DANTAS  - Filme plástico</t>
  </si>
  <si>
    <t>296-300000000-JANUNCIO NOBREGA DE AZEVEDO  - Artok vazio</t>
  </si>
  <si>
    <t>295-300272621-SOLIS CONFECCOES LTDA  - Pino</t>
  </si>
  <si>
    <t>116-300270678- geferson alan dos santos silva  -traseiros e frente</t>
  </si>
  <si>
    <t xml:space="preserve">115-300270677- geferson alan dos santos silva -traseiros </t>
  </si>
  <si>
    <t>105-300267144- TROPICALLIZ CONFECÇÕES LTDA -Frente</t>
  </si>
  <si>
    <t>184-300260170-F J DE AZEVEDO  - Vivo  @</t>
  </si>
  <si>
    <t>286-300272941-JOSE MEDEIROS DE ARAUJO  - Etiqueta de marca/modelagem</t>
  </si>
  <si>
    <t>292-300272961-DI3 CONFECCOES LTDA  - Linha</t>
  </si>
  <si>
    <t>293-300273027-CONFECCOES GENESIS LTDA  - Botão</t>
  </si>
  <si>
    <t>283-300270668-FIOS DO SERTÃO  - Linhas e fios</t>
  </si>
  <si>
    <t>306-300271535-TROPICALLIZ CONFECCOES LTDA  - Zíper</t>
  </si>
  <si>
    <t>287-300269150-DANJAN CONFECCOES LTDA  - Etiqueta</t>
  </si>
  <si>
    <t>223-300270436-VITALIZE CONFECCOES LTDA  - Linha</t>
  </si>
  <si>
    <t>297-300000000-JK INDUSTRIA TEXTIL LTDA  - Artok vazio</t>
  </si>
  <si>
    <t>290-300267546-TENDENCIA CONFECCOES LTDA  - Etiqueta de preço</t>
  </si>
  <si>
    <t>262-300268961-IDEAL CONFECCOES LTDA  - Etiqueta composição</t>
  </si>
  <si>
    <t>285-300272455-JOSENI MARIA DE MEDEIROS  - Etiqueta de preço</t>
  </si>
  <si>
    <t>288-300273027-CONFECCOES GENESIS LTDA  - Etiqueta de preço</t>
  </si>
  <si>
    <t>301-300271865-IDEAL CONFECCOES LTDA  - Botão</t>
  </si>
  <si>
    <t>294-300260651-JK INDUSTRIA TEXTIL LTDA  - Elástico</t>
  </si>
  <si>
    <t>311-300260651-JK INDUSTRIA TEXTIL LTDA  - Botão</t>
  </si>
  <si>
    <t>225-300265824-TROPICALLIZ CONFECCOES LTDA  - Cós</t>
  </si>
  <si>
    <t>219-300267134-N S CONSTANTINO LTDA  - Gola</t>
  </si>
  <si>
    <t>265-300271099-JUCURUTU TEXTIL LTDA  - Forro</t>
  </si>
  <si>
    <t>279-300270736-J. S. &amp; SILVA LTDA  - Etiqueta composição</t>
  </si>
  <si>
    <t>312-300260651-JANUNCIO NOBREGA DE AZEVEDO  - Etiqueta composição</t>
  </si>
  <si>
    <t>299-300270319-DI3 CONFECCOES LTDA  - Etiqueta de composição</t>
  </si>
  <si>
    <t>291-300267171-CONFECCAO G. B. DA SILVA JUNIOR &amp; CIA LTDA  - Etiqueta de marca/modelagem</t>
  </si>
  <si>
    <t>195-300261930-CONFECCAO G. B. DA SILVA JUNIOR &amp; CIA LTDA  - Frente e traseiro</t>
  </si>
  <si>
    <t>303-300271865-IDEAL CONFECCOES LTDA  - Fios</t>
  </si>
  <si>
    <t>317-300267991-ASA CONFECCOES LTDA  - Linha</t>
  </si>
  <si>
    <t>325-300262150-JOSENI MARIA DE MEDEIROS  - Etiqueta bandeirola</t>
  </si>
  <si>
    <t>54-300264026- jucurutu têxtil  -TRASEIRO     itamara esta verificando</t>
  </si>
  <si>
    <t>326-300271801-JAKELINE F DE AZEVEDO  - Frente</t>
  </si>
  <si>
    <t>330-300271781-TECE COSTURAS E CONFECCOES LTDA  - Fios</t>
  </si>
  <si>
    <t>329-300263646-TECE COSTURAS E CONFECCOES LTDA  - Fios</t>
  </si>
  <si>
    <t>320-300268656-LD CONFECÇÕES  - Linha</t>
  </si>
  <si>
    <t>331-300271781-TECE COSTURAS E CONFECCOES LTDA  - Lacre</t>
  </si>
  <si>
    <t>322-300271101-CONFECCOES FRANOELDA MAGNEUDA DE MEDEIROS ARAUJO LTDA  - Papelão para gabarito</t>
  </si>
  <si>
    <t>328-300268613-UNIAO CONFECCOES LTDA  - Linhas e fios</t>
  </si>
  <si>
    <t>314-300000000-SOLY BRASIL LTDA  - Lacre</t>
  </si>
  <si>
    <t>315-300268651-DANTAS E PAULINO CONFECCOES LTDA  - Lacre</t>
  </si>
  <si>
    <t>321-300268656-LD CONFECÇÕES  - Filme plástico</t>
  </si>
  <si>
    <t>324-300271854-P &amp; A CONFECCOES LTDA  - Filme plástico</t>
  </si>
  <si>
    <t>270-300270730-JK INDUSTRIA TEXTIL LTDA  - Linha</t>
  </si>
  <si>
    <t>339-300271783-POTENGI TEXTIL LTDA  - Punho</t>
  </si>
  <si>
    <t>248-300267517-KSW CONFECCOES LTDA  - Viés</t>
  </si>
  <si>
    <t xml:space="preserve">135-300267513- Potengi Têxtil  -Pentilho e alça </t>
  </si>
  <si>
    <t>308-300252448-JOSENI MARIA DE MEDEIROS  - Manga</t>
  </si>
  <si>
    <t>280-300271510-J. S. &amp; SILVA LTDA  - Perdigal</t>
  </si>
  <si>
    <t>316-300271768-FIOS DO SERTÃO  - Papelão para gabarito</t>
  </si>
  <si>
    <t>281-300263803-MANSOUR &amp; DANTAS CONFECCOES LTDA  - Gola</t>
  </si>
  <si>
    <t>340-300269792-A A PEREIRA LIMITADA  - Elástico</t>
  </si>
  <si>
    <t>357-300273026-JOSENI MARIA DE MEDEIROS  - tag de preço</t>
  </si>
  <si>
    <t>381-300263646-TECE COSTURAS E CONFECCOES LTDA  - Botão</t>
  </si>
  <si>
    <t>349-300262226-SOLY BRASIL LTDA  - Tag</t>
  </si>
  <si>
    <t>359-300272171-ACARI TÊXTIL LTDA  - Etiqueta de marca/modelagem</t>
  </si>
  <si>
    <t>353-300271812-F J DE AZEVEDO  - Etiqueta de Cós</t>
  </si>
  <si>
    <t>333-300271093-CONFECCAO G. B. DA SILVA JUNIOR &amp; CIA LTDA  - Etiqueta composição</t>
  </si>
  <si>
    <t>355-300271114-IDEAL CONFECCOES LTDA  - Etiqueta composição</t>
  </si>
  <si>
    <t>344-300270704-AJG CONFECCOES LTDA  - Etiqueta de marca/composição</t>
  </si>
  <si>
    <t>351-300271766-IVANILDO JOSE DE SOUZA  - Etiqueta composição</t>
  </si>
  <si>
    <t>338-300269752-FACCAO ELLO LTDA  - Cadarço</t>
  </si>
  <si>
    <t>211-300270729-IDEAL CONFECCOES LTDA  - Etiqueta de marca/composição</t>
  </si>
  <si>
    <t>370-300270700-LAJEDO JEANS CONFECCOES LTDA  - Lacre</t>
  </si>
  <si>
    <t>354-300272977-ASA CONFECCOES LTDA  - Linha</t>
  </si>
  <si>
    <t>352-300272985-ASA CONFECCOES LTDA  - Linha</t>
  </si>
  <si>
    <t>371-300231420-JANUNCIO NOBREGA DE AZEVEDO  - Botão</t>
  </si>
  <si>
    <t>369-300260651-JANUNCIO NOBREGA DE AZEVEDO  - Botão</t>
  </si>
  <si>
    <t>384-300268061-CLARA A DE MEDEIROS LEITE  - Etiqueta de marca/modelagem</t>
  </si>
  <si>
    <t>374-300272161-FLAVIA GEORGIA BRAGA SILVA CONFECCOES LTDA  - Fios</t>
  </si>
  <si>
    <t>366-300272636-FREIRE SILVA CONFECCOES LTDA  - Etiqueta de Cós</t>
  </si>
  <si>
    <t>377-300272159-FLAVIA GEORGIA BRAGA SILVA CONFECCOES LTDA  - Fios</t>
  </si>
  <si>
    <t>375-300272161-FLAVIA GEORGIA BRAGA SILVA CONFECCOES LTDA  - Linha</t>
  </si>
  <si>
    <t>378-300272160-FLAVIA GEORGIA BRAGA SILVA CONFECCOES LTDA  - Fios</t>
  </si>
  <si>
    <t>379-300263209-TROPICALLIZ CONFECCOES LTDA  - Gola</t>
  </si>
  <si>
    <t>365-300272636-FREIRE SILVA CONFECCOES LTDA  - Etiqueta de Cós</t>
  </si>
  <si>
    <t>361-300272942-JOSE MEDEIROS DE ARAUJO  - Forro</t>
  </si>
  <si>
    <t>336-300271535-TROPICALLIZ CONFECCOES LTDA  - Etiqueta composição</t>
  </si>
  <si>
    <t>323-300267464-LIVIA REBOUCAS DE CARVALHO  - Passante</t>
  </si>
  <si>
    <t>221-300267134-N S CONSTANTINO LTDA  - Traseiro</t>
  </si>
  <si>
    <t>173-FACCAO ELLO LTDA- 300270501-Viés de reforço</t>
  </si>
  <si>
    <t>337-300269752-FACCAO ELLO LTDA  - Cós</t>
  </si>
  <si>
    <t>256-300264300-F J DE AZEVEDO  - Etiqueta de marca/modelagem</t>
  </si>
  <si>
    <t>327-300272982-I M DE OLIVEIRA SILVA  - Viés</t>
  </si>
  <si>
    <t>389-300271099-JUCURUTU TEXTIL LTDA  - Forro</t>
  </si>
  <si>
    <t>396-300267544-TENDENCIA CONFECCOES LTDA  - Etiqueta de preço</t>
  </si>
  <si>
    <t>401-300271868-JOSE MEDEIROS DE ARAUJO  - tag de preço</t>
  </si>
  <si>
    <t>424-300269517-CONFECCAO G. B. DA SILVA JUNIOR &amp; CIA LTDA  - Etiqueta de preço</t>
  </si>
  <si>
    <t>362-300272941-JOSE MEDEIROS DE ARAUJO  - Traseiro</t>
  </si>
  <si>
    <t>390-300268055-IVANILDO JOSE DE SOUZA  - Etiqueta de Cós</t>
  </si>
  <si>
    <t>399-300271114-IDEAL CONFECCOES LTDA  - Etiqueta de marca/modelagem</t>
  </si>
  <si>
    <t>364-300272636-FREIRE SILVA CONFECCOES LTDA  - Etiqueta de Cós</t>
  </si>
  <si>
    <t>397-300267461-LIMA CONFECCOES LTDA  - Etiqueta de Cós</t>
  </si>
  <si>
    <t>418-300274882-FLAVIA GEORGIA BRAGA SILVA CONFECCOES LTDA  - Etiqueta de Cós</t>
  </si>
  <si>
    <t>363-300272636-FREIRE SILVA CONFECCOES LTDA  - Etiqueta de Cós</t>
  </si>
  <si>
    <t>433-300271818-POTENGI TEXTIL LTDA  - Elástico</t>
  </si>
  <si>
    <t>434-300273027-CONFECCOES GENESIS LTDA  - Linha</t>
  </si>
  <si>
    <t>435-300273024-CONFECCOES GENESIS LTDA  - Botão</t>
  </si>
  <si>
    <t>383-300265451-DANJAN CONFECCOES LTDA  - Capas de artok</t>
  </si>
  <si>
    <t>203-300266650-ALANIS SANTOS LTDA  - Viés</t>
  </si>
  <si>
    <t>334-300269515-CONFECCAO G. B. DA SILVA JUNIOR &amp; CIA LTDA  - Frente e traseiro</t>
  </si>
  <si>
    <t>429-300271819-M K DE AZEVEDO MEDEIROS INDUSTRIA TEXTIL  - Etiqueta de marca/composição</t>
  </si>
  <si>
    <t>388-300268055-IVANILDO JOSE DE SOUZA  - Etiqueta composição</t>
  </si>
  <si>
    <t>407-300271819-M K DE AZEVEDO MEDEIROS INDUSTRIA TEXTIL  - Etiqueta de marca/composição</t>
  </si>
  <si>
    <t>421-300267464-LIVIA REBOUCAS DE CARVALHO  - Etiqueta de marca/composição</t>
  </si>
  <si>
    <t>368-300272626-DI3 CONFECCOES LTDA  - Etiqueta composição</t>
  </si>
  <si>
    <t>430-300272176-M K DE AZEVEDO MEDEIROS INDUSTRIA TEXTIL  - Etiqueta de marca/composição</t>
  </si>
  <si>
    <t>400-300272941-JOSE MEDEIROS DE ARAUJO  - Etiqueta de marca/composição</t>
  </si>
  <si>
    <t>423-300000000-ACAUA CONFECCOES LTDA  - Lacre</t>
  </si>
  <si>
    <t>428-300271268-POTENGI TEXTIL LTDA  - Lacre</t>
  </si>
  <si>
    <t>408-300273776-EVALBER DE CASTRO DANTAS  - Papelão para gabarito</t>
  </si>
  <si>
    <t>405-300266640-CABUGI CONFECCOES LTDA.  - Filme plástico</t>
  </si>
  <si>
    <t>416-300271745-M DALISON DE MEDEIROS  - Lacre</t>
  </si>
  <si>
    <t>425-300270874-LC TEXTIL LTDA  - Lacre</t>
  </si>
  <si>
    <t>426-300269514-LC TEXTIL LTDA  - Lacre</t>
  </si>
  <si>
    <t>427-300272166-POTENGI TEXTIL LTDA  - Lacre</t>
  </si>
  <si>
    <t>414-300268644-S RAMOS DE AZEVEDO NETO CONFECCOES  - Filme plástico</t>
  </si>
  <si>
    <t>387-300271820-PEDRO E ODAIR  - Papelão para gabarito</t>
  </si>
  <si>
    <t>406-300266640-CABUGI CONFECCOES LTDA.  - Papelão para gabarito</t>
  </si>
  <si>
    <t>417-300271745-M DALISON DE MEDEIROS  - Filme plástico</t>
  </si>
  <si>
    <t>415-300271854-P &amp; A CONFECCOES LTDA  - Traseiro Maxwell vai enviar o cos</t>
  </si>
  <si>
    <t>409-300274355-SOLIS CONFECCOES LTDA  - Pino</t>
  </si>
  <si>
    <t>455-300272166-POTENGI TEXTIL LTDA  - Botão</t>
  </si>
  <si>
    <t>464-300265091-TROPICALLIZ CONFECCOES LTDA  - Botão</t>
  </si>
  <si>
    <t>447-300271680-EBENEZER INDUSTRIA TEXTIL LTDA  - Pino</t>
  </si>
  <si>
    <t>449-300000000-ALINE RODRIGUES DE LIMA ARAUJO  - Pino</t>
  </si>
  <si>
    <t>450-300269314-DANJAN CONFECCOES LTDA  - Artok vazio</t>
  </si>
  <si>
    <t>457-300000000-ACARI TÊXTIL LTDA  - Filme plástico</t>
  </si>
  <si>
    <t>451-300274230-ARAUJO E M CONFECCOES LTDA  - Filme plástico</t>
  </si>
  <si>
    <t>448-300271123-JANUNCIO NOBREGA DE AZEVEDO  - Zíper</t>
  </si>
  <si>
    <t>438-300265094-TROPICALLIZ CONFECCOES LTDA  - Botão</t>
  </si>
  <si>
    <t>442-300263684-AJG CONFECCOES LTDA  - Etiqueta</t>
  </si>
  <si>
    <t>473-300269514-LC TEXTIL LTDA  - Etiqueta de preço</t>
  </si>
  <si>
    <t>467-300269501-FENIX INDUSTRIA TEXTIL LTDA  - Etiqueta de preço</t>
  </si>
  <si>
    <t>440-300271186-POTENGI TEXTIL LTDA  - Etiqueta composição</t>
  </si>
  <si>
    <t>454-300268611-JANUNCIO NOBREGA DE AZEVEDO  - Etiqueta de marca/composição</t>
  </si>
  <si>
    <t>422-300272982-I M DE OLIVEIRA SILVA  - Viés</t>
  </si>
  <si>
    <t>443-300270777-FACCAO ELLO LTDA  - Etiqueta de marca/composição</t>
  </si>
  <si>
    <t>452-300271828-M C CONFECCOES LTDA  - Etiqueta de marca/composição</t>
  </si>
  <si>
    <t>445-300271858-EVALBER DE CASTRO DANTAS  - Etiqueta de marca/composição</t>
  </si>
  <si>
    <t>444-300270309-FACCAO ELLO LTDA  - Etiqueta de marca/composição</t>
  </si>
  <si>
    <t>462-300267464-LIVIA REBOUCAS DE CARVALHO  - Etiqueta de marca/composição</t>
  </si>
  <si>
    <t>475-300271535-TROPICALLIZ CONFECCOES LTDA  - Etiqueta de marca/modelagem</t>
  </si>
  <si>
    <t>459-300270735-A A PEREIRA LIMITADA  - Linha</t>
  </si>
  <si>
    <t>463-300271213-FLAVIA GEORGIA BRAGA SILVA CONFECCOES LTDA  - Fios</t>
  </si>
  <si>
    <t>437-300271558-IDEAL CONFECCOES LTDA  - Etiqueta de marca/composição</t>
  </si>
  <si>
    <t>373-300270370-DIAS E ALVES CONFECCOES LTDA  - Cós</t>
  </si>
  <si>
    <t>380-300271123-JANUNCIO NOBREGA DE AZEVEDO  - Forro</t>
  </si>
  <si>
    <t>386-300269899-SOLIS CONFECCOES LTDA  - Viés de gola</t>
  </si>
  <si>
    <t>56-300270455- FREIRE SILVA CONFECÇÕES  -Etiqueta de cós   AG achegar ds  etiqueta 9/6</t>
  </si>
  <si>
    <t>350-300268641-NOVA CONFECCOES LTDA  - Passante</t>
  </si>
  <si>
    <t>391-300270489-AJG CONFECCOES LTDA  - Viés</t>
  </si>
  <si>
    <t>496-300272159-FLAVIA GEORGIA BRAGA SILVA CONFECCOES LTDA  - Pistola</t>
  </si>
  <si>
    <t>488-300273028-ALINE RODRIGUES DE LIMA ARAUJO  - tag de preço</t>
  </si>
  <si>
    <t>471-300274355-SOLIS CONFECCOES LTDA  - Etiqueta</t>
  </si>
  <si>
    <t>402-300271868-JOSENI MARIA DE MEDEIROS  - Viés</t>
  </si>
  <si>
    <t>199-300270915-ALANIS SANTOS LTDA  - Etiqueta de marca/modelagem     Aguardando o retorno da compradora</t>
  </si>
  <si>
    <t>201-300270916-ALANIS SANTOS LTDA  - Etiqueta de marca/modelagem  Aguardando retorno para a compradora</t>
  </si>
  <si>
    <t>495-300274899-CONFECCAO G. B. DA SILVA JUNIOR &amp; CIA LTDA  - Etiqueta de Cós</t>
  </si>
  <si>
    <t>489-300271097-S RAMOS DE AZEVEDO NETO CONFECCOES  - Zíper</t>
  </si>
  <si>
    <t>501-300269509-M A P FORTE FORTEX PRODUCAO TEXTIL  - Pistola</t>
  </si>
  <si>
    <t>497-300271107-A. S. EMPREENDIMENTOS LTDA  - Linha</t>
  </si>
  <si>
    <t>500-300270964-EBENEZER INDUSTRIA TEXTIL LTDA  - Etiqueta composição</t>
  </si>
  <si>
    <t>474-300272179-LC TEXTIL LTDA  - Etiqueta composição</t>
  </si>
  <si>
    <t>470-300271268-POTENGI TEXTIL LTDA  - Elástico</t>
  </si>
  <si>
    <t>487-300272959-DI3 CONFECCOES LTDA  - Linha</t>
  </si>
  <si>
    <t>483-300273703-FLAVIA GEORGIA BRAGA SILVA CONFECCOES LTDA  - Etiqueta composição</t>
  </si>
  <si>
    <t>469-300274882-FLAVIA GEORGIA BRAGA SILVA CONFECCOES LTDA  - Etiqueta composição</t>
  </si>
  <si>
    <t>502-300275038-DANJAN CONFECCOES LTDA  - Etiqueta composição</t>
  </si>
  <si>
    <t>468-300274885-FLAVIA GEORGIA BRAGA SILVA CONFECCOES LTDA  - Etiqueta composição</t>
  </si>
  <si>
    <t>477-300271747-A S CONFECCOES LTDA  - Etiqueta composição</t>
  </si>
  <si>
    <t>465-300245142-POTENGI TEXTIL LTDA  - Elástico</t>
  </si>
  <si>
    <t>476-300268615-FENIX INDUSTRIA TEXTIL LTDA  - Etiqueta de marca/composição</t>
  </si>
  <si>
    <t>485-300274642-W A 2 CONFECCOES LTDA  - Etiqueta composição</t>
  </si>
  <si>
    <t>481-300273702-FLAVIA GEORGIA BRAGA SILVA CONFECCOES LTDA  - Etiqueta composição</t>
  </si>
  <si>
    <t>507-300273726-JAKELINE F DE AZEVEDO  - Linha</t>
  </si>
  <si>
    <t>504-300270777-FACCAO ELLO LTDA  - Etiqueta composição</t>
  </si>
  <si>
    <t>490-300271483-S RAMOS DE AZEVEDO NETO CONFECCOES  - Papelão para gabarito</t>
  </si>
  <si>
    <t>506-300000000-SOLY BRASIL LTDA  - Pistola</t>
  </si>
  <si>
    <t>484-300274642-W A 2 CONFECCOES LTDA  - Filme plástico</t>
  </si>
  <si>
    <t>498-300271107-A. S. EMPREENDIMENTOS LTDA  - Filme plástico</t>
  </si>
  <si>
    <t>499-300274657-FACCAO ELLO LTDA  - Elástico</t>
  </si>
  <si>
    <t>403-300263684-AJG CONFECCOES LTDA  - Pala</t>
  </si>
  <si>
    <t>419-300272968-DIAS E ALVES CONFECCOES LTDA  - Cós</t>
  </si>
  <si>
    <t>466-300245142-POTENGI TEXTIL LTDA  - Cós</t>
  </si>
  <si>
    <t>360-300272942-JOSE MEDEIROS DE ARAUJO  - Forro</t>
  </si>
  <si>
    <t>524-300273663-CONFECCOES GENESIS LTDA  - Etiqueta de preço</t>
  </si>
  <si>
    <t>527-300267542-CONFECCAO G. B. DA SILVA JUNIOR &amp; CIA LTDA  - Etiqueta de preço</t>
  </si>
  <si>
    <t>539-300272602-DONA TICA CONFECCOES LTDA MATRIZ  - Etiqueta de preço</t>
  </si>
  <si>
    <t>536-300271751-JANUNCIO NOBREGA DE AZEVEDO  - Linha</t>
  </si>
  <si>
    <t>510-300272639-CONFECCOES GENESIS LTDA  - Linha e Fio</t>
  </si>
  <si>
    <t>534-300274226-DI3 CONFECCOES LTDA  - Linha</t>
  </si>
  <si>
    <t>535-300274643-G4 INDUSTRIA E COMERCIO DO VESTUARIO LTDA  - Linha</t>
  </si>
  <si>
    <t>537-300270370-DIAS E ALVES CONFECCOES LTDA  - Cós</t>
  </si>
  <si>
    <t>540-300272602-DONA TICA CONFECCOES LTDA MATRIZ  - Linhas e fios</t>
  </si>
  <si>
    <t>528-300271513-JUCURUTU TEXTIL LTDA  - Pala</t>
  </si>
  <si>
    <t>404-300263684-AJG CONFECCOES LTDA  - Frente</t>
  </si>
  <si>
    <t>479-300261467-CONFECCAO G. B. DA SILVA JUNIOR &amp; CIA LTDA  - Cós</t>
  </si>
  <si>
    <t>541-300273271-TROPICALLIZ CONFECCOES LTDA  - Zíper</t>
  </si>
  <si>
    <t>526-300272979-TROPICALLIZ CONFECCOES LTDA  - Zíper</t>
  </si>
  <si>
    <t>523-300271507-CONFECCAO G. B. DA SILVA JUNIOR &amp; CIA LTDA  - Etiqueta de Cós</t>
  </si>
  <si>
    <t>456-300272639-CONFECCOES GENESIS LTDA  - Botão</t>
  </si>
  <si>
    <t>458-300267520-A X DA PENHA FILHO LTDA  - Traseiro</t>
  </si>
  <si>
    <t>460-300267520-A X DA PENHA FILHO LTDA  - Traseiro</t>
  </si>
  <si>
    <t>533-300272242-DONA TICA CONFECCOES LTDA MATRIZ  - Elástico</t>
  </si>
  <si>
    <t>531-300274886-FLAVIA GEORGIA BRAGA SILVA CONFECCOES LTDA  - Etiqueta</t>
  </si>
  <si>
    <t>511-300263684-AJG CONFECCOES LTDA  - Etiqueta composição</t>
  </si>
  <si>
    <t>517-300271507-CONFECCAO G. B. DA SILVA JUNIOR &amp; CIA LTDA  - Etiqueta composição</t>
  </si>
  <si>
    <t>509-300272529-A S CONFECCOES LTDA  - Etiqueta composição</t>
  </si>
  <si>
    <t>530-300274886-FLAVIA GEORGIA BRAGA SILVA CONFECCOES LTDA  - Etiqueta composição</t>
  </si>
  <si>
    <t>518-300268698-FIOS DO SERTÃO  - Filme plástico</t>
  </si>
  <si>
    <t>538-300271823-ARAUJO CAMARA LTDA  - Papelão para gabarito</t>
  </si>
  <si>
    <t>525-300000000-FENIX INDUSTRIA TEXTIL LTDA  - Papelão para gabarito</t>
  </si>
  <si>
    <t>542-300271268-POTENGI TEXTIL LTDA  - Papelão para gabarito</t>
  </si>
  <si>
    <t>555-300269324-NOVA CONFECCOES LTDA  - Lacre</t>
  </si>
  <si>
    <t>551-300264848-FIOS DO SERTÃO  - Lacre</t>
  </si>
  <si>
    <t>492-300270776-FENIX INDUSTRIA TEXTIL LTDA  - Cós</t>
  </si>
  <si>
    <t>432-300271137-SERRANA TEXTIL LTDA  - Viés de reforço</t>
  </si>
  <si>
    <t>552-300269896-POTENGI TEXTIL LTDA  - Etiqueta de preço</t>
  </si>
  <si>
    <t>548-300273654-SOLY BRASIL LTDA  - tag de preço</t>
  </si>
  <si>
    <t>529-300267461-LIMA CONFECCOES LTDA  - Etiqueta de Cós</t>
  </si>
  <si>
    <t>532-300270315-M K INDUSTRIA TEXTIL LTDA  - Traseiro</t>
  </si>
  <si>
    <t>547-300271816-FENIX INDUSTRIA TEXTIL LTDA  - Cadarço</t>
  </si>
  <si>
    <t>549-300271817-FENIX INDUSTRIA TEXTIL LTDA  - Cadarço</t>
  </si>
  <si>
    <t>544-300272584-POTENGI TEXTIL LTDA  - Zíper</t>
  </si>
  <si>
    <t>550-300275453-CONFECCOES J. S. LTDA  - Zíper</t>
  </si>
  <si>
    <t>565-300273328-F J DE AZEVEDO  - Filme plástico</t>
  </si>
  <si>
    <t>561-300270257-CABUGI CONFECCOES LTDA.  - Linha e Fio</t>
  </si>
  <si>
    <t>557-300268232-JOLI TEXTIL SERVICOS E COMERCIO LTD  - Linha</t>
  </si>
  <si>
    <t>543-300273324-FERREIRA E ARAUJO CONFECCOES LTDA  - Filme plástico</t>
  </si>
  <si>
    <t>574-300275850-LIVIA REBOUCAS DE CARVALHO  - Etiqueta composição</t>
  </si>
  <si>
    <t>545-300272584-POTENGI TEXTIL LTDA  - Etiqueta de marca/modelagem</t>
  </si>
  <si>
    <t>562-300273723-FACCAO ELLO LTDA  - Etiqueta composição</t>
  </si>
  <si>
    <t>564-300271745-M DALISON DE MEDEIROS  - Etiqueta composição</t>
  </si>
  <si>
    <t>575-300267559-JOLI TEXTIL SERVICOS E COMERCIO LTD  - Etiqueta de preço</t>
  </si>
  <si>
    <t>573-300267559-JOLI TEXTIL SERVICOS E COMERCIO LTD  - Etiqueta composição</t>
  </si>
  <si>
    <t>568-300267559-JOLI TEXTIL SERVICOS E COMERCIO LTD  - Etiqueta composição</t>
  </si>
  <si>
    <t>579-300276280-ACARI TÊXTIL LTDA  - Linha</t>
  </si>
  <si>
    <t>584-300274129-IDEAL CONFECCOES LTDA  - Linha</t>
  </si>
  <si>
    <t>580-300276280-ACARI TÊXTIL LTDA  - Zíper</t>
  </si>
  <si>
    <t>572-300267559-JOLI TEXTIL SERVICOS E COMERCIO LTD  - Linhas e fios</t>
  </si>
  <si>
    <t>581-300273507-POTENGI TEXTIL LTDA  - Etiqueta de preço</t>
  </si>
  <si>
    <t>578-300272165-POTENGI TEXTIL LTDA  - Etiqueta de preço</t>
  </si>
  <si>
    <t>585-300275481-IDEAL CONFECCOES LTDA  - Viés</t>
  </si>
  <si>
    <t>592-300273715-J M CONFECCOES &amp; CIA LTDA  - Elástico</t>
  </si>
  <si>
    <t>582-300273267-CONFECCOES FRANOELDA MAGNEUDA DE MEDEIROS ARAUJO LTDA  - Zíper</t>
  </si>
  <si>
    <t>593-300273715-J M CONFECCOES &amp; CIA LTDA  - Etiqueta bandeirola</t>
  </si>
  <si>
    <t>620-300276287-A S CONFECCOES LTDA  - LINHAS</t>
  </si>
  <si>
    <t>633-300272974-B &amp; N SILVA CONFECCOES LTDA  - LINHAS</t>
  </si>
  <si>
    <t>605-300269909-SOLY BRASIL LTDA  - ETIQUETA DE PREÇO</t>
  </si>
  <si>
    <t>607-300271681-POTENGI TEXTIL LTDA  - PISTOLA</t>
  </si>
  <si>
    <t>595-300273638-M A VIEIRA DE ALMEIDA  - Etiqueta de Cós</t>
  </si>
  <si>
    <t>590-300264427-M DALISON DE MEDEIROS  - Zíper</t>
  </si>
  <si>
    <t>611-300275413-IDEAL CONFECCOES LTDA  - ZÍPER</t>
  </si>
  <si>
    <t>623-300271127-JOSE MEDEIROS DE ARAUJO  - ETIQUETA SLIM OU FIT</t>
  </si>
  <si>
    <t>606-300274228-ASA CONFECCOES LTDA  - ETIQUETA BANDEIROLA</t>
  </si>
  <si>
    <t>589-300274355-SOLIS CONFECCOES LTDA  - Etiqueta</t>
  </si>
  <si>
    <t>601-300276276-FLAVIA GEORGIA BRAGA SILVA CONFECCOES LTDA  - ZÍPER</t>
  </si>
  <si>
    <t>617-300271808-AJG CONFECCOES LTDA  - ZÍPER</t>
  </si>
  <si>
    <t>635-300271808-AJG CONFECCOES LTDA  - ETIQUETA DE CÓS</t>
  </si>
  <si>
    <t>597-300272165-POTENGI TEXTIL LTDA  - Botão</t>
  </si>
  <si>
    <t>604-300274228-ASA CONFECCOES LTDA  - ETIQUETA DE CÓS</t>
  </si>
  <si>
    <t>634-300272970-A S CONFECCOES LTDA  - ETIQUETA DE COMPOSIÇÃO</t>
  </si>
  <si>
    <t>596-300275850-LIVIA REBOUCAS DE CARVALHO  - Etiqueta composição</t>
  </si>
  <si>
    <t>576-300267559-JOLI TEXTIL SERVICOS E COMERCIO LTD  - Gola</t>
  </si>
  <si>
    <t>603-300269909-SOLY BRASIL LTDA  - ETIQUETA DE GOLA</t>
  </si>
  <si>
    <t>638-300273580-IDEAL CONFECCOES LTDA  - LINHAS</t>
  </si>
  <si>
    <t>639-300273580-IDEAL CONFECCOES LTDA  - FIOS</t>
  </si>
  <si>
    <t>613-300000000-ALINE RODRIGUES DE LIMA ARAUJO  - LACRE</t>
  </si>
  <si>
    <t>619-300274686-EBENEZER INDUSTRIA TEXTIL LTDA  - LACRE</t>
  </si>
  <si>
    <t>637-300273715-J M CONFECCOES &amp; CIA LTDA  - FILME PLÁSTICO</t>
  </si>
  <si>
    <t>636-300272954-TENDENCIA CONFECCOES LTDA  - FILME PLÁSTICO</t>
  </si>
  <si>
    <t>621-300272970-A S CONFECCOES LTDA  - FILME PLÁSTICO</t>
  </si>
  <si>
    <t>626-300275788-AMORIM &amp; PEDRO CONFECCOES LTDA  - FILME PLÁSTICO</t>
  </si>
  <si>
    <t>612-300000000-ALINE RODRIGUES DE LIMA ARAUJO  - PISTOLA</t>
  </si>
  <si>
    <t>491-300270776-FENIX INDUSTRIA TEXTIL LTDA  - Alças</t>
  </si>
  <si>
    <t>554-300271508-A S CONFECCOES LTDA  - Zíper</t>
  </si>
  <si>
    <t>658-300273271-TROPICALLIZ CONFECCOES LTDA  - LACRE</t>
  </si>
  <si>
    <t>649-300000000-F &amp; L AZEVEDO CONFECCAO LTDA FILIAL  - LACRE</t>
  </si>
  <si>
    <t>643-300000000-ALINE RODRIGUES DE LIMA ARAUJO  - PINO</t>
  </si>
  <si>
    <t>665-300271211-FREIRE SILVA CONFECCOES LTDA  - PISTOLA</t>
  </si>
  <si>
    <t>600-300269058-ACAUA CONFECCOES LTDA  - ETIQUETA DE COMPOSIÇÃO</t>
  </si>
  <si>
    <t>591-300274129-IDEAL CONFECCOES LTDA  - Etiqueta composição</t>
  </si>
  <si>
    <t>630-300263803-MANSOUR &amp; DANTAS CONFECCOES LTDA  - ETIQUETA DE COMPOSIÇÃO</t>
  </si>
  <si>
    <t>648-300274894-F &amp; L AZEVEDO CONFECCAO LTDA FILIAL  - ETIQUETA DE PREÇO</t>
  </si>
  <si>
    <t>667-300275654-CONFECCOES GENESIS LTDA  - ETIQUETA DE PREÇO</t>
  </si>
  <si>
    <t>655-300276896-F &amp; L AZEVEDO CONFECCAO LTDA FILIAL  - ETIQUETA DE PREÇO</t>
  </si>
  <si>
    <t>662-300267171-CONFECCAO G. B. DA SILVA JUNIOR &amp; CIA LTDA  - ETIQUETA DE PREÇO</t>
  </si>
  <si>
    <t>670-300271212-FREIRE SILVA CONFECCOES LTDA  - GOLA</t>
  </si>
  <si>
    <t>625-300272275-CONFECCOES GENESIS LTDA  - ETIQUETA DE COMPOSIÇÃO</t>
  </si>
  <si>
    <t>583-300271514-IDEAL CONFECCOES LTDA  - Viés</t>
  </si>
  <si>
    <t>657-300271864-TECE COSTURAS E CONFECCOES LTDA  - SACOS PARA ARTOKS</t>
  </si>
  <si>
    <t>644-300274355-SOLIS CONFECCOES LTDA  - ETIQUETA DE COMPOSIÇÃO</t>
  </si>
  <si>
    <t>676-300276354-DANJAN CONFECCOES LTDA  - ETIQUETA DE COMPOSIÇÃO</t>
  </si>
  <si>
    <t>683-300272528-M K DE AZEVEDO MEDEIROS INDUSTRIA TEXTIL  - ZÍPER</t>
  </si>
  <si>
    <t>682-300276284-TENDENCIA CONFECCOES LTDA  - ZÍPER</t>
  </si>
  <si>
    <t>661-300274644-CONFECCAO G. B. DA SILVA JUNIOR &amp; CIA LTDA  - ETIQUETA DE CÓS</t>
  </si>
  <si>
    <t>645-300272587-JOSE MEDEIROS DE ARAUJO  - ETIQUETA DE CÓS</t>
  </si>
  <si>
    <t>650-300271818-POTENGI TEXTIL LTDA  - ETIQUETA DE CÓS</t>
  </si>
  <si>
    <t>673-300271268-POTENGI TEXTIL LTDA  - ETIQUETA DE CÓS</t>
  </si>
  <si>
    <t>608-300274896-SOLIS CONFECCOES LTDA  - ETIQUETA DE GOLA</t>
  </si>
  <si>
    <t>687-300276289-ARAUJO E M CONFECCOES LTDA  - LINHAS</t>
  </si>
  <si>
    <t>669-300275893-CONFECCOES GENESIS LTDA  - LINHAS</t>
  </si>
  <si>
    <t>587-300270258-FACCAO SANTANENSE LTDA  - Papelão para gabarito</t>
  </si>
  <si>
    <t>631-300275052-ACARI TÊXTIL LTDA  - CÓS</t>
  </si>
  <si>
    <t>628-300272601-FACCAO ELLO LTDA  - VISTA</t>
  </si>
  <si>
    <t>627-300272601-FACCAO ELLO LTDA  - VISTA</t>
  </si>
  <si>
    <t>472-300270485-AJG CONFECCOES LTDA  - Viés  material  está  sem  saldo</t>
  </si>
  <si>
    <t>599-300273726-JAKELINE F DE AZEVEDO  - BABADO</t>
  </si>
  <si>
    <t>598-300273726-JAKELINE F DE AZEVEDO  - ALÇAS</t>
  </si>
  <si>
    <t>685-300270298-POTENGI TEXTIL LTDA  - VIÉS DE BOCADA</t>
  </si>
  <si>
    <t>714-300269315-J. S. &amp; SILVA LTDA  - Viés de Bocada</t>
  </si>
  <si>
    <t>700-300271509-DI3 CONFECCOES LTDA  - SILICONE</t>
  </si>
  <si>
    <t>718-300276362-GEFERSON ALAN DOS SANTOS SILVA  - Etiqueta de Preço</t>
  </si>
  <si>
    <t>616-300274129-IDEAL CONFECCOES LTDA  - VIÉS DE REFORÇO</t>
  </si>
  <si>
    <t>642-300275786-W A 2 CONFECCOES LTDA  - ETIQUETA DE COMPOSIÇÃO</t>
  </si>
  <si>
    <t>629-300224824-J M CONFECCOES &amp; CIA LTDA  - VIÉS DE PASSANTE</t>
  </si>
  <si>
    <t>610-300273326-J M CONFECCOES &amp; CIA LTDA  - VIÉS DE PASSANTE</t>
  </si>
  <si>
    <t>705-300277090-FLAVIA GEORGIA BRAGA SILVA CONFECCOES LTDA  - ETIQUETA DE COMPOSIÇÃO</t>
  </si>
  <si>
    <t>679-300272200-EBENEZER INDUSTRIA TEXTIL LTDA  - ETIQUETA DE COMPOSIÇÃO</t>
  </si>
  <si>
    <t>697-300274237-NOVA CONFECCOES LTDA  - ETIQUETA DE CÓS</t>
  </si>
  <si>
    <t>647-300263803-MANSOUR &amp; DANTAS CONFECCOES LTDA  - ETIQUETA DE COMPOSIÇÃO</t>
  </si>
  <si>
    <t>710-300276766-TROPICALLIZ CONFECCOES LTDA  - ZÍPER</t>
  </si>
  <si>
    <t>717-300277361-POTENGI TEXTIL LTDA  - Botão</t>
  </si>
  <si>
    <t>706-300276272-ARAUJO E M CONFECCOES LTDA  - ZÍPER</t>
  </si>
  <si>
    <t>693-300273717-JANUNCIO NOBREGA DE AZEVEDO  - ETIQUETA DE COMPOSIÇÃO</t>
  </si>
  <si>
    <t>267-300267144-TROPICALLIZ CONFECCOES LTDA  - Gola</t>
  </si>
  <si>
    <t>726-300274412-GEFERSON ALAN DOS SANTOS SILVA  - Etiqueta de Composição</t>
  </si>
  <si>
    <t>716-300277359-POTENGI TEXTIL LTDA  - Botão</t>
  </si>
  <si>
    <t>493-300248462-FENIX INDUSTRIA TEXTIL LTDA  - Viés  material  está  sem  saldo</t>
  </si>
  <si>
    <t>690-300275485-M C CONFECCOES LTDA  - LACRE</t>
  </si>
  <si>
    <t>663-300271682-M A P FORTE FORTEX PRODUCAO TEXTIL  - GOLA</t>
  </si>
  <si>
    <t>696-300276284-TENDENCIA CONFECCOES LTDA  - LINHAS</t>
  </si>
  <si>
    <t>709-300273324-FERREIRA E ARAUJO CONFECCOES LTDA  - FILME PLÁSTICO</t>
  </si>
  <si>
    <t>719-300000000-OFICINA DE COSTURA SANTOS LTDA  - Filme Plástico</t>
  </si>
  <si>
    <t>689-300274423-M A P FORTE FORTEX PRODUCAO TEXTIL  - TRASEIRO</t>
  </si>
  <si>
    <t>701-300274226-DI3 CONFECCOES LTDA  - TRASEIRO</t>
  </si>
  <si>
    <t>692-300271905-M A P FORTE FORTEX PRODUCAO TEXTIL  - TRASEIRO</t>
  </si>
  <si>
    <t>694-300271873-M A P FORTE FORTEX PRODUCAO TEXTIL  - TRASEIRO</t>
  </si>
  <si>
    <t>722-300272202-EBENEZER INDUSTRIA TEXTIL LTDA  - Etiqueta de Composição</t>
  </si>
  <si>
    <t>688-300272201-EBENEZER INDUSTRIA TEXTIL LTDA  - ETIQUETA DE COMPOSIÇÃO</t>
  </si>
  <si>
    <t>720-300000000-OFICINA DE COSTURA SANTOS LTDA  - Papelão para Gabarito</t>
  </si>
  <si>
    <t>691-300275485-M C CONFECCOES LTDA  - PAPELÃO PARA GABARITO</t>
  </si>
  <si>
    <t>728-300275210-SERRANA TEXTIL LTDA  - Etiqueta de Composição</t>
  </si>
  <si>
    <t>739-300274894-F &amp; L AZEVEDO CONFECCAO LTDA FILIAL  - Etiqueta de Preço</t>
  </si>
  <si>
    <t>772-300272634-MANSOUR &amp; DANTAS CONFECCOES LTDA  - Etiqueta de Preço</t>
  </si>
  <si>
    <t>480-300261467-CONFECCAO G. B. DA SILVA JUNIOR &amp; CIA LTDA  - Passante</t>
  </si>
  <si>
    <t>778-300273872-CONFECCOES GENESIS LTDA  - Etiqueta de Preço</t>
  </si>
  <si>
    <t>776-300242232-KSW CONFECCOES LTDA  - Etiqueta de Preço</t>
  </si>
  <si>
    <t>757-300276734-CONFECCAO G. B. DA SILVA JUNIOR &amp; CIA LTDA  - Etiqueta de Composição</t>
  </si>
  <si>
    <t>782-300000000-JANUNCIO NOBREGA DE AZEVEDO  - Cinto</t>
  </si>
  <si>
    <t>767-300272173-J. S. &amp; SILVA LTDA  - Elástico</t>
  </si>
  <si>
    <t>766-300272172-J. S. &amp; SILVA LTDA  - Elástico</t>
  </si>
  <si>
    <t>764-300277357-POTENGI TEXTIL LTDA  - Botão</t>
  </si>
  <si>
    <t>744-300272578-JAKELINE F DE AZEVEDO  - Etiqueta de Cós</t>
  </si>
  <si>
    <t>755-300275789-LIVIA REBOUCAS DE CARVALHO  - Filme Plástico</t>
  </si>
  <si>
    <t>736-300276270-JOSENI MARIA DE MEDEIROS  - Etiqueta de Cós</t>
  </si>
  <si>
    <t>783-300275031-DANTAS E PAULINO CONFECCOES LTDA  - Etiqueta de Cós</t>
  </si>
  <si>
    <t>740-300275199-FACCAO ELLO LTDA  - Etiqueta de Cós</t>
  </si>
  <si>
    <t>748-300276279-M A VIEIRA DE ALMEIDA  - Etiqueta de Cós</t>
  </si>
  <si>
    <t>741-300272581-JAKELINE F DE AZEVEDO  - Etiqueta de Cós</t>
  </si>
  <si>
    <t>768-300275034-J M CONFECCOES &amp; CIA LTDA  - Cós</t>
  </si>
  <si>
    <t>703-300273862-MAXWELA ARAÚJO SILVA LTDA  - LINHAS</t>
  </si>
  <si>
    <t>751-300275209-FREIRE SILVA CONFECCOES LTDA  - Fios</t>
  </si>
  <si>
    <t>752-300272960-DI3 CONFECCOES LTDA  - Filme Plástico</t>
  </si>
  <si>
    <t>702-300273863-MAXWELA ARAÚJO SILVA LTDA  - FIOS</t>
  </si>
  <si>
    <t>738-300275858-PEDRO E ODAIR  - Linhas</t>
  </si>
  <si>
    <t>735-300275974-J F CONFECCOES LTDA  - Linhas</t>
  </si>
  <si>
    <t>734-300275974-J F CONFECCOES LTDA  - Fios</t>
  </si>
  <si>
    <t>790-300275878-F J DE AZEVEDO  - Zíper</t>
  </si>
  <si>
    <t>753-300273581-IDEAL CONFECCOES LTDA  - Pistola</t>
  </si>
  <si>
    <t>774-300275454-LINEA INDUSTRIA, COMERCIO &amp; SERVICOS DE CONFECCOES LTDA  - Filme Plástico</t>
  </si>
  <si>
    <t>746-300275038-DANJAN CONFECCOES LTDA  - Filme Plástico</t>
  </si>
  <si>
    <t>773-300275454-LINEA INDUSTRIA, COMERCIO &amp; SERVICOS DE CONFECCOES LTDA  - Papelão para Gabarito</t>
  </si>
  <si>
    <t>754-300275789-LIVIA REBOUCAS DE CARVALHO  - Papelão para Gabarito</t>
  </si>
  <si>
    <t>698-300273717-JANUNCIO NOBREGA DE AZEVEDO  - CÓS</t>
  </si>
  <si>
    <t>725-300271500-LEANDRO MATIAS DA SILVA  - Etiqueta de Composição</t>
  </si>
  <si>
    <t>704-300275033-UNIAO CONFECCOES LTDA  - BOLSO RELOGIO</t>
  </si>
  <si>
    <t>759-300275040-IDEAL CONFECCOES LTDA  - Etiqueta de Composição</t>
  </si>
  <si>
    <t>763-300272957-DIAS E ALVES CONFECCOES LTDA  - Etiqueta de Composição</t>
  </si>
  <si>
    <t>713-300275426-JANUNCIO NOBREGA DE AZEVEDO  - ELÁSTICO</t>
  </si>
  <si>
    <t>784-300275014-JK INDUSTRIA TEXTIL LTDA  - Elástico</t>
  </si>
  <si>
    <t>732-300275050-FACCAO ELLO LTDA  - Elástico</t>
  </si>
  <si>
    <t>712-300276747-JANUNCIO NOBREGA DE AZEVEDO  - ELÁSTICO</t>
  </si>
  <si>
    <t>770-300277182-AMORIM &amp; PEDRO CONFECCOES LTDA  - Papelão para Gabarito</t>
  </si>
  <si>
    <t>769-300270254-LEANDRO MATIAS DA SILVA  - Papelão para Gabarito</t>
  </si>
  <si>
    <t>646-300273327-M K INDUSTRIA TEXTIL LTDA  - PERTINGAL</t>
  </si>
  <si>
    <t>800-300276289-ARAUJO E M CONFECCOES LTDA  - Zíper</t>
  </si>
  <si>
    <t>803-300273772-B &amp; N SILVA CONFECCOES LTDA  - Filme Plástico</t>
  </si>
  <si>
    <t>811-300273874-JOSENI MARIA DE MEDEIROS  - Linhas</t>
  </si>
  <si>
    <t>801-300276289-ARAUJO E M CONFECCOES LTDA  - Linhas</t>
  </si>
  <si>
    <t>809-300276766-TROPICALLIZ CONFECCOES LTDA  - Linhas</t>
  </si>
  <si>
    <t>727-300274228-ASA CONFECCOES LTDA  - Cós</t>
  </si>
  <si>
    <t>816-300276274-JOSENI MARIA DE MEDEIROS  - Zíper</t>
  </si>
  <si>
    <t>815-300278548-CONFECÇÃO SÃO SEBASTIÃO LTDA  - Elástico</t>
  </si>
  <si>
    <t>765-300271881-POTENGI TEXTIL LTDA  - Frente</t>
  </si>
  <si>
    <t>677-300265955-JOSENI MARIA DE MEDEIROS  - FRENTE</t>
  </si>
  <si>
    <t>678-300265955-JOSENI MARIA DE MEDEIROS  - FRENTE</t>
  </si>
  <si>
    <t>793-300272294-CONFECCOES GENESIS LTDA  - Linhas</t>
  </si>
  <si>
    <t>825-300276749-F &amp; L AZEVEDO CONFECCAO LTDA MATRIZ  - Lacre</t>
  </si>
  <si>
    <t>836-300276892-EBENEZER INDUSTRIA TEXTIL LTDA  - Lacre</t>
  </si>
  <si>
    <t>823-300275188-TECE COSTURAS E CONFECCOES LTDA  - Pistola</t>
  </si>
  <si>
    <t>824-300276749-F &amp; L AZEVEDO CONFECCAO LTDA MATRIZ  - Filme Plástico</t>
  </si>
  <si>
    <t>839-300276892-EBENEZER INDUSTRIA TEXTIL LTDA  - Pino</t>
  </si>
  <si>
    <t>813-300270298-POTENGI TEXTIL LTDA  - Etiqueta de Composição</t>
  </si>
  <si>
    <t>844-300000000-ALINE RODRIGUES DE LIMA ARAUJO  - Pino</t>
  </si>
  <si>
    <t>845-300276412-J F CONFECCOES LTDA  - Etiqueta de Preço</t>
  </si>
  <si>
    <t>559-300272164-MAXWELA ARAÚJO SILVA LTDA  - Gola</t>
  </si>
  <si>
    <t>558-300272164-MAXWELA ARAÚJO SILVA LTDA  - Punho</t>
  </si>
  <si>
    <t>831-300272582-A A PEREIRA LIMITADA  - Linhas</t>
  </si>
  <si>
    <t>822-300275188-TECE COSTURAS E CONFECCOES LTDA  - Linhas</t>
  </si>
  <si>
    <t>828-300268640-CONFECCOES FRANOELDA MAGNEUDA DE MEDEIROS ARAUJO LTDA  - Linhas</t>
  </si>
  <si>
    <t>835-300277057-FACCAO ELLO LTDA  - Elástico</t>
  </si>
  <si>
    <t>838-300270298-POTENGI TEXTIL LTDA  - Elástico</t>
  </si>
  <si>
    <t>834-300277059-FACCAO ELLO LTDA  - Elástico</t>
  </si>
  <si>
    <t>820-300273718-ARAUJO CAMARA LTDA  - Etiqueta Bandeirola</t>
  </si>
  <si>
    <t>560-300272164-MAXWELA ARAÚJO SILVA LTDA  - Viés</t>
  </si>
  <si>
    <t>848-300278545-M C CONFECCOES LTDA  - Filme Plástico</t>
  </si>
  <si>
    <t>849-300268926-A S CONFECCOES LTDA  - Sacos para Artoks</t>
  </si>
  <si>
    <t>860-300276766-LUIZ LUPERCIO DA SILVA JUNIOR  - Sacos para Artoks</t>
  </si>
  <si>
    <t>851-300272294-CONFECCOES J. S. LTDA  - Botão</t>
  </si>
  <si>
    <t>858-300277300-M A P FORTE FORTEX PRODUCAO TEXTIL  - Etiqueta de Preço</t>
  </si>
  <si>
    <t>855-300279120-GEFERSON ALAN DOS SANTOS SILVA  - Etiqueta de Preço</t>
  </si>
  <si>
    <t>857-300248462-FENIX INDUSTRIA TEXTIL LTDA  - Etiqueta de Preço</t>
  </si>
  <si>
    <t>779-300273872-CONFECCOES GENESIS LTDA  - Botão</t>
  </si>
  <si>
    <t>791-300273872-CONFECCOES GENESIS LTDA  - Elástico</t>
  </si>
  <si>
    <t>859-300275798-DONA TICA CONFECCOES LTDA MATRIZ  - Elástico</t>
  </si>
  <si>
    <t>865-300273774-CONFECÇÃO SÃO SEBASTIÃO LTDA  - Zíper</t>
  </si>
  <si>
    <t>819-300275031-DANTAS E PAULINO CONFECCOES LTDA  - Etiqueta Slim ou Fit</t>
  </si>
  <si>
    <t>869-300275923-DI3 CONFECCOES LTDA  - Etiqueta de Preço</t>
  </si>
  <si>
    <t>863-300272975-FIOS DO SERTÃO  - Linhas</t>
  </si>
  <si>
    <t>874-300271260-KSW CONFECCOES LTDA  - Etiqueta de Preço</t>
  </si>
  <si>
    <t>875-300275184-F &amp; K FACCAO LTDA  - Lacre</t>
  </si>
  <si>
    <t>879-300275184-F &amp; K FACCAO LTDA  - Pino</t>
  </si>
  <si>
    <t>883-300273676-JOSENI MARIA DE MEDEIROS  - Botão</t>
  </si>
  <si>
    <t>881-300245142-POTENGI TEXTIL LTDA  - Etiqueta de Cós</t>
  </si>
  <si>
    <t>877-300245142-POTENGI TEXTIL LTDA  - Etiqueta de Cós</t>
  </si>
  <si>
    <t>876-300245142-POTENGI TEXTIL LTDA  - Etiqueta Slim ou Fit</t>
  </si>
  <si>
    <t>880-300245142-POTENGI TEXTIL LTDA  - Etiqueta de Cós</t>
  </si>
  <si>
    <t>878-300245142-POTENGI TEXTIL LTDA  - Etiqueta de Cós</t>
  </si>
  <si>
    <t>882-300245142-POTENGI TEXTIL LTDA  - Etiqueta de Cós</t>
  </si>
  <si>
    <t>861-300276766-LUIZ LUPERCIO DA SILVA JUNIOR  - Papelão para Gabarito</t>
  </si>
  <si>
    <t>867-300273721-FREIRE SILVA CONFECCOES LTDA  - Papelão para Gabarito</t>
  </si>
  <si>
    <t>862-300248462-FENIX INDUSTRIA TEXTIL LTDA  - Etiqueta de Composição</t>
  </si>
  <si>
    <t>731-300262153-JOSE MEDEIROS DE ARAUJO  - Alças</t>
  </si>
  <si>
    <t>729-300276354-DANJAN CONFECCOES LTDA  - Bolso Frente@</t>
  </si>
  <si>
    <t>771-300276765-LUIZ LUPERCIO DA SILVA JUNIOR  - Lapela</t>
  </si>
  <si>
    <t>814-300273783-IDEAL CONFECCOES LTDA  - Gola</t>
  </si>
  <si>
    <t>896-300000000-F &amp; L AZEVEDO CONFECCAO LTDA FILIAL  - Agulha</t>
  </si>
  <si>
    <t>892-300000000-F &amp; L AZEVEDO CONFECCAO LTDA FILIAL  - Agulha</t>
  </si>
  <si>
    <t>885-300000000-LIMA CONFECCOES LTDA  - Filme Plástico</t>
  </si>
  <si>
    <t>890-300278549-TENDENCIA CONFECCOES LTDA  - Linhas</t>
  </si>
  <si>
    <t>895-300277519-ALINE RODRIGUES DE LIMA ARAUJO  - Etiqueta de Preço</t>
  </si>
  <si>
    <t>887-300276760-IVANILDO JOSE DE SOUZA  - Zíper</t>
  </si>
  <si>
    <t>797-300273637-NOEL PEREIRA DE AZEVEDO CONFECCAO  - Traseiro</t>
  </si>
  <si>
    <t>897-300273771-B &amp; N SILVA CONFECCOES LTDA  - Linhas</t>
  </si>
  <si>
    <t>916-300276340-LC TEXTIL LTDA  - Etiqueta de Preço</t>
  </si>
  <si>
    <t>905-300253545-AJG CONFECCOES LTDA  - Filme Plástico</t>
  </si>
  <si>
    <t>906-300253545-UNIAO CONFECCOES LTDA  - Filme Plástico</t>
  </si>
  <si>
    <t>915-300272971-M &amp; F EMPREENDIMENTOS LTDA  - Filme Plástico</t>
  </si>
  <si>
    <t>913-300277085-FLAVIA GEORGIA BRAGA SILVA CONFECCOES LTDA  - Filme Plástico</t>
  </si>
  <si>
    <t>904-300000000-DANTAS E PAULINO CONFECCOES LTDA  - Viés de Passante</t>
  </si>
  <si>
    <t>917-300276892-EBENEZER INDUSTRIA TEXTIL LTDA  - Agulha</t>
  </si>
  <si>
    <t>918-300276892-EBENEZER INDUSTRIA TEXTIL LTDA  - Pistola</t>
  </si>
  <si>
    <t>902-300275795-F &amp; L AZEVEDO CONFECCAO LTDA MATRIZ  - Elástico</t>
  </si>
  <si>
    <t>900-300268898-F J DE AZEVEDO  - Zíper</t>
  </si>
  <si>
    <t>921-300277185-POEST INDUSTRIA E COMERCIO DE VESTUARIO LTDA  - Etiqueta de Cós</t>
  </si>
  <si>
    <t>912-300264322-JOSE MEDEIROS DE ARAUJO  - Etiqueta Bandeirola</t>
  </si>
  <si>
    <t>923-300277186-N S CONSTANTINO LTDA  - Aviamento Completo</t>
  </si>
  <si>
    <t>886-300273757-FERREIRA E ARAUJO CONFECCOES LTDA  - Linhas</t>
  </si>
  <si>
    <t>908-300279739-CONFECCOES GENESIS LTDA  - Botão</t>
  </si>
  <si>
    <t>884-300275855-LIMA CONFECCOES LTDA  - Etiqueta de Composição</t>
  </si>
  <si>
    <t>888-300242816-IVANILDO JOSE DE SOUZA  - Etiqueta de Composição</t>
  </si>
  <si>
    <t>891-300277086-FLAVIA GEORGIA BRAGA SILVA CONFECCOES LTDA  - Etiqueta de Composição</t>
  </si>
  <si>
    <t>901-300273310-M DALISON DE MEDEIROS  - Etiqueta de Composição</t>
  </si>
  <si>
    <t>922-300277186-N S CONSTANTINO LTDA  - Papelão para Gabarito</t>
  </si>
  <si>
    <t>910-300274650-J. S. &amp; SILVA LTDA  - Papelão para Gabarito</t>
  </si>
  <si>
    <t>829-300275030-I M DE OLIVEIRA SILVA  - Bolso Relógio</t>
  </si>
  <si>
    <t>827-300275030-I M DE OLIVEIRA SILVA  - Cós</t>
  </si>
  <si>
    <t>872-300270311-IDEAL CONFECCOES LTDA  - Filme Plástico</t>
  </si>
  <si>
    <t>930-300276746-JOSENI MARIA DE MEDEIROS  - Etiqueta de Cós</t>
  </si>
  <si>
    <t>775-300269312-J. S. &amp; SILVA LTDA  - Babado</t>
  </si>
  <si>
    <t>852-300279915-POEST INDUSTRIA E COMERCIO DE VESTUARIO LTDA  - Cós</t>
  </si>
  <si>
    <t>853-300276278-A S CONFECCOES LTDA  - Traseiro</t>
  </si>
  <si>
    <t>924-300275188-TECE COSTURAS E CONFECCOES LTDA  - Etiqueta de Composição</t>
  </si>
  <si>
    <t>911-300277085-FLAVIA GEORGIA BRAGA SILVA CONFECCOES LTDA  - Etiqueta de Composição</t>
  </si>
  <si>
    <t>925-300267558-A X DA PENHA FILHO LTDA  - Etiqueta de Composição</t>
  </si>
  <si>
    <t>957-300278735-ALINE RODRIGUES DE LIMA ARAUJO  - Etiqueta de Preço</t>
  </si>
  <si>
    <t>943-300273320-M K INDUSTRIA TEXTIL LTDA  - Cós</t>
  </si>
  <si>
    <t>949-300271484-G4 INDUSTRIA E COMERCIO DO VESTUARIO LTDA  - Artok Vazio</t>
  </si>
  <si>
    <t>931-300272949-JANUNCIO NOBREGA DE AZEVEDO  - Agulha</t>
  </si>
  <si>
    <t>847-300275031-DANTAS E PAULINO CONFECCOES LTDA  - Cós</t>
  </si>
  <si>
    <t>942-300272643-CONFECCAO G. B. DA SILVA JUNIOR &amp; CIA LTDA  - Etiqueta de Composição</t>
  </si>
  <si>
    <t>932-300275014-JANUNCIO NOBREGA DE AZEVEDO  - Linhas</t>
  </si>
  <si>
    <t>954-300273319-DANTAS E PAULINO CONFECCOES LTDA  - Zíper</t>
  </si>
  <si>
    <t>941-300275858-PEDRO E ODAIR  - Linhas</t>
  </si>
  <si>
    <t>940-300275858-PEDRO E ODAIR  - Linhas</t>
  </si>
  <si>
    <t>939-300273713-TROPICALLIZ CONFECCOES LTDA  - Etiqueta de Cós</t>
  </si>
  <si>
    <t>964-300273720-JK INDUSTRIA TEXTIL LTDA  - Etiqueta de Cós</t>
  </si>
  <si>
    <t>956-300278544-LIMA CONFECCOES LTDA  - Etiqueta Slim ou Fit</t>
  </si>
  <si>
    <t>946-300275855-LIMA CONFECCOES LTDA  - Linhas</t>
  </si>
  <si>
    <t>947-300000000-LIMA CONFECCOES LTDA  - Papelão para Gabarito</t>
  </si>
  <si>
    <t>938-300276803-JUCURUTU TEXTIL LTDA  - Papelão para Gabarito</t>
  </si>
  <si>
    <t>934-300279698-ALINE RODRIGUES DE LIMA ARAUJO  - Etiqueta de Preço</t>
  </si>
  <si>
    <t>950-300271484-G4 INDUSTRIA E COMERCIO DO VESTUARIO LTDA  - Viés de Bocada</t>
  </si>
  <si>
    <t>970-300278665-FLAVIA GEORGIA BRAGA SILVA CONFECCOES LTDA  - Linhas</t>
  </si>
  <si>
    <t>969-300278665-FLAVIA GEORGIA BRAGA SILVA CONFECCOES LTDA  - Fios</t>
  </si>
  <si>
    <t>937-300276803-JUCURUTU TEXTIL LTDA  - Filme Plástico</t>
  </si>
  <si>
    <t>958-300273762-I M DE OLIVEIRA SILVA  - Filme Plástico</t>
  </si>
  <si>
    <t>976-300278548-CONFECÇÃO SÃO SEBASTIÃO LTDA  - Etiqueta de Cós</t>
  </si>
  <si>
    <t>977-300273006-CLARA A DE MEDEIROS LEITE  - Zíper</t>
  </si>
  <si>
    <t>945-300277467-CONFECCAO G. B. DA SILVA JUNIOR &amp; CIA LTDA  - Filme Plástico</t>
  </si>
  <si>
    <t>960-300275028-CLARA A DE MEDEIROS LEITE  - Filme Plástico</t>
  </si>
  <si>
    <t>971-300279111-SOLIS CONFECCOES LTDA  - Lacre</t>
  </si>
  <si>
    <t>968-300272580-JAKELINE F DE AZEVEDO  - Sacos para Artoks</t>
  </si>
  <si>
    <t>929-300274646-J M CONFECCOES &amp; CIA LTDA  - Etiqueta de Composição</t>
  </si>
  <si>
    <t>974-300272972-A S CONFECCOES LTDA  - Etiqueta de Composição</t>
  </si>
  <si>
    <t>966-300272294-CONFECCOES GENESIS LTDA  - Botão</t>
  </si>
  <si>
    <t>972-300277072-FACCAO ELLO LTDA  - Elástico</t>
  </si>
  <si>
    <t>994-300272644-CONFECCAO G. B. DA SILVA JUNIOR &amp; CIA LTDA  - Agulha</t>
  </si>
  <si>
    <t>979-300277358-POTENGI TEXTIL LTDA  - Etiqueta de Preço</t>
  </si>
  <si>
    <t>973-300280232-EBENEZER INDUSTRIA TEXTIL LTDA  - Etiqueta de Preço</t>
  </si>
  <si>
    <t>980-300277357-POTENGI TEXTIL LTDA  - Etiqueta de Preço</t>
  </si>
  <si>
    <t>984-300000000-DONA TICA CONFECCOES LTDA MATRIZ  - Agulha</t>
  </si>
  <si>
    <t>987-300000000-ACARI TÊXTIL LTDA  - Filme Plástico</t>
  </si>
  <si>
    <t>873-300274125-F &amp; K FACCAO LTDA  - Frente</t>
  </si>
  <si>
    <t>986-300276271-DI3 CONFECCOES LTDA  - Zíper</t>
  </si>
  <si>
    <t>978-300276285-DI3 CONFECCOES LTDA  - Etiqueta Bandeirola</t>
  </si>
  <si>
    <t>997-300279113-SOLIS CONFECCOES LTDA  - Agulha</t>
  </si>
  <si>
    <t>996-300279113-SOLIS CONFECCOES LTDA  - Etiqueta de Preço</t>
  </si>
  <si>
    <t>856-300273320-M K INDUSTRIA TEXTIL LTDA  - Pertingal</t>
  </si>
  <si>
    <t>843-300275822-ACARI TÊXTIL LTDA  - Traseiro</t>
  </si>
  <si>
    <t>988-300276215-IDEAL CONFECCOES LTDA  - Viés </t>
  </si>
  <si>
    <t>963-300269353-P &amp; A CONFECCOES LTDA  - Cós</t>
  </si>
  <si>
    <t>990-300276745-JOSENI MARIA DE MEDEIROS  - Etiqueta de Cós</t>
  </si>
  <si>
    <t>992-300277363-TECE COSTURAS E CONFECCOES LTDA  - Linhas</t>
  </si>
  <si>
    <t>983-300273772-B &amp; N SILVA CONFECCOES LTDA  - Linhas</t>
  </si>
  <si>
    <t>998-300273270-IVANILDO JOSE DE SOUZA  - Zíper</t>
  </si>
  <si>
    <t>989-300277363-TECE COSTURAS E CONFECCOES LTDA  - Fios</t>
  </si>
  <si>
    <t>866-300269353-P &amp; A CONFECCOES LTDA  - Cós</t>
  </si>
  <si>
    <t>MALHA- 1009-300242232-KSW CONFECCOES LTDA  - Etiqueta de Preço</t>
  </si>
  <si>
    <t>995-300273315-POEST INDUSTRIA E COMERCIO DE VESTUARIO LTDA  - Viés </t>
  </si>
  <si>
    <t>MALHA- 1002-300275904-G&amp;C EMPREENDIMENTOS TEXTIL LTDA  - Etiqueta de Composição</t>
  </si>
  <si>
    <t>JEANS- 1014-300278566-LIVIA REBOUCAS DE CARVALHO  - Linhas</t>
  </si>
  <si>
    <t>POLO- 1003-300277018-MAXWELA ARAÚJO SILVA LTDA  - Fios</t>
  </si>
  <si>
    <t>JEANS- 1019-300275874-N S CONSTANTINO LTDA  - Aviamento Completo</t>
  </si>
  <si>
    <t>POLO- 1004-300277018-MAXWELA ARAÚJO SILVA LTDA  - Linhas</t>
  </si>
  <si>
    <t>TEAR- 1010-300273676-JOSENI MARIA DE MEDEIROS  - Botão</t>
  </si>
  <si>
    <t>MALHA- 1006-300275626-CONFECCAO G. B. DA SILVA JUNIOR &amp; CIA LTDA  - Cadarço</t>
  </si>
  <si>
    <t>JEANS- 1024-300273713-LUIZ LUPERCIO DA SILVA JUNIOR  - Etiqueta de Cós</t>
  </si>
  <si>
    <t>MALHA- 1005-300275626-CONFECCAO G. B. DA SILVA JUNIOR &amp; CIA LTDA  - Elástico</t>
  </si>
  <si>
    <t>999-300268058-FIOS DO SERTÃO LTDA. (FILIAL)  - Zíper</t>
  </si>
  <si>
    <t>663-300271682-M A P FORTE FORTEX PRODUCAO TEXTIL  - GOLA     A mostra chegou hoje  07/07</t>
  </si>
  <si>
    <t>JEANS- 1040-300276636-P &amp; A CONFECCOES LTDA  - Filme Plástico</t>
  </si>
  <si>
    <t>894-300273676-JOSENI MARIA DE MEDEIROS  - Viés de Bocada</t>
  </si>
  <si>
    <t>982-300274646-J M CONFECCOES &amp; CIA LTDA  - Etiqueta de Composição</t>
  </si>
  <si>
    <t>745-300275595-LC TEXTIL LTDA  - Viés de Reforço</t>
  </si>
  <si>
    <t>MALHA- 1029-300277277-F &amp; L AZEVEDO CONFECCAO LTDA FILIAL  - Etiqueta de Preço</t>
  </si>
  <si>
    <t>JEANS- 1042-300269759-DIAS E ALVES CONFECCOES LTDA  - Etiqueta Slim ou Fit</t>
  </si>
  <si>
    <t>JEANS- 1044-300273720-JANUNCIO NOBREGA DE AZEVEDO  - Etiqueta de Cós</t>
  </si>
  <si>
    <t>JEANS- 1037-300264323-JOSENI MARIA DE MEDEIROS  - Etiqueta de Cós</t>
  </si>
  <si>
    <t>JEANS- 1038-300277528-JOSE MEDEIROS DE ARAUJO  - Etiqueta Slim ou Fit</t>
  </si>
  <si>
    <t>MALHA- 1048-300273861-AJG CONFECCOES LTDA  - Etiqueta de Preço</t>
  </si>
  <si>
    <t>JEANS- 1047-300276229-DIAS E ALVES CONFECCOES LTDA  - Filme Plástico</t>
  </si>
  <si>
    <t>907-300276640-LAJEDO JEANS CONFECCOES LTDA  - Viés de Passante</t>
  </si>
  <si>
    <t>JEANS- 1033-300274661-FLAVIA GEORGIA BRAGA SILVA CONFECCOES LTDA  - Etiqueta de Composição</t>
  </si>
  <si>
    <t>JEANS- 1036-300272972-A S CONFECCOES LTDA  - Etiqueta de Composição</t>
  </si>
  <si>
    <t>914-300273318-S RAMOS DE AZEVEDO NETO CONFECCOES  - Cós</t>
  </si>
  <si>
    <t>959-300275028-CLARA A DE MEDEIROS LEITE  - Cós</t>
  </si>
  <si>
    <t>955-300273319-DANTAS E PAULINO CONFECCOES LTDA  - Pertingal</t>
  </si>
  <si>
    <t>936-300275037-NOVA CONFECCOES LTDA  - Cós</t>
  </si>
  <si>
    <t>985-300273320-M K INDUSTRIA TEXTIL LTDA  - Cós</t>
  </si>
  <si>
    <t>898-300275029-I M DE OLIVEIRA SILVA  - Cós</t>
  </si>
  <si>
    <t>MALHA- 1055-300276886-EBENEZER INDUSTRIA TEXTIL LTDA  - Pistola</t>
  </si>
  <si>
    <t>MALHA- 1054-300281186-SOLIS CONFECCOES LTDA  - Etiqueta de Preço</t>
  </si>
  <si>
    <t>478-300269752-FACCAO ELLO LTDA  - Cós</t>
  </si>
  <si>
    <t>MALHA- 1053-300281186-SOLIS CONFECCOES LTDA  - Fios</t>
  </si>
  <si>
    <t>MALHA- 1052-300281186-SOLIS CONFECCOES LTDA  - Linhas</t>
  </si>
  <si>
    <t>JEANS- 1051-300276766-LUIZ LUPERCIO DA SILVA JUNIOR  - Sacos para Artoks</t>
  </si>
  <si>
    <t>TEAR- 1073-300279736-CONFECCOES GENESIS LTDA  - Botão</t>
  </si>
  <si>
    <t>JEANS- 1071-300276273-DI3 CONFECCOES LTDA  - Zíper</t>
  </si>
  <si>
    <t>JEANS- 1078-300276765-TROPICALLIZ CONFECCOES LTDA  - Zíper</t>
  </si>
  <si>
    <t>JEANS- 1080-300274638-W A 2 CONFECCOES LTDA  - Etiqueta de Cós</t>
  </si>
  <si>
    <t>JEANS- 1065-300277092-FLAVIA GEORGIA BRAGA SILVA CONFECCOES LTDA  - Etiqueta de Composição</t>
  </si>
  <si>
    <t>MALHA- 1079-300269503-VITALIZE CONFECCOES LTDA  - Etiqueta de Composição</t>
  </si>
  <si>
    <t>MALHA- 1074-300280739-EBENEZER INDUSTRIA TEXTIL LTDA  - Etiqueta de Preço</t>
  </si>
  <si>
    <t>MALHA- 1067-300274682-AJG CONFECCOES LTDA  - Etiqueta de Composição</t>
  </si>
  <si>
    <t>JEANS- 1064-300276639-CABUGI CONFECCOES LTDA.  - Etiqueta de Cós</t>
  </si>
  <si>
    <t>MALHA- 1068-300274683-AJG CONFECCOES LTDA  - Aviamento Completo</t>
  </si>
  <si>
    <t>935-300275906-JOLI TEXTIL SERVICOS E COMERCIO LTD  - Traseiro</t>
  </si>
  <si>
    <t>JEANS- 1049-300273317-ANTONIO IGOR DANTAS DE SOUZA  - Cós</t>
  </si>
  <si>
    <t>MALHA- 1108-300280758-KSW CONFECCOES LTDA  - Lacre</t>
  </si>
  <si>
    <t>MALHA- 1094-300280762-ALINE RODRIGUES DE LIMA ARAUJO  - Etiqueta de Composição</t>
  </si>
  <si>
    <t>JEANS- 1087-300279771-FLAVIA GEORGIA BRAGA SILVA CONFECCOES LTDA  - Etiqueta de Composição</t>
  </si>
  <si>
    <t>JEANS- 1091-300273766-CONFECCOES J. S. LTDA  - Filme Plástico</t>
  </si>
  <si>
    <t>JEANS- 1098-300277871-CONFECCOES FRANOELDA MAGNEUDA DE MEDEIROS ARAUJO LTDA  - Filme Plástico</t>
  </si>
  <si>
    <t>JEANS- 1099-300278808-CABUGI CONFECCOES LTDA.  - Filme Plástico</t>
  </si>
  <si>
    <t>JEANS- 1119-300277860-POEST INDUSTRIA E COMERCIO DE VESTUARIO LTDA  - Filme Plástico</t>
  </si>
  <si>
    <t>JEANS- 1032-300273327-M K INDUSTRIA TEXTIL LTDA  - Cós</t>
  </si>
  <si>
    <t>MALHA- 1115-300279357-F &amp; L AZEVEDO CONFECCAO LTDA FILIAL  - Etiqueta de Preço</t>
  </si>
  <si>
    <t>MALHA- 1118-300277951-F DA SILVA JUNIOR  - Etiqueta de Composição</t>
  </si>
  <si>
    <t>JEANS- 1083-300271746-ACARI TÊXTIL LTDA  - Etiqueta de Cós</t>
  </si>
  <si>
    <t>JEANS- 1092-300266682-FACCAO ELLO LTDA  - Etiqueta de Cós</t>
  </si>
  <si>
    <t>JEANS- 1082-300271746-ACARI TÊXTIL LTDA  - Zíper</t>
  </si>
  <si>
    <t>975-300276227-P &amp; A CONFECCOES LTDA  - Frente</t>
  </si>
  <si>
    <t>JEANS- 1084-300271746-ACARI TÊXTIL LTDA  - Etiqueta Slim ou Fit</t>
  </si>
  <si>
    <t>TEAR- 1088-300281209-JOSENI MARIA DE MEDEIROS  - Etiqueta de Gola</t>
  </si>
  <si>
    <t>JEANS- 1081-300276640-LAJEDO JEANS CONFECCOES LTDA  - Zíper</t>
  </si>
  <si>
    <t>JEANS- 1102-300277497-M DALISON DE MEDEIROS  - Zíper</t>
  </si>
  <si>
    <t>948-300275901-MAXWELA ARAÚJO SILVA LTDA  - Frente</t>
  </si>
  <si>
    <t>JEANS- 1105-300277172-MARIONETE M DE A CAMARA  - Viés </t>
  </si>
  <si>
    <t>JEANS- 1114-300279293-NOEL PEREIRA DE AZEVEDO CONFECCAO  - Elástico</t>
  </si>
  <si>
    <t>JEANS- 1103-300279289-POTENGI TEXTIL LTDA  - Elástico</t>
  </si>
  <si>
    <t>JEANS- 1109-300277056-POTENGI TEXTIL LTDA  - Elástico</t>
  </si>
  <si>
    <t>MALHA- 1121-300278639-N S CONSTANTINO LTDA  - Etiqueta de Preço</t>
  </si>
  <si>
    <t>MALHA- 1123-300278640-N S CONSTANTINO LTDA  - Etiqueta de Preço</t>
  </si>
  <si>
    <t>JEANS- 1129-300271538-POTENGI TEXTIL LTDA  - Elástico</t>
  </si>
  <si>
    <t>MALHA- 1116-300278637-N S CONSTANTINO LTDA  - Etiqueta de Preço</t>
  </si>
  <si>
    <t>961-300273008-LD CONFECÇÕES  - Bolso Frente</t>
  </si>
  <si>
    <t>944-300273008-LD CONFECÇÕES  - Bolso Frente</t>
  </si>
  <si>
    <t>JEANS- 1050-300273008-LD CONFECÇÕES  - Cós</t>
  </si>
  <si>
    <t>MALHA- 1150-300278090-VITALIZE CONFECCOES LTDA  - Lacre</t>
  </si>
  <si>
    <t>JEANS- 1076-300273729-M K INDUSTRIA TEXTIL LTDA  - Viés </t>
  </si>
  <si>
    <t>JEANS- 1138-300271538-POTENGI TEXTIL LTDA  - Etiqueta de Cós</t>
  </si>
  <si>
    <t>JEANS- 1137-300271538-POTENGI TEXTIL LTDA  - Etiqueta de Cós</t>
  </si>
  <si>
    <t>675-300270841-ACAUA CONFECCOES LTDA  - VIÉS DE REFORÇO</t>
  </si>
  <si>
    <t>JEANS- 1125-300000000-A A PEREIRA LIMITADA  - Filme Plástico</t>
  </si>
  <si>
    <t>JEANS- 1159-300281067-M K DE AZEVEDO MEDEIROS INDUSTRIA TEXTIL  - Elástico</t>
  </si>
  <si>
    <t>JEANS- 1132-300271538-POTENGI TEXTIL LTDA  - Etiqueta de Cós</t>
  </si>
  <si>
    <t>394-300271749-FLAVIA GEORGIA BRAGA SILVA CONFECCOES LTDA  - Viés de passante</t>
  </si>
  <si>
    <t>MALHA- 1163-300277695-LC TEXTIL LTDA  - Etiqueta de Preço</t>
  </si>
  <si>
    <t>MALHA- 1155-300279698-ALINE RODRIGUES DE LIMA ARAUJO  - Etiqueta de Preço</t>
  </si>
  <si>
    <t>POLO- 1139-300281472-IDEAL CONFECCOES LTDA  - Etiqueta de Preço</t>
  </si>
  <si>
    <t>POLO- 1165-300281014-FLAVIA GEORGIA BRAGA SILVA CONFECCOES LTDA  - Etiqueta de Preço</t>
  </si>
  <si>
    <t>POLO- 1161-300281401-FLAVIA GEORGIA BRAGA SILVA CONFECCOES LTDA  - Etiqueta de Preço</t>
  </si>
  <si>
    <t>MALHA- 1144-300280229-DI3 CONFECCOES LTDA  - Linhas</t>
  </si>
  <si>
    <t>928-300270875-POTENGI TEXTIL LTDA  - Alças</t>
  </si>
  <si>
    <t>MALHA- 1142-300280229-DI3 CONFECCOES LTDA  - Fios</t>
  </si>
  <si>
    <t>JEANS- 1095-300277463-M A VIEIRA DE ALMEIDA  - Viés </t>
  </si>
  <si>
    <t>MALHA- 1175-300281847-KSW CONFECCOES LTDA  - Fios</t>
  </si>
  <si>
    <t>POLO- 1141-300281472-IDEAL CONFECCOES LTDA  - Fios</t>
  </si>
  <si>
    <t>JEANS- 1157-300278588-AMORIM &amp; PEDRO CONFECCOES LTDA  - Etiqueta de Cós</t>
  </si>
  <si>
    <t>JEANS- 1152-300269799-POTENGI TEXTIL LTDA  - Etiqueta de Cós</t>
  </si>
  <si>
    <t>JEANS- 1147-300269799-POTENGI TEXTIL LTDA  - Etiqueta de Cós</t>
  </si>
  <si>
    <t>JEANS- 1174-300277059-FACCAO ELLO LTDA  - Etiqueta de Cós</t>
  </si>
  <si>
    <t>JEANS- 1140-300269799-POTENGI TEXTIL LTDA  - Cós</t>
  </si>
  <si>
    <t>JEANS- 1156-300278588-AMORIM &amp; PEDRO CONFECCOES LTDA  - Zíper</t>
  </si>
  <si>
    <t>JEANS- 1166-300280201-DONA TICA CONFECCOES LTDA MATRIZ  - Etiqueta de Cós</t>
  </si>
  <si>
    <t>JEANS- 1148-300269799-POTENGI TEXTIL LTDA  - Etiqueta de Cós</t>
  </si>
  <si>
    <t>JEANS- 1149-300269799-POTENGI TEXTIL LTDA  - Etiqueta de Cós</t>
  </si>
  <si>
    <t>JEANS- 1133-300271538-POTENGI TEXTIL LTDA  - Etiqueta de Cós</t>
  </si>
  <si>
    <t>JEANS- 1135-300271538-POTENGI TEXTIL LTDA  - Etiqueta de Cós</t>
  </si>
  <si>
    <t>JEANS- 1035-300278802-LINEA INDUSTRIA, COMERCIO &amp; SERVICOS DE CONFECCOES LTDA  - Frente</t>
  </si>
  <si>
    <t>JEANS- 1154-300278588-AMORIM &amp; PEDRO CONFECCOES LTDA  - Etiqueta de Composição</t>
  </si>
  <si>
    <t>JEANS- 1151-300269799-POTENGI TEXTIL LTDA  - Etiqueta de Composição</t>
  </si>
  <si>
    <t>POLO- 1162-300281014-FLAVIA GEORGIA BRAGA SILVA CONFECCOES LTDA  - Fios</t>
  </si>
  <si>
    <t>POLO- 1164-300281014-FLAVIA GEORGIA BRAGA SILVA CONFECCOES LTDA  - Linhas</t>
  </si>
  <si>
    <t>JEANS- 1126-300278802-LINEA INDUSTRIA, COMERCIO &amp; SERVICOS DE CONFECCOES LTDA  - Frente</t>
  </si>
  <si>
    <t>JEANS- 1192-300278428-JOSENI MARIA DE MEDEIROS  - Etiqueta Slim ou Fit</t>
  </si>
  <si>
    <t>JEANS- 1189-300275035-ASA CONFECCOES LTDA  - Zíper</t>
  </si>
  <si>
    <t>JEANS- 1190-300276746-JOSENI MARIA DE MEDEIROS  - Etiqueta Slim ou Fit</t>
  </si>
  <si>
    <t>TEAR- 1195-300281204-JOSENI MARIA DE MEDEIROS  - Etiqueta Slim ou Fit</t>
  </si>
  <si>
    <t>MALHA- 1191-300280716-VITALIZE CONFECCOES LTDA  - Linhas</t>
  </si>
  <si>
    <t>POLO- 1184-300281370-POTENGI TEXTIL LTDA  - Botão</t>
  </si>
  <si>
    <t>POLO- 1173-300281017-TECE COSTURAS E CONFECCOES LTDA  - Etiqueta de Composição</t>
  </si>
  <si>
    <t>JEANS- 1146-300277071-F &amp; L AZEVEDO CONFECCAO LTDA MATRIZ  - Elástico</t>
  </si>
  <si>
    <t>MALHA- 1194-300279696-CONFECCOES GENESIS LTDA  - Etiqueta de Composição</t>
  </si>
  <si>
    <t>JEANS- 1201-300274218-FLAVIA GEORGIA BRAGA SILVA CONFECCOES LTDA  - Etiqueta de Cós</t>
  </si>
  <si>
    <t>JEANS- 1180-300275428-ARAUJO CAMARA LTDA  - Etiqueta Bandeirola</t>
  </si>
  <si>
    <t>JEANS- 1202-300278590-POEST INDUSTRIA E COMERCIO DE VESTUARIO LTDA  - Artok Vazio</t>
  </si>
  <si>
    <t>JEANS- 1128-300273319-DANTAS E PAULINO CONFECCOES LTDA  - Cós</t>
  </si>
  <si>
    <t>991-300274125-F &amp; K FACCAO LTDA  - Traseiro</t>
  </si>
  <si>
    <t>993-300274125-F &amp; K FACCAO LTDA  - Manga</t>
  </si>
  <si>
    <t>JEANS- 1188-300277500-N S CONSTANTINO LTDA  - Etiqueta de Composição</t>
  </si>
  <si>
    <t>JEANS- 1199-300272178-JANUNCIO NOBREGA DE AZEVEDO  - Linhas</t>
  </si>
  <si>
    <t>JEANS- 1197-300276288-DIAS E ALVES CONFECCOES LTDA  - Linhas</t>
  </si>
  <si>
    <t>JEANS- 1158-300276767-FIOS DO SERTÃO  - Viés </t>
  </si>
  <si>
    <t>MALHA- 1211-300279696-CONFECCOES GENESIS LTDA  - Etiqueta de Composição</t>
  </si>
  <si>
    <t>JEANS- 1198-300275767-FIOS DO SERTÃO LTDA. (FILIAL)  - Viés </t>
  </si>
  <si>
    <t>JEANS- 1127-300277863-LIVIA REBOUCAS DE CARVALHO  - Viés </t>
  </si>
  <si>
    <t>MALHA- 1200-300277951-F DA SILVA JUNIOR  - Etiqueta de Preço</t>
  </si>
  <si>
    <t>JEANS- 1209-300272945-NOVA CONFECCOES LTDA  - Filme Plástico</t>
  </si>
  <si>
    <t>743-300275053-TENDENCIA CONFECCOES LTDA  - Viés de Passante    Aldeiza</t>
  </si>
  <si>
    <t>JEANS- 1216-300272945-NOVA CONFECCOES LTDA  - Zíper</t>
  </si>
  <si>
    <t>JEANS- 1231-300276273-DI3 CONFECCOES LTDA  - Traseiro</t>
  </si>
  <si>
    <t>MALHA- 1226-300000000-DONA TICA CONFECCOES LTDA MATRIZ  - Pistola</t>
  </si>
  <si>
    <t>MALHA- 1244-300280719-F DA SILVA JUNIOR  - Pistola</t>
  </si>
  <si>
    <t>JEANS- 1227-300280188-UNIAO CONFECCOES LTDA  - Viés </t>
  </si>
  <si>
    <t>TEAR- 1221-300274695-CONFECCOES GENESIS LTDA  - Etiqueta de Gola</t>
  </si>
  <si>
    <t>MALHA- 1228-300281183-JOSENI MARIA DE MEDEIROS  - Linhas</t>
  </si>
  <si>
    <t>TEAR- 1222-300281201-JOSENI MARIA DE MEDEIROS  - Etiqueta de Cós</t>
  </si>
  <si>
    <t>JEANS- 1234-300275046-G4 INDUSTRIA E COMERCIO DO VESTUARIO LTDA  - Linhas</t>
  </si>
  <si>
    <t>JEANS- 1246-300280211-ARAUJO E M CONFECCOES LTDA  - Linhas</t>
  </si>
  <si>
    <t>JEANS- 1229-300280213-DI3 CONFECCOES LTDA  - Viés </t>
  </si>
  <si>
    <t>POLO- 1169-300270841-ACAUA CONFECCOES LTDA  - Viés </t>
  </si>
  <si>
    <t>JEANS- 1215-300277897-FIOS DO SERTÃO  - Papelão para Gabarito</t>
  </si>
  <si>
    <t>MALHA- 1259-300277976-CONFECCAO G. B. DA SILVA JUNIOR &amp; CIA LTDA  - Etiqueta de Preço</t>
  </si>
  <si>
    <t>MALHA- 1252-300282446-F &amp; L AZEVEDO CONFECCAO LTDA FILIAL  - Etiqueta de Preço</t>
  </si>
  <si>
    <t>MALHA- 1245-300279697-CONFECCOES GENESIS LTDA  - Etiqueta de Preço</t>
  </si>
  <si>
    <t>JEANS- 1260-300277463-M A VIEIRA DE ALMEIDA  - Filme Plástico</t>
  </si>
  <si>
    <t>POLO- 1249-300281011-MAXWELA ARAÚJO SILVA LTDA  - Fios</t>
  </si>
  <si>
    <t>POLO- 1248-300282560-MAXWELA ARAÚJO SILVA LTDA  - Linhas</t>
  </si>
  <si>
    <t>POLO- 1247-300282560-MAXWELA ARAÚJO SILVA LTDA  - Fios</t>
  </si>
  <si>
    <t>POLO- 1250-300281011-MAXWELA ARAÚJO SILVA LTDA  - Linhas</t>
  </si>
  <si>
    <t>MALHA- 1233-300275628-CONFECCAO G. B. DA SILVA JUNIOR &amp; CIA LTDA  - Etiqueta de Composição</t>
  </si>
  <si>
    <t>JEANS- 1243-300277867-OFICINA DE COSTURA SANTOS LTDA  - Etiqueta de Composição</t>
  </si>
  <si>
    <t>JEANS- 1224-300280125-FLAVIA GEORGIA BRAGA SILVA CONFECCOES LTDA  - Etiqueta de Composição</t>
  </si>
  <si>
    <t>JEANS- 1167-300276220-DIAS E ALVES CONFECCOES LTDA  - Traseiro</t>
  </si>
  <si>
    <t>JEANS- 1168-300276219-DIAS E ALVES CONFECCOES LTDA  - Traseiro</t>
  </si>
  <si>
    <t>JEANS- 1265-300280204-TROPICALLIZ CONFECCOES LTDA  - Linhas</t>
  </si>
  <si>
    <t>JEANS- 1219-300281092-LINEA INDUSTRIA, COMERCIO &amp; SERVICOS DE CONFECCOES LTDA  - Viés </t>
  </si>
  <si>
    <t>JEANS- 1261-300277546-ASA CONFECCOES LTDA  - Zíper</t>
  </si>
  <si>
    <t>TEAR- 1271-300282857-CONFECCOES GENESIS LTDA  - Etiqueta de Composição</t>
  </si>
  <si>
    <t>JEANS- 1276-300277546-ASA CONFECCOES LTDA  - Filme Plástico</t>
  </si>
  <si>
    <t>JEANS- 1235-300277902-LIMA CONFECCOES LTDA  - Bolso Traseiro</t>
  </si>
  <si>
    <t>JEANS- 1210-300274636-NOVA CONFECCOES LTDA  - Bolso Relógio</t>
  </si>
  <si>
    <t>JEANS- 1241-300276746-JOSENI MARIA DE MEDEIROS  - Cós</t>
  </si>
  <si>
    <t>JEANS- 1218-300276767-FIOS DO SERTÃO  - Cós</t>
  </si>
  <si>
    <t>MALHA- 1177-300275900-P A VITURINO SERVIÇOES E CONFECÇÕES LTDA  - Traseiro</t>
  </si>
  <si>
    <t>MALHA- 1153-300278094-VITALIZE CONFECCOES LTDA  - Viés </t>
  </si>
  <si>
    <t>POLO- 1283-300281467-TECE COSTURAS E CONFECCOES LTDA  - Etiqueta de Preço</t>
  </si>
  <si>
    <t>MALHA- 1290-300276545-LC TEXTIL LTDA  - Pistola</t>
  </si>
  <si>
    <t>MALHA- 1289-300283628-LC TEXTIL LTDA  - Pistola</t>
  </si>
  <si>
    <t>JEANS- 1217-300276767-FIOS DO SERTÃO  - Viés </t>
  </si>
  <si>
    <t>JEANS- 1284-300280217-MARIONETE M DE A CAMARA  - Filme Plástico</t>
  </si>
  <si>
    <t>JEANS- 1292-300281921-M A VIEIRA DE ALMEIDA  - Etiqueta de Composição</t>
  </si>
  <si>
    <t>JEANS- 1287-300280614-JAKELINE F DE AZEVEDO  - Etiqueta de Cós</t>
  </si>
  <si>
    <t>JEANS- 1285-300273035-JAKELINE F DE AZEVEDO  - Etiqueta de Cós</t>
  </si>
  <si>
    <t>JEANS- 1274-300272528-M K DE AZEVEDO MEDEIROS INDUSTRIA TEXTIL  - Etiqueta de Cós</t>
  </si>
  <si>
    <t>JEANS- 1267-300277468-DANTAS E PAULINO CONFECCOES LTDA  - Zíper</t>
  </si>
  <si>
    <t>JEANS- 1232-300268925-CONFECCOES J. S. LTDA  - Viés </t>
  </si>
  <si>
    <t>JEANS- 1269-300277455-DANTAS E PAULINO CONFECCOES LTDA  - Etiqueta de Cós</t>
  </si>
  <si>
    <t>JEANS- 1294-300280215-N S CONSTANTINO LTDA  - Aviamento Completo</t>
  </si>
  <si>
    <t>JEANS- 1282-300277904-CABUGI CONFECCOES LTDA.  - Linhas</t>
  </si>
  <si>
    <t>TEAR- 1288-300281200-JOSENI MARIA DE MEDEIROS  - Etiqueta de Gola</t>
  </si>
  <si>
    <t>JEANS- 1275-300272528-M K DE AZEVEDO MEDEIROS INDUSTRIA TEXTIL  - Etiqueta de Composição</t>
  </si>
  <si>
    <t>JEANS- 1286-300281903-FACCAO ELLO LTDA  - Elástico</t>
  </si>
  <si>
    <t>JEANS- 1297-300283152-M A VIEIRA DE ALMEIDA  - Etiqueta de Composição</t>
  </si>
  <si>
    <t>MALHA- 1293-300281191-JOSENI MARIA DE MEDEIROS  - Etiqueta de Preço</t>
  </si>
  <si>
    <t>MALHA- 1291-300275623-DONA TICA CONFECCOES LTDA MATRIZ  - Etiqueta de Preço</t>
  </si>
  <si>
    <t>POLO- 1295-300282530-FREIRE SILVA CONFECCOES LTDA  - Etiqueta de Preço</t>
  </si>
  <si>
    <t>TEAR- 1272-300282857-CONFECCOES GENESIS LTDA  - Etiqueta de Gola</t>
  </si>
  <si>
    <t>JEANS- 1302-300280652-G4 INDUSTRIA E COMERCIO DO VESTUARIO LTDA  - Linhas</t>
  </si>
  <si>
    <t>JEANS- 1298-300281921-M A VIEIRA DE ALMEIDA  - Zíper</t>
  </si>
  <si>
    <t>JEANS- 1263-300272528-M K DE AZEVEDO MEDEIROS INDUSTRIA TEXTIL  - Elástico</t>
  </si>
  <si>
    <t>MALHA- 1281-300281188-JOSE MEDEIROS DE ARAUJO  - Etiqueta de Composição</t>
  </si>
  <si>
    <t>JEANS- 1236-300268925-CONFECCOES J. S. LTDA  - Viés </t>
  </si>
  <si>
    <t>JEANS- 1309-300281920-M A VIEIRA DE ALMEIDA  - Etiqueta de Cós</t>
  </si>
  <si>
    <t>JEANS- 1314-300276223-ACARI TÊXTIL LTDA  - Linhas</t>
  </si>
  <si>
    <t>JEANS- 1315-300282285-ASA CONFECCOES LTDA  - Linhas</t>
  </si>
  <si>
    <t>JEANS- 1306-300281069-S RAMOS DE AZEVEDO NETO CONFECCOES  - Zíper</t>
  </si>
  <si>
    <t>JEANS- 1323-300281065-JOSENI MARIA DE MEDEIROS  - Etiqueta de Cós</t>
  </si>
  <si>
    <t>JEANS- 1328-300278585-CLARA A DE MEDEIROS LEITE  - Viés </t>
  </si>
  <si>
    <t>JEANS- 1307-300280667-A S CONFECCOES LTDA  - Filme Plástico</t>
  </si>
  <si>
    <t>MALHA- 1327-300000000-ACAUA CONFECCOES LTDA  - Agulha</t>
  </si>
  <si>
    <t>JEANS- 1330-300281902-J M CONFECCOES &amp; CIA LTDA  - Filme Plástico</t>
  </si>
  <si>
    <t>JEANS- 1303-300280121-FLAVIA GEORGIA BRAGA SILVA CONFECCOES LTDA  - Etiqueta de Composição</t>
  </si>
  <si>
    <t>MALHA- 1320-300281896-POTENGI TEXTIL LTDA  - Etiqueta de Preço</t>
  </si>
  <si>
    <t>MALHA- 1326-300281642-ACAUA CONFECCOES LTDA  - Etiqueta de Preço</t>
  </si>
  <si>
    <t>JEANS- 1333-300280201-DONA TICA CONFECCOES LTDA MATRIZ  - Elástico</t>
  </si>
  <si>
    <t>JEANS- 1339-300278033-JAKELINE F DE AZEVEDO  - Etiqueta de Cós</t>
  </si>
  <si>
    <t>JEANS- 1331-300280446-FLAVIA GEORGIA BRAGA SILVA CONFECCOES LTDA  - Zíper</t>
  </si>
  <si>
    <t>MALHA- 1343-300274354-TENDENCIA CONFECCOES LTDA  - Pistola</t>
  </si>
  <si>
    <t>MALHA- 1344-300274354-TENDENCIA CONFECCOES LTDA  - Agulha</t>
  </si>
  <si>
    <t>TEAR- 1329-300279748-FREIRE SILVA CONFECCOES LTDA  - Linhas</t>
  </si>
  <si>
    <t>JEANS- 1316-300276223-ACARI TÊXTIL LTDA  - Linhas</t>
  </si>
  <si>
    <t>JEANS- 1130-300276281-F. W. DE SOUZA CONFECCOES  - Frente</t>
  </si>
  <si>
    <t>JEANS- 1300-300281921-M A VIEIRA DE ALMEIDA  - Pertingal</t>
  </si>
  <si>
    <t>JEANS- 1213-300277499-JANUNCIO NOBREGA DE AZEVEDO  - Vista</t>
  </si>
  <si>
    <t>JEANS- 1305-300280668-LAJEDO JEANS CONFECCOES LTDA  - Pala</t>
  </si>
  <si>
    <t>MALHA- 1240-300276881-MANSOUR &amp; DANTAS CONFECCOES LTDA  - Gola</t>
  </si>
  <si>
    <t>JEANS- 1273-300275035-ASA CONFECCOES LTDA  - Cós</t>
  </si>
  <si>
    <t>POLO- 1280-300281468-TROPICALLIZ CONFECCOES LTDA  - Gola</t>
  </si>
  <si>
    <t>JEANS- 1363-300280121-FLAVIA GEORGIA BRAGA SILVA CONFECCOES LTDA  - Filme Plástico</t>
  </si>
  <si>
    <t>JEANS- 1354-300281094-S RAMOS DE AZEVEDO NETO CONFECCOES  - Filme Plástico</t>
  </si>
  <si>
    <t>JEANS- 1351-300280216-LEANDRO MATIAS DA SILVA  - Filme Plástico</t>
  </si>
  <si>
    <t>JEANS- 1253-300278569-CONFECÇÃO SÃO SEBASTIÃO LTDA  - Viés </t>
  </si>
  <si>
    <t>JEANS- 1355-300279716-M K DE AZEVEDO MEDEIROS INDUSTRIA TEXTIL  - Etiqueta de Composição</t>
  </si>
  <si>
    <t>JEANS- 1369-300281496-PEDRO E ODAIR  - Filme Plástico</t>
  </si>
  <si>
    <t>JEANS- 1368-300273004-FERREIRA E ARAUJO CONFECCOES LTDA  - Filme Plástico</t>
  </si>
  <si>
    <t>JEANS- 1365-300280214-F A N CONFECCOES LTDA  - Zíper</t>
  </si>
  <si>
    <t>JEANS- 1349-300281093-LINEA INDUSTRIA, COMERCIO &amp; SERVICOS DE CONFECCOES LTDA  - Linhas</t>
  </si>
  <si>
    <t>POLO- 1356-300282558-FREIRE SILVA CONFECCOES LTDA  - Etiqueta de Preço</t>
  </si>
  <si>
    <t>JEANS- 1379-300284291-ARAUJO E M CONFECCOES LTDA  - Filme Plástico</t>
  </si>
  <si>
    <t>JEANS- 1377-300000000-ACARI TÊXTIL LTDA  - Filme Plástico</t>
  </si>
  <si>
    <t>JEANS- 1370-300280701-AMORIM &amp; PEDRO CONFECCOES LTDA  - Filme Plástico</t>
  </si>
  <si>
    <t>JEANS- 1371-300285758-F J DE AZEVEDO  - Filme Plástico</t>
  </si>
  <si>
    <t>JEANS- 1380-300283153-CONFECCAO G. B. DA SILVA JUNIOR &amp; CIA LTDA  - Filme Plástico</t>
  </si>
  <si>
    <t>MALHA- 1378-300281670-F &amp; L AZEVEDO CONFECCAO LTDA FILIAL  - Etiqueta de Composição</t>
  </si>
  <si>
    <t>TEAR- 1362-300282850-CONFECCOES GENESIS LTDA  - Etiqueta de Composição</t>
  </si>
  <si>
    <t>JEANS- 1332-300277892-CONFECCAO G. B. DA SILVA JUNIOR &amp; CIA LTDA  - Sacos para Artoks</t>
  </si>
  <si>
    <t>JEANS- 1304-300281921-M A VIEIRA DE ALMEIDA  - Cós</t>
  </si>
  <si>
    <t>JEANS- 1389-300277470-B &amp; N SILVA CONFECCOES LTDA  - Sacos para Artoks</t>
  </si>
  <si>
    <t>MALHA- 1391-300279354-JOSE MEDEIROS DE ARAUJO  - Etiqueta de Preço</t>
  </si>
  <si>
    <t>JEANS- 1418-300000000-LD CONFECÇÕES  - Filme Plástico</t>
  </si>
  <si>
    <t>JEANS- 1393-300000000-OFICINA DE COSTURA SANTOS LTDA  - Filme Plástico</t>
  </si>
  <si>
    <t>JEANS- 1388-300277470-B &amp; N SILVA CONFECCOES LTDA  - Artok Vazio</t>
  </si>
  <si>
    <t>JEANS- 1347-300283156-M K INDUSTRIA TEXTIL LTDA  - Viés </t>
  </si>
  <si>
    <t>POLO- 1409-300284027-FLAVIA GEORGIA BRAGA SILVA CONFECCOES LTDA  - Fios</t>
  </si>
  <si>
    <t>POLO- 1411-300284027-FLAVIA GEORGIA BRAGA SILVA CONFECCOES LTDA  - Linhas</t>
  </si>
  <si>
    <t>JEANS- 1412-300281502-LD CONFECÇÕES  - Zíper</t>
  </si>
  <si>
    <t>MALHA- 1410-300279121-MAXWELA ARAÚJO SILVA LTDA  - Fios</t>
  </si>
  <si>
    <t>JEANS- 1419-300279800-JOSENI MARIA DE MEDEIROS  - Linhas</t>
  </si>
  <si>
    <t>POLO- 1406-300283294-FLAVIA GEORGIA BRAGA SILVA CONFECCOES LTDA  - Fios</t>
  </si>
  <si>
    <t>POLO- 1407-300283294-FLAVIA GEORGIA BRAGA SILVA CONFECCOES LTDA  - Linhas</t>
  </si>
  <si>
    <t>MALHA- 1408-300279121-MAXWELA ARAÚJO SILVA LTDA  - Linhas</t>
  </si>
  <si>
    <t>JEANS- 1387-300281117-FIOS DO SERTÃO LTDA. (FILIAL)  - Linhas</t>
  </si>
  <si>
    <t>JEANS- 1392-300281953-M K DE AZEVEDO MEDEIROS INDUSTRIA TEXTIL  - Elástico</t>
  </si>
  <si>
    <t>POLO- 1416-300282834-FLAVIA GEORGIA BRAGA SILVA CONFECCOES LTDA  - Linhas</t>
  </si>
  <si>
    <t>POLO- 1413-300282834-FLAVIA GEORGIA BRAGA SILVA CONFECCOES LTDA  - Fios</t>
  </si>
  <si>
    <t>JEANS- 1401-300282791-DONA TICA CONFECCOES LTDA MATRIZ  - Linhas</t>
  </si>
  <si>
    <t>JEANS- 1397-300279305-NOEL PEREIRA DE AZEVEDO CONFECCAO  - Elástico</t>
  </si>
  <si>
    <t>JEANS- 1361-300280446-FLAVIA GEORGIA BRAGA SILVA CONFECCOES LTDA  - Cadarço</t>
  </si>
  <si>
    <t>JEANS- 1360-300280444-FLAVIA GEORGIA BRAGA SILVA CONFECCOES LTDA  - Cadarço</t>
  </si>
  <si>
    <t>JEANS- 1423-300280668-LAJEDO JEANS CONFECCOES LTDA  - Viés </t>
  </si>
  <si>
    <t>JEANS- 1334-300273316-FIOS DO SERTÃO LTDA. (FILIAL)  - Cós</t>
  </si>
  <si>
    <t>MALHA- 1384-300281208-LC TEXTIL LTDA  - Etiqueta de Composição</t>
  </si>
  <si>
    <t>JEANS- 1433-300278891-DANTAS E PAULINO CONFECCOES LTDA  - Linhas</t>
  </si>
  <si>
    <t>JEANS- 1386-300281094-S RAMOS DE AZEVEDO NETO CONFECCOES  - Passante</t>
  </si>
  <si>
    <t>JEANS- 1436-300278891-DANTAS E PAULINO CONFECCOES LTDA  - Linhas</t>
  </si>
  <si>
    <t>JEANS- 1443-300278795-CONFECÇÃO SÃO SEBASTIÃO LTDA  - Zíper</t>
  </si>
  <si>
    <t>JEANS- 1426-300281065-JOSENI MARIA DE MEDEIROS  - Etiqueta de Cós</t>
  </si>
  <si>
    <t>JEANS- 1381-300279709-ARAUJO CAMARA LTDA  - Elástico</t>
  </si>
  <si>
    <t>JEANS- 1367-300276802-FENIX INDUSTRIA TEXTIL LTDA  - Passante</t>
  </si>
  <si>
    <t>POLO- 1444-300282839-POTENGI TEXTIL LTDA  - Botão</t>
  </si>
  <si>
    <t>JEANS- 1308-300273316-FIOS DO SERTÃO LTDA. (FILIAL)  - Pertingal</t>
  </si>
  <si>
    <t>587-300273879-POTENGI TEXTIL LTDA  - Frente   Estamos verificando com a Aldeiza a possibilidade de podemos fazer completa</t>
  </si>
  <si>
    <t>JEANS- 1310-300277057-FACCAO ELLO LTDA  - Vista</t>
  </si>
  <si>
    <t>JEANS- 1455-300284288-TENDENCIA CONFECCOES LTDA  - Filme Plástico</t>
  </si>
  <si>
    <t>POLO- 1432-300281470-TROPICALLIZ CONFECCOES LTDA  - Punho</t>
  </si>
  <si>
    <t>JEANS- 1447-300278812-IDEAL CONFECCOES LTDA  - Etiqueta de Cós</t>
  </si>
  <si>
    <t>JEANS- 1464-300284286-FLAVIA GEORGIA BRAGA SILVA CONFECCOES LTDA  - Zíper</t>
  </si>
  <si>
    <t>JEANS- 1463-300284286-FLAVIA GEORGIA BRAGA SILVA CONFECCOES LTDA  - Zíper</t>
  </si>
  <si>
    <t>JEANS- 1457-300284286-FLAVIA GEORGIA BRAGA SILVA CONFECCOES LTDA  - Etiqueta Slim ou Fit</t>
  </si>
  <si>
    <t>JEANS- 1451-300277486-F &amp; L AZEVEDO CONFECCAO LTDA MATRIZ  - Etiqueta de Cós</t>
  </si>
  <si>
    <t>MALHA- 1460-300274357-TENDENCIA CONFECCOES LTDA  - Etiqueta de Gola</t>
  </si>
  <si>
    <t>JEANS- 1468-300279366-F A N CONFECCOES LTDA  - Linhas</t>
  </si>
  <si>
    <t>TEAR- 1465-300283147-CONFECCOES GENESIS LTDA  - Linhas</t>
  </si>
  <si>
    <t>MALHA- 1448-300280742-F &amp; L AZEVEDO CONFECCAO LTDA FILIAL  - Etiqueta de Preço</t>
  </si>
  <si>
    <t>POLO- 1178-300270841-ACAUA CONFECCOES LTDA  - Punho</t>
  </si>
  <si>
    <t>MALHA- 1359-300277976-CONFECCAO G. B. DA SILVA JUNIOR &amp; CIA LTDA  - Traseiro</t>
  </si>
  <si>
    <t>JEANS- 1230-300272945-NOVA CONFECCOES LTDA  - Traseiro</t>
  </si>
  <si>
    <t>JEANS- 1428-300281114-CONFECÇÃO SÃO SEBASTIÃO LTDA  - Viés </t>
  </si>
  <si>
    <t>JEANS- 1458-300281921-M A VIEIRA DE ALMEIDA  - Etiqueta de Composição</t>
  </si>
  <si>
    <t>JEANS- 1473-300281954-M K DE AZEVEDO MEDEIROS INDUSTRIA TEXTIL  - Elástico</t>
  </si>
  <si>
    <t>JEANS- 1471-300279366-F A N CONFECCOES LTDA  - Linhas</t>
  </si>
  <si>
    <t>JEANS- 1474-300279716-M K DE AZEVEDO MEDEIROS INDUSTRIA TEXTIL  - Elástico</t>
  </si>
  <si>
    <t>MALHA- 1445-300281892-VITALIZE CONFECCOES LTDA  - Etiqueta de Composição</t>
  </si>
  <si>
    <t>POLO- 1402-300282098-F &amp; K FACCAO LTDA  - Peitilho</t>
  </si>
  <si>
    <t>JEANS- 1459-300283561-FACCAO ELLO LTDA  - Elástico</t>
  </si>
  <si>
    <t>JEANS- 1462-300283559-FACCAO ELLO LTDA  - Elástico</t>
  </si>
  <si>
    <t>JEANS- 1476-300281904-J. S. &amp; SILVA LTDA  - Elástico</t>
  </si>
  <si>
    <t>JEANS- 1461-300283560-FACCAO ELLO LTDA  - Elástico</t>
  </si>
  <si>
    <t>TEAR- 1466-300282850-CONFECCOES GENESIS LTDA  - Linhas</t>
  </si>
  <si>
    <t>MALHA- 1507-300277303-M A P FORTE FORTEX PRODUCAO TEXTIL  - Lacre</t>
  </si>
  <si>
    <t>JEANS- 1399-300273321-CONFECCOES J. S. LTDA  - Cós</t>
  </si>
  <si>
    <t>JEANS- 1403-300277546-ASA CONFECCOES LTDA  - Cós</t>
  </si>
  <si>
    <t>POLO- 1390-300282831-MAXWELA ARAÚJO SILVA LTDA  - Viés </t>
  </si>
  <si>
    <t>JEANS- 1493-300281956-DI3 CONFECCOES LTDA  - Etiqueta de Composição</t>
  </si>
  <si>
    <t>JEANS- 1505-300281130-B &amp; N SILVA CONFECCOES LTDA  - Linhas</t>
  </si>
  <si>
    <t>POLO- 1508-300282558-FREIRE SILVA CONFECCOES LTDA  - Etiqueta de Preço</t>
  </si>
  <si>
    <t>TEAR- 1510-300279749-FREIRE SILVA CONFECCOES LTDA  - Etiqueta de Preço</t>
  </si>
  <si>
    <t>JEANS- 1490-300285046-ACARI TÊXTIL LTDA  - Linhas</t>
  </si>
  <si>
    <t>MALHA- 1496-300281208-LC TEXTIL LTDA  - Etiqueta de Preço</t>
  </si>
  <si>
    <t>JEANS- 1491-300280219-UNIAO CONFECCOES LTDA  - Linhas</t>
  </si>
  <si>
    <t>JEANS- 1506-300281130-B &amp; N SILVA CONFECCOES LTDA  - Linhas</t>
  </si>
  <si>
    <t>JEANS- 1531-300285043-DI3 CONFECCOES LTDA  - Linhas</t>
  </si>
  <si>
    <t>JEANS- 1503-300283559-FACCAO ELLO LTDA  - Linhas</t>
  </si>
  <si>
    <t>JEANS- 1498-300283560-FACCAO ELLO LTDA  - Linhas</t>
  </si>
  <si>
    <t>JEANS- 1495-300283561-FACCAO ELLO LTDA  - Linhas</t>
  </si>
  <si>
    <t>JEANS- 1501-300283561-FACCAO ELLO LTDA  - Linhas</t>
  </si>
  <si>
    <t>JEANS- 1502-300283560-FACCAO ELLO LTDA  - Linhas</t>
  </si>
  <si>
    <t>JEANS- 1500-300283559-FACCAO ELLO LTDA  - Linhas</t>
  </si>
  <si>
    <t>MALHA- 1523-300284485-SOLIS CONFECCOES LTDA  - Pino</t>
  </si>
  <si>
    <t>TEAR- 1517-300283174-M A P FORTE FORTEX PRODUCAO TEXTIL  - Etiqueta de Composição</t>
  </si>
  <si>
    <t>MALHA- 1514-300283445-CONFECCAO G. B. DA SILVA JUNIOR &amp; CIA LTDA  - Etiqueta de Composição</t>
  </si>
  <si>
    <t>JEANS- 1511-300283186-F &amp; L AZEVEDO CONFECCAO LTDA MATRIZ  - Elástico</t>
  </si>
  <si>
    <t>JEANS- 1512-300283187-F &amp; L AZEVEDO CONFECCAO LTDA MATRIZ  - Elástico</t>
  </si>
  <si>
    <t>JEANS- 1382-300279709-ARAUJO CAMARA LTDA  - Viés </t>
  </si>
  <si>
    <t>JEANS- 1532-300279305-NOEL PEREIRA DE AZEVEDO CONFECCAO  - Etiqueta de Composição</t>
  </si>
  <si>
    <t>JEANS- 1487-300280189-JOSENI MARIA DE MEDEIROS  - Viés </t>
  </si>
  <si>
    <t>JEANS- 1540-300282285-ASA CONFECCOES LTDA  - Viés </t>
  </si>
  <si>
    <t>JEANS- 1516-300283560-FACCAO ELLO LTDA  - Etiqueta de Cós</t>
  </si>
  <si>
    <t>JEANS- 1504-300272653-NOVA CONFECCOES LTDA  - Zíper</t>
  </si>
  <si>
    <t>JEANS- 1499-300281417-POTENGI TEXTIL LTDA  - Zíper</t>
  </si>
  <si>
    <t>JEANS- 1497-300281417-POTENGI TEXTIL LTDA  - Zíper</t>
  </si>
  <si>
    <t>JEANS- 1533-300279305-NOEL PEREIRA DE AZEVEDO CONFECCAO  - Papelão para Gabarito</t>
  </si>
  <si>
    <t>JEANS- 1534-300283158-JOSE MEDEIROS DE ARAUJO  - Etiqueta de Cós</t>
  </si>
  <si>
    <t>TEAR- 1484-300283683-DANJAN CONFECCOES LTDA  - Etiqueta de Gola</t>
  </si>
  <si>
    <t>JEANS- 1538-300282285-ASA CONFECCOES LTDA  - Etiqueta de Cós</t>
  </si>
  <si>
    <t>TEAR- 1478-300283683-DANJAN CONFECCOES LTDA  - Linhas</t>
  </si>
  <si>
    <t>MALHA- 1552-300274892-LC TEXTIL LTDA  - Etiqueta de Composição</t>
  </si>
  <si>
    <t>MALHA- 1541-300281136-LC TEXTIL LTDA  - Etiqueta de Preço</t>
  </si>
  <si>
    <t>POLO- 1454-300283297-FLAVIA GEORGIA BRAGA SILVA CONFECCOES LTDA  - Viés </t>
  </si>
  <si>
    <t>JEANS- 1437-300278891-DANTAS E PAULINO CONFECCOES LTDA  - Pertingal</t>
  </si>
  <si>
    <t>JEANS- 1442-300278591-CONFECÇÃO SÃO SEBASTIÃO LTDA  - Forro</t>
  </si>
  <si>
    <t>JEANS- 1551-300281502-LD CONFECÇÕES  - Viés </t>
  </si>
  <si>
    <t>JEANS- 1554-300285049-ACARI TÊXTIL LTDA  - Linhas</t>
  </si>
  <si>
    <t>TEAR- 1556-300283684-DANJAN CONFECCOES LTDA  - Linhas</t>
  </si>
  <si>
    <t>JEANS- 1550-300285047-ACARI TÊXTIL LTDA  - Linhas</t>
  </si>
  <si>
    <t>JEANS- 1553-300285269-ACARI TÊXTIL LTDA  - Linhas</t>
  </si>
  <si>
    <t>JEANS- 1542-300279730-TROPICALLIZ CONFECCOES LTDA  - Linhas</t>
  </si>
  <si>
    <t>JEANS- 1559-300280651-F. W. DE SOUZA CONFECCOES  - Filme Plástico</t>
  </si>
  <si>
    <t>JEANS- 1564-300283191-FACCAO SANTANENSE LTDA  - Filme Plástico</t>
  </si>
  <si>
    <t>JEANS- 1569-300285609-A. S. EMPREENDIMENTOS LTDA  - Filme Plástico</t>
  </si>
  <si>
    <t>JEANS- 1561-300281507-M K INDUSTRIA TEXTIL LTDA  - Zíper</t>
  </si>
  <si>
    <t>JEANS- 1567-300282337-F J DE AZEVEDO  - Zíper</t>
  </si>
  <si>
    <t>JEANS- 1560-300278796-M K INDUSTRIA TEXTIL LTDA  - Etiqueta de Cós</t>
  </si>
  <si>
    <t>JEANS- 1544-300283561-FACCAO ELLO LTDA  - Etiqueta de Cós</t>
  </si>
  <si>
    <t>JEANS- 1565-300278542-FIOS DO SERTÃO LTDA. (FILIAL)  - Zíper</t>
  </si>
  <si>
    <t>JEANS- 1563-300280139-LUIZ LUPERCIO DA SILVA JUNIOR  - Etiqueta de Composição</t>
  </si>
  <si>
    <t>MALHA- 1555-300285466-CONFECCAO G. B. DA SILVA JUNIOR &amp; CIA LTDA  - Etiqueta de Preço</t>
  </si>
  <si>
    <t>MALHA- 1566-300284833-JOSE MEDEIROS DE ARAUJO  - Etiqueta de Preço</t>
  </si>
  <si>
    <t>MALHA- 1558-300278634-F &amp; L AZEVEDO CONFECCAO LTDA FILIAL  - Etiqueta de Preço</t>
  </si>
  <si>
    <t>MALHA- 1546-300284843-LC TEXTIL LTDA  - Etiqueta de Preço</t>
  </si>
  <si>
    <t>POLO- 1572-300282906-F &amp; K FACCAO LTDA  - Etiqueta de Preço</t>
  </si>
  <si>
    <t>JEANS- 1598-300285268-A S CONFECCOES LTDA  - Linhas</t>
  </si>
  <si>
    <t>JEANS- 1597-300285262-A S CONFECCOES LTDA  - Linhas</t>
  </si>
  <si>
    <t>POLO- 1573-300281470-TROPICALLIZ CONFECCOES LTDA  - Fios</t>
  </si>
  <si>
    <t>JEANS- 1577-300284299-J M CONFECCOES &amp; CIA LTDA  - Etiqueta de Cós</t>
  </si>
  <si>
    <t>JEANS- 1583-300281929-JANUNCIO NOBREGA DE AZEVEDO  - Etiqueta de Composição</t>
  </si>
  <si>
    <t>MALHA- 1581-300286717-ACAUA CONFECCOES LTDA  - Etiqueta de Preço</t>
  </si>
  <si>
    <t>MALHA- 1607-300285833-SOLIS CONFECCOES LTDA  - Etiqueta de Composição</t>
  </si>
  <si>
    <t>JEANS- 1605-300278897-CLARA A DE MEDEIROS LEITE  - Etiqueta de Cós</t>
  </si>
  <si>
    <t>MALHA- 1612-300000000-G&amp;C EMPREENDIMENTOS TEXTIL LTDA  - Lacre</t>
  </si>
  <si>
    <t>JEANS- 1602-300277529-JOSENI MARIA DE MEDEIROS  - Linhas</t>
  </si>
  <si>
    <t>JEANS- 1584-300273322-LIVIA REBOUCAS DE CARVALHO  - Etiqueta de Cós</t>
  </si>
  <si>
    <t>JEANS- 1589-300283943-POTENGI TEXTIL LTDA  - Elástico</t>
  </si>
  <si>
    <t>MALHA- 1312-300282880-DONA TICA CONFECCOES LTDA MATRIZ  - Frente</t>
  </si>
  <si>
    <t>MALHA- 1609-300280732-F &amp; L AZEVEDO CONFECCAO LTDA FILIAL  - Etiqueta de Preço</t>
  </si>
  <si>
    <t>MALHA- 1608-300280243-F &amp; L AZEVEDO CONFECCAO LTDA FILIAL  - Etiqueta de Preço</t>
  </si>
  <si>
    <t>MALHA- 1341-300280748-F &amp; K FACCAO LTDA  - Traseiro</t>
  </si>
  <si>
    <t>MALHA- 1350-300269047-A X DA PENHA FILHO LTDA  - Gola</t>
  </si>
  <si>
    <t>MALHA- 1536-300273879-LC TEXTIL LTDA  - Gola</t>
  </si>
  <si>
    <t>JEANS- 1616-300284294-CABUGI CONFECCOES LTDA.  - Filme Plástico</t>
  </si>
  <si>
    <t>MALHA- 1615-300286252-GEFERSON ALAN DOS SANTOS SILVA  - Lacre</t>
  </si>
  <si>
    <t>JEANS- 1628-300281532-ANTONIO IGOR DANTAS DE SOUZA  - Silicone</t>
  </si>
  <si>
    <t>JEANS- 1630-300276224-A S CONFECCOES LTDA  - Zíper</t>
  </si>
  <si>
    <t>JEANS- 1620-300280200-N S CONSTANTINO LTDA  - Linhas</t>
  </si>
  <si>
    <t>JEANS- 1623-300281929-JANUNCIO NOBREGA DE AZEVEDO  - Zíper</t>
  </si>
  <si>
    <t>JEANS- 1477-300284283-ACARI TÊXTIL LTDA  - Frente</t>
  </si>
  <si>
    <t>MALHA- 1160-300280739-EBENEZER INDUSTRIA TEXTIL LTDA  - Viés </t>
  </si>
  <si>
    <t>MALHA- 1472-300282423-DONA TICA CONFECCOES LTDA MATRIZ  - Viés </t>
  </si>
  <si>
    <t>JEANS- 1494-300280184-A S CONFECCOES LTDA  - Passante</t>
  </si>
  <si>
    <t>MALHA- 1535-300273879-LC TEXTIL LTDA  - Frente</t>
  </si>
  <si>
    <t>MALHA- 1537-300273879-LC TEXTIL LTDA  - Manga</t>
  </si>
  <si>
    <t>JEANS- 1521-300283924-FACCAO ELLO LTDA  - Cadarço</t>
  </si>
  <si>
    <t>JEANS- 1518-300283559-FACCAO ELLO LTDA  - Cadarço</t>
  </si>
  <si>
    <t>JEANS- 1520-300283561-FACCAO ELLO LTDA  - Cadarço</t>
  </si>
  <si>
    <t>JEANS- 1519-300283560-FACCAO ELLO LTDA  - Cadarço</t>
  </si>
  <si>
    <t>MALHA- 1633-300280733-DI3 CONFECCOES LTDA  - Fios</t>
  </si>
  <si>
    <t>JEANS- 1637-300283188-AJG CONFECCOES LTDA  - Etiqueta de Cós</t>
  </si>
  <si>
    <t>JEANS- 1634-300278034-JAKELINE F DE AZEVEDO  - Etiqueta de Cós</t>
  </si>
  <si>
    <t>MALHA- 1631-300278645-DI3 CONFECCOES LTDA  - Fios</t>
  </si>
  <si>
    <t>MALHA- 1629-300282863-F DA SILVA JUNIOR  - Etiqueta de Preço</t>
  </si>
  <si>
    <t>MALHA- 1640-300283628-LC TEXTIL LTDA  - Etiqueta de Preço</t>
  </si>
  <si>
    <t>MALHA- 1622-300286704-P A VITURINO SERVIÇOES E CONFECÇÕES LTDA  - Etiqueta de Preço</t>
  </si>
  <si>
    <t>MALHA- 1641-300286718-ACAUA CONFECCOES LTDA  - Etiqueta de Preço</t>
  </si>
  <si>
    <t>JEANS- 1467-300284288-TENDENCIA CONFECCOES LTDA  - Revel</t>
  </si>
  <si>
    <t>MALHA- 1539-300278632-SOLY BRASIL LTDA  - Gola</t>
  </si>
  <si>
    <t>JEANS- 1571-300278791-F A N CONFECCOES LTDA  - Forro</t>
  </si>
  <si>
    <t>JEANS- 1515-300278894-G4 INDUSTRIA E COMERCIO DO VESTUARIO LTDA  - Cós</t>
  </si>
  <si>
    <t>MALHA- 1650-300286703-P A VITURINO SERVIÇOES E CONFECÇÕES LTDA  - Etiqueta de Preço</t>
  </si>
  <si>
    <t>JEANS- 1655-300280666-IDEAL CONFECCOES LTDA  - Filme Plástico</t>
  </si>
  <si>
    <t>MALHA- 1001-300275904-G&amp;C EMPREENDIMENTOS TEXTIL LTDA  - Gola</t>
  </si>
  <si>
    <t>JEANS- 1642-300278894-G4 INDUSTRIA E COMERCIO DO VESTUARIO LTDA  - Viés </t>
  </si>
  <si>
    <t>POLO- 1645-300284376-TECE COSTURAS E CONFECCOES LTDA  - Fios</t>
  </si>
  <si>
    <t>POLO- 1646-300284376-TECE COSTURAS E CONFECCOES LTDA  - Linhas</t>
  </si>
  <si>
    <t>POLO- 1643-300284379-TECE COSTURAS E CONFECCOES LTDA  - Fios</t>
  </si>
  <si>
    <t>POLO- 1644-300284379-TECE COSTURAS E CONFECCOES LTDA  - Linhas</t>
  </si>
  <si>
    <t>MALHA- 1653-300286265-JOSENI MARIA DE MEDEIROS  - Etiqueta de Composição</t>
  </si>
  <si>
    <t>JEANS- 1557-300282322-I M DE OLIVEIRA SILVA  - Passante</t>
  </si>
  <si>
    <t>JEANS- 1624-300281929-JANUNCIO NOBREGA DE AZEVEDO  - Viés </t>
  </si>
  <si>
    <t>JEANS- 1594-300284287-LINEA INDUSTRIA, COMERCIO &amp; SERVICOS DE CONFECCOES LTDA  - Viés </t>
  </si>
  <si>
    <t>JEANS- 1475-300284279-ASA CONFECCOES LTDA  - Cós</t>
  </si>
  <si>
    <t>JEANS- 1576-300275027-LINEA INDUSTRIA, COMERCIO &amp; SERVICOS DE CONFECCOES LTDA  - Cós</t>
  </si>
  <si>
    <t>JEANS- 1522-300277546-ASA CONFECCOES LTDA  - Cós</t>
  </si>
  <si>
    <t>JEANS- 1599-300277529-JOSENI MARIA DE MEDEIROS  - Traseiro</t>
  </si>
  <si>
    <t>JEANS- 1600-300277529-JOSENI MARIA DE MEDEIROS  - Frente</t>
  </si>
  <si>
    <t>JEANS- 1479-300281878-A A PEREIRA LIMITADA  - Forro</t>
  </si>
  <si>
    <t>JEANS- 1601-300277529-JOSENI MARIA DE MEDEIROS  - Braguilha</t>
  </si>
  <si>
    <t>JEANS- 1654-300281114-CONFECÇÃO SÃO SEBASTIÃO LTDA  - Viés </t>
  </si>
  <si>
    <t>MALHA- 1632-300280733-DI3 CONFECCOES LTDA  - Linhas</t>
  </si>
  <si>
    <t>JEANS- 1647-300277548-FACCAO SANTANENSE LTDA  - Etiqueta de Composição</t>
  </si>
  <si>
    <t>MALHA- 1348-300283435-DI3 CONFECCOES LTDA  - Peça Completa</t>
  </si>
  <si>
    <t>JEANS- 1582-300281929-JANUNCIO NOBREGA DE AZEVEDO  - Etiqueta de Gola</t>
  </si>
  <si>
    <t>JEANS- 1482-300281878-A A PEREIRA LIMITADA  - Bolso Traseiro</t>
  </si>
  <si>
    <t>JEANS- 1481-300281878-A A PEREIRA LIMITADA  - Cós</t>
  </si>
  <si>
    <t>JEANS- 1613-300273316-FIOS DO SERTÃO LTDA. (FILIAL)  - Cós</t>
  </si>
  <si>
    <t>MALHA- 1667-300286229-GEFERSON ALAN DOS SANTOS SILVA  - Etiqueta de Preço</t>
  </si>
  <si>
    <t>MALHA- 1665-300280242-POTENGI TEXTIL LTDA  - Etiqueta de Preço</t>
  </si>
  <si>
    <t>JEANS- 1662-300285265-ACARI TÊXTIL LTDA  - Linhas</t>
  </si>
  <si>
    <t>TEAR- 1672-300283685-DANJAN CONFECCOES LTDA  - Linhas</t>
  </si>
  <si>
    <t>JEANS- 1671-300285692-LAJEDO JEANS CONFECCOES LTDA  - Zíper</t>
  </si>
  <si>
    <t>JEANS- 1676-300280210-JOSE MEDEIROS DE ARAUJO  - Zíper</t>
  </si>
  <si>
    <t>POLO- 1660-300281470-TROPICALLIZ CONFECCOES LTDA  - Botão</t>
  </si>
  <si>
    <t>TEAR- 1652-300284491-JOSENI MARIA DE MEDEIROS  - Etiqueta de Gola</t>
  </si>
  <si>
    <t>JEANS- 1661-300282777-JOSE MEDEIROS DE ARAUJO  - Etiqueta de Cós</t>
  </si>
  <si>
    <t>JEANS- 1663-300279360-DANJAN CONFECCOES LTDA  - Etiqueta de Cós</t>
  </si>
  <si>
    <t>POLO- 1648-300284379-TECE COSTURAS E CONFECCOES LTDA  - Gola</t>
  </si>
  <si>
    <t>POLO- 1682-300283692-TROPICALLIZ CONFECCOES LTDA  - Linhas</t>
  </si>
  <si>
    <t>TEAR- 1657-300274690-ALANIS QUEIROZ LTDA  - Etiqueta de Composição</t>
  </si>
  <si>
    <t>MALHA- 1658-300286717-ACAUA CONFECCOES LTDA  - Etiqueta de Preço</t>
  </si>
  <si>
    <t>JEANS- 1683-300281501-OFICINA DE COSTURA SANTOS LTDA  - Zíper</t>
  </si>
  <si>
    <t>JEANS- 1679-300284181-JAKELINE F DE AZEVEDO  - Artok Vazio</t>
  </si>
  <si>
    <t>JEANS- 1684-300283930-AJG CONFECCOES LTDA  - Filme Plástico</t>
  </si>
  <si>
    <t>JEANS- 1586-300279305-NOEL PEREIRA DE AZEVEDO CONFECCAO  - Etiqueta de Cós</t>
  </si>
  <si>
    <t>JEANS- 1695-300274635-JANUNCIO NOBREGA DE AZEVEDO  - Linhas</t>
  </si>
  <si>
    <t>TEAR- 1590-300281205-FREIRE SILVA CONFECCOES LTDA  - Linhas</t>
  </si>
  <si>
    <t>POLO- 1694-300286616-TECE COSTURAS E CONFECCOES LTDA  - Linhas</t>
  </si>
  <si>
    <t>POLO- 1693-300286616-TECE COSTURAS E CONFECCOES LTDA  - Fios</t>
  </si>
  <si>
    <t>POLO- 1691-300285089-TECE COSTURAS E CONFECCOES LTDA  - Fios</t>
  </si>
  <si>
    <t>POLO- 1692-300285089-TECE COSTURAS E CONFECCOES LTDA  - Linhas</t>
  </si>
  <si>
    <t>JEANS- 1697-300274635-JANUNCIO NOBREGA DE AZEVEDO  - Etiqueta de Cós</t>
  </si>
  <si>
    <t>TEAR- 1688-300284490-JOSENI MARIA DE MEDEIROS  - Etiqueta de Gola</t>
  </si>
  <si>
    <t>JEANS- 1686-300281929-JANUNCIO NOBREGA DE AZEVEDO  - Etiqueta de Gola</t>
  </si>
  <si>
    <t>JEANS- 1681-300278891-DANTAS E PAULINO CONFECCOES LTDA  - Cós</t>
  </si>
  <si>
    <t>JEANS- 1680-300265820-DANTAS E PAULINO CONFECCOES LTDA  - Cós</t>
  </si>
  <si>
    <t>JEANS- 1580-300281929-JANUNCIO NOBREGA DE AZEVEDO  - Frente</t>
  </si>
  <si>
    <t>JEANS- 1579-300281929-JANUNCIO NOBREGA DE AZEVEDO  - Traseiro</t>
  </si>
  <si>
    <t>MALHA- 1578-300282426-KSW CONFECCOES LTDA  - Traseiro</t>
  </si>
  <si>
    <t>JEANS- 1639-300278036-JAKELINE F DE AZEVEDO  - Bolso Frente</t>
  </si>
  <si>
    <t>JEANS- 1638-300278034-JAKELINE F DE AZEVEDO  - Bolso Frente</t>
  </si>
  <si>
    <t>JEANS- 1677-300280446-FLAVIA GEORGIA BRAGA SILVA CONFECCOES LTDA  - Cós</t>
  </si>
  <si>
    <t>JEANS- 1690-300281523-POEST INDUSTRIA E COMERCIO DE VESTUARIO LTDA  - Sacos para Artoks</t>
  </si>
  <si>
    <t>MALHA- 1708-300000000-ACAUA CONFECCOES LTDA  - Pistola</t>
  </si>
  <si>
    <t>TEAR- 1698-300285462-CONFECCOES GENESIS LTDA  - Pistola</t>
  </si>
  <si>
    <t>JEANS- 1701-300279706-DANJAN CONFECCOES LTDA  - Etiqueta de Cós</t>
  </si>
  <si>
    <t>JEANS- 1705-300284181-JAKELINE F DE AZEVEDO  - Etiqueta de Cós</t>
  </si>
  <si>
    <t>MALHA- 1711-300280766-CONFECCOES GENESIS LTDA  - Fios</t>
  </si>
  <si>
    <t>MALHA- 1712-300280766-CONFECCOES GENESIS LTDA  - Linhas</t>
  </si>
  <si>
    <t>JEANS- 1703-300282789-NOVA CONFECCOES LTDA  - Zíper</t>
  </si>
  <si>
    <t>JEANS- 1706-300277124-JOSE MEDEIROS DE ARAUJO  - Etiqueta de Cós</t>
  </si>
  <si>
    <t>JEANS- 1713-300281929-JANUNCIO NOBREGA DE AZEVEDO  - Zíper</t>
  </si>
  <si>
    <t>JEANS- 1710-300285683-A. S. EMPREENDIMENTOS LTDA  - Etiqueta de Cós</t>
  </si>
  <si>
    <t>JEANS- 1709-300285683-A. S. EMPREENDIMENTOS LTDA  - Zíper</t>
  </si>
  <si>
    <t>JEANS- 1659-300285267-DIAS E ALVES CONFECCOES LTDA  - Passante</t>
  </si>
  <si>
    <t>JEANS- 1722-300282334-FIOS DO SERTÃO LTDA. (FILIAL)  - Linhas</t>
  </si>
  <si>
    <t>POLO- 1723-300278731-IDEAL CONFECCOES LTDA  - Fios</t>
  </si>
  <si>
    <t>POLO- 1724-300278731-IDEAL CONFECCOES LTDA  - Linhas</t>
  </si>
  <si>
    <t>MALHA- 1721-300286756-ALINE RODRIGUES DE LIMA ARAUJO  - Etiqueta de Preço</t>
  </si>
  <si>
    <t>JEANS- 1726-300286142-DI3 CONFECCOES LTDA  - Silicone</t>
  </si>
  <si>
    <t>JEANS- 1727-300281534-S RAMOS DE AZEVEDO NETO CONFECCOES  - Etiqueta de Cós</t>
  </si>
  <si>
    <t>JEANS- 1529-300278897-CLARA A DE MEDEIROS LEITE  - Braguilha</t>
  </si>
  <si>
    <t>JEANS- 1530-300278897-CLARA A DE MEDEIROS LEITE  - Cós</t>
  </si>
  <si>
    <t>JEANS- 1526-300278897-CLARA A DE MEDEIROS LEITE  - Bolso Relógio</t>
  </si>
  <si>
    <t>JEANS- 1528-300278897-CLARA A DE MEDEIROS LEITE  - Pertingal</t>
  </si>
  <si>
    <t>MALHA- 1256-300280083-JOSE MEDEIROS DE ARAUJO  - Viés </t>
  </si>
  <si>
    <t>JEANS- 1716-300281532-ANTONIO IGOR DANTAS DE SOUZA  - Pertingal</t>
  </si>
  <si>
    <t>JEANS- 1704-300284281-IVANILDO JOSE DE SOUZA  - Forro</t>
  </si>
  <si>
    <t>JEANS- 1717-300281532-ANTONIO IGOR DANTAS DE SOUZA  - Bolso Relógio</t>
  </si>
  <si>
    <t>MALHA- 1089-300280758-KSW CONFECCOES LTDA  - Gola</t>
  </si>
  <si>
    <t>MALHA- 1090-300280751-KSW CONFECCOES LTDA  - Gola</t>
  </si>
  <si>
    <t>MALHA- 1746-300282709-LC TEXTIL LTDA  - Etiqueta de Preço</t>
  </si>
  <si>
    <t>JEANS- 1748-300278542-FIOS DO SERTÃO LTDA. (FILIAL)  - Filme Plástico</t>
  </si>
  <si>
    <t>JEANS- 1758-300285268-A S CONFECCOES LTDA  - Filme Plástico</t>
  </si>
  <si>
    <t>JEANS- 1739-300285106-LAJEDO JEANS CONFECCOES LTDA  - Filme Plástico</t>
  </si>
  <si>
    <t>JEANS- 1747-300000000-ACARI TÊXTIL LTDA  - Filme Plástico</t>
  </si>
  <si>
    <t>JEANS- 1771-300286537-N S CONSTANTINO LTDA  - Filme Plástico</t>
  </si>
  <si>
    <t>POLO- 1734-300282807-SERRANA TEXTIL LTDA  - Fios</t>
  </si>
  <si>
    <t>JEANS- 1770-300282759-N S CONSTANTINO LTDA  - Filme Plástico</t>
  </si>
  <si>
    <t>POLO- 1731-300282807-SERRANA TEXTIL LTDA  - Linhas</t>
  </si>
  <si>
    <t>POLO- 1736-300285086-SERRANA TEXTIL LTDA  - Linhas</t>
  </si>
  <si>
    <t>POLO- 1738-300284373-SERRANA TEXTIL LTDA  - Linhas</t>
  </si>
  <si>
    <t>POLO- 1733-300283691-SERRANA TEXTIL LTDA  - Linhas</t>
  </si>
  <si>
    <t>POLO- 1737-300285086-SERRANA TEXTIL LTDA  - Fios</t>
  </si>
  <si>
    <t>JEANS- 1740-300283555-POTENGI TEXTIL LTDA  - Etiqueta de Cós</t>
  </si>
  <si>
    <t>JEANS- 1741-300283555-POTENGI TEXTIL LTDA  - Etiqueta de Cós</t>
  </si>
  <si>
    <t>JEANS- 1755-300281926-G4 INDUSTRIA E COMERCIO DO VESTUARIO LTDA  - Zíper</t>
  </si>
  <si>
    <t>JEANS- 1742-300283555-POTENGI TEXTIL LTDA  - Etiqueta de Cós</t>
  </si>
  <si>
    <t>JEANS- 1756-300286128-A A PEREIRA LIMITADA  - Elástico</t>
  </si>
  <si>
    <t>JEANS- 1743-300283555-POTENGI TEXTIL LTDA  - Etiqueta de Cós</t>
  </si>
  <si>
    <t>JEANS- 1764-300277529-JOSENI MARIA DE MEDEIROS  - Etiqueta de Cós</t>
  </si>
  <si>
    <t>JEANS- 1757-300286145-A A PEREIRA LIMITADA  - Elástico</t>
  </si>
  <si>
    <t>JEANS- 1750-300286553-G4 INDUSTRIA E COMERCIO DO VESTUARIO LTDA  - Linhas</t>
  </si>
  <si>
    <t>JEANS- 1730-300285105-F. W. DE SOUZA CONFECCOES  - Zíper</t>
  </si>
  <si>
    <t>JEANS- 1745-300283555-POTENGI TEXTIL LTDA  - Etiqueta de Cós</t>
  </si>
  <si>
    <t>JEANS- 1744-300283555-POTENGI TEXTIL LTDA  - Etiqueta de Cós</t>
  </si>
  <si>
    <t>MALHA- 1366-300281898-VITALIZE CONFECCOES LTDA  - Viés </t>
  </si>
  <si>
    <t>MALHA- 1492-300283688-SOLY BRASIL LTDA  - Viés </t>
  </si>
  <si>
    <t>JEANS- 1779-300281926-G4 INDUSTRIA E COMERCIO DO VESTUARIO LTDA  - Linhas</t>
  </si>
  <si>
    <t>JEANS- 1765-300277529-JOSENI MARIA DE MEDEIROS  - Etiqueta Bandeirola</t>
  </si>
  <si>
    <t>JEANS- 1769-300282795-DANTAS E PAULINO CONFECCOES LTDA  - Zíper</t>
  </si>
  <si>
    <t>JEANS- 1776-300283509-CONFECÇÃO SÃO SEBASTIÃO LTDA  - Zíper</t>
  </si>
  <si>
    <t>JEANS- 1781-300285698-OFICINA DE COSTURA SANTOS LTDA  - Zíper</t>
  </si>
  <si>
    <t>JEANS- 1749-300286124-FACCAO ELLO LTDA  - Elástico</t>
  </si>
  <si>
    <t>JEANS- 1754-300283942-FACCAO ELLO LTDA  - Elástico</t>
  </si>
  <si>
    <t>JEANS- 1752-300283940-FACCAO ELLO LTDA  - Elástico</t>
  </si>
  <si>
    <t>JEANS- 1753-300283941-FACCAO ELLO LTDA  - Elástico</t>
  </si>
  <si>
    <t>MALHA- 1791-300287259-CONFECCAO G. B. DA SILVA JUNIOR &amp; CIA LTDA  - Pistola</t>
  </si>
  <si>
    <t>JEANS- 1780-300285698-OFICINA DE COSTURA SANTOS LTDA  - Etiqueta de Composição</t>
  </si>
  <si>
    <t>JEANS- 1725-300181532-ANTONIO IGOR DANTAS DE SOUZA  - Cós</t>
  </si>
  <si>
    <t>TEAR- 1788-300287947-CONFECCOES GENESIS LTDA  - Fios</t>
  </si>
  <si>
    <t>JEANS- 1796-300286120-CONFECCOES J. S. LTDA  - Filme Plástico</t>
  </si>
  <si>
    <t>POLO- 1786-300282533-SERRANA TEXTIL LTDA  - Etiqueta de Preço</t>
  </si>
  <si>
    <t>POLO- 1782-300286817-POTENGI TEXTIL LTDA  - Etiqueta de Preço</t>
  </si>
  <si>
    <t>MALHA- 1801-300280767-CONFECCOES GENESIS LTDA  - Lacre</t>
  </si>
  <si>
    <t>JEANS- 1797-300279756-FACCAO ELLO LTDA  - Etiqueta de Cós</t>
  </si>
  <si>
    <t>JEANS- 1783-300285698-OFICINA DE COSTURA SANTOS LTDA  - Etiqueta de Cós</t>
  </si>
  <si>
    <t>JEANS- 1792-300284308-POTENGI TEXTIL LTDA  - Elástico</t>
  </si>
  <si>
    <t>JEANS- 1785-300285043-DI3 CONFECCOES LTDA  - Linhas</t>
  </si>
  <si>
    <t>JEANS- 1812-300284281-IVANILDO JOSE DE SOUZA  - Filme Plástico</t>
  </si>
  <si>
    <t>JEANS- 1807-300286537-N S CONSTANTINO LTDA  - Zíper</t>
  </si>
  <si>
    <t>JEANS- 1808-300286537-N S CONSTANTINO LTDA  - Etiqueta de Cós</t>
  </si>
  <si>
    <t>POLO- 1804-300285374-IDEAL CONFECCOES LTDA  - Linhas</t>
  </si>
  <si>
    <t>JEANS- 1810-300287375-N S CONSTANTINO LTDA  - Papelão para Gabarito</t>
  </si>
  <si>
    <t>JEANS- 1809-300282759-N S CONSTANTINO LTDA  - Papelão para Gabarito</t>
  </si>
  <si>
    <t>JEANS- 1800-300280216-LEANDRO MATIAS DA SILVA  - Papelão para Gabarito</t>
  </si>
  <si>
    <t>TEAR- 1775-300286244-ALANIS QUEIROZ LTDA  - Gola</t>
  </si>
  <si>
    <t>TEAR- 1772-300286242-ALANIS QUEIROZ LTDA  - Gola</t>
  </si>
  <si>
    <t>MALHA- 1818-300284929-AJG CONFECCOES LTDA  - Etiqueta de Preço</t>
  </si>
  <si>
    <t>TEAR- 1816-300276371-JOSENI MARIA DE MEDEIROS  - Etiqueta de Gola</t>
  </si>
  <si>
    <t>JEANS- 1823-300282781-P &amp; A CONFECCOES LTDA  - Filme Plástico</t>
  </si>
  <si>
    <t>JEANS- 1794-300282796-M &amp; F EMPREENDIMENTOS LTDA  - Viés </t>
  </si>
  <si>
    <t>JEANS- 1821-300279756-FACCAO ELLO LTDA  - Etiqueta de Cós</t>
  </si>
  <si>
    <t>JEANS- 1820-300283941-FACCAO ELLO LTDA  - Cós</t>
  </si>
  <si>
    <t>JEANS- 1825-300286688-F J DE AZEVEDO  - Etiqueta de Composição</t>
  </si>
  <si>
    <t>MALHA- 1815-300287625-JOSE MEDEIROS DE ARAUJO  - Etiqueta de Composição</t>
  </si>
  <si>
    <t>JEANS- 1828-300283541-CONFECCOES J. S. LTDA  - Zíper</t>
  </si>
  <si>
    <t>TEAR- 1833-300286244-ALANIS QUEIROZ LTDA  - Linhas</t>
  </si>
  <si>
    <t>POLO- 1832-300285089-TECE COSTURAS E CONFECCOES LTDA  - Sacos para Artoks</t>
  </si>
  <si>
    <t>teste</t>
  </si>
  <si>
    <t>JEANS- 1838-300287940-W A 2 CONFECCOES LTDA  - Filme Plástico</t>
  </si>
  <si>
    <t>POLO- 1834-300282553-POTENGI TEXTIL LTDA  - Etiqueta de Composição</t>
  </si>
  <si>
    <t>JEANS- 1839-300285698-OFICINA DE COSTURA SANTOS LTDA  - Zíper</t>
  </si>
  <si>
    <t>JEANS- 1827-300286688-F J DE AZEVEDO  - Etiqueta de Cós</t>
  </si>
  <si>
    <t>JEANS- 1826-300286538-IDEAL CONFECCOES LTDA  - Etiqueta de Cós</t>
  </si>
  <si>
    <t>JEANS- 1835-300277098-JOSENI MARIA DE MEDEIROS  - Etiqueta Slim ou Fit</t>
  </si>
  <si>
    <t>JEANS- 1470-300284286-FLAVIA GEORGIA BRAGA SILVA CONFECCOES LTDA  - Cós</t>
  </si>
  <si>
    <t>TEAR- 1435-300274693-DANJAN CONFECCOES LTDA  - Viés </t>
  </si>
  <si>
    <t>JEANS- 1848-300282288-J M CONFECCOES &amp; CIA LTDA  - Filme Plástico</t>
  </si>
  <si>
    <t>JEANS- 1837-300287940-W A 2 CONFECCOES LTDA  - Etiqueta de Composição</t>
  </si>
  <si>
    <t>JEANS- 1855-300285099-CONFECCOES FRANOELDA MAGNEUDA DE MEDEIROS ARAUJO LTDA  - Filme Plástico</t>
  </si>
  <si>
    <t>JEANS- 1847-300283550-J M CONFECCOES &amp; CIA LTDA  - Etiqueta de Cós</t>
  </si>
  <si>
    <t>JEANS- 1844-300283550-J M CONFECCOES &amp; CIA LTDA  - Etiqueta de Cós</t>
  </si>
  <si>
    <t>MALHA- 1861-300280739-EBENEZER INDUSTRIA TEXTIL LTDA  - Pistola</t>
  </si>
  <si>
    <t>JEANS- 1860-300286538-IDEAL CONFECCOES LTDA  - Papelão para Gabarito</t>
  </si>
  <si>
    <t>MALHA- 1863-300276895-F &amp; L AZEVEDO CONFECCAO LTDA FILIAL  - Frente</t>
  </si>
  <si>
    <t>JEANS- 1852-300282782-CONFECCAO G. B. DA SILVA JUNIOR &amp; CIA LTDA  - Etiqueta de Composição</t>
  </si>
  <si>
    <t>POLO- 1871-300286617-POTENGI TEXTIL LTDA  - Etiqueta de Preço</t>
  </si>
  <si>
    <t>MALHA- 1864-300276895-F &amp; L AZEVEDO CONFECCAO LTDA FILIAL  - Traseiro</t>
  </si>
  <si>
    <t>POLO- 1869-300285374-IDEAL CONFECCOES LTDA  - Etiqueta de Preço</t>
  </si>
  <si>
    <t>JEANS- 1867-300282796-M &amp; F EMPREENDIMENTOS LTDA  - Filme Plástico</t>
  </si>
  <si>
    <t>JEANS- 1856-300284180-JAKELINE F DE AZEVEDO  - Etiqueta de Cós</t>
  </si>
  <si>
    <t>MALHA- 1857-300287293-GEFERSON ALAN DOS SANTOS SILVA  - Etiqueta de Preço</t>
  </si>
  <si>
    <t>JEANS- 1866-300285045-A S CONFECCOES LTDA  - Linhas</t>
  </si>
  <si>
    <t>JEANS- 1845-300287233-POTENGI TEXTIL LTDA  - Elástico</t>
  </si>
  <si>
    <t>JEANS- 1853-300287222-F &amp; L AZEVEDO CONFECCAO LTDA MATRIZ  - Elástico</t>
  </si>
  <si>
    <t>JEANS- 1789-300283928-JOSENI MARIA DE MEDEIROS  - Cós</t>
  </si>
  <si>
    <t>JEANS- 1805-300285257-IDEAL CONFECCOES LTDA  - Forro</t>
  </si>
  <si>
    <t>POLO- 1814-300286617-POTENGI TEXTIL LTDA  - Viés </t>
  </si>
  <si>
    <t>JEANS- 1858-300282778-JOSE MEDEIROS DE ARAUJO  - Etiqueta de Cós</t>
  </si>
  <si>
    <t>POLO- 1876-300284370-POTENGI TEXTIL LTDA  - Botão</t>
  </si>
  <si>
    <t>JEANS- 1875-300287227-FACCAO ELLO LTDA  - Elástico</t>
  </si>
  <si>
    <t>JEANS- 1885-300286538-IDEAL CONFECCOES LTDA  - Zíper</t>
  </si>
  <si>
    <t>POLO- 1883-300287370-MAXWELA ARAÚJO SILVA LTDA  - Fios</t>
  </si>
  <si>
    <t>JEANS- 1881-300283195-MARIONETE M DE A CAMARA  - Linhas</t>
  </si>
  <si>
    <t>JEANS- 1892-300283509-CONFECÇÃO SÃO SEBASTIÃO LTDA  - Etiqueta de Cós</t>
  </si>
  <si>
    <t>POLO- 1891-300287372-TROPICALLIZ CONFECCOES LTDA  - Linhas</t>
  </si>
  <si>
    <t>JEANS- 1762-300277529-JOSENI MARIA DE MEDEIROS  - Frente</t>
  </si>
  <si>
    <t>JEANS- 1763-300277529-JOSENI MARIA DE MEDEIROS  - Alças</t>
  </si>
  <si>
    <t>JEANS- 1761-300277529-JOSENI MARIA DE MEDEIROS  - Frente</t>
  </si>
  <si>
    <t>POLO- 1884-300287370-MAXWELA ARAÚJO SILVA LTDA  - Linhas</t>
  </si>
  <si>
    <t>JEANS- 1751-300278806-JUCURUTU TEXTIL LTDA  - Traseiro</t>
  </si>
  <si>
    <t>MALHA- 1795-300287651-GEFERSON ALAN DOS SANTOS SILVA  - Frente</t>
  </si>
  <si>
    <t>JEANS- 1888-300286688-F J DE AZEVEDO  - Linhas</t>
  </si>
  <si>
    <t>JEANS- 1841-300288417-LAJEDO JEANS CONFECCOES LTDA  - Forro</t>
  </si>
  <si>
    <t>MALHA- 1813-300287259-CONFECCAO G. B. DA SILVA JUNIOR &amp; CIA LTDA  - Frente</t>
  </si>
  <si>
    <t>JEANS- 1895-300286143-B &amp; N SILVA CONFECCOES LTDA  - Filme Plástico</t>
  </si>
  <si>
    <t>JEANS- 1901-300285007-M A VIEIRA DE ALMEIDA  - Filme Plástico</t>
  </si>
  <si>
    <t>MALHA- 1902-300287652-AJG CONFECCOES LTDA  - Etiqueta de Preço</t>
  </si>
  <si>
    <t>MALHA- 1911-300285832-SOLY BRASIL LTDA  - Etiqueta de Preço</t>
  </si>
  <si>
    <t>MALHA- 1894-300286710-JOLI TEXTIL SERVICOS E COMERCIO LTD  - Linhas</t>
  </si>
  <si>
    <t>MALHA- 1893-300286710-JOLI TEXTIL SERVICOS E COMERCIO LTD  - Fios</t>
  </si>
  <si>
    <t>JEANS- 1913-300283540-CONFECCOES FRANOELDA MAGNEUDA DE MEDEIROS ARAUJO LTDA  - Zíper</t>
  </si>
  <si>
    <t>JEANS- 1914-300285098-LD CONFECÇÕES  - Linhas</t>
  </si>
  <si>
    <t>POLO- 1904-300287337-TECE COSTURAS E CONFECCOES LTDA  - Linhas</t>
  </si>
  <si>
    <t>POLO- 1903-300287337-TECE COSTURAS E CONFECCOES LTDA  - Fios</t>
  </si>
  <si>
    <t>JEANS- 1908-300283509-CONFECÇÃO SÃO SEBASTIÃO LTDA  - Zíper</t>
  </si>
  <si>
    <t>JEANS- 1919-300286533-TROPICALLIZ CONFECCOES LTDA  - Etiqueta Slim ou Fit</t>
  </si>
  <si>
    <t>TEAR- 1896-300288804-M A P FORTE FORTEX PRODUCAO TEXTIL  - Fios</t>
  </si>
  <si>
    <t>POLO- 1617-300281012-SERRANA TEXTIL LTDA  - Gola</t>
  </si>
  <si>
    <t>MALHA- 1900-300286224-CONFECCAO G. B. DA SILVA JUNIOR &amp; CIA LTDA  - Etiqueta de Composição</t>
  </si>
  <si>
    <t>MALHA- 1862-300287290-JOSE MEDEIROS DE ARAUJO  - Viés </t>
  </si>
  <si>
    <t>POLO- 1907-300282806-SERRANA TEXTIL LTDA  - Etiqueta de Composição</t>
  </si>
  <si>
    <t>MALHA- 1830-300285810-A X DA PENHA FILHO LTDA  - Viés </t>
  </si>
  <si>
    <t>MALHA- 1352-300281895-SOLIS CONFECCOES LTDA  - Viés </t>
  </si>
  <si>
    <t>JEANS- 1922-300283944-POTENGI TEXTIL LTDA  - Etiqueta de Composição</t>
  </si>
  <si>
    <t>JEANS- 1912-300283540-CONFECCOES FRANOELDA MAGNEUDA DE MEDEIROS ARAUJO LTDA  - Etiqueta de Cós</t>
  </si>
  <si>
    <t>MALHA- 1927-300288340-J F CONFECCOES LTDA  - Fios</t>
  </si>
  <si>
    <t>JEANS- 1921-300285007-M A VIEIRA DE ALMEIDA  - Zíper</t>
  </si>
  <si>
    <t>MALHA- 1929-300288340-J F CONFECCOES LTDA  - Linhas</t>
  </si>
  <si>
    <t>JEANS- 1909-300283507-CONFECÇÃO SÃO SEBASTIÃO LTDA  - Viés </t>
  </si>
  <si>
    <t>JEANS- 1934-300286124-FACCAO ELLO LTDA  - Etiqueta de Cós</t>
  </si>
  <si>
    <t>JEANS- 1831-300260184-FLAVIA GEORGIA BRAGA SILVA CONFECCOES LTDA  - Passante</t>
  </si>
  <si>
    <t>JEANS- 1932-300285040-FIOS DO SERTÃO LTDA. (FILIAL)  - Linhas</t>
  </si>
  <si>
    <t>JEANS- 1906-300283945-JANUNCIO NOBREGA DE AZEVEDO  - Etiqueta de Gola</t>
  </si>
  <si>
    <t>TEAR- 1817-300276371-JOSENI MARIA DE MEDEIROS  - Linhas</t>
  </si>
  <si>
    <t>JEANS- 1917-300281096-J. S. &amp; SILVA LTDA  - Elástico</t>
  </si>
  <si>
    <t>JEANS- 1916-300281097-J. S. &amp; SILVA LTDA  - Elástico</t>
  </si>
  <si>
    <t>JEANS- 1918-300281095-J. S. &amp; SILVA LTDA  - Elástico</t>
  </si>
  <si>
    <t>JEANS- 1924-300281528-F A N CONFECCOES LTDA  - Viés </t>
  </si>
  <si>
    <t>JEANS- 1938-300284286-FLAVIA GEORGIA BRAGA SILVA CONFECCOES LTDA  - Filme Plástico</t>
  </si>
  <si>
    <t>JEANS- 1936-300260184-FLAVIA GEORGIA BRAGA SILVA CONFECCOES LTDA  - Elástico</t>
  </si>
  <si>
    <t>JEANS- 1829-300260184-FLAVIA GEORGIA BRAGA SILVA CONFECCOES LTDA  - Cós</t>
  </si>
  <si>
    <t>JEANS- 1937-300260184-FLAVIA GEORGIA BRAGA SILVA CONFECCOES LTDA  - Etiqueta de Cós</t>
  </si>
  <si>
    <t>POLO- 1732-300284019-SERRANA TEXTIL LTDA  - Viés </t>
  </si>
  <si>
    <t>JEANS- 1949-300289205-CONFECCAO G. B. DA SILVA JUNIOR &amp; CIA LTDA  - Filme Plástico</t>
  </si>
  <si>
    <t>JEANS- 1854-300281926-G4 INDUSTRIA E COMERCIO DO VESTUARIO LTDA  - Passante</t>
  </si>
  <si>
    <t>JEANS- 1957-300274664-TENDENCIA CONFECCOES LTDA  - Filme Plástico</t>
  </si>
  <si>
    <t>JEANS- 1958-300274659-TENDENCIA CONFECCOES LTDA  - Filme Plástico</t>
  </si>
  <si>
    <t>JEANS- 1940-300283187-F &amp; L AZEVEDO CONFECCAO LTDA MATRIZ  - Etiqueta de Cós</t>
  </si>
  <si>
    <t>JEANS- 1955-300281108-M &amp; F EMPREENDIMENTOS LTDA  - Zíper</t>
  </si>
  <si>
    <t>JEANS- 1950-300280207-ACARI TÊXTIL LTDA  - Zíper</t>
  </si>
  <si>
    <t>JEANS- 1951-300283946-JANUNCIO NOBREGA DE AZEVEDO  - Etiqueta de Gola</t>
  </si>
  <si>
    <t>JEANS- 1959-300286533-TROPICALLIZ CONFECCOES LTDA  - Etiqueta Slim ou Fit</t>
  </si>
  <si>
    <t>JEANS- 1948-300279404-IDEAL CONFECCOES LTDA  - Etiqueta de Cós</t>
  </si>
  <si>
    <t>JEANS- 1954-300281901-B &amp; N SILVA CONFECCOES LTDA  - Etiqueta Slim ou Fit</t>
  </si>
  <si>
    <t>MALHA- 1899-300286224-CONFECCAO G. B. DA SILVA JUNIOR &amp; CIA LTDA  - Frente</t>
  </si>
  <si>
    <t>JEANS- 1874-300285313-DIAS E ALVES CONFECCOES LTDA  - Traseiro</t>
  </si>
  <si>
    <t>MALHA- 1945-300287265-CONFECCAO G. B. DA SILVA JUNIOR &amp; CIA LTDA  - Etiqueta de Composição</t>
  </si>
  <si>
    <t>MALHA- 1910-300286759-N S CONSTANTINO LTDA  - Gola</t>
  </si>
  <si>
    <t>MALHA- 1961-300288817-ACAUA CONFECCOES LTDA  - Fios</t>
  </si>
  <si>
    <t>MALHA- 1962-300288817-ACAUA CONFECCOES LTDA  - Linhas</t>
  </si>
  <si>
    <t>JEANS- 1965-300289390-AJG CONFECCOES LTDA  - Linhas</t>
  </si>
  <si>
    <t>JEANS- 1964-300282776-F &amp; L AZEVEDO CONFECCAO LTDA MATRIZ  - Etiqueta de Cós</t>
  </si>
  <si>
    <t>JEANS- 1963-300287587-FACCAO ELLO LTDA  - Elástico</t>
  </si>
  <si>
    <t>TEAR- 1943-300286244-ALANIS QUEIROZ LTDA  - Botão</t>
  </si>
  <si>
    <t>JEANS- 1966-300289610-ARAUJO E M CONFECCOES LTDA  - Etiqueta de Composição</t>
  </si>
  <si>
    <t>TEAR- 1942-300274690-ALANIS QUEIROZ LTDA  - Alças</t>
  </si>
  <si>
    <t>TEAR- 1941-300274690-ALANIS QUEIROZ LTDA  - Colchete</t>
  </si>
  <si>
    <t>JEANS- 1972-300281103-ARAUJO E M CONFECCOES LTDA  - Etiqueta de Composição</t>
  </si>
  <si>
    <t>JEANS- 1969-300286533-TROPICALLIZ CONFECCOES LTDA  - Etiqueta Slim ou Fit</t>
  </si>
  <si>
    <t>JEANS- 1971-300286125-LIVIA REBOUCAS DE CARVALHO  - Etiqueta de Cós</t>
  </si>
  <si>
    <t>JEANS- 1973-300287238-FACCAO ELLO LTDA  - Etiqueta de Cós</t>
  </si>
  <si>
    <t>POLO- 1843-300286617-POTENGI TEXTIL LTDA  - Gola</t>
  </si>
  <si>
    <t>POLO- 1868-300282832-TECE COSTURAS E CONFECCOES LTDA  - Gola</t>
  </si>
  <si>
    <t>JEANS- 1974-300285310-A S CONFECCOES LTDA  - Sacos para Artoks</t>
  </si>
  <si>
    <t>POLO- 1975-300282806-SERRANA TEXTIL LTDA  - Artok Vazio</t>
  </si>
  <si>
    <t>JEANS- 1935-300284155-JAKELINE F DE AZEVEDO  - Bolso Frente</t>
  </si>
  <si>
    <t>JEANS- 1981-300274662-TENDENCIA CONFECCOES LTDA  - Zíper</t>
  </si>
  <si>
    <t>JEANS- 1980-300288370-DI3 CONFECCOES LTDA  - Linhas</t>
  </si>
  <si>
    <t>POLO- 1977-300283251-SERRANA TEXTIL LTDA  - Fios</t>
  </si>
  <si>
    <t>POLO- 1978-300283251-SERRANA TEXTIL LTDA  - Linhas</t>
  </si>
  <si>
    <t>JEANS- 1979-300288370-DI3 CONFECCOES LTDA  - Fios</t>
  </si>
  <si>
    <t>JEANS- 1987-300286546-POEST INDUSTRIA E COMERCIO DE VESTUARIO LTDA  - Filme Plástico</t>
  </si>
  <si>
    <t>JEANS- 1990-300281110-FIOS DO SERTÃO LTDA. (FILIAL)  - Linhas</t>
  </si>
  <si>
    <t>POLO- 1976-300283251-SERRANA TEXTIL LTDA  - Linhas</t>
  </si>
  <si>
    <t>JEANS- 1989-300283508-ANTONIO IGOR DANTAS DE SOUZA  - Zíper</t>
  </si>
  <si>
    <t>JEANS- 1988-300285007-M A VIEIRA DE ALMEIDA  - Zíper</t>
  </si>
  <si>
    <t>TEAR- 1984-300288804-M A P FORTE FORTEX PRODUCAO TEXTIL  - Etiqueta de Preço</t>
  </si>
  <si>
    <t>JEANS- 1991-300281110-FIOS DO SERTÃO LTDA. (FILIAL)  - Linhas</t>
  </si>
  <si>
    <t>POLO- 1890-300282806-SERRANA TEXTIL LTDA  - Forro</t>
  </si>
  <si>
    <t>JEANS- 1994-300281103-ARAUJO E M CONFECCOES LTDA  - Etiqueta de Composição</t>
  </si>
  <si>
    <t>JEANS- 1982-300287630-F &amp; L AZEVEDO CONFECCAO LTDA MATRIZ  - Elástico</t>
  </si>
  <si>
    <t>JEANS- 1996-300281104-I M DE OLIVEIRA SILVA  - Linhas</t>
  </si>
  <si>
    <t>MALHA- 1993-300288345-CONFECCOES GENESIS LTDA  - Linhas</t>
  </si>
  <si>
    <t>MALHA- 1999-300283672-JOLI TEXTIL SERVICOS E COMERCIO LTD  - Fios</t>
  </si>
  <si>
    <t>MALHA- 2000-300288298-G&amp;C EMPREENDIMENTOS TEXTIL LTDA  - Etiqueta de Preço</t>
  </si>
  <si>
    <t>POLO- 1946-300287332-FREIRE SILVA CONFECCOES LTDA  - Viés </t>
  </si>
  <si>
    <t>MALHA- 1939-300288034-ACAUA CONFECCOES LTDA  - Viés </t>
  </si>
  <si>
    <t>POLO- 1849-300285086-SERRANA TEXTIL LTDA  - Viés </t>
  </si>
  <si>
    <t>MALHA- 2009-300285798-J F CONFECCOES LTDA  - Etiqueta de Preço</t>
  </si>
  <si>
    <t>JEANS- 2013-300276804-DANJAN CONFECCOES LTDA  - Papelão para Gabarito</t>
  </si>
  <si>
    <t>JEANS- 2020-300285683-A. S. EMPREENDIMENTOS LTDA  - Filme Plástico</t>
  </si>
  <si>
    <t>JEANS- 2012-300281530-M DALISON DE MEDEIROS  - Filme Plástico</t>
  </si>
  <si>
    <t>JEANS- 2002-300286122-I M DE OLIVEIRA SILVA  - Filme Plástico</t>
  </si>
  <si>
    <t>JEANS- 2023-300288421-A S CONFECCOES LTDA  - Filme Plástico</t>
  </si>
  <si>
    <t>JEANS- 2011-300286147-DANJAN CONFECCOES LTDA  - Filme Plástico</t>
  </si>
  <si>
    <t>JEANS- 2008-300279404-IDEAL CONFECCOES LTDA  - Etiqueta de Cós</t>
  </si>
  <si>
    <t>JEANS- 2014-300285303-JOSENI MARIA DE MEDEIROS  - Etiqueta de Cós</t>
  </si>
  <si>
    <t>JEANS- 2019-300285008-B &amp; N SILVA CONFECCOES LTDA  - Linhas</t>
  </si>
  <si>
    <t>JEANS- 2001-300286555-PEDRO E ODAIR  - Linhas</t>
  </si>
  <si>
    <t>JEANS- 2022-300278792-JK INDUSTRIA TEXTIL LTDA  - Zíper</t>
  </si>
  <si>
    <t>JEANS- 2018-300288416-AJG CONFECCOES LTDA  - Etiqueta de Cós</t>
  </si>
  <si>
    <t>TEAR- 2021-300288802-CONFECCOES GENESIS LTDA  - Etiqueta de Cós</t>
  </si>
  <si>
    <t>JEANS- 2005-300283195-MARIONETE M DE A CAMARA  - Etiqueta de Cós</t>
  </si>
  <si>
    <t>JEANS- 2015-300285303-JOSENI MARIA DE MEDEIROS  - Etiqueta Slim ou Fit</t>
  </si>
  <si>
    <t>JEANS- 2029-300286547-JUCURUTU TEXTIL LTDA  - Filme Plástico</t>
  </si>
  <si>
    <t>JEANS- 2030-300286547-JUCURUTU TEXTIL LTDA  - Papelão para Gabarito</t>
  </si>
  <si>
    <t>JEANS- 2028-300285687-IVANILDO JOSE DE SOUZA  - Linhas</t>
  </si>
  <si>
    <t>JEANS- 2003-300287593-ASA CONFECCOES LTDA  - Etiqueta de Composição</t>
  </si>
  <si>
    <t>JEANS- 2032-300276804-DANJAN CONFECCOES LTDA  - Etiqueta Slim ou Fit</t>
  </si>
  <si>
    <t>TEAR- 2033-300288801-CONFECCOES GENESIS LTDA  - Etiqueta de Cós</t>
  </si>
  <si>
    <t>JEANS- 2039-300285687-IVANILDO JOSE DE SOUZA  - Filme Plástico</t>
  </si>
  <si>
    <t>JEANS- 2034-300281955-NOEL PEREIRA DE AZEVEDO CONFECCAO  - Etiqueta de Composição</t>
  </si>
  <si>
    <t>JEANS- 1956-300284180-JAKELINE F DE AZEVEDO  - Bolso Frente</t>
  </si>
  <si>
    <t>MALHA- 1997-300281916-VITALIZE CONFECCOES LTDA  - Viés </t>
  </si>
  <si>
    <t>JEANS- 2045-300285100-UNIAO CONFECCOES LTDA  - Linhas</t>
  </si>
  <si>
    <t>JEANS- 1992-300279708-DONA TICA CONFECCOES LTDA MATRIZ  - Passante</t>
  </si>
  <si>
    <t>JEANS- 1897-300288423-FLAVIA GEORGIA BRAGA SILVA CONFECCOES LTDA  - Cós</t>
  </si>
  <si>
    <t>JEANS- 1865-300288423-FLAVIA GEORGIA BRAGA SILVA CONFECCOES LTDA  - Vivo</t>
  </si>
  <si>
    <t>JEANS- 1970-300285007-M A VIEIRA DE ALMEIDA  - Cós</t>
  </si>
  <si>
    <t>JEANS- 2054-300283508-ANTONIO IGOR DANTAS DE SOUZA  - Zíper</t>
  </si>
  <si>
    <t>POLO- 1983-300289276-TECE COSTURAS E CONFECCOES LTDA  - Punho</t>
  </si>
  <si>
    <t>JEANS- 2058-300287592-DONA TICA CONFECCOES LTDA MATRIZ  - Elástico</t>
  </si>
  <si>
    <t>JEANS- 2053-300287950-CLARA A DE MEDEIROS LEITE  - Zíper</t>
  </si>
  <si>
    <t>JEANS- 2052-300278897-CLARA A DE MEDEIROS LEITE  - Linhas</t>
  </si>
  <si>
    <t>MALHA- 2060-300288817-ACAUA CONFECCOES LTDA  - Linhas</t>
  </si>
  <si>
    <t>MALHA- 2059-300288817-ACAUA CONFECCOES LTDA  - Fios</t>
  </si>
  <si>
    <t>POLO- 2055-300288565-MAXWELA ARAÚJO SILVA LTDA  - Fios</t>
  </si>
  <si>
    <t>POLO- 2056-300288565-MAXWELA ARAÚJO SILVA LTDA  - Linhas</t>
  </si>
  <si>
    <t>MALHA- 2048-300288059-CONFECCAO G. B. DA SILVA JUNIOR &amp; CIA LTDA  - Etiqueta de Preço</t>
  </si>
  <si>
    <t>MALHA- 2063-300288822-DONA TICA CONFECCOES LTDA MATRIZ  - Etiqueta de Preço</t>
  </si>
  <si>
    <t>MALHA- 2062-300288821-DONA TICA CONFECCOES LTDA MATRIZ  - Etiqueta de Preço</t>
  </si>
  <si>
    <t>MALHA- 2070-300266222-LC TEXTIL LTDA  - Etiqueta de Preço</t>
  </si>
  <si>
    <t>JEANS- 2067-300287221-J M CONFECCOES &amp; CIA LTDA  - Etiqueta de Cós</t>
  </si>
  <si>
    <t>POLO- 2068-300287196-TECE COSTURAS E CONFECCOES LTDA  - Botão</t>
  </si>
  <si>
    <t>POLO- 2071-300287196-TECE COSTURAS E CONFECCOES LTDA  - Linhas</t>
  </si>
  <si>
    <t>JEANS- 2066-300288760-P &amp; A CONFECCOES LTDA  - Zíper</t>
  </si>
  <si>
    <t>JEANS- 2064-300283555-POTENGI TEXTIL LTDA  - Elástico</t>
  </si>
  <si>
    <t>POLO- 2069-300287196-TECE COSTURAS E CONFECCOES LTDA  - Fios</t>
  </si>
  <si>
    <t>MALHA- 2073-300288346-JOSE MEDEIROS DE ARAUJO  - Etiqueta de Preço</t>
  </si>
  <si>
    <t>TEAR- 2077-300288805-JOSENI MARIA DE MEDEIROS  - Etiqueta de Gola</t>
  </si>
  <si>
    <t>POLO- 2080-300287194-FREIRE SILVA CONFECCOES LTDA  - Fios</t>
  </si>
  <si>
    <t>JEANS- 2016-300277529-JOSENI MARIA DE MEDEIROS  - Peitilho</t>
  </si>
  <si>
    <t>JEANS- 2017-300277529-JOSENI MARIA DE MEDEIROS  - Peitilho</t>
  </si>
  <si>
    <t>POLO- 2078-300286615-POTENGI TEXTIL LTDA  - Etiqueta de Preço</t>
  </si>
  <si>
    <t>JEANS- 2025-300283948-JK INDUSTRIA TEXTIL LTDA  - Agulha</t>
  </si>
  <si>
    <t>JEANS- 2044-300283947-JK INDUSTRIA TEXTIL LTDA  - Agulha</t>
  </si>
  <si>
    <t>MALHA- 1886-300287252-POTENGI TEXTIL LTDA  - Gola</t>
  </si>
  <si>
    <t>JEANS- 2093-300282771-CLARA A DE MEDEIROS LEITE  - Filme Plástico</t>
  </si>
  <si>
    <t>JEANS- 2084-300289607-G4 INDUSTRIA E COMERCIO DO VESTUARIO LTDA  - Filme Plástico</t>
  </si>
  <si>
    <t>JEANS- 2036-300287235-FLAVIA GEORGIA BRAGA SILVA CONFECCOES LTDA  - Vivo</t>
  </si>
  <si>
    <t>JEANS- 2035-300287235-FLAVIA GEORGIA BRAGA SILVA CONFECCOES LTDA  - Cós</t>
  </si>
  <si>
    <t>JEANS- 2097-300283508-ANTONIO IGOR DANTAS DE SOUZA  - Etiqueta de Cós</t>
  </si>
  <si>
    <t>JEANS- 2107-300274659-TENDENCIA CONFECCOES LTDA  - Zíper</t>
  </si>
  <si>
    <t>JEANS- 2096-300289225-IDEAL CONFECCOES LTDA  - Papelão para Gabarito</t>
  </si>
  <si>
    <t>JEANS- 2085-300285092-CONFECÇÃO SÃO SEBASTIÃO LTDA  - Etiqueta de Cós</t>
  </si>
  <si>
    <t>JEANS- 2083-300287953-NOEL PEREIRA DE AZEVEDO CONFECCAO  - Etiqueta de Composição</t>
  </si>
  <si>
    <t>JEANS- 2086-300282335-W A 2 CONFECCOES LTDA  - Etiqueta de Composição</t>
  </si>
  <si>
    <t>JEANS- 2108-300281106-S RAMOS DE AZEVEDO NETO CONFECCOES  - Filme Plástico</t>
  </si>
  <si>
    <t>POLO- 2104-300289695-SERRANA TEXTIL LTDA  - Linhas</t>
  </si>
  <si>
    <t>POLO- 2103-300290416-SERRANA TEXTIL LTDA  - Linhas</t>
  </si>
  <si>
    <t>JEANS- 2105-300289609-CONFECCOES J. S. LTDA  - Artok Vazio</t>
  </si>
  <si>
    <t>JEANS- 2117-300290335-DI3 CONFECCOES LTDA  - Zíper</t>
  </si>
  <si>
    <t>JEANS- 2114-300287596-JAKELINE F DE AZEVEDO  - Etiqueta de Cós</t>
  </si>
  <si>
    <t>JEANS- 2109-300287942-S RAMOS DE AZEVEDO NETO CONFECCOES  - Etiqueta de Cós</t>
  </si>
  <si>
    <t>JEANS- 2128-300283947-JK INDUSTRIA TEXTIL LTDA  - Linhas</t>
  </si>
  <si>
    <t>MALHA- 2124-300286710-JOLI TEXTIL SERVICOS E COMERCIO LTD  - Linhas</t>
  </si>
  <si>
    <t>MALHA- 2043-300288825-P A VITURINO SERVIÇOES E CONFECÇÕES LTDA  - Viés </t>
  </si>
  <si>
    <t>JEANS- 2038-300284806-J M CONFECCOES &amp; CIA LTDA  - Cinto</t>
  </si>
  <si>
    <t>MALHA- 2057-300281916-VITALIZE CONFECCOES LTDA  - Viés </t>
  </si>
  <si>
    <t>JEANS- 2130-300285005-M K INDUSTRIA TEXTIL LTDA  - Etiqueta Slim ou Fit</t>
  </si>
  <si>
    <t>MALHA- 2046-300287252-POTENGI TEXTIL LTDA  - Gola</t>
  </si>
  <si>
    <t>MALHA- 2098-300287264-CONFECCAO G. B. DA SILVA JUNIOR &amp; CIA LTDA  - Cadarço</t>
  </si>
  <si>
    <t>TEAR- 1985-300287952-CONFECCOES GENESIS LTDA  - Bolso Frente</t>
  </si>
  <si>
    <t>JEANS- 2131-300288869-B &amp; N SILVA CONFECCOES LTDA  - Linhas</t>
  </si>
  <si>
    <t>MALHA- 2134-300287289-DI3 CONFECCOES LTDA  - Fios</t>
  </si>
  <si>
    <t>TEAR- 1787-300283988-FREIRE SILVA CONFECCOES LTDA  - Viés </t>
  </si>
  <si>
    <t>JEANS- 2119-300280205-DIAS E ALVES CONFECCOES LTDA  - Braguilha</t>
  </si>
  <si>
    <t>JEANS- 2031-300285008-B &amp; N SILVA CONFECCOES LTDA  - Forro</t>
  </si>
  <si>
    <t>MALHA- 2133-300287289-DI3 CONFECCOES LTDA  - Linhas</t>
  </si>
  <si>
    <t>MALHA- 2095-300289168-CONFECCAO G. B. DA SILVA JUNIOR &amp; CIA LTDA  - Etiqueta de Preço</t>
  </si>
  <si>
    <t>MALHA- 2123-300289533-JOSENI MARIA DE MEDEIROS  - Etiqueta de Preço</t>
  </si>
  <si>
    <t>JEANS- 2132-300285686-G4 INDUSTRIA E COMERCIO DO VESTUARIO LTDA  - Viés </t>
  </si>
  <si>
    <t>MALHA- 2125-300288347-JOSE MEDEIROS DE ARAUJO  - Etiqueta de Preço</t>
  </si>
  <si>
    <t>MALHA- 2094-300290395-M A P FORTE FORTEX PRODUCAO TEXTIL  - Etiqueta de Preço</t>
  </si>
  <si>
    <t>JEANS- 2151-300000000-OFICINA DE COSTURA SANTOS LTDA  - Filme Plástico</t>
  </si>
  <si>
    <t>MALHA- 2037-300288829-P A VITURINO SERVIÇOES E CONFECÇÕES LTDA  - Viés </t>
  </si>
  <si>
    <t>JEANS- 2153-300285259-JANUNCIO NOBREGA DE AZEVEDO  - Zíper</t>
  </si>
  <si>
    <t>JEANS- 2140-300285688-IVANILDO JOSE DE SOUZA  - Linhas</t>
  </si>
  <si>
    <t>TEAR- 2135-300290353-CONFECCOES GENESIS LTDA  - Linhas</t>
  </si>
  <si>
    <t>JEANS- 2145-300286154-ANTONIO IGOR DANTAS DE SOUZA  - Linhas</t>
  </si>
  <si>
    <t>JEANS- 2146-300286125-LIVIA REBOUCAS DE CARVALHO  - Linhas</t>
  </si>
  <si>
    <t>JEANS- 2139-300286536-IVANILDO JOSE DE SOUZA  - Linhas</t>
  </si>
  <si>
    <t>JEANS- 2141-300285686-G4 INDUSTRIA E COMERCIO DO VESTUARIO LTDA  - Linhas</t>
  </si>
  <si>
    <t>JEANS- 2144-300286154-ANTONIO IGOR DANTAS DE SOUZA  - Linhas</t>
  </si>
  <si>
    <t>MALHA- 2006-300288364-POTENGI TEXTIL LTDA  - Frente</t>
  </si>
  <si>
    <t>MALHA- 2007-300288364-POTENGI TEXTIL LTDA  - Traseiro</t>
  </si>
  <si>
    <t>JEANS- 2161-300274212-F A N CONFECCOES LTDA  - Filme Plástico</t>
  </si>
  <si>
    <t>MALHA- 2150-300289861-LC TEXTIL LTDA  - Etiqueta de Composição</t>
  </si>
  <si>
    <t>MALHA- 2120-300287292-CONFECCAO G. B. DA SILVA JUNIOR &amp; CIA LTDA  - Etiqueta de Preço</t>
  </si>
  <si>
    <t>JEANS- 2160-300287928-FIOS DO SERTÃO  - Viés </t>
  </si>
  <si>
    <t>TEAR- 2065-300286712-FREIRE SILVA CONFECCOES LTDA  - Traseiro</t>
  </si>
  <si>
    <t>TEAR- 2173-300289171-FREIRE SILVA CONFECCOES LTDA  - Etiqueta de Preço</t>
  </si>
  <si>
    <t>MALHA- 2174-300288798-P A VITURINO SERVIÇOES E CONFECÇÕES LTDA  - Etiqueta de Preço</t>
  </si>
  <si>
    <t>JEANS- 2157-300285687-IVANILDO JOSE DE SOUZA  - Etiqueta de Composição</t>
  </si>
  <si>
    <t>MALHA- 2168-300289532-JOSE MEDEIROS DE ARAUJO  - Etiqueta de Composição</t>
  </si>
  <si>
    <t>JEANS- 2155-300287597-JAKELINE F DE AZEVEDO  - Etiqueta de Cós</t>
  </si>
  <si>
    <t>JEANS- 2165-300285686-G4 INDUSTRIA E COMERCIO DO VESTUARIO LTDA  - Etiqueta Slim ou Fit</t>
  </si>
  <si>
    <t>JEANS- 2156-300286686-FACCAO ELLO LTDA  - Etiqueta de Cós</t>
  </si>
  <si>
    <t>JEANS- 2177-300000000-JK INDUSTRIA TEXTIL LTDA  - Filme Plástico</t>
  </si>
  <si>
    <t>JEANS- 2172-300285686-G4 INDUSTRIA E COMERCIO DO VESTUARIO LTDA  - Etiqueta de Cós</t>
  </si>
  <si>
    <t>JEANS- 2176-300000000-JANUNCIO NOBREGA DE AZEVEDO  - Filme Plástico</t>
  </si>
  <si>
    <t>MALHA- 2170-300288348-JOLI TEXTIL SERVICOS E COMERCIO LTD  - Linhas</t>
  </si>
  <si>
    <t>MALHA- 2171-300288348-JOLI TEXTIL SERVICOS E COMERCIO LTD  - Fios</t>
  </si>
  <si>
    <t>JEANS- 2175-300289379-FLAVIA GEORGIA BRAGA SILVA CONFECCOES LTDA  - Zíper</t>
  </si>
  <si>
    <t>JEANS- 2163-300285686-G4 INDUSTRIA E COMERCIO DO VESTUARIO LTDA  - Zíper</t>
  </si>
  <si>
    <t>JEANS- 2179-300288752-F. W. DE SOUZA CONFECCOES  - Etiqueta de Cós</t>
  </si>
  <si>
    <t>JEANS- 2154-300287228-FACCAO ELLO LTDA  - Etiqueta de Cós</t>
  </si>
  <si>
    <t>JEANS- 2178-300287942-S RAMOS DE AZEVEDO NETO CONFECCOES  - Etiqueta de Cós</t>
  </si>
  <si>
    <t>JEANS- 2180-300287598-POTENGI TEXTIL LTDA  - Elástico</t>
  </si>
  <si>
    <t>JEANS- 2158-300290762-P &amp; A CONFECCOES LTDA  - Etiqueta de Composição</t>
  </si>
  <si>
    <t>JEANS- 2181-300280200-N S CONSTANTINO LTDA  - Etiqueta de Composição</t>
  </si>
  <si>
    <t>JEANS- 2190-300286524-JOSENI MARIA DE MEDEIROS  - Filme Plástico</t>
  </si>
  <si>
    <t>MALHA- 2185-300287290-JOSE MEDEIROS DE ARAUJO  - Etiqueta de Preço</t>
  </si>
  <si>
    <t>JEANS- 2184-300282775-POTENGI TEXTIL LTDA  - Elástico</t>
  </si>
  <si>
    <t>JEANS- 2189-300286524-JOSENI MARIA DE MEDEIROS  - Etiqueta Slim ou Fit</t>
  </si>
  <si>
    <t>JEANS- 2187-300286524-JOSENI MARIA DE MEDEIROS  - Zíper</t>
  </si>
  <si>
    <t>JEANS- 2188-300286524-JOSENI MARIA DE MEDEIROS  - Etiqueta Bandeirola</t>
  </si>
  <si>
    <t>JEANS- 2074-300277124-JOSE MEDEIROS DE ARAUJO  - Passante</t>
  </si>
  <si>
    <t>ID_Tarefa</t>
  </si>
  <si>
    <t>Tarefa</t>
  </si>
  <si>
    <t>Reposição Nº</t>
  </si>
  <si>
    <t>ORDEM</t>
  </si>
  <si>
    <t>Data de criação</t>
  </si>
  <si>
    <t>Data</t>
  </si>
  <si>
    <t>Descrição</t>
  </si>
  <si>
    <t>Bucket</t>
  </si>
  <si>
    <t>CIYtXKNUv02NapET4Ua2eGQAPomI</t>
  </si>
  <si>
    <t>953-300275195-FREIRE SILVA CONFECCOES LTDA  - Etiqueta de Composição</t>
  </si>
  <si>
    <t>2026-07-08T22:58:24.5176266Z</t>
  </si>
  <si>
    <t xml:space="preserve">freiresilvaconfeccoes@gmail.com
Ordem de Produção Mestre: 300275195
Parte da peça: Etiqueta de Composição
Motivo: Material insuficiente.
Quantidade: 14
Quantidade por tamanho:G-12
Observações: *
Código de Aviamento: *
</t>
  </si>
  <si>
    <t>QX10oJFSh0uoFQ-k-famiWQACCo6</t>
  </si>
  <si>
    <t>G3JKG2wPZEa2a7QuDdKsnmQABpiE</t>
  </si>
  <si>
    <t>MALHA- 1385-300280223-F &amp; L AZEVEDO CONFECCAO LTDA FILIAL  - Etiqueta de Composição</t>
  </si>
  <si>
    <t>2026-07-22T17:30:10.4813904Z</t>
  </si>
  <si>
    <t xml:space="preserve">felconfeccao@gmail.com
Ordem de Produção Mestre: 300280223
Parte da peça: Etiqueta de Composição
Motivo: FALTOU
Quantidade: 6
Quantidade por tamanho:PP-3; P-3
Observações: 
Código de Aviamento: 0
</t>
  </si>
  <si>
    <t>POLO- 1383-300281371-POTENGI TEXTIL LTDA  - Etiqueta de Composição</t>
  </si>
  <si>
    <t>2026-07-22T17:13:30.4390557Z</t>
  </si>
  <si>
    <t xml:space="preserve">potengitextil@outlook.com.br
Ordem de Produção Mestre: 300281371
Parte da peça: Etiqueta de Composição
Motivo: Insuficiente para finalizar ordem 
Quantidade: 9
Quantidade por tamanho:XG-1; G-3; M-3; P-3
Observações: 
Código de Aviamento: 0
</t>
  </si>
  <si>
    <t>GAIqWJWsp06HeFIlaNTNFGQAO9Zx</t>
  </si>
  <si>
    <t>952-300275195-FREIRE SILVA CONFECCOES LTDA  - Traseiro</t>
  </si>
  <si>
    <t>2026-07-08T22:55:53.6900614Z</t>
  </si>
  <si>
    <t xml:space="preserve">freiresilvaconfeccoes@gmail.com
Ordem de Produção Mestre: 300275195
Parte da peça: Traseiro
Motivo: Material insuficiente para finalizar a OP.
Quantidade: 13
Quantidade por tamanho:XG-4; GG-6; G-3.
Observações: *
Código de Aviamento: *
</t>
  </si>
  <si>
    <t>GtCnDN1zKUW1OjLSgHD8H2QALPDK</t>
  </si>
  <si>
    <t>951-300275195-FREIRE SILVA CONFECCOES LTDA  - Frente</t>
  </si>
  <si>
    <t>2026-07-08T22:51:52.9623336Z</t>
  </si>
  <si>
    <t xml:space="preserve">freiresilvaconfeccoes@gmail.com
Ordem de Produção Mestre: 300275195
Parte da peça: Frente
Motivo: Material insuficiente para finalizar a OP 
Quantidade: 22
Quantidade por tamanho:XG- 3; GG-9; G-3; P- 7
Observações: **
Código de Aviamento: *
</t>
  </si>
  <si>
    <t>qxjxFhzw1Ei-YJ4maNO612QAOFE0</t>
  </si>
  <si>
    <t>MALHA- 1376-300281893-F &amp; L AZEVEDO CONFECCAO LTDA FILIAL  - Manga</t>
  </si>
  <si>
    <t>2026-07-22T13:25:22.0627475Z</t>
  </si>
  <si>
    <t xml:space="preserve">FELCONFECCAO@GMAIL.COM
Ordem de Produção Mestre: 300281893
Parte da peça: Manga
Motivo: FALTOU
Quantidade: 10
Quantidade por tamanho:P-10
Observações: 
Código de Aviamento: 0
</t>
  </si>
  <si>
    <t>9AMcDL0yZEmYfANR6yDYamQAEEka</t>
  </si>
  <si>
    <t>927-300276889-F &amp; L AZEVEDO CONFECCAO LTDA FILIAL  - Gola</t>
  </si>
  <si>
    <t>2026-07-08T16:29:00.9202666Z</t>
  </si>
  <si>
    <t xml:space="preserve">FELCONFECCAO@GMAIL.COM
Ordem de Produção Mestre: 300276889
Parte da peça: Gola
Motivo: FALTOU
Quantidade: 4
Quantidade por tamanho:P-4
Observações: 
Código de Aviamento: 0
</t>
  </si>
  <si>
    <t>TJzKqZIG0kCv98DFumawImQABXMZ</t>
  </si>
  <si>
    <t>MALHA- 1375-300281893-F &amp; L AZEVEDO CONFECCAO LTDA FILIAL  - Frente</t>
  </si>
  <si>
    <t>2026-07-22T13:23:57.7615513Z</t>
  </si>
  <si>
    <t xml:space="preserve">FELCONFECCAO@GMAIL.COM
Ordem de Produção Mestre: 300281893
Parte da peça: Frente
Motivo: FALTOU
Quantidade: 4
Quantidade por tamanho:GG-4
Observações: 
Código de Aviamento: 0
</t>
  </si>
  <si>
    <t>kR3mAz0OzUiIzVFes3EMt2QAJpaV</t>
  </si>
  <si>
    <t>MALHA- 1374-300281893-F &amp; L AZEVEDO CONFECCAO LTDA FILIAL  - Traseiro</t>
  </si>
  <si>
    <t>2026-07-22T13:22:50.3884836Z</t>
  </si>
  <si>
    <t xml:space="preserve">FELCONFECCAO@GMAIL.COM
Ordem de Produção Mestre: 300281893
Parte da peça: Traseiro
Motivo: FALTOU
Quantidade: 9
Quantidade por tamanho:P-4; M-3; G-2
Observações: 
Código de Aviamento: 0
</t>
  </si>
  <si>
    <t>nZ5dxRhb_0G3vs3ceHuyqmQANiS-</t>
  </si>
  <si>
    <t>926-300276345-TENDENCIA CONFECCOES LTDA  - Etiqueta de Composição</t>
  </si>
  <si>
    <t>2026-07-08T16:08:44.2471925Z</t>
  </si>
  <si>
    <t xml:space="preserve">tendenciaconfec@gmail.com
Ordem de Produção Mestre: 300276345
Parte da peça: Etiqueta de Composição
Motivo: FALTOU PARA FINALIZAR OP
Quantidade: 8
Quantidade por tamanho:PP-3; P-3; GG-2
Observações: 
Código de Aviamento: ETIQUETA DE COMPOSIÇÃO
</t>
  </si>
  <si>
    <t>eWkK4oxJ5ECyWPrSi83v8mQAH12L</t>
  </si>
  <si>
    <t>MALHA- 1373-300281187-F &amp; L AZEVEDO CONFECCAO LTDA FILIAL  - Traseiro</t>
  </si>
  <si>
    <t>2026-07-22T13:21:19.4005337Z</t>
  </si>
  <si>
    <t xml:space="preserve">FELCONFECCAO@GMAIL.COM
Ordem de Produção Mestre: 300281187
Parte da peça: Traseiro
Motivo: FALTOU
Quantidade: 2
Quantidade por tamanho:GG-2
Observações: 
Código de Aviamento: 0
</t>
  </si>
  <si>
    <t>8U98j1KN00yERiOXSiU892QAFmlp</t>
  </si>
  <si>
    <t>920-300277999-LC TEXTIL LTDA  - Etiqueta de Composição</t>
  </si>
  <si>
    <t>2026-07-08T13:55:44.0966388Z</t>
  </si>
  <si>
    <t xml:space="preserve">lctextil@outlook.com.br
Ordem de Produção Mestre: 300277999
Parte da peça: Etiqueta de Composição
Motivo: Insuficiente para finalizar ordem
Quantidade: 2
Quantidade por tamanho:GG-2
Observações: 
Código de Aviamento: 0
</t>
  </si>
  <si>
    <t>DcdLf_vIaE-7CG4GnIlNImQAAh-f</t>
  </si>
  <si>
    <t>MALHA- 1372-300281187-F &amp; L AZEVEDO CONFECCAO LTDA FILIAL  - Frente</t>
  </si>
  <si>
    <t>2026-07-22T13:19:57.7537221Z</t>
  </si>
  <si>
    <t xml:space="preserve">felconfeccao@gmail.com
Ordem de Produção Mestre: 300281187
Parte da peça: Frente
Motivo: FALTOU
Quantidade: 7
Quantidade por tamanho:PP-1; M-6
Observações: 
Código de Aviamento: 0
</t>
  </si>
  <si>
    <t>qxuGvo7Y2kq2QYv578vKemQAKSeY</t>
  </si>
  <si>
    <t>919-300277699-LC TEXTIL LTDA  - Etiqueta de Composição</t>
  </si>
  <si>
    <t>2026-07-08T13:54:31.3523207Z</t>
  </si>
  <si>
    <t xml:space="preserve">lctextil@outlook.com.br
Ordem de Produção Mestre: 300277699
Parte da peça: Etiqueta de Composição
Motivo: Insuficiente para finalizar ordem 
Quantidade: 5
Quantidade por tamanho:3-P; 2-G
Observações: 
Código de Aviamento: 0
</t>
  </si>
  <si>
    <t>wowUbChLekqzChKjjz1tHGQAPDNo</t>
  </si>
  <si>
    <t>909-300278801-LEANDRO MATIAS DA SILVA  - Etiqueta de Composição</t>
  </si>
  <si>
    <t>2026-07-08T13:20:20.4658212Z</t>
  </si>
  <si>
    <t xml:space="preserve">alfaequador@gmail.com
Ordem de Produção Mestre: 300278801
Parte da peça: Etiqueta de Composição
Motivo: INSUFICIENTE
Quantidade: 15
Quantidade por tamanho:13-14-15
Observações: QUANTIDADE INSUFICIENTE 
Código de Aviamento: 00
</t>
  </si>
  <si>
    <t>BIZwjXl4nEih9y6B0O7Xe2QAJ52y</t>
  </si>
  <si>
    <t>JEANS- 1364-300280214-F A N CONFECCOES LTDA  - Cós</t>
  </si>
  <si>
    <t>2026-07-22T11:11:02.3870354Z</t>
  </si>
  <si>
    <t xml:space="preserve">ffconfeccoesobrn@hotmail.com
Ordem de Produção Mestre: 300280214
Parte da peça: Cós
Motivo: insuficiente para finalizar a ordem
Quantidade: 90 tamanho 34 e 50 tamanho 36
Quantidade por tamanho:90 tamanho 34 e 50 tamanho 36
Observações: os mesmos vieram faltando 
Código de Aviamento: 0
</t>
  </si>
  <si>
    <t>gU9dbrIJMkipzQ_vut5mimQAPyLk</t>
  </si>
  <si>
    <t>JEANS- 1358-300283153-CONFECCAO G. B. DA SILVA JUNIOR &amp; CIA LTDA  - Etiqueta de Composição</t>
  </si>
  <si>
    <t>2026-07-21T20:59:35.6710258Z</t>
  </si>
  <si>
    <t>confeccoesgbdas@hotmail.com_x000D_
Ordem de Produção Mestre: 300283153_x000D_
Parte da peça: Etiqueta de Composição_x000D_
Motivo: FALTA DE ETIQUETA PARA FINALIZAR A ORDEM_x000D_
Quantidade: 18_x000D_
Quantidade por tamanho:6 ETIQUETAS DE COMPOSIÇÃO TAM 11-12 // 6 ETIQUETAS DE COMPOSIÇÃO TAM 9-10 // 6 ETIQUETAS DE COMPOSIÇÃO TAM 8-9_x000D_
Observações: _x000D_
Código de Aviamento: 16218019</t>
  </si>
  <si>
    <t>pLGVRMO5cUKAavPruboGcGQAPmKf</t>
  </si>
  <si>
    <t>899-300278648-JOSENI MARIA DE MEDEIROS  - Etiqueta de Composição</t>
  </si>
  <si>
    <t>2026-07-08T10:50:57.0555507Z</t>
  </si>
  <si>
    <t xml:space="preserve">administrativo@zajaconfeccoes.com.br
Ordem de Produção Mestre: 300278648
Parte da peça: Etiqueta de Composição
Motivo: insuficiente 
Quantidade: 14
Quantidade por tamanho:xg-10; gg-2; m-2
Observações: 
Código de Aviamento: 0
</t>
  </si>
  <si>
    <t>uSDxn-_BcUC7cvnZyT416WQAAm6P</t>
  </si>
  <si>
    <t>MALHA- 1357-300277976-CONFECCAO G. B. DA SILVA JUNIOR &amp; CIA LTDA  - Etiqueta de Composição</t>
  </si>
  <si>
    <t>2026-07-21T20:57:29.9885664Z</t>
  </si>
  <si>
    <t xml:space="preserve">confeccoesgbdas@hotmail.com
Ordem de Produção Mestre: 300277976
Parte da peça: Etiqueta de Composição
Motivo: MATERIAL NAO ENVIADO PELA GUARARAPES
Quantidade: 78
Quantidade por tamanho:1 LOTE DE 78 PEÇAS TAMANHO GG (COMPLETO OS DOIS LADOS)
Observações: TRASEIRO É COMPLETO (OS DOIS LADOS)
Código de Aviamento: 16477324
</t>
  </si>
  <si>
    <t>ppgLpMopFUq4UBg788phZ2QAFHVx</t>
  </si>
  <si>
    <t>893-300276734-CONFECCAO G. B. DA SILVA JUNIOR &amp; CIA LTDA  - Etiqueta de Composição</t>
  </si>
  <si>
    <t>2026-07-07T20:12:50.745104Z</t>
  </si>
  <si>
    <t xml:space="preserve">confeccoesgbdas@gmail.com
Ordem de Produção Mestre: 300276734
Parte da peça: Etiqueta de Composição
Motivo: FALTOU ETIQUETA PARA COMPLETAR A ORDEM
Quantidade: 15
Quantidade por tamanho:5 ETIQUETAS DE COMPOSIÇÃO TAM 42 // 5 ETIQUETAS DE COMPOSIÇÃO TAM 40 // 5 ETIQUETAS DE COMPOSIÇÃO TAM 38
Observações: 
Código de Aviamento: 16272676
</t>
  </si>
  <si>
    <t>8xUjYu7oH0-CX6-q6pWLk2QADKwn</t>
  </si>
  <si>
    <t>889-300278650-JOSENI MARIA DE MEDEIROS  - Etiqueta de Composição</t>
  </si>
  <si>
    <t>2026-07-07T19:02:35.9162449Z</t>
  </si>
  <si>
    <t xml:space="preserve">administrativo@zajaconfeccoes.com.br
Ordem de Produção Mestre: 300278650
Parte da peça: Etiqueta de Composição
Motivo: INSUFIENTE 
Quantidade: 6
Quantidade por tamanho:XG-6
Observações: 
Código de Aviamento: 16223403
</t>
  </si>
  <si>
    <t>piuLjLoAGkW92y4IqXs0TmQAMRJt</t>
  </si>
  <si>
    <t>JEANS- 1353-300279716-M K DE AZEVEDO MEDEIROS INDUSTRIA TEXTIL  - Elástico</t>
  </si>
  <si>
    <t>2026-07-21T20:17:57.0773961Z</t>
  </si>
  <si>
    <t xml:space="preserve">mkdeazevedomedeiros@gmail.com
Ordem de Produção Mestre: 300279716
Parte da peça: Elástico
Motivo: INSUFICIENTE PARA FINALIZAR A ORDEM
Quantidade: 500
Quantidade por tamanho:-
Observações: 
Código de Aviamento: 9.EL238.050.CRU000
</t>
  </si>
  <si>
    <t>erxYHTiU_kK6f2jchedyVmQAPUYW</t>
  </si>
  <si>
    <t>695-300269147-TENDENCIA CONFECCOES LTDA  - ETIQUETA DE COMPOSIÇÃO</t>
  </si>
  <si>
    <t>2026-07-01T17:27:47.6970281Z</t>
  </si>
  <si>
    <t xml:space="preserve">tendenciaconfec@gmail.com
Ordem de Produção Mestre: 300269147
Parte da peça: ETIQUETA DE COMPOSIÇÃO
Motivo: FALTOU PARA FINALIZAR OP
Quantidade: 5
Quantidade por tamanho:G-5
Observações: 
Código de Aviamento: ETIQUETA DE COMPOSIÇÃO
</t>
  </si>
  <si>
    <t>20_X-ghgeU6htb4HtoYe22QAOuWo</t>
  </si>
  <si>
    <t>871-300272960-DI3 CONFECCOES LTDA  - Traseiro</t>
  </si>
  <si>
    <t>2026-07-07T15:00:27.6373332Z</t>
  </si>
  <si>
    <t xml:space="preserve">di3confec@gmail.com
Ordem de Produção Mestre: 300272960
Parte da peça: Traseiro
Motivo: Peças com corte assimétrico. Chamado n° 28532
Quantidade: 10
Quantidade por tamanho:52 - 5; 46 - 5
Observações: 
Código de Aviamento: 0
</t>
  </si>
  <si>
    <t>u_sQLnwgVUW9y03j0dV1vGQAEa1S</t>
  </si>
  <si>
    <t>870-300272960-DI3 CONFECCOES LTDA  - Frente</t>
  </si>
  <si>
    <t>2026-07-07T14:59:23.0618708Z</t>
  </si>
  <si>
    <t>di3confec@gmail.com_x000D_
Ordem de Produção Mestre: 300272960_x000D_
Parte da peça: Frente_x000D_
Motivo: Peças com corte assimétrico. Chamado n° 28532_x000D_
Quantidade: 4_x000D_
Quantidade por tamanho:42 - 4_x000D_
Observações: _x000D_
Código de Aviamento: 0</t>
  </si>
  <si>
    <t>gavtC0gvkkyyR1O6OT5PZ2QAJWjC</t>
  </si>
  <si>
    <t>JEANS- 1346-300283156-M K INDUSTRIA TEXTIL LTDA  - Passante</t>
  </si>
  <si>
    <t>2026-07-21T17:18:22.9204703Z</t>
  </si>
  <si>
    <t xml:space="preserve">mkdeazevedomedeiros@gmail.com
Ordem de Produção Mestre: 300283156
Parte da peça: Passante
Motivo: NÃO ENVIADO PELA GUARARAPES
Quantidade: 964
Quantidade por tamanho:-
Observações: 
Código de Aviamento: -
</t>
  </si>
  <si>
    <t>CnTGnDcbPkO5JlFFe16An2QAEENe</t>
  </si>
  <si>
    <t>868-300271748-JANUNCIO NOBREGA DE AZEVEDO  - Etiqueta de Composição</t>
  </si>
  <si>
    <t>2026-07-07T13:51:50.9796521Z</t>
  </si>
  <si>
    <t xml:space="preserve">reposicoesjkmodas@gmail.com
Ordem de Produção Mestre: 300271748
Parte da peça: Etiqueta de Composição
Motivo: NÃO ENVIADO PELA GUARARAPES
Quantidade: 3
Quantidade por tamanho:TAMANHO GG - 3 ETIQUETAS
Observações: 
Código de Aviamento: 00
</t>
  </si>
  <si>
    <t>x1YIdnDN4UyG11JmSOdhnWQAAhET</t>
  </si>
  <si>
    <t>686-300272601-FACCAO ELLO LTDA  - FRENTE</t>
  </si>
  <si>
    <t>2026-07-01T16:18:31.545074Z</t>
  </si>
  <si>
    <t xml:space="preserve">faccaoello@hotmail.com
Ordem de Produção Mestre: 300272601
Parte da peça: FRENTE
Motivo: MATERIAL NÃO ENVIADO PELA GUARARAPES
Quantidade: 9
Quantidade por tamanho:6-2; 4-2; 2-5
Observações: LADO ESQUERDO
Código de Aviamento: 000
</t>
  </si>
  <si>
    <t>_mh3sjQ7g0WWC0culDKb22QANf2J</t>
  </si>
  <si>
    <t>TEAR- 1345-300282856-CONFECCOES GENESIS LTDA  - Frente</t>
  </si>
  <si>
    <t>2026-07-21T16:43:35.3406659Z</t>
  </si>
  <si>
    <t>confeccaogenesisltda@gmail.com_x000D_
Ordem de Produção Mestre: 300282856_x000D_
Parte da peça: Frente_x000D_
Motivo: AS PEÇAS VIERAM DANIFICADAS_x000D_
Quantidade: 39_x000D_
Quantidade por tamanho:G-39_x000D_
Observações: LADO DIREITO FRENTE_x000D_
Código de Aviamento: 0</t>
  </si>
  <si>
    <t>3RYLZ7G7w0OMIMLKq0_N4GQAKdx8</t>
  </si>
  <si>
    <t>864-300276898-F &amp; L AZEVEDO CONFECCAO LTDA FILIAL  - Etiqueta de Composição</t>
  </si>
  <si>
    <t>2026-07-07T13:07:04.1467479Z</t>
  </si>
  <si>
    <t xml:space="preserve">felconfeccao@gmail.com
Ordem de Produção Mestre: 300276898
Parte da peça: Etiqueta de Composição
Motivo: FALTOU
Quantidade: 8
Quantidade por tamanho:P-5; M-3
Observações: 
Código de Aviamento: 0
</t>
  </si>
  <si>
    <t>4F8y1AV-W0--Z15Fr8iD4GQAF8vl</t>
  </si>
  <si>
    <t>684-300272601-FACCAO ELLO LTDA  - FRENTE</t>
  </si>
  <si>
    <t>2026-07-01T16:13:19.4622099Z</t>
  </si>
  <si>
    <t xml:space="preserve">faccaoello@hotmail.com
Ordem de Produção Mestre: 300272601
Parte da peça: FRENTE
Motivo: MATERIAL NÃO ENVIADO PELA GUARARAPES
Quantidade: 38
Quantidade por tamanho:6-11; 5-6; 4-2; 3-8; 2-6; 1-5
Observações: LADO DIREITO
Código de Aviamento: 000
</t>
  </si>
  <si>
    <t>4e4Gr3nDF0GyhwqZYieVemQAL0Li</t>
  </si>
  <si>
    <t>JEANS- 1342-300277070-F &amp; L AZEVEDO CONFECCAO LTDA MATRIZ  - Etiqueta de Composição</t>
  </si>
  <si>
    <t>2026-07-21T16:07:20.4930271Z</t>
  </si>
  <si>
    <t xml:space="preserve">felconfeccao@gmail.com
Ordem de Produção Mestre: 300277070
Parte da peça: Etiqueta de Composição
Motivo: insuficiente para finalizar ordem
Quantidade: 4
Quantidade por tamanho:9-10- 4
Observações: 
Código de Aviamento: não informado
</t>
  </si>
  <si>
    <t>RpOWrNK_Tk2Yn1GIKMIslWQADy_l</t>
  </si>
  <si>
    <t>854-300273718-ARAUJO CAMARA LTDA  - Etiqueta de Composição</t>
  </si>
  <si>
    <t>2026-07-06T21:01:15.804997Z</t>
  </si>
  <si>
    <t xml:space="preserve">marionetemedeiros2@hotmail.com
Ordem de Produção Mestre: 300273718
Parte da peça: Etiqueta de Composição
Motivo: Faltou para concluir a op
Quantidade: 12
Quantidade por tamanho:6-01, 5-04, 4-04,3-01,2-01,1-01
Observações: Etiqueta de composição que prega do lado interno da calça 
Código de Aviamento: 9.ET2E2.001.000001
</t>
  </si>
  <si>
    <t>L-ULjoO2uEqxVQEPoAR1Q2QAHRM3</t>
  </si>
  <si>
    <t>850-300277992-CONFECCOES GENESIS LTDA  - Etiqueta de Composição</t>
  </si>
  <si>
    <t>2026-07-06T19:20:57.4262931Z</t>
  </si>
  <si>
    <t xml:space="preserve">confeccaogenesisltda@gmail.com
Ordem de Produção Mestre: 300277992
Parte da peça: Etiqueta de Composição
Motivo: veio faltando
Quantidade: 10
Quantidade por tamanho:M-10
Observações: VEIO FALTANDO
Código de Aviamento: 0
</t>
  </si>
  <si>
    <t>mZ-_tChyzUqiPG1zdoqYx2QAMGdt</t>
  </si>
  <si>
    <t>681-300271127-JOSE MEDEIROS DE ARAUJO  - ETIQUETA DE COMPOSIÇÃO</t>
  </si>
  <si>
    <t>2026-07-01T15:52:42.0829298Z</t>
  </si>
  <si>
    <t xml:space="preserve">administrativo@zajaconfeccoes.com.br
Ordem de Produção Mestre: 300271127
Parte da peça: ETIQUETA DE COMPOSIÇÃO
Motivo: INSUFICIENTE 
Quantidade: 2
Quantidade por tamanho:44-1; 42-1
Observações: 
Código de Aviamento: 0
</t>
  </si>
  <si>
    <t>KZRSDrnkqk2Ku6WshuZseWQACFGG</t>
  </si>
  <si>
    <t>POLO- 1338-300282838-POTENGI TEXTIL LTDA  - Traseiro</t>
  </si>
  <si>
    <t>2026-07-21T13:41:53.0771769Z</t>
  </si>
  <si>
    <t xml:space="preserve">potengitextil@outlook.com.br
Ordem de Produção Mestre: 300282838
Parte da peça: Traseiro
Motivo: Lote não enviado pela guararapes 
Quantidade: 21 
Quantidade por tamanho:GG-21
Observações: 
Código de Aviamento: 0
</t>
  </si>
  <si>
    <t>0M3Sj8umpUmTvm_dPsdJAmQAN299</t>
  </si>
  <si>
    <t>846-300276278-A S CONFECCOES LTDA  - Etiqueta de Composição</t>
  </si>
  <si>
    <t>2026-07-06T18:18:26.1221231Z</t>
  </si>
  <si>
    <t xml:space="preserve">s.a.confeccoesind@gmail.com
Ordem de Produção Mestre: 300276278
Parte da peça: Etiqueta de Composição
Motivo: material não enviado pela guararapes
Quantidade: 18
Quantidade por tamanho:42-18
Observações: Etiqueta de composição tamanho 42
Código de Aviamento: 0000
</t>
  </si>
  <si>
    <t>l4dogCtqjkqy-SWMH2aWQ2QAPFya</t>
  </si>
  <si>
    <t>POLO- 1337-300282838-POTENGI TEXTIL LTDA  - Manga</t>
  </si>
  <si>
    <t>2026-07-21T13:40:27.1227298Z</t>
  </si>
  <si>
    <t xml:space="preserve">potengitextil@outlook.com.br
Ordem de Produção Mestre: 300282838
Parte da peça: Manga
Motivo: Lote não enviado pela guararapes 
Quantidade: 21 
Quantidade por tamanho:GG- 21 
Observações: São 21 pares de manga 
Código de Aviamento: 0
</t>
  </si>
  <si>
    <t>qRUU5jq9yEOVqZ9jF5TUN2QACktq</t>
  </si>
  <si>
    <t>680-300275413-IDEAL CONFECCOES LTDA  - CÓS</t>
  </si>
  <si>
    <t>2026-07-01T15:30:02.9886912Z</t>
  </si>
  <si>
    <t xml:space="preserve">idealconfecltda@gmail.com
Ordem de Produção Mestre: 300275413
Parte da peça: CÓS
Motivo: INSUFICIENTE PARA FINALIZAR OP
Quantidade: 25
Quantidade por tamanho:TAM-10=25 UND
Observações: INSUFICIENTE PARA FINALIZAR OP
Código de Aviamento: 0000000000
</t>
  </si>
  <si>
    <t>z-QeO8--ZkK8ztHAuwycNWQAIs8C</t>
  </si>
  <si>
    <t>818-300272964-ARAUJO E M CONFECCOES LTDA  - Cós</t>
  </si>
  <si>
    <t>2026-07-06T10:24:28.7247065Z</t>
  </si>
  <si>
    <t xml:space="preserve">samuelmedeiros074@hotmail.com
Ordem de Produção Mestre: 300272964
Parte da peça: Cós
Motivo: ENTRETELA COLADO NO LADO ERRADO
Quantidade: 266
Quantidade por tamanho:52-28 / 50-28 / 48-28 / 46-28 / 44-42 / 42-56 / 40-28 / 38-28
Observações: ENTRETELA COLADO NO LADO ERRADO
Código de Aviamento: .
</t>
  </si>
  <si>
    <t>UHkRHj39ckeCW4rW4Svq1GQAP-m9</t>
  </si>
  <si>
    <t>POLO- 1336-300282838-POTENGI TEXTIL LTDA  - Frente</t>
  </si>
  <si>
    <t>2026-07-21T13:39:18.7982244Z</t>
  </si>
  <si>
    <t xml:space="preserve">potengitextil@outlook.com.br
Ordem de Produção Mestre: 300282838
Parte da peça: Frente
Motivo: Lote não enviado pela guararapes 
Quantidade: 21
Quantidade por tamanho:GG-21
Observações: Frente de camisa polo, vim com o pentilho feito 
Código de Aviamento: 0
</t>
  </si>
  <si>
    <t>gyXzRRoAjUGNPI4ZW-o30WQABO2X</t>
  </si>
  <si>
    <t>842-300276748-IVANILDO JOSE DE SOUZA  - Etiqueta de Composição</t>
  </si>
  <si>
    <t>2026-07-06T17:24:11.0365165Z</t>
  </si>
  <si>
    <t xml:space="preserve">hiconfeccao@gmail.com
Ordem de Produção Mestre: 300276748
Parte da peça: Etiqueta de Composição
Motivo: O motivo do pedido, porque vieram insuficientes para concluir a OP.
Quantidade: 40
Quantidade por tamanho:Tamanho 9-10: pedido de 8 etiquetas de composição.  / Tamanho 6-7: pedido de 8 etiquetas de composição. / Tamanho 8-9: pedido de 8 etiquetas de composição. / Tamanho 11-12: pedido de 8 etiquetas de composição. / Tamanho 13-14: pedido de 8 etiquetas de composição. Código
Observações: Pedido de Etiqueta de Composição para todos os tamanhos, sendo o pedido de 8 etiquetas de composição para cada tamanho
Código de Aviamento: 000000010000220032/000000010000219954/000000010000220031/000000010000220033/000000010000220034
</t>
  </si>
  <si>
    <t>aI8tTj479EuRAEDb7TCE9WQAKGYf</t>
  </si>
  <si>
    <t>841-300275052-ACARI TÊXTIL LTDA  - Cós</t>
  </si>
  <si>
    <t>2026-07-06T17:04:22.801536Z</t>
  </si>
  <si>
    <t xml:space="preserve">acaritextil2801@gmail.com
Ordem de Produção Mestre: 300275052
Parte da peça: Cós
Motivo: ´TONALIDADE
Quantidade: 202
Quantidade por tamanho:52-34/50-34/48-12/46-18/44-18/42-12/40-40/38-34
Observações: CÓS EXTERNO DA COR DA PEÇA
Código de Aviamento: 0000
</t>
  </si>
  <si>
    <t>HnF9xjtP8ESONl4Pfh001GQAKPtk</t>
  </si>
  <si>
    <t>817-300272966-ARAUJO E M CONFECCOES LTDA  - Cós</t>
  </si>
  <si>
    <t>2026-07-06T10:20:36.9065618Z</t>
  </si>
  <si>
    <t xml:space="preserve">samuelmedeiros074@hotmail.com
Ordem de Produção Mestre: 300272966
Parte da peça: Cós
Motivo: ENTRETELA COLADO NO LADO ERRADO
Quantidade: 437
Quantidade por tamanho:52-46 / 50-46 / 48-46 / 46-46 / 44-69 / 42-92 / 40-46 / 38-46
Observações: ENTRETELA COLADO NO LADO ERRADO
Código de Aviamento: .
</t>
  </si>
  <si>
    <t>EH5SLlQDw0iB5PNHxyKh-GQAAG8F</t>
  </si>
  <si>
    <t>POLO- 1335-300281371-POTENGI TEXTIL LTDA  - Etiqueta de Composição</t>
  </si>
  <si>
    <t>2026-07-21T13:37:45.6985862Z</t>
  </si>
  <si>
    <t xml:space="preserve">potengitextil@outlook.com.br
Ordem de Produção Mestre: 300281371
Parte da peça: Etiqueta de Composição
Motivo: Insuficiente para finalizar ordem 
Quantidade: 1
Quantidade por tamanho:1-XG
Observações: 
Código de Aviamento: 0
</t>
  </si>
  <si>
    <t>pr6lhPbYhEmuttzYVlS56mQAIt6i</t>
  </si>
  <si>
    <t>674-300271532-LAJEDO JEANS CONFECCOES LTDA  - CÓS</t>
  </si>
  <si>
    <t>2026-07-01T13:38:55.2538509Z</t>
  </si>
  <si>
    <t xml:space="preserve">lajedoconf5@gmail.com
Ordem de Produção Mestre: 300271532
Parte da peça: CÓS
Motivo: quantidade insuficiente para concluir a ordem
Quantidade: 15
Quantidade por tamanho:36=15
Observações: 
Código de Aviamento: 0
</t>
  </si>
  <si>
    <t>AEPHNMp0hE2WpNYg0IfpUWQAL42H</t>
  </si>
  <si>
    <t>JEANS- 1325-300281065-JOSENI MARIA DE MEDEIROS  - Etiqueta de Composição</t>
  </si>
  <si>
    <t>2026-07-21T11:10:46.1458288Z</t>
  </si>
  <si>
    <t xml:space="preserve">administrativo@zajaconfeccoes.com.br
Ordem de Produção Mestre: 300281065
Parte da peça: Etiqueta de Composição
Motivo: insuficiente
Quantidade: 30
Quantidade por tamanho:46-20; 48-5; 38-5
Observações: 
Código de Aviamento: 0
</t>
  </si>
  <si>
    <t>804Y43L9v0a8UNpATHZLwWQALMTX</t>
  </si>
  <si>
    <t>812-300273026-JOSENI MARIA DE MEDEIROS  - Etiqueta de Composição</t>
  </si>
  <si>
    <t>2026-07-03T20:21:00.4392579Z</t>
  </si>
  <si>
    <t xml:space="preserve">administrativo@zajaconfeccoes.com.br
Ordem de Produção Mestre: 300273026
Parte da peça: Etiqueta de Composição
Motivo: insuficiente 
Quantidade: 20
Quantidade por tamanho:2-20
Observações: 
Código de Aviamento: 0
</t>
  </si>
  <si>
    <t>UHLYVLCGPkGpBW-yaF8R_2QAGWzz</t>
  </si>
  <si>
    <t>840-300275052-ACARI TÊXTIL LTDA  - Vivo</t>
  </si>
  <si>
    <t>2026-07-06T17:02:33.7770607Z</t>
  </si>
  <si>
    <t>acaritextil2801@gmail.com_x000D_
Ordem de Produção Mestre: 300275052_x000D_
Parte da peça: Vivo_x000D_
Motivo: TONALIDADE_x000D_
Quantidade: 202_x000D_
Quantidade por tamanho:52-34/50-34/48-12/46/18/44-18/42-12/40-40/38/34_x000D_
Observações: VIVOS COM TONALIDADE. VAMOS ENVIAR UMA PEÇA PARA VERIFICAR _x000D_
Código de Aviamento: 0000</t>
  </si>
  <si>
    <t>JC5sV1SfokqcbhHgH1TmfWQAPcD1</t>
  </si>
  <si>
    <t>672-300271121-CONFECCAO G. B. DA SILVA JUNIOR &amp; CIA LTDA  - ETIQUETA DE COMPOSIÇÃO</t>
  </si>
  <si>
    <t>2026-07-01T11:35:38.8029093Z</t>
  </si>
  <si>
    <t xml:space="preserve">confeccoesgbdas@hotmail.com
Ordem de Produção Mestre: 300271121
Parte da peça: ETIQUETA DE COMPOSIÇÃO
Motivo: MATERIAL INSUFICIENTE PARA FINALIZAR ORDEM
Quantidade: 30
Quantidade por tamanho:10 ETIQUETAS DE COMPOSIÇÃO TAM 40 // 10 ETIQUETAS DE COMPOSIÇÃO TAM 38 // 10 ETIQUETAS DE COMPOSIÇÃO TAM 36
Observações: 
Código de Aviamento: 16507665
</t>
  </si>
  <si>
    <t>VBPeMSlNWUKYjF1Is98luGQAPSPw</t>
  </si>
  <si>
    <t>JEANS- 1324-300277493-B &amp; N SILVA CONFECCOES LTDA  - Etiqueta de Composição</t>
  </si>
  <si>
    <t>2026-07-21T11:10:35.2384391Z</t>
  </si>
  <si>
    <t xml:space="preserve">bensilvaconfeccoes@gmail.com
Ordem de Produção Mestre: 300277493
Parte da peça: Etiqueta de Composição
Motivo: VEIO FALTANDO 
Quantidade: 7
Quantidade por tamanho:38-1 ; 40-6 
Observações: VEIO FALTANDO UMA ETIQ NO TAMANHO  38 E 6 ETIQ NO TAMANHO 40
Código de Aviamento: N TEMOS 
</t>
  </si>
  <si>
    <t>Dd6XhpPsVEG6IjIv6Toa6GQAH-I4</t>
  </si>
  <si>
    <t>810-300271213-FLAVIA GEORGIA BRAGA SILVA CONFECCOES LTDA  - Frente</t>
  </si>
  <si>
    <t>2026-07-03T20:03:06.16552Z</t>
  </si>
  <si>
    <t xml:space="preserve">w.anny.k@hotmail.com
Ordem de Produção Mestre: 300271213
Parte da peça: Frente
Motivo: FALTOU PARA CONCLUIMOS A ORDEM 
Quantidade: 35
Quantidade por tamanho:35- P
Observações: 
Código de Aviamento: 00000
</t>
  </si>
  <si>
    <t>BeOUSXHwF06MBKw7qrLfmGQAEFct</t>
  </si>
  <si>
    <t>837-300277359-POTENGI TEXTIL LTDA  - Etiqueta de Composição</t>
  </si>
  <si>
    <t>2026-07-06T15:57:39.9288884Z</t>
  </si>
  <si>
    <t xml:space="preserve">potengitextil@outlook.com.br
Ordem de Produção Mestre: 300277359
Parte da peça: Etiqueta de Composição
Motivo: Insuficiente para finalizar ordem 
Quantidade: 1
Quantidade por tamanho:G-1
Observações: 
Código de Aviamento: 0
</t>
  </si>
  <si>
    <t>hLxL3tu2uk-vqFYPN0MTJ2QAAinJ</t>
  </si>
  <si>
    <t>671-300273865-DANJAN CONFECCOES LTDA  - MANGA material   está   [0]</t>
  </si>
  <si>
    <t>2026-07-01T11:04:47.2958552Z</t>
  </si>
  <si>
    <t xml:space="preserve">spauloazevedo@bol.com.br
Ordem de Produção Mestre: 300273865
Parte da peça: MANGA
Motivo: Veio 1 pacote com 34 mangas cortadas na ponta, do tamanho M primeiro risco
Quantidade: 34
Quantidade por tamanho:34-M
Observações: 
Código de Aviamento: 00000000
</t>
  </si>
  <si>
    <t>r0AcanVCFE-9n9_9l1ctJWQAIMAU</t>
  </si>
  <si>
    <t>JEANS- 1322-300280446-FLAVIA GEORGIA BRAGA SILVA CONFECCOES LTDA  - Etiqueta de Composição</t>
  </si>
  <si>
    <t>2026-07-21T10:45:05.0644209Z</t>
  </si>
  <si>
    <t xml:space="preserve">w.anny.k@hotmail.com
Ordem de Produção Mestre: 300280446
Parte da peça: Etiqueta de Composição
Motivo: VEIO FALTANDO NA ORDEM 
Quantidade: 35
Quantidade por tamanho:38-5, 40-5, 42-5, 44-5, 46-5, 48-5, 50-5
Observações: 
Código de Aviamento: 00000000
</t>
  </si>
  <si>
    <t>UBugiUil5kW6gb6Hl7zdbGQAHde3</t>
  </si>
  <si>
    <t>833-300273637-NOEL PEREIRA DE AZEVEDO CONFECCAO  - Agulha</t>
  </si>
  <si>
    <t>2026-07-06T13:52:21.8895432Z</t>
  </si>
  <si>
    <t xml:space="preserve">noelpazevedo@gmail.com
Ordem de Produção Mestre: 300273637
Parte da peça: Agulha
Motivo: Pede umas argolas na ponta de um cinto e não veio essas argolas 
Quantidade: 2440
Quantidade por tamanho:13-14:2240
Observações: Essa ordem pede umas argolas na ponta do cinto e não veio junto com a ordem 
Código de Aviamento: Nao tenho 
</t>
  </si>
  <si>
    <t>vJ8iSO8BBEqVi6Q9nU-timQAAan6</t>
  </si>
  <si>
    <t>808-300276897-F &amp; L AZEVEDO CONFECCAO LTDA FILIAL  - Traseiro</t>
  </si>
  <si>
    <t>2026-07-03T19:12:18.6245244Z</t>
  </si>
  <si>
    <t xml:space="preserve">FELCONFECCAO@GMAIL.COM
Ordem de Produção Mestre: 300276897
Parte da peça: Traseiro
Motivo: FALTOU
Quantidade: 1
Quantidade por tamanho:G-1
Observações: 
Código de Aviamento: 0
</t>
  </si>
  <si>
    <t>FGS9L8ivLkm8N1jJTusRWWQAFeoj</t>
  </si>
  <si>
    <t>JEANS- 1321-300280444-FLAVIA GEORGIA BRAGA SILVA CONFECCOES LTDA  - Etiqueta de Composição</t>
  </si>
  <si>
    <t>2026-07-21T10:40:14.0584106Z</t>
  </si>
  <si>
    <t xml:space="preserve">w.anny.k@hotmail.com
Ordem de Produção Mestre: 300280444
Parte da peça: Etiqueta de Composição
Motivo: VEIO FALTANDO NA ORDEM 
Quantidade: 35
Quantidade por tamanho:38-5, 40-5, 42-5, 44-5, 46-5, 48-5,50-5
Observações: 
Código de Aviamento: 00000000
</t>
  </si>
  <si>
    <t>PkjM2v8riEKqqvcl6pjIF2QAD-Qj</t>
  </si>
  <si>
    <t>668-300275654-CONFECCOES GENESIS LTDA  - ETIQUETA DE COMPOSIÇÃO</t>
  </si>
  <si>
    <t>2026-07-01T10:41:56.4748961Z</t>
  </si>
  <si>
    <t xml:space="preserve">confeccaogenesisltda@gmail.com
Ordem de Produção Mestre: 300275654
Parte da peça: ETIQUETA DE COMPOSIÇÃO
Motivo: veio faltando
Quantidade: 5
Quantidade por tamanho:9-10=3
Observações: 
Código de Aviamento: 0
</t>
  </si>
  <si>
    <t>e94C3XzjXEKJpvNlPx55t2QAOwxT</t>
  </si>
  <si>
    <t>832-300274191-FLAVIA GEORGIA BRAGA SILVA CONFECCOES LTDA  - Etiqueta de Composição</t>
  </si>
  <si>
    <t>2026-07-06T13:19:50.4204497Z</t>
  </si>
  <si>
    <t xml:space="preserve">w.anny.k@hotmail.com
Ordem de Produção Mestre: 300274191
Parte da peça: Etiqueta de Composição
Motivo: VEIO FALTANDO NA ORDEM
Quantidade: 10
Quantidade por tamanho:M
Observações: 
Código de Aviamento: 000000000000
</t>
  </si>
  <si>
    <t>93ZWod-VI0-CThuCzROyUGQAPDP_</t>
  </si>
  <si>
    <t>807-300276897-F &amp; L AZEVEDO CONFECCAO LTDA FILIAL  - Frente</t>
  </si>
  <si>
    <t>2026-07-03T19:11:04.6708468Z</t>
  </si>
  <si>
    <t xml:space="preserve">FELCONFECCAO@GMAIL.COM
Ordem de Produção Mestre: 300276897
Parte da peça: Frente
Motivo: FALTOU
Quantidade: 2
Quantidade por tamanho:P-2
Observações: 
Código de Aviamento: 0
</t>
  </si>
  <si>
    <t>wmIzlbvggEebNsI7K5G5V2QACCV-</t>
  </si>
  <si>
    <t>JEANS- 1319-300277546-ASA CONFECCOES LTDA  - Etiqueta de Composição</t>
  </si>
  <si>
    <t>2026-07-20T22:19:49.3800901Z</t>
  </si>
  <si>
    <t xml:space="preserve">asaequador@gmail.com
Ordem de Produção Mestre: 300277546
Parte da peça: Etiqueta de Composição
Motivo: veio faltando
Quantidade: 10
Quantidade por tamanho:13/14-2, 11/12-2 , 9/10 -2 ,8/9-2 ,6/7-2
Observações: insuficiente pra concluir ordem
Código de Aviamento: 0000000
</t>
  </si>
  <si>
    <t>IZax4YlgDkG2emZ-JE0J5WQAD6t9</t>
  </si>
  <si>
    <t>830-300268926-A S CONFECCOES LTDA  - Etiqueta de Composição</t>
  </si>
  <si>
    <t>2026-07-06T12:43:11.406515Z</t>
  </si>
  <si>
    <t xml:space="preserve">s.a.confeccoesind@gmail.com
Ordem de Produção Mestre: 300268926
Parte da peça: Etiqueta de Composição
Motivo: material insuficiente para finalizar op
Quantidade: 6
Quantidade por tamanho:38-6
Observações: Etiqueta de composição tamanho 38
Código de Aviamento: 0000
</t>
  </si>
  <si>
    <t>IIaBuHsM0UeuCVgitaocdGQANhw3</t>
  </si>
  <si>
    <t>666-300276286-ACARI TÊXTIL LTDA  - ETIQUETA DE COMPOSIÇÃO</t>
  </si>
  <si>
    <t>2026-07-01T10:35:26.6928802Z</t>
  </si>
  <si>
    <t xml:space="preserve">acaritextil2801@gmail.com
Ordem de Produção Mestre: 300276286
Parte da peça: ETIQUETA DE COMPOSIÇÃO
Motivo: FALTOU
Quantidade: 34
Quantidade por tamanho:34- 38
Observações: 
Código de Aviamento: 000
</t>
  </si>
  <si>
    <t>23s9q3rDgUe9PtquV7kbiGQAAc_E</t>
  </si>
  <si>
    <t>JEANS- 1318-300279289-POTENGI TEXTIL LTDA  - Etiqueta de Composição</t>
  </si>
  <si>
    <t>2026-07-20T19:49:21.8680295Z</t>
  </si>
  <si>
    <t xml:space="preserve">potengitextil@outlook.com.br
Ordem de Produção Mestre: 300279289
Parte da peça: Etiqueta de Composição
Motivo: Faltou na ordem
Quantidade: 6
Quantidade por tamanho:G-2, M-2, P-2
Observações: 
Código de Aviamento: 0
</t>
  </si>
  <si>
    <t>Gh2Ozet_rku9qBVijh3gYWQAD0jL</t>
  </si>
  <si>
    <t>826-300271213-FLAVIA GEORGIA BRAGA SILVA CONFECCOES LTDA  - Manga</t>
  </si>
  <si>
    <t>2026-07-06T12:08:28.4328585Z</t>
  </si>
  <si>
    <t xml:space="preserve">w.anny.k@hotmail.com
Ordem de Produção Mestre: 300271213
Parte da peça: Manga
Motivo: Faltou para concluimos a ordem mestre
Quantidade: 35
Quantidade por tamanho:35-P
Observações: 
Código de Aviamento: 0000
</t>
  </si>
  <si>
    <t>i701EMdD4E6X0ITUwryCJWQAMWtk</t>
  </si>
  <si>
    <t>JEANS- 1317-300275423-IVANILDO JOSE DE SOUZA  - Etiqueta de Composição</t>
  </si>
  <si>
    <t>2026-07-20T19:40:37.7090558Z</t>
  </si>
  <si>
    <t xml:space="preserve">hiconfeccao@gmail.com
Ordem de Produção Mestre: 300275423
Parte da peça: Etiqueta de Composição
Motivo: Porque o que  veio, é insuficiente para concluir a OP.
Quantidade: 21
Quantidade por tamanho:Para o tamanho 9-10: Pedido de 7 etiquetas de Composição.  / Para o tamanho 8-9: Pedido de 7 etiquetas de Composição. / Para o tamanho 6-7: Pedido de 7 etiquetas de Composição. 
Observações: Pedido de Etiquetas de Composição.
Código de Aviamento: 10000220032/10000220031/10000219954
</t>
  </si>
  <si>
    <t>7AxjAtB2YUGYsBuykRZ2hWQACaGT</t>
  </si>
  <si>
    <t>806-300272294-CONFECCOES GENESIS LTDA  - Etiqueta de Composição</t>
  </si>
  <si>
    <t>2026-07-03T18:57:38.9522282Z</t>
  </si>
  <si>
    <t xml:space="preserve">confeccaogenesisltda@gmail.com
Ordem de Produção Mestre: 300272294
Parte da peça: Etiqueta de Composição
Motivo: VEIO FALTANDO
Quantidade: 21
Quantidade por tamanho:2-10;3-10;4-1
Observações: 
Código de Aviamento: 0
</t>
  </si>
  <si>
    <t>BQjrgJw4zU-bLGPsFGmWT2QAKyYY</t>
  </si>
  <si>
    <t>821-300275220-FREIRE SILVA CONFECCOES LTDA  - Etiqueta de Composição</t>
  </si>
  <si>
    <t>2026-07-06T10:36:47.4924916Z</t>
  </si>
  <si>
    <t xml:space="preserve">freiresilvaconfeccoes@gmail.com
Ordem de Produção Mestre: 300275220
Parte da peça: Etiqueta de Composição
Motivo: Material insuficiente para finalizar a OP.
Quantidade: 10
Quantidade por tamanho:P-10. 
Observações: Material insuficiente para finalizar a OP.
Código de Aviamento: *
</t>
  </si>
  <si>
    <t>gq011ggo8kiXu6SZRjg6O2QADn-A</t>
  </si>
  <si>
    <t>664-300275978-ALINE RODRIGUES DE LIMA ARAUJO  - ETIQUETA DE COMPOSIÇÃO</t>
  </si>
  <si>
    <t>2026-06-30T21:02:18.6788417Z</t>
  </si>
  <si>
    <t xml:space="preserve">deboraclothing.textil@gmail.com
Ordem de Produção Mestre: 300275978
Parte da peça: ETIQUETA DE COMPOSIÇÃO
Motivo: INSUFICIENTE PARA COMPLETAR ORDEM 
Quantidade: 29
Quantidade por tamanho:XG- 5 GG-2 G-10 M-10 P-1 PP-1 
Observações: INSUFICIENTE PARA FINALIZAR ORDEM 
Código de Aviamento: 0
</t>
  </si>
  <si>
    <t>0Rd1kaqhbEOdlqWt5Qx8QmQAGT48</t>
  </si>
  <si>
    <t>JEANS- 1313-300280185-TENDENCIA CONFECCOES LTDA  - Etiqueta de Composição</t>
  </si>
  <si>
    <t>2026-07-20T18:42:59.4623071Z</t>
  </si>
  <si>
    <t xml:space="preserve">tendenciaconfec@gmail.com
Ordem de Produção Mestre: 300280185
Parte da peça: Etiqueta de Composição
Motivo: FALTA PARA FINALIZAR OP
Quantidade: 6
Quantidade por tamanho:44-3; 48-3
Observações: 
Código de Aviamento: ETIQUETA DE COMPOSIÇÃO
</t>
  </si>
  <si>
    <t>PzBKNxByT0uxCseuysTg72QAEuD8</t>
  </si>
  <si>
    <t>805-300276274-JOSENI MARIA DE MEDEIROS  - Etiqueta de Composição</t>
  </si>
  <si>
    <t>2026-07-03T18:45:57.413818Z</t>
  </si>
  <si>
    <t xml:space="preserve">administrativo@zajaconfeccoes.com.br
Ordem de Produção Mestre: 300276274
Parte da peça: Etiqueta de Composição
Motivo: insuficiente
Quantidade: 2
Quantidade por tamanho:10-2
Observações: 
Código de Aviamento: 0
</t>
  </si>
  <si>
    <t>qZh9zFLuSEW9NN_pUCf9WWQAA2Tz</t>
  </si>
  <si>
    <t>804-300275878-F J DE AZEVEDO  - Etiqueta de Composição</t>
  </si>
  <si>
    <t>2026-07-03T18:42:10.2583976Z</t>
  </si>
  <si>
    <t xml:space="preserve">fjdeazevedo@hotmail.com
Ordem de Produção Mestre: 300275878
Parte da peça: Etiqueta de Composição
Motivo: peças a mais
Quantidade: 14
Quantidade por tamanho:Tam.: 46-Quant.: 02, Tam.: 44-Quant.: 03,Tam.: 42-Quant.: 04, Tam.: 40-Quant.: 03,Tam.: 38-Quant.: 03Tam.: 38-Quant.: 03
Observações: peças que vieram a mais
Código de Aviamento: sem código
</t>
  </si>
  <si>
    <t>cfNW6hsB4kGEf--BC-iWsmQAKUB1</t>
  </si>
  <si>
    <t>802-300276270-JOSENI MARIA DE MEDEIROS  - Etiqueta de Composição</t>
  </si>
  <si>
    <t>2026-07-03T18:35:45.2037175Z</t>
  </si>
  <si>
    <t xml:space="preserve">administrativo@zajaconfeccoes.com.br
Ordem de Produção Mestre: 300276270
Parte da peça: Etiqueta de Composição
Motivo: INSUFICIENTE
Quantidade: 1
Quantidade por tamanho:50-1
Observações: 
Código de Aviamento: 0
</t>
  </si>
  <si>
    <t>Lrz39Q1DukaCbk6lVh7DQWQAOdLN</t>
  </si>
  <si>
    <t>659-300270295-F &amp; L AZEVEDO CONFECCAO LTDA MATRIZ  - FRENTE</t>
  </si>
  <si>
    <t>2026-06-30T19:14:21.2140233Z</t>
  </si>
  <si>
    <t xml:space="preserve">felconfeccao@gmail.com
Ordem de Produção Mestre: 300270295
Parte da peça: FRENTE
Motivo: NÃO ENVIADO PARA OFICINA
Quantidade: 40
Quantidade por tamanho:M-40
Observações: FRENTE ESQUERDA DE QUEM VESTE
Código de Aviamento: NÃO INFORMADO
</t>
  </si>
  <si>
    <t>on6_oVXVbU6yfxosgiFncmQAFphr</t>
  </si>
  <si>
    <t>MALHA- 1311-300281896-LC TEXTIL LTDA  - Gola</t>
  </si>
  <si>
    <t>2026-07-20T18:40:03.5015736Z</t>
  </si>
  <si>
    <t xml:space="preserve">lctextil@outlook.com.br
Ordem de Produção Mestre: 300281896
Parte da peça: Gola
Motivo: Material com defeito 
Quantidade: 80
Quantidade por tamanho:GG-80
Observações: 
Código de Aviamento: 0
</t>
  </si>
  <si>
    <t>UWAz919MQEaB72U6dK8HD2QAHK16</t>
  </si>
  <si>
    <t>799-300272940-M &amp; F EMPREENDIMENTOS LTDA  - Cós</t>
  </si>
  <si>
    <t>2026-07-03T17:32:45.4311608Z</t>
  </si>
  <si>
    <t>marceloleite.mafaldo03@gmail.com_x000D_
Ordem de Produção Mestre: 300272940_x000D_
Parte da peça: Cós_x000D_
Motivo: Perda na fase da  operação_x000D_
Quantidade: 110_x000D_
Quantidade por tamanho:TAMANHO 40_x000D_
Observações: _x000D_
Código de Aviamento: NÃO TEM</t>
  </si>
  <si>
    <t>X1XTMYCHEkSUWm7Ekp3vamQAFS6l</t>
  </si>
  <si>
    <t>798-300275485-M C CONFECCOES LTDA  - Etiqueta de Composição</t>
  </si>
  <si>
    <t>2026-07-03T17:31:39.8269297Z</t>
  </si>
  <si>
    <t xml:space="preserve">mc.confeccoes15@gmail.com
Ordem de Produção Mestre: 300275485
Parte da peça: Etiqueta de Composição
Motivo: quantidade recebida é menor que os lotes de tamanho.
Quantidade: 8
Quantidade por tamanho:42 - 8 und.
Observações: Ultimamente estamos recebendo as etiquetas a quantidade certa ou faltando. Antes vinham etiquetas sobrando.
Código de Aviamento: 0
</t>
  </si>
  <si>
    <t>s3SNjKEcM0GwXzJ8Ar8HgmQAB0Qa</t>
  </si>
  <si>
    <t>656-300271876-POTENGI TEXTIL LTDA  - GOLA</t>
  </si>
  <si>
    <t>2026-06-30T18:47:13.8627648Z</t>
  </si>
  <si>
    <t xml:space="preserve">potengitextil@outlook.com.br
Ordem de Produção Mestre: 300271876
Parte da peça: GOLA
Motivo: Insuficiente para finalizar ordem 
Quantidade: 10
Quantidade por tamanho:XG-10
Observações: 
Código de Aviamento: 0
</t>
  </si>
  <si>
    <t>tbjW4T0MRkmeoWw-5EEgoGQAA707</t>
  </si>
  <si>
    <t>796-300275485-M C CONFECCOES LTDA  - Etiqueta de Composição</t>
  </si>
  <si>
    <t>2026-07-03T16:46:38.7384504Z</t>
  </si>
  <si>
    <t xml:space="preserve">mc.confeccoes15@gmail.com
Ordem de Produção Mestre: 300275485
Parte da peça: Etiqueta de Composição
Motivo: Material infuficiente. 
Quantidade: 28
Quantidade por tamanho:36 - 5, 38 - 5, 40 - 5, 44 - 8, 46 -5.
Observações: Ultimamente estamos recebendo as etiquetas a quantidade certa ou faltando. Antes vinham etiquetas sobrando.
Código de Aviamento: 1
</t>
  </si>
  <si>
    <t>gU1_4BqjYkS7fIqB4p-MAmQAE42k</t>
  </si>
  <si>
    <t>MALHA- 1301-300280716-VITALIZE CONFECCOES LTDA  - Gola</t>
  </si>
  <si>
    <t>2026-07-20T16:28:39.2450564Z</t>
  </si>
  <si>
    <t xml:space="preserve">vitalizeconfeccoes@gmail.com
Ordem de Produção Mestre: 300280716
Parte da peça: Gola
Motivo: insuficiente para finaliza a ordem 
Quantidade: 15
Quantidade por tamanho:PP= 15
Observações: 
Código de Aviamento: 00
</t>
  </si>
  <si>
    <t>_HqgLZ80kEeir1PI-c2yDWQAHa8R</t>
  </si>
  <si>
    <t>654-300273667-EBENEZER INDUSTRIA TEXTIL LTDA  - MANGA</t>
  </si>
  <si>
    <t>2026-06-30T17:52:45.3227771Z</t>
  </si>
  <si>
    <t xml:space="preserve">ebenezerindustriat@hotmail.com
Ordem de Produção Mestre: 300273667
Parte da peça: MANGA
Motivo: MATERIAL NÃO ENVIADO PELA GUARARAPES
Quantidade: 94
Quantidade por tamanho:P-94
Observações: 
Código de Aviamento: 000
</t>
  </si>
  <si>
    <t>TEAR- 1296-300282856-CONFECCOES GENESIS LTDA  - Etiqueta de Composição</t>
  </si>
  <si>
    <t>2026-07-20T14:20:22.0280443Z</t>
  </si>
  <si>
    <t xml:space="preserve">confeccaogenesisltda@gmail.com
Ordem de Produção Mestre: 300282856
Parte da peça: Etiqueta de Composição
Motivo: VEIO FALTANDO
Quantidade: 21
Quantidade por tamanho:G-17; M-2; P-2
Observações: 
Código de Aviamento: 0
</t>
  </si>
  <si>
    <t>zWHmfYIggUKUWyqF56n3gWQAKIdo</t>
  </si>
  <si>
    <t>794-300276897-F &amp; L AZEVEDO CONFECCAO LTDA FILIAL  - Etiqueta de Composição</t>
  </si>
  <si>
    <t>2026-07-03T16:27:05.9953745Z</t>
  </si>
  <si>
    <t xml:space="preserve">felconfeccao@gmail.com
Ordem de Produção Mestre: 300276897
Parte da peça: Etiqueta de Composição
Motivo: FALTOU
Quantidade: 5
Quantidade por tamanho:P-5
Observações: 
Código de Aviamento: 0
</t>
  </si>
  <si>
    <t>Ayfx2TnhS0ubCkZDK3FYzWQAC_yx</t>
  </si>
  <si>
    <t>789-300269525-AJG CONFECCOES LTDA  - Viés de Reforço</t>
  </si>
  <si>
    <t>2026-07-03T15:04:25.2203255Z</t>
  </si>
  <si>
    <t xml:space="preserve">ajgconfeccoes2021@gmail.com
Ordem de Produção Mestre: 300269525
Parte da peça: Viés de Reforço
Motivo: Faltou viés degolo pra 15 peças 
Quantidade: 15
Quantidade por tamanho:15
Observações: Faltou viés pra 15 peças 
Código de Aviamento: N tem 
</t>
  </si>
  <si>
    <t>VrlDOaZrREe5tjgGqXM6lWQAOEim</t>
  </si>
  <si>
    <t>JEANS- 1279-300275800-FACCAO ELLO LTDA  - Etiqueta de Composição</t>
  </si>
  <si>
    <t>2026-07-17T20:10:58.3294836Z</t>
  </si>
  <si>
    <t xml:space="preserve">faccaoello@hotmail.com
Ordem de Produção Mestre: 300275800
Parte da peça: Etiqueta de Composição
Motivo: MATERIAL NÃO ENVIADO PELA GUARARAPES
Quantidade: 3
Quantidade por tamanho:4-2; 3-1
Observações: 
Código de Aviamento: 000
</t>
  </si>
  <si>
    <t>Vy5Cwl0KV0eC6GlXeokpdmQAPNBj</t>
  </si>
  <si>
    <t>420-300272458-ACAUA CONFECCOES LTDA  - Viés de reforço</t>
  </si>
  <si>
    <t>2026-06-22T12:43:11.2509018Z</t>
  </si>
  <si>
    <t xml:space="preserve">acauaconfeccoes@outlook.com
Ordem de Produção Mestre: 300272458
Parte da peça: Viés de reforço
Motivo: Material não enviado pela Guararapes 
Quantidade: 1.466
Quantidade por tamanho:XG-188. GG-233. G-421. M-421. P-188. PP-15
Observações: Material não enviado pela Guararapes 
Código de Aviamento: .
</t>
  </si>
  <si>
    <t>XKX6o0B9R0OHJIjsPJnYFmQAM9Ee</t>
  </si>
  <si>
    <t>781-300277186-N S CONSTANTINO LTDA  - Pertingal</t>
  </si>
  <si>
    <t>2026-07-03T13:46:14.9658526Z</t>
  </si>
  <si>
    <t xml:space="preserve">NEEMIAS.SC@HOTMAIL.COM
Ordem de Produção Mestre: 300277186
Parte da peça: Pertingal
Motivo: A ORDEM VEIO COM DIVERGENCIA
Quantidade: 376
Quantidade por tamanho:TAMANHO 11-12
Observações: 
Código de Aviamento: STNA TYSON SKY BLUE00
</t>
  </si>
  <si>
    <t>Xu24J-jbc06ugog0lySRM2QAM8qT</t>
  </si>
  <si>
    <t>MALHA- 1278-300280730-EBENEZER INDUSTRIA TEXTIL LTDA  - Etiqueta de Composição</t>
  </si>
  <si>
    <t>2026-07-17T19:51:11.0578837Z</t>
  </si>
  <si>
    <t xml:space="preserve">ebenezerindustriat@hotmail.com
Ordem de Produção Mestre: 300280730
Parte da peça: Etiqueta de Composição
Motivo: MATERIAL NÃO ENVIADO PELA GUARARAPES
Quantidade: 30
Quantidade por tamanho:PP-30
Observações: 
Código de Aviamento: 000
</t>
  </si>
  <si>
    <t>L3mRVJLsx0qnWOFDSwfgtWQABRb-</t>
  </si>
  <si>
    <t>413-300262590-M A P FORTE FORTEX PRODUCAO TEXTIL  - Traseiro</t>
  </si>
  <si>
    <t>2026-06-22T10:54:12.8506836Z</t>
  </si>
  <si>
    <t xml:space="preserve">auxiforte@hotmail.com
Ordem de Produção Mestre: 300262590
Parte da peça: Traseiro
Motivo: ORDEM - 300262590; MATERIAL INSUFICIENTE PARA FINALIZAR OP;
Quantidade: 5
Quantidade por tamanho:2 - 1; 3 - 2; 4 - 1; 5 - 1;
Observações: ORDEM - 300262590; MATERIAL INSUFICIENTE PARA FINALIZAR OP;
Código de Aviamento: 00
</t>
  </si>
  <si>
    <t>QDiAMJKXc0-_UsgxVRnn4GQADYji</t>
  </si>
  <si>
    <t>780-300277186-N S CONSTANTINO LTDA  - Braguilha</t>
  </si>
  <si>
    <t>2026-07-03T13:43:09.2027423Z</t>
  </si>
  <si>
    <t xml:space="preserve">neemias.sc@hotmail.com
Ordem de Produção Mestre: 300277186
Parte da peça: Braguilha
Motivo: CORTE DIVERGENTE 
Quantidade: 376
Quantidade por tamanho:TAMANHO 11-12
Observações: RECEBEMOS O ZIPER APENAS DE TAMANHO 12, SENDO ASSIM PRECISAMOS DE BRAGUILHA PARA 376 PEÇAS
Código de Aviamento: STNA TYSON SKY BLUE00
</t>
  </si>
  <si>
    <t>wkg78eUm5EGBZyTHR8p0m2QAB2_g</t>
  </si>
  <si>
    <t>412-300262591-M A P FORTE FORTEX PRODUCAO TEXTIL  - Traseiro</t>
  </si>
  <si>
    <t>2026-06-22T10:45:00.5297973Z</t>
  </si>
  <si>
    <t xml:space="preserve">auxiforte@hotmail.com
Ordem de Produção Mestre: 300262591
Parte da peça: Traseiro
Motivo: ORDEM - 300262591; MATERIAL INSUFICIENTE PARA FINALIZAR OP;
Quantidade: 3
Quantidade por tamanho:3 - 1; 4 - 1; 6 - 1;
Observações: ORDEM - 300262591; MATERIAL INSUFICIENTE PARA FINALIZAR OP;
Código de Aviamento: 00
</t>
  </si>
  <si>
    <t>TayZq5543UOVR6wJ8gi3hmQALvEB</t>
  </si>
  <si>
    <t>TEAR- 1277-300281200-JOSENI MARIA DE MEDEIROS  - Viés </t>
  </si>
  <si>
    <t>2026-07-17T19:49:20.823595Z</t>
  </si>
  <si>
    <t xml:space="preserve">administrativo@zajaconfeccoes.com.br
Ordem de Produção Mestre: 300281200
Parte da peça: Viés 
Motivo: os viés vieram cortados de forma que não conseguimos costurar
Quantidade: 216
Quantidade por tamanho:216
Observações: 
Código de Aviamento: 0
</t>
  </si>
  <si>
    <t>J71Pcx0xtUyrMhHC5sSYkWQAA5pC</t>
  </si>
  <si>
    <t>411-300272276-M A P FORTE FORTEX PRODUCAO TEXTIL  - Traseiro</t>
  </si>
  <si>
    <t>2026-06-22T10:37:36.2658873Z</t>
  </si>
  <si>
    <t xml:space="preserve">auxiforte@hotmail.com
Ordem de Produção Mestre: 300272276
Parte da peça: Traseiro
Motivo: ORDEM - 300272276; MATERIAL INSUFICIENTE PARA FINALIZAR OP;
Quantidade: 4
Quantidade por tamanho:G - 2; GG - 2;
Observações: ORDEM - 300272276; MATERIAL INSUFICIENTE PARA FINALIZAR OP;
Código de Aviamento: 00
</t>
  </si>
  <si>
    <t>HtQfdWx9TUKhM5N5ZODmF2QAOlQU</t>
  </si>
  <si>
    <t>JEANS- 1270-300275035-ASA CONFECCOES LTDA  - Cós</t>
  </si>
  <si>
    <t>2026-07-17T18:34:48.0641091Z</t>
  </si>
  <si>
    <t xml:space="preserve">asaequador@gmaial.com
Ordem de Produção Mestre: 300275035
Parte da peça: Cós
Motivo: veio faltando 30 cós ext 30 cós int
Quantidade: 30 par
Quantidade por tamanho:30 par tamanho 38
Observações: veio faltando não dá pra concluir a ordem.
Código de Aviamento: 0000
</t>
  </si>
  <si>
    <t>7Lz8Y6QH5EmyvSWzJ2s_DWQAAC7B</t>
  </si>
  <si>
    <t>410-300262745-M A P FORTE FORTEX PRODUCAO TEXTIL  - Traseiro</t>
  </si>
  <si>
    <t>2026-06-22T10:30:47.0804339Z</t>
  </si>
  <si>
    <t xml:space="preserve">auxiforte@hotmail.com
Ordem de Produção Mestre: 300262745
Parte da peça: Traseiro
Motivo: ORDEM - 300262745; MATERIAL INSUFICIENTE PARA FINALIZAR OP;
Quantidade: 5
Quantidade por tamanho:4 - 1; 5 - 2; 6 - 2;
Observações: ORDEM - 300262745; MATERIAL INSUFICIENTE PARA FINALIZAR OP;
Código de Aviamento: 00
</t>
  </si>
  <si>
    <t>T4QkcsL89kanWBxB2qMLNmQAF4Oo</t>
  </si>
  <si>
    <t>777-300270254-LEANDRO MATIAS DA SILVA  - Etiqueta de Composição</t>
  </si>
  <si>
    <t>2026-07-03T13:30:09.5823636Z</t>
  </si>
  <si>
    <t xml:space="preserve">alfaequador@gmail.com
Ordem de Produção Mestre: 300270254
Parte da peça: Etiqueta de Composição
Motivo: INSUFICIENTE
Quantidade: 2
Quantidade por tamanho:11-12-2 
Observações: INSUFICIENTE 
Código de Aviamento: 0000
</t>
  </si>
  <si>
    <t>YxNDxzOgEEGJXA3biB7T_2QAFPOh</t>
  </si>
  <si>
    <t>JEANS- 1268-300277468-DANTAS E PAULINO CONFECCOES LTDA  - Elástico</t>
  </si>
  <si>
    <t>2026-07-17T17:54:14.5512573Z</t>
  </si>
  <si>
    <t xml:space="preserve">dantasepaulino@gmail.com
Ordem de Produção Mestre: 300277468
Parte da peça: Elástico
Motivo: Faltando 
Quantidade: 75
Quantidade por tamanho:75
Observações: 75 etiquetas 
Código de Aviamento: 10000214499
</t>
  </si>
  <si>
    <t>4XYFzzRERkWloSsLR7TusmQAKCtv</t>
  </si>
  <si>
    <t>JEANS- 1264-300280288-FACCAO ELLO LTDA  - Frente</t>
  </si>
  <si>
    <t>2026-07-17T17:26:01.1602208Z</t>
  </si>
  <si>
    <t xml:space="preserve">faccaoello@hotmail.com
Ordem de Produção Mestre: 300280288
Parte da peça: Frente
Motivo: MATERIAL NÃO ENVIADO PELA GUARARAPES
Quantidade: 16
Quantidade por tamanho:LADO DIREITO: 6-5; 5-3; 4-2 LADO ESQUERDO: 5-3; 4-2; 2-1
Observações: 
Código de Aviamento: 000
</t>
  </si>
  <si>
    <t>762-300270294-F &amp; L AZEVEDO CONFECCAO LTDA MATRIZ  - Etiqueta de Composição</t>
  </si>
  <si>
    <t>2026-07-02T20:47:25.8677407Z</t>
  </si>
  <si>
    <t xml:space="preserve">felconfeccao@gmail.com
Ordem de Produção Mestre: 300270294
Parte da peça: Etiqueta de Composição
Motivo: insuficiente para finalizar op
Quantidade: 12
Quantidade por tamanho:P-4; M-2; G-2; GG-4
Observações: 
Código de Aviamento: NÃO INFORMADO
</t>
  </si>
  <si>
    <t>Nv3x5tctWU-VmFYlZZ_7iGQAPTkK</t>
  </si>
  <si>
    <t>JEANS- 1262-300276227-P &amp; A CONFECCOES LTDA  - Cós</t>
  </si>
  <si>
    <t>2026-07-17T16:51:52.682826Z</t>
  </si>
  <si>
    <t xml:space="preserve">pea2015confeccoes@hotmail.com
Ordem de Produção Mestre: 300276227
Parte da peça: Cós
Motivo: Insuficiente para finalizar ordem.
Quantidade: 35
Quantidade por tamanho:46-35 pares
Observações: 35 pares de cós, no tamanho 46
Código de Aviamento: 0
</t>
  </si>
  <si>
    <t>b9I2mpuGwU6cDul6BO7VQGQAMT47</t>
  </si>
  <si>
    <t>761-300274651-FACCAO ELLO LTDA  - Etiqueta de Composição</t>
  </si>
  <si>
    <t>2026-07-02T20:09:59.305616Z</t>
  </si>
  <si>
    <t xml:space="preserve">faccaoello@hotmail.com
Ordem de Produção Mestre: 300274651
Parte da peça: Etiqueta de Composição
Motivo: PRODUTO COM DEFEITO
Quantidade: 1
Quantidade por tamanho:3-1
Observações: 
Código de Aviamento: 000
</t>
  </si>
  <si>
    <t>Rix0Gn94v0uQ97Zd1PJ18WQAI5Wm</t>
  </si>
  <si>
    <t>MALHA- 1258-300275626-CONFECCAO G. B. DA SILVA JUNIOR &amp; CIA LTDA  - Etiqueta de Composição</t>
  </si>
  <si>
    <t>2026-07-17T15:45:34.5675678Z</t>
  </si>
  <si>
    <t xml:space="preserve">confeccoesgbdas@hotmail.com
Ordem de Produção Mestre: 300275626
Parte da peça: Etiqueta de Composição
Motivo: FALTA DE ETIQUETA PARA FINALIZAR OP
Quantidade: 25
Quantidade por tamanho:5 ETIQUETAS DE COMPOSIÇÃO TAM 12-18 // 5 ETIQUETAS DE COMPOSIÇÃO TAM 9-12 // 5 ETIQUETAS DE COMPOSIÇÃO TAM 6-9 // 5 ETIQUETAS DE COMPOSIÇÃO TAM 3-6 // 5 ETIQUETAS DE COMPOSIÇÃO TAM 1-3M
Observações: 
Código de Aviamento: 16480457
</t>
  </si>
  <si>
    <t>6HJzLueNA0Oj_VRQsdsHZGQAAUcx</t>
  </si>
  <si>
    <t>760-300275039-IDEAL CONFECCOES LTDA  - Etiqueta de Composição</t>
  </si>
  <si>
    <t>2026-07-02T19:40:31.0420681Z</t>
  </si>
  <si>
    <t xml:space="preserve">idealconfecltda@gmail.com
Ordem de Produção Mestre: 300275039
Parte da peça: Etiqueta de Composição
Motivo: INSUFICIENTE PARA FINALIZAR OP
Quantidade: 35
Quantidade por tamanho:TAM 48=5,TAM 46=5,TAM 44=5,TAM 42=5,TAM 40=5,TAM 38=5,TAM 36=5
Observações: INSUFICIENTE PARA FINALIZAR OP
Código de Aviamento: 0000
</t>
  </si>
  <si>
    <t>aaUHBXlHSEmc3rrYY6pgZGQABrZl</t>
  </si>
  <si>
    <t>MALHA- 1257-300281183-JOSENI MARIA DE MEDEIROS  - Etiqueta de Composição</t>
  </si>
  <si>
    <t>2026-07-17T14:01:44.1765953Z</t>
  </si>
  <si>
    <t xml:space="preserve">administrativo@zajaconfeccoes.com.br
Ordem de Produção Mestre: 300281183
Parte da peça: Etiqueta de Composição
Motivo: insuficiente 
Quantidade: 9
Quantidade por tamanho:XG-9
Observações: 
Código de Aviamento: 0
</t>
  </si>
  <si>
    <t>5gJso1FFzUOUL__HboMUNGQAGDYY</t>
  </si>
  <si>
    <t>MALHA- 1255-300282446-F &amp; L AZEVEDO CONFECCAO LTDA FILIAL  - Etiqueta de Composição</t>
  </si>
  <si>
    <t>2026-07-17T13:47:14.7860353Z</t>
  </si>
  <si>
    <t xml:space="preserve">felconfeccao@gmail.com
Ordem de Produção Mestre: 300282446
Parte da peça: Etiqueta de Composição
Motivo: FALTOU
Quantidade: 10
Quantidade por tamanho:PP-3; P-3; M-3; G-1
Observações: 
Código de Aviamento: 0
</t>
  </si>
  <si>
    <t>m4O4Y9nH5EGHkoMXnVktQGQAL60b</t>
  </si>
  <si>
    <t>758-300272587-JOSE MEDEIROS DE ARAUJO  - Etiqueta de Composição</t>
  </si>
  <si>
    <t>2026-07-02T19:29:50.8378094Z</t>
  </si>
  <si>
    <t xml:space="preserve">administrativo@zajaconfeccoes.com.br
Ordem de Produção Mestre: 300272587
Parte da peça: Etiqueta de Composição
Motivo: insuficiente 
Quantidade: 1
Quantidade por tamanho:9/10-1
Observações: 
Código de Aviamento: 0
</t>
  </si>
  <si>
    <t>n4Kzy8UcXkGtmXVgEv5TL2QAP4Zi</t>
  </si>
  <si>
    <t>JEANS- 1254-300276273-DI3 CONFECCOES LTDA  - Traseiro</t>
  </si>
  <si>
    <t>2026-07-17T13:46:39.1609162Z</t>
  </si>
  <si>
    <t xml:space="preserve">di3confec@gmail.com
Ordem de Produção Mestre: 300276273
Parte da peça: Traseiro
Motivo: Material insuficiente
Quantidade: 2
Quantidade por tamanho:40 - 2
Observações: CHAMADO Nº-28777
Código de Aviamento: 0
</t>
  </si>
  <si>
    <t>MALHA- 1251-300281662-F &amp; L AZEVEDO CONFECCAO LTDA FILIAL  - Etiqueta de Composição</t>
  </si>
  <si>
    <t>2026-07-17T13:31:27.9174224Z</t>
  </si>
  <si>
    <t xml:space="preserve">felconfeccao@gmail.com
Ordem de Produção Mestre: 300281662
Parte da peça: Etiqueta de Composição
Motivo: FALTOU
Quantidade: 6
Quantidade por tamanho:PP-2; P-1; M-3
Observações: 
Código de Aviamento: 0
</t>
  </si>
  <si>
    <t>VYjUMJ5CIUK8nPwoY9aCE2QAKmDV</t>
  </si>
  <si>
    <t>756-300271118-CABUGI CONFECCOES LTDA.  - Viés de Bocada</t>
  </si>
  <si>
    <t>2026-07-02T19:21:30.582807Z</t>
  </si>
  <si>
    <t xml:space="preserve">cabugiconfeccoes.adm@gmail.com
Ordem de Produção Mestre: 300271118
Parte da peça: Viés de Bocada
Motivo: A bocada da frente veio toda picotada.
Quantidade: 23
Quantidade por tamanho:Tamanho 36 - 23 peças
Observações: A bocada da frente, lado direito e esquerdo, está todo picotado. 
Código de Aviamento: 000000000
</t>
  </si>
  <si>
    <t>GFBDxjP3BUWvkg5W6-OLcGQACYOc</t>
  </si>
  <si>
    <t>JEANS- 1527-300279730-TROPICALLIZ CONFECCOES LTDA  - Linhas</t>
  </si>
  <si>
    <t>2026-07-27T13:05:46.5036359Z</t>
  </si>
  <si>
    <t xml:space="preserve">lupercio-fnb@hotmail.com
Ordem de Produção Mestre: 300279730
Parte da peça: Linhas
Motivo: Faltando para finalização de ordem
Quantidade: 15
Quantidade por tamanho:15
Observações: Estamos precisando o mais breve possivel.
Código de Aviamento: 10000073250
</t>
  </si>
  <si>
    <t>5o3KQ7hy1k-Jh55oGV4SZmQANrI3</t>
  </si>
  <si>
    <t>750-300273765-IVANILDO JOSE DE SOUZA  - Etiqueta de Composição</t>
  </si>
  <si>
    <t>2026-07-02T17:59:51.253815Z</t>
  </si>
  <si>
    <t xml:space="preserve">hiconfeccao@gmail.com
Ordem de Produção Mestre: 300273765
Parte da peça: Etiqueta de Composição
Motivo: Veio insuficiente para concluir a OP
Quantidade: 10
Quantidade por tamanho:Pedido de 5 etiquetas de Composição para o Tamanho 38 / Pedido de 5 etiquetas de Composição para o Tamanho 36.
Observações: Pedido de Etiquetas de Composição.
Código de Aviamento: 000000010000214511/000000010000214499
</t>
  </si>
  <si>
    <t>T2LfTWJaPE6KBs4CBuwcsmQAF9H-</t>
  </si>
  <si>
    <t>MALHA- 1242-300279127-POTENGI TEXTIL LTDA  - Etiqueta de Composição</t>
  </si>
  <si>
    <t>2026-07-17T11:30:01.7762229Z</t>
  </si>
  <si>
    <t xml:space="preserve">potengitextil@outlook.com.br
Ordem de Produção Mestre: 300279127
Parte da peça: Etiqueta de Composição
Motivo: Insuficiente para finalizar ordem
Quantidade: 1 
Quantidade por tamanho:G-1
Observações: 
Código de Aviamento: 0
</t>
  </si>
  <si>
    <t>50Q3dRXJekuT4h3XRLdvxWQAD1tz</t>
  </si>
  <si>
    <t>MALHA- 1525-300281849-N S CONSTANTINO LTDA  - Manga</t>
  </si>
  <si>
    <t>2026-07-27T12:54:37.7386282Z</t>
  </si>
  <si>
    <t xml:space="preserve">NEEMIAS.SC@HOTMAIL.COM
Ordem de Produção Mestre: 300281849
Parte da peça: Manga
Motivo: INCOMPLETA
Quantidade: 12
Quantidade por tamanho:P - 12
Observações: MANGAS LADO ESQUERDO E LADO DIREITO
Código de Aviamento: MANGAS
</t>
  </si>
  <si>
    <t>56Xmb-XMvE6863haxuh7M2QAKgnp</t>
  </si>
  <si>
    <t>749-300271881-POTENGI TEXTIL LTDA  - Etiqueta de Composição</t>
  </si>
  <si>
    <t>2026-07-02T17:57:33.6175791Z</t>
  </si>
  <si>
    <t xml:space="preserve">potengitextil@outlook.com.br
Ordem de Produção Mestre: 300271881
Parte da peça: Etiqueta de Composição
Motivo: Insuficiente para finalizar ordem 
Quantidade: 1 
Quantidade por tamanho:G-1
Observações: 
Código de Aviamento: 0
</t>
  </si>
  <si>
    <t>ZDfR-tkBIkKPwJ-MctxiOGQAMAua</t>
  </si>
  <si>
    <t>MALHA- 1524-300281849-N S CONSTANTINO LTDA  - Etiqueta de Composição</t>
  </si>
  <si>
    <t>2026-07-27T12:52:13.6995245Z</t>
  </si>
  <si>
    <t xml:space="preserve">neemias.sc@hotmail.com
Ordem de Produção Mestre: 300281849
Parte da peça: Etiqueta de Composição
Motivo: QUANTIDADE DIFERENTE 
Quantidade: 12
Quantidade por tamanho:P - 12
Observações: ORDEM EM PRODUÇÃO
Código de Aviamento: ETIQUETAS 
</t>
  </si>
  <si>
    <t>K0kkPK5qe0qgioiUXYUdVmQAGEa9</t>
  </si>
  <si>
    <t>POLO- 1239-300281476-FREIRE SILVA CONFECCOES LTDA  - Manga</t>
  </si>
  <si>
    <t>2026-07-17T10:52:48.8975208Z</t>
  </si>
  <si>
    <t xml:space="preserve">freiresilvaconfeccoes@gmail.com
Ordem de Produção Mestre: 300281476
Parte da peça: Manga
Motivo: Peças insuficiente. 
Quantidade: 17
Quantidade por tamanho:XG-7; GG-10.
Observações: São 17 pares. 
Código de Aviamento: *
</t>
  </si>
  <si>
    <t>bwizWl1Uo0mnQE_TwsOsrmQADS38</t>
  </si>
  <si>
    <t>747-300275882-LC TEXTIL LTDA  - Etiqueta de Composição</t>
  </si>
  <si>
    <t>2026-07-02T17:56:31.8943903Z</t>
  </si>
  <si>
    <t xml:space="preserve">lctextil@outlook.com.br
Ordem de Produção Mestre: 300275882
Parte da peça: Etiqueta de Composição
Motivo: Insuficiente para finalizar ordem 
Quantidade: 30
Quantidade por tamanho:11/12 -30
Observações: 
Código de Aviamento: 0
</t>
  </si>
  <si>
    <t>qna9EcouEkyrUGrURv7TMmQAAer0</t>
  </si>
  <si>
    <t>POLO- 1238-300281476-FREIRE SILVA CONFECCOES LTDA  - Traseiro</t>
  </si>
  <si>
    <t>2026-07-17T10:50:31.4685027Z</t>
  </si>
  <si>
    <t xml:space="preserve">freiresilvaconfeccoes@gmail.com
Ordem de Produção Mestre: 300281476
Parte da peça: Traseiro
Motivo: Peças insuficiente. 
Quantidade: 7
Quantidade por tamanho:XG-7.
Observações: *
Código de Aviamento: *
</t>
  </si>
  <si>
    <t>3Q2RtQ8AKEOyE1Me6JNUdGQAH-ob</t>
  </si>
  <si>
    <t>TEAR- 1513-300281689-JOSENI MARIA DE MEDEIROS  - Etiqueta de Composição</t>
  </si>
  <si>
    <t>2026-07-27T11:30:15.4629791Z</t>
  </si>
  <si>
    <t xml:space="preserve">administrativo@zajaconfeccoes.com.br
Ordem de Produção Mestre: 300281689
Parte da peça: Etiqueta de Composição
Motivo: insuficiente
Quantidade: 2
Quantidade por tamanho:M-2
Observações: 
Código de Aviamento: 0
</t>
  </si>
  <si>
    <t>hQ2G1MECL0CidoB8I0LXd2QACNuF</t>
  </si>
  <si>
    <t>742-300275799-FACCAO ELLO LTDA  - Etiqueta de Composição</t>
  </si>
  <si>
    <t>2026-07-02T16:56:29.4940071Z</t>
  </si>
  <si>
    <t xml:space="preserve">faccaoello@hotmail.com
Ordem de Produção Mestre: 300275799
Parte da peça: Etiqueta de Composição
Motivo: MATERIAL NÃO ENVIADO PELA GUARARAPES
Quantidade: 1
Quantidade por tamanho:5-1
Observações: 
Código de Aviamento: 000
</t>
  </si>
  <si>
    <t>fOwwbN7AOUKPHiNcCQpIf2QALnHl</t>
  </si>
  <si>
    <t>POLO- 1509-300282558-FREIRE SILVA CONFECCOES LTDA  - Traseiro</t>
  </si>
  <si>
    <t>2026-07-24T21:38:34.4540299Z</t>
  </si>
  <si>
    <t xml:space="preserve">freiresilvaconfeccoes@gmail.com
Ordem de Produção Mestre: 300282558
Parte da peça: Traseiro
Motivo: Ficou faltando um lote. 
Quantidade: 55
Quantidade por tamanho:G-55.
Observações: Reposição COMPLETA do LOTE: manga, viés, frente, punho e gola. 
Código de Aviamento: *
</t>
  </si>
  <si>
    <t>cJQcIetp0U6-x-uXDyPV-2QAN7WI</t>
  </si>
  <si>
    <t>POLO- 1237-300281476-FREIRE SILVA CONFECCOES LTDA  - Frente</t>
  </si>
  <si>
    <t>2026-07-17T10:48:36.3706009Z</t>
  </si>
  <si>
    <t xml:space="preserve">freiresilvaconfeccoes@gmail.com
Ordem de Produção Mestre: 300281476
Parte da peça: Frente
Motivo: Peças insuficiente.
Quantidade: 23
Quantidade por tamanho:XG-7; GG- 16.
Observações: .
Código de Aviamento: *
</t>
  </si>
  <si>
    <t>H4L-FQ7efkuuM1Q0JliWumQAABfi</t>
  </si>
  <si>
    <t>JEANS- 1489-300278589-AJG CONFECCOES LTDA  - Traseiro</t>
  </si>
  <si>
    <t>2026-07-24T18:25:40.7925108Z</t>
  </si>
  <si>
    <t xml:space="preserve">ajgconfeccoes2021@gmail.com
Ordem de Produção Mestre: 300278589
Parte da peça: Traseiro
Motivo: FALTOU 3 LOTES DE TRASEIROS 
Quantidade: 60
Quantidade por tamanho:36: 20 , 42:20 , 46:20 
Observações: FALTOU 3 LOTES COM 60 PEÇAS TRASEIROS 
Código de Aviamento: N TEM
</t>
  </si>
  <si>
    <t>rPBlAg0440euddJv3eL-l2QAEqno</t>
  </si>
  <si>
    <t>737-300276896-F &amp; L AZEVEDO CONFECCAO LTDA FILIAL  - Etiqueta de Composição</t>
  </si>
  <si>
    <t>2026-07-02T16:39:01.2526869Z</t>
  </si>
  <si>
    <t xml:space="preserve">felconfeccao@gmail.com
Ordem de Produção Mestre: 300276896
Parte da peça: Etiqueta de Composição
Motivo: FALTOU PARA FINALIZAR
Quantidade: 2
Quantidade por tamanho:M-2
Observações: 
Código de Aviamento: 0
</t>
  </si>
  <si>
    <t>jWMKD4875E-yT19ge9vkCmQALbgk</t>
  </si>
  <si>
    <t>2026-07-16T20:30:33.0986407Z</t>
  </si>
  <si>
    <t xml:space="preserve">di3confec@gmail.com
Ordem de Produção Mestre: 300276273
Parte da peça: Traseiro
Motivo: Faltando partes para finalizar a op
Quantidade: 15
Quantidade por tamanho:40 - 15
Observações: CHAMADO Nº-28777
Código de Aviamento: 0
</t>
  </si>
  <si>
    <t>jZN0oty3lkyd0jDJSarXs2QALlzz</t>
  </si>
  <si>
    <t>POLO- 1488-300283693-POTENGI TEXTIL LTDA  - Gola</t>
  </si>
  <si>
    <t>2026-07-24T18:02:48.1927173Z</t>
  </si>
  <si>
    <t xml:space="preserve">potengitextil@outlook.com.br
Ordem de Produção Mestre: 300283693
Parte da peça: Gola
Motivo: Insuficiente para finalizar ordem 
Quantidade: 5
Quantidade por tamanho:P-5
Observações: 
Código de Aviamento: 0 
</t>
  </si>
  <si>
    <t>gDmXvncb0k6QZtHNOqSxHWQAN3E3</t>
  </si>
  <si>
    <t>POLO- 1225-300280949-TROPICALLIZ CONFECCOES LTDA  - Traseiro</t>
  </si>
  <si>
    <t>2026-07-16T19:08:22.3923672Z</t>
  </si>
  <si>
    <t xml:space="preserve">lupercio-fnb@hotmail.com
Ordem de Produção Mestre: 300280949
Parte da peça: Traseiro
Motivo: Faltando para finalização de ordem
Quantidade: 7
Quantidade por tamanho:G-1, M-6
Observações: Faltando para finalização de ordem que está no processo
Código de Aviamento: 00
</t>
  </si>
  <si>
    <t>ncpy507oA0KzY1ZY0pULRmQAFtzy</t>
  </si>
  <si>
    <t>733-300275799-FACCAO ELLO LTDA  - Etiqueta de Composição</t>
  </si>
  <si>
    <t>2026-07-02T16:16:30.3281252Z</t>
  </si>
  <si>
    <t xml:space="preserve">faccaoello@hotmail.com
Ordem de Produção Mestre: 300275799
Parte da peça: Etiqueta de Composição
Motivo: MATERIAL NÃO ENVIADO PELA GUARARAPES
Quantidade: 1
Quantidade por tamanho:4-1
Observações: 
Código de Aviamento: 000
</t>
  </si>
  <si>
    <t>iKjh0pk1g0mzmXNFmQ_OvmQAOR5h</t>
  </si>
  <si>
    <t>POLO- 1223-300280949-TROPICALLIZ CONFECCOES LTDA  - Frente</t>
  </si>
  <si>
    <t>2026-07-16T19:04:48.2876195Z</t>
  </si>
  <si>
    <t xml:space="preserve">lupercio-fnb@hotmail.com
Ordem de Produção Mestre: 300280949
Parte da peça: Frente
Motivo: Faltando
Quantidade: 13
Quantidade por tamanho:G-7, M-3, P-3
Observações: Faltando para finalização de ordem.
Código de Aviamento: 00
</t>
  </si>
  <si>
    <t>XSXU6WrQ302h1pQVKHpTrmQAOW-r</t>
  </si>
  <si>
    <t>JEANS- 1480-300280202-LEANDRO MATIAS DA SILVA  - Etiqueta de Composição</t>
  </si>
  <si>
    <t>2026-07-24T16:58:07.9679603Z</t>
  </si>
  <si>
    <t xml:space="preserve">alfaequador@gmail.com
Ordem de Produção Mestre: 300280202
Parte da peça: Etiqueta de Composição
Motivo: QUANTIDADE INSUFICIENTE
Quantidade: 2
Quantidade por tamanho:13-14-2
Observações: QUANTIDADE INSUFICIENTE
Código de Aviamento: 0000
</t>
  </si>
  <si>
    <t>t5pJHF-6kkG3N2fHCwxx5WQABKub</t>
  </si>
  <si>
    <t>724-300274644-CONFECCAO G. B. DA SILVA JUNIOR &amp; CIA LTDA  - Etiqueta de Composição</t>
  </si>
  <si>
    <t>2026-07-02T13:05:05.8439624Z</t>
  </si>
  <si>
    <t xml:space="preserve">confeccoesgbdas@hotmail.com
Ordem de Produção Mestre: 300274644
Parte da peça: Etiqueta de Composição
Motivo: MATERIAL INSUFICIENTE PARA FINALIZAR ORDEM
Quantidade: 20
Quantidade por tamanho:5 ETIQUETAS DE COMPOSIÇÃO TAM 42 // 5 ETIQUETAS DE COMPOSIÇÃO TAM 40 // 5 ETIQUETAS DE COMPOSIÇÃO TAM 38 // 5 ETIQUETAS DE COMPOSIÇÃO TAM 36
Observações: 
Código de Aviamento: 16488393
</t>
  </si>
  <si>
    <t>zFjPTWRQHEGXYsO-Sz2g-2QAC3Fp</t>
  </si>
  <si>
    <t>JEANS- 1469-300277059-FACCAO ELLO LTDA  - Etiqueta de Composição</t>
  </si>
  <si>
    <t>2026-07-24T13:20:05.8152993Z</t>
  </si>
  <si>
    <t xml:space="preserve">faccaoello@hotmail.com
Ordem de Produção Mestre: 300277059
Parte da peça: Etiqueta de Composição
Motivo: MATERIAL NÃO ENVIADO PELA GUARARAPES
Quantidade: 1
Quantidade por tamanho:8-9: 1
Observações: 
Código de Aviamento: 000
</t>
  </si>
  <si>
    <t>b255orNJ3kin5SIoAREgFWQAAczf</t>
  </si>
  <si>
    <t>723-300276462-M A P FORTE FORTEX PRODUCAO TEXTIL  - TRASEIRO</t>
  </si>
  <si>
    <t>2026-07-02T12:25:50.8525012Z</t>
  </si>
  <si>
    <t xml:space="preserve">auxiforte@hotmail.com
Ordem de Produção Mestre: 300276462
Parte da peça: TRASEIRO
Motivo: MATERIAL INSUFICIENTE PARA FINALIZAR OP;
Quantidade: 5
Quantidade por tamanho:P - 2; GG - 3;
Observações: MATERIAL INSUFICIENTE PARA FINALIZAR OP;
Código de Aviamento: 00
</t>
  </si>
  <si>
    <t>wa8nPmosL0KUjU4T-i279WQAE9OI</t>
  </si>
  <si>
    <t>TEAR- 1220-300274695-CONFECCOES GENESIS LTDA  - Etiqueta de Composição</t>
  </si>
  <si>
    <t>2026-07-16T18:45:44.4801483Z</t>
  </si>
  <si>
    <t xml:space="preserve">confeccaogenesisltda@gmail.com
Ordem de Produção Mestre: 300274695
Parte da peça: Etiqueta de Composição
Motivo: PEÇAS SOBRANDO E FALTANDO ETIQUETA
Quantidade: 15
Quantidade por tamanho:GG-5;XG-5;XXG-5
Observações: PEÇAS SOBRANDO E FALTANDO ETIQUETA
Código de Aviamento: 0
</t>
  </si>
  <si>
    <t>LElIx-QqN0y_--xjQ54xdWQAHL1l</t>
  </si>
  <si>
    <t>JEANS- 1456-300284286-FLAVIA GEORGIA BRAGA SILVA CONFECCOES LTDA  - Etiqueta de Composição</t>
  </si>
  <si>
    <t>2026-07-24T10:51:47.3362635Z</t>
  </si>
  <si>
    <t xml:space="preserve">w.anny.k@hotmail.com
Ordem de Produção Mestre: 300284286
Parte da peça: Etiqueta de Composição
Motivo: VEIO FALTANDO NA ORDEM 
Quantidade: 35
Quantidade por tamanho:38-5, 40-5, 42-5, 44-5, 46-5, 48-5, 50-5
Observações: 
Código de Aviamento: 000000000
</t>
  </si>
  <si>
    <t>ASA8EMw8OUemgEbi-aoDDGQACPFt</t>
  </si>
  <si>
    <t>MALHA- 1214-300280231-N S CONSTANTINO LTDA  - Gola</t>
  </si>
  <si>
    <t>2026-07-16T17:23:33.7524851Z</t>
  </si>
  <si>
    <t xml:space="preserve">neemias.sc@hotmail.com
Ordem de Produção Mestre: 300280231
Parte da peça: Gola
Motivo: PEÇAS COM FALHAS
Quantidade: 50
Quantidade por tamanho:XG - 50
Observações: 
Código de Aviamento: GOLAS RODADA
</t>
  </si>
  <si>
    <t>5w3kOoEOyEm-iTjlq_5YE2QAGef5</t>
  </si>
  <si>
    <t>721-300271681-POTENGI TEXTIL LTDA  - Etiqueta de Composição</t>
  </si>
  <si>
    <t>2026-07-02T12:10:14.357946Z</t>
  </si>
  <si>
    <t xml:space="preserve">potengitextil@outlook.com.br
Ordem de Produção Mestre: 300271681
Parte da peça: Etiqueta de Composição
Motivo: Insuficiente para finalizar ordem 
Quantidade: 2
Quantidade por tamanho:2- GG
Observações: 
Código de Aviamento: 0
</t>
  </si>
  <si>
    <t>_CshZsv6g0q2_7hiQx_vD2QABfR_</t>
  </si>
  <si>
    <t>JEANS- 1453-300282777-JOSE MEDEIROS DE ARAUJO  - Vista</t>
  </si>
  <si>
    <t>2026-07-24T10:29:36.463197Z</t>
  </si>
  <si>
    <t xml:space="preserve">administrativo@zajaconfeccoes.com.br
Ordem de Produção Mestre: 300282777
Parte da peça: Vista
Motivo: insuficiente 
Quantidade: 32
Quantidade por tamanho:6-32
Observações: O PEDIDO É DE REFORÇO DE BOLSO. NAS OPÇÕES NÃO ENCONTREI, DEVERIA TER A OPÇÃO OUTROS PARA PARTES QUE NÃO CONTÉM NA LISTA. 
Código de Aviamento: 0
</t>
  </si>
  <si>
    <t>TYdJD0FFA0eeWmvzZx2yPWQALEXF</t>
  </si>
  <si>
    <t>715-300275886-POTENGI TEXTIL LTDA  - Etiqueta de Composição</t>
  </si>
  <si>
    <t>2026-07-02T11:30:39.6947963Z</t>
  </si>
  <si>
    <t xml:space="preserve">potengitextil@outlook.com.br
Ordem de Produção Mestre: 300275886
Parte da peça: Etiqueta de Composição
Motivo: Insuficiente para finalizar ordem 
Quantidade: 6
Quantidade por tamanho:M-5; PP-1
Observações: 
Código de Aviamento: 0
</t>
  </si>
  <si>
    <t>8RD27LRPnUiMoTfd8Vp4dWQAJgBb</t>
  </si>
  <si>
    <t>JEANS- 1212-300272949-JANUNCIO NOBREGA DE AZEVEDO  - Gola e Pé de gola</t>
  </si>
  <si>
    <t>2026-07-16T16:50:04.5450754Z</t>
  </si>
  <si>
    <t xml:space="preserve">reposicoesjkmodas@gmail.com
Ordem de Produção Mestre: 300272949
Parte da peça: Gola e Pé de gola
Motivo: ERRO NO PROCESSO DE FABRICAÇÃO
Quantidade: GOLA: 45 / PÉ DE GOLA: 40
Quantidade por tamanho:GOLA: TAMANHO G: 25 / TAMANHO M: 20.               PÉ DE GOLA: TAMANHO G: 25 / TAMANHO M: 20 
Observações: FORAM ESTRAGADAS DURANTE O PROCESSO DE PRODUÇÃO.
Código de Aviamento: 0000
</t>
  </si>
  <si>
    <t>v8gKJtlbU0uNeSUIwwLktGQAJvCW</t>
  </si>
  <si>
    <t>JEANS- 1452-300277486-F &amp; L AZEVEDO CONFECCAO LTDA MATRIZ  - Etiqueta de Composição</t>
  </si>
  <si>
    <t>2026-07-24T10:03:15.5164772Z</t>
  </si>
  <si>
    <t xml:space="preserve">felconfeccao@gmail.com
Ordem de Produção Mestre: 300277486
Parte da peça: Etiqueta de Composição
Motivo: insuficiente para finalizar op
Quantidade: 3
Quantidade por tamanho:8.9-1; 9.10-1; 13.14-1
Observações: 
Código de Aviamento: não informado
</t>
  </si>
  <si>
    <t>i1dGXzReaky8CRr66gtOSmQAAJRk</t>
  </si>
  <si>
    <t>JEANS- 1208-300275795-F &amp; L AZEVEDO CONFECCAO LTDA MATRIZ  - Etiqueta de Composição</t>
  </si>
  <si>
    <t>2026-07-16T15:58:29.359464Z</t>
  </si>
  <si>
    <t xml:space="preserve">felconfeccao@gmail.com
Ordem de Produção Mestre: 300275795
Parte da peça: Etiqueta de Composição
Motivo: insuficiente para finalizar op
Quantidade: 3
Quantidade por tamanho:G-2; GG-1
Observações: 
Código de Aviamento: não informado
</t>
  </si>
  <si>
    <t>j79KEEph3E6bCJBpPjFamWQANLoy</t>
  </si>
  <si>
    <t>711-300269147-TENDENCIA CONFECCOES LTDA  - ETIQUETA DE COMPOSIÇÃO</t>
  </si>
  <si>
    <t>2026-07-02T10:44:31.2376466Z</t>
  </si>
  <si>
    <t xml:space="preserve">tendenciaconfec@gmail.com
Ordem de Produção Mestre: 300269147
Parte da peça: ETIQUETA DE COMPOSIÇÃO
Motivo: FALTOU PARA FINALIZAR OP
Quantidade: 30
Quantidade por tamanho:M-10, P-10, PP-10
Observações: 
Código de Aviamento: ETIQUETA DE COMPOSIÇÃO
</t>
  </si>
  <si>
    <t>cZXrUv3K30CpTnd9-TGbz2QALQJi</t>
  </si>
  <si>
    <t>JEANS- 1450-300281922-CONFECCAO G. B. DA SILVA JUNIOR &amp; CIA LTDA  - Etiqueta de Composição</t>
  </si>
  <si>
    <t>2026-07-23T21:01:35.7049076Z</t>
  </si>
  <si>
    <t xml:space="preserve">confeccoesgbdas@hotmail.com
Ordem de Produção Mestre: 300281922
Parte da peça: Etiqueta de Composição
Motivo: FALTA DE COMPOSIÇÃO PARA FINALIZAR OP
Quantidade: 30
Quantidade por tamanho:10 ETIQUETAS DE COMPOSIÇÃO TAM 9-10 // 10 ETIQUETAS DE COMPOSIÇÃO TAM 8-9 // 10 ETIQUETAS DE COMPOSIÇÃO TAM 6-7
Observações: 
Código de Aviamento: 16561392
</t>
  </si>
  <si>
    <t>pv1VPOt_Sk68qBGXlG_M5GQAH3hN</t>
  </si>
  <si>
    <t>JEANS- 1207-300275035-ASA CONFECCOES LTDA  - Etiqueta de Composição</t>
  </si>
  <si>
    <t>2026-07-16T14:07:20.5569751Z</t>
  </si>
  <si>
    <t xml:space="preserve">asaequador@gmail.com
Ordem de Produção Mestre: 300275035
Parte da peça: Etiqueta de Composição
Motivo: insuficiente pra concluir a ordem
Quantidade: 2
Quantidade por tamanho:2-42
Observações: veio faltando duas
Código de Aviamento: 0000000
</t>
  </si>
  <si>
    <t>VsIg38qS1EuIXaHJbY0t4WQAKbJv</t>
  </si>
  <si>
    <t>708-300276762-IDEAL CONFECCOES LTDA  - ETIQUETA DE COMPOSIÇÃO</t>
  </si>
  <si>
    <t>2026-07-01T20:50:14.4582171Z</t>
  </si>
  <si>
    <t xml:space="preserve">idealconfecltda@gmail.com
Ordem de Produção Mestre: 300276762
Parte da peça: ETIQUETA DE COMPOSIÇÃO
Motivo: INSUFICIENTE PARA FINALIZAR OP
Quantidade: 35
Quantidade por tamanho:TAM 48=10,TAM 46=5 UND,TAM 44=5UND,TAM 42=5 UND, TAM 40=5 UND,TAM 38= 5 UND,TAM 36=5 UND
Observações: INSUFICIENTE PARA FINALIZAR OP
Código de Aviamento: 0000000
</t>
  </si>
  <si>
    <t>A2peq2PUtESof6qX2qHXKGQANL72</t>
  </si>
  <si>
    <t>MALHA- 1449-300281670-F &amp; L AZEVEDO CONFECCAO LTDA FILIAL  - Etiqueta de Composição</t>
  </si>
  <si>
    <t>2026-07-23T19:34:39.3995255Z</t>
  </si>
  <si>
    <t xml:space="preserve">FELCONFECCAO@GMAIL.COM
Ordem de Produção Mestre: 300281670
Parte da peça: Etiqueta de Composição
Motivo: FALTOU
Quantidade: 4
Quantidade por tamanho:PP-3; G-1
Observações: 
Código de Aviamento: 0
</t>
  </si>
  <si>
    <t>5trlnqTcs0SMsST6vBjevWQAHX9H</t>
  </si>
  <si>
    <t>707-300270311-IDEAL CONFECCOES LTDA  - ETIQUETA DE COMPOSIÇÃO</t>
  </si>
  <si>
    <t>2026-07-01T20:42:36.5863465Z</t>
  </si>
  <si>
    <t xml:space="preserve">idealconfecltda@gmail.com
Ordem de Produção Mestre: 300270311
Parte da peça: ETIQUETA DE COMPOSIÇÃO
Motivo: INSUFICIENTE PARA FINALIZAR OP
Quantidade: 30
Quantidade por tamanho:TAM 6=5 UND,TAM 5=5 UND,TAM4=5 und,tam 3=5 und,tam 2= 5 und,tam 1=5 und
Observações: insuficiente para finalizar op
Código de Aviamento: 000000000
</t>
  </si>
  <si>
    <t>DcieElmG906dRygJWQR2B2QAJqO0</t>
  </si>
  <si>
    <t>JEANS- 1206-300278740-JANUNCIO NOBREGA DE AZEVEDO  - Etiqueta de Composição</t>
  </si>
  <si>
    <t>2026-07-16T13:55:28.0068073Z</t>
  </si>
  <si>
    <t xml:space="preserve">reposicoesjkmodas@gmail.com
Ordem de Produção Mestre: 300278740
Parte da peça: Etiqueta de Composição
Motivo: NÃO ENVIADO PELA GUARARAPES
Quantidade: 4
Quantidade por tamanho:TAMANHO 9/10: 2 ETIQUETAS - TAMANHO 8/9: 2 ETIQUETAS
Observações: 
Código de Aviamento: 00
</t>
  </si>
  <si>
    <t>DfjnLJLZPkCRFbMyxXkOMGQACP-y</t>
  </si>
  <si>
    <t>MALHA- 1205-300280229-DI3 CONFECCOES LTDA  - Traseiro</t>
  </si>
  <si>
    <t>2026-07-16T13:55:03.9702256Z</t>
  </si>
  <si>
    <t xml:space="preserve">di3confec@gmail.com
Ordem de Produção Mestre: 300280229
Parte da peça: Traseiro
Motivo: Faltando partes
Quantidade: 7
Quantidade por tamanho:G - 7
Observações: 
Código de Aviamento: 0
</t>
  </si>
  <si>
    <t>1LNZm15g5k2vGAjsV0ICXGQAEG6f</t>
  </si>
  <si>
    <t>MALHA- 1446-300280745-N S CONSTANTINO LTDA  - Gola</t>
  </si>
  <si>
    <t>2026-07-23T19:32:22.8951782Z</t>
  </si>
  <si>
    <t xml:space="preserve">NEEMIAS.SC@HOTMAIL.COM
Ordem de Produção Mestre: 300280745
Parte da peça: Gola
Motivo: FALTA 
Quantidade: 6
Quantidade por tamanho:XG - 6
Observações: 
Código de Aviamento: GOLA RODADA 
</t>
  </si>
  <si>
    <t>hnlWe5ajZUOyybqzziG3amQABQhF</t>
  </si>
  <si>
    <t>699-300253723-JOSE MEDEIROS DE ARAUJO  - ETIQUETA DE COMPOSIÇÃO</t>
  </si>
  <si>
    <t>2026-07-01T18:48:46.4112234Z</t>
  </si>
  <si>
    <t xml:space="preserve">administrativo@zajaconfeccoes.com.br
Ordem de Produção Mestre: 300253723
Parte da peça: ETIQUETA DE COMPOSIÇÃO
Motivo: INSUFICIENTE 
Quantidade: 4
Quantidade por tamanho:4-4
Observações: 
Código de Aviamento: 0
</t>
  </si>
  <si>
    <t>JE8uuUsq8EqLUXKcvXlHvWQAMrps</t>
  </si>
  <si>
    <t>JEANS- 1441-300278804-FACCAO ELLO LTDA  - Etiqueta de Composição</t>
  </si>
  <si>
    <t>2026-07-23T18:49:15.7570536Z</t>
  </si>
  <si>
    <t xml:space="preserve">faccaoello@hotmail.com
Ordem de Produção Mestre: 300278804
Parte da peça: Etiqueta de Composição
Motivo: MATEROAL NÃO ENVIADO PELA GUARARSPES
Quantidade: 1
Quantidade por tamanho:8-9: 1
Observações: 
Código de Aviamento: 000
</t>
  </si>
  <si>
    <t>QRfvPhB2x0OmpREBBOz9cWQAM1W9</t>
  </si>
  <si>
    <t>MALHA- 1203-300281183-JOSENI MARIA DE MEDEIROS  - Etiqueta de Composição</t>
  </si>
  <si>
    <t>2026-07-16T13:48:09.8600287Z</t>
  </si>
  <si>
    <t xml:space="preserve">administrativo@zajaconfeccoes.com.br
Ordem de Produção Mestre: 300281183
Parte da peça: Etiqueta de Composição
Motivo: insuficiente 
Quantidade: 10
Quantidade por tamanho:XG-10
Observações: 
Código de Aviamento: 0
</t>
  </si>
  <si>
    <t>AtB1iympkE6WTyTskiTZK2QAOu46</t>
  </si>
  <si>
    <t>MALHA- 1440-300283443-DI3 CONFECCOES LTDA  - Etiqueta de Composição</t>
  </si>
  <si>
    <t>2026-07-23T18:41:43.5418747Z</t>
  </si>
  <si>
    <t xml:space="preserve">di3confec@gmail.com
Ordem de Produção Mestre: 300283443
Parte da peça: Etiqueta de Composição
Motivo: Material insuficiente
Quantidade: 10
Quantidade por tamanho:XG - 2; GG - 2 G - 3; M - 1; P - 2
Observações: 
Código de Aviamento: 0
</t>
  </si>
  <si>
    <t>mtHabeWmnUCTs5LdIvSkxGQAMyNi</t>
  </si>
  <si>
    <t>JEANS- 1196-300275800-FACCAO ELLO LTDA  - Etiqueta de Composição</t>
  </si>
  <si>
    <t>2026-07-16T11:32:45.1532671Z</t>
  </si>
  <si>
    <t xml:space="preserve">faccaoello@hotmail.com
Ordem de Produção Mestre: 300275800
Parte da peça: Etiqueta de Composição
Motivo: NÃO ENVIADO
Quantidade: 1
Quantidade por tamanho:3-1
Observações: 
Código de Aviamento: NÃO TEM
</t>
  </si>
  <si>
    <t>5vlcL1iX4UKIl_R3c3oFDWQADHIq</t>
  </si>
  <si>
    <t>JEANS- 1439-300281877-F A N CONFECCOES LTDA  - Aviamento Completo</t>
  </si>
  <si>
    <t>2026-07-23T18:22:50.551014Z</t>
  </si>
  <si>
    <t xml:space="preserve">ffconfeccoesobrn@hotmail.com
Ordem de Produção Mestre: 300281877
Parte da peça: Aviamento Completo
Motivo: Ordem molhada
Quantidade: 1.023
Quantidade por tamanho:1.023
Observações: A ordem chegou molhada na oficina 
Código de Aviamento: O
</t>
  </si>
  <si>
    <t>EYifxGqn40CNovmLwtpPgmQAHjvI</t>
  </si>
  <si>
    <t>JEANS- 1193-300278428-JOSENI MARIA DE MEDEIROS  - Etiqueta de Composição</t>
  </si>
  <si>
    <t>2026-07-16T11:00:31.3241837Z</t>
  </si>
  <si>
    <t xml:space="preserve">administrativo@zajaconfeccoes.com.br
Ordem de Produção Mestre: 300278428
Parte da peça: Etiqueta de Composição
Motivo: insuficiente 
Quantidade: 4
Quantidade por tamanho:48-1; 42-3
Observações: 
Código de Aviamento: 0
</t>
  </si>
  <si>
    <t>qj1FeHgtI0aPBrHGocqmy2QAH0by</t>
  </si>
  <si>
    <t>MALHA- 1438-300283772-POTENGI TEXTIL LTDA  - Etiqueta de Composição</t>
  </si>
  <si>
    <t>2026-07-23T18:12:24.2674488Z</t>
  </si>
  <si>
    <t xml:space="preserve">potengitextil@outlook.com.br
Ordem de Produção Mestre: 300283772
Parte da peça: Etiqueta de Composição
Motivo: Insuficiente para finalizar ordem 
Quantidade: 9
Quantidade por tamanho:PP-9
Observações: 
Código de Aviamento: 0
</t>
  </si>
  <si>
    <t>E0qR8S7zEUGrf9ALWcLBlWQAImP8</t>
  </si>
  <si>
    <t>MALHA- 1187-300279221-JOSENI MARIA DE MEDEIROS  - Etiqueta de Composição</t>
  </si>
  <si>
    <t>2026-07-15T19:34:01.4234442Z</t>
  </si>
  <si>
    <t xml:space="preserve">administrativo@zajaconfeccoes.com.br
Ordem de Produção Mestre: 300279221
Parte da peça: Etiqueta de Composição
Motivo: insuficiente 
Quantidade: 7
Quantidade por tamanho:XG-7
Observações: 
Código de Aviamento: 0
</t>
  </si>
  <si>
    <t>y3hx56KW4EWq2F1PmPKRF2QAA41_</t>
  </si>
  <si>
    <t>MALHA- 1434-300283981-DI3 CONFECCOES LTDA  - Etiqueta de Composição</t>
  </si>
  <si>
    <t>2026-07-23T17:15:06.7193847Z</t>
  </si>
  <si>
    <t xml:space="preserve">di3confec@gmail.com
Ordem de Produção Mestre: 300283981
Parte da peça: Etiqueta de Composição
Motivo: Material insuficiente para finalizar a op
Quantidade: 10
Quantidade por tamanho:M - 10
Observações: 
Código de Aviamento: 0
</t>
  </si>
  <si>
    <t>jCtlNn2sDUC3W3XP9UFfR2QAITdN</t>
  </si>
  <si>
    <t>MALHA- 1186-300265955-JOSENI MARIA DE MEDEIROS  - Manga</t>
  </si>
  <si>
    <t>2026-07-15T19:03:02.6952512Z</t>
  </si>
  <si>
    <t xml:space="preserve">administrativo@zajaconfeccoes.com.br
Ordem de Produção Mestre: 300265955
Parte da peça: Manga
Motivo: insuficiente 
Quantidade: 23 pares 
Quantidade por tamanho:M-23
Observações: 23 PARES DE MANGA 
Código de Aviamento: 0
</t>
  </si>
  <si>
    <t>lt6UTIStJkqN34WaKAih42QAHwcr</t>
  </si>
  <si>
    <t>MALHA- 1185-300265955-JOSENI MARIA DE MEDEIROS  - Traseiro</t>
  </si>
  <si>
    <t>2026-07-15T19:01:53.2116162Z</t>
  </si>
  <si>
    <t xml:space="preserve">administrativo@zajaconfeccoes.com.br
Ordem de Produção Mestre: 300265955
Parte da peça: Traseiro
Motivo: insufiente 
Quantidade: 23
Quantidade por tamanho:M-23
Observações: 
Código de Aviamento: 0
</t>
  </si>
  <si>
    <t>42Rrj0RipUSYp_PrgzAimmQAHmk2</t>
  </si>
  <si>
    <t>MALHA- 1431-300283982-JOSE MEDEIROS DE ARAUJO  - Viés </t>
  </si>
  <si>
    <t>2026-07-23T17:07:06.1732093Z</t>
  </si>
  <si>
    <t xml:space="preserve">administrativo@zajaconfeccoes.com.br
Ordem de Produção Mestre: 300283982
Parte da peça: Viés 
Motivo: tonalidade na gola, vamos ter que desmanchar e consequentemente teremos que repor o viés de reforço
Quantidade: 1.131
Quantidade por tamanho:XG-87; GG-87; G-348; M-522; P-87
Observações: 
Código de Aviamento: 0
</t>
  </si>
  <si>
    <t>TuYIE80t4UC3aUNb4y4wz2QAFI1W</t>
  </si>
  <si>
    <t>MALHA- 1430-300283982-JOSE MEDEIROS DE ARAUJO  - Gola</t>
  </si>
  <si>
    <t>2026-07-23T17:02:38.5843086Z</t>
  </si>
  <si>
    <t xml:space="preserve">administrativo@zajaconfeccoes.com.br
Ordem de Produção Mestre: 300283982
Parte da peça: Gola
Motivo: ribana com tonalidade 
Quantidade: 1.131
Quantidade por tamanho:XG-87; GG-87; G-348; M-522; P-87
Observações: 
Código de Aviamento: 0
</t>
  </si>
  <si>
    <t>nGjAgP39I0qbjQ4Zu8tBC2QAETMN</t>
  </si>
  <si>
    <t>JEANS- 1429-300281495-POEST INDUSTRIA E COMERCIO DE VESTUARIO LTDA  - Etiqueta de Composição</t>
  </si>
  <si>
    <t>2026-07-23T16:59:31.8427065Z</t>
  </si>
  <si>
    <t xml:space="preserve">encantopoest@gmail.com
Ordem de Produção Mestre: 300281495
Parte da peça: Etiqueta de Composição
Motivo: faltando etiqueta para complementar a quantidade das peças
Quantidade: 21
Quantidade por tamanho:3-48;3-46;3-44;3-42;3-40;3-38;3-36.
Observações: 3 etiquetas de composição de todos tamanhos.
Código de Aviamento: 00000000
</t>
  </si>
  <si>
    <t>Qw4ko0IJ-EqqvFkCHD7v7GQAE-5r</t>
  </si>
  <si>
    <t>MALHA- 1427-300269047-A X DA PENHA FILHO LTDA  - Gola</t>
  </si>
  <si>
    <t>2026-07-23T15:35:20.064749Z</t>
  </si>
  <si>
    <t xml:space="preserve">afconfeccoes26@gmail.com
Ordem de Produção Mestre: 300269047
Parte da peça: Gola
Motivo: Veio faltando
Quantidade: 616
Quantidade por tamanho:XG 144  GG 144 G 216 M 216 P 40
Observações: Só aguardando a reposição pra concluir a ordem.
Código de Aviamento: 10000072006
</t>
  </si>
  <si>
    <t>IrI2IyNJGkqbxMBmB_xGsGQAMA-9</t>
  </si>
  <si>
    <t>653-300273667-EBENEZER INDUSTRIA TEXTIL LTDA  - FRENTE</t>
  </si>
  <si>
    <t>2026-06-30T17:51:39.8500431Z</t>
  </si>
  <si>
    <t>ebenezerindustriat@hotmail.com_x000D_
Ordem de Produção Mestre: 300273667_x000D_
Parte da peça: FRENTE_x000D_
Motivo: MATERIAL NÃO ENVIADO PELA GUARARAPES_x000D_
Quantidade: 94_x000D_
Quantidade por tamanho:M-94_x000D_
Observações: _x000D_
Código de Aviamento: 000</t>
  </si>
  <si>
    <t>6ew9hMVXuUywSQV-o4uReGQAPOaL</t>
  </si>
  <si>
    <t>652-300273667-EBENEZER INDUSTRIA TEXTIL LTDA  - TRASEIRO</t>
  </si>
  <si>
    <t>2026-06-30T17:49:41.9117309Z</t>
  </si>
  <si>
    <t xml:space="preserve">ebenezerindustriat@hotmail.com
Ordem de Produção Mestre: 300273667
Parte da peça: TRASEIRO
Motivo: MATERIAL NÃO ENVIADO PELA GUARARAPES
Quantidade: 94
Quantidade por tamanho:M-94
Observações: 
Código de Aviamento: 000
</t>
  </si>
  <si>
    <t>O3x4XXI-nU2QwAq55VK90WQAMr6D</t>
  </si>
  <si>
    <t>JEANS- 1425-300282333-M C CONFECCOES LTDA  - Traseiro</t>
  </si>
  <si>
    <t>2026-07-23T13:59:33.772455Z</t>
  </si>
  <si>
    <t xml:space="preserve">mc.confeccoes15@gmail.com
Ordem de Produção Mestre: 300282333
Parte da peça: Traseiro
Motivo: Material não enviado.
Quantidade: 19 peças
Quantidade por tamanho:1 lote com 19 peças tamanho 42 da terceira sequência.  
Observações: Após várias contagens foi constatado que faltou 1 lote com 19 peças tamanho 42 da terceira sequência.
Código de Aviamento: 0
</t>
  </si>
  <si>
    <t>YvdD8THkjUuHWK1I70XpjWQAGGZ3</t>
  </si>
  <si>
    <t>JEANS- 1424-300281065-JOSENI MARIA DE MEDEIROS  - Etiqueta de Composição</t>
  </si>
  <si>
    <t>2026-07-23T13:58:12.6355237Z</t>
  </si>
  <si>
    <t xml:space="preserve">administrativo@zajaconfeccoes.com.br
Ordem de Produção Mestre: 300281065
Parte da peça: Etiqueta de Composição
Motivo: insuficiente 
Quantidade: 20
Quantidade por tamanho:44-20
Observações: 
Código de Aviamento: 0
</t>
  </si>
  <si>
    <t>x-53mJd-WEaMsQw5iyRQWGQAJ9Oj</t>
  </si>
  <si>
    <t>651-300273667-EBENEZER INDUSTRIA TEXTIL LTDA  - FRENTE</t>
  </si>
  <si>
    <t>2026-06-30T17:48:34.3459591Z</t>
  </si>
  <si>
    <t xml:space="preserve">ebenezerindustrat@hotmail.com
Ordem de Produção Mestre: 300273667
Parte da peça: FRENTE
Motivo: MATERIAL NÃO ENVIADO PELA GUARARAPES
Quantidade: 94
Quantidade por tamanho:M-94
Observações: 
Código de Aviamento: 000
</t>
  </si>
  <si>
    <t>o5y37XXBQEO-3KyAfVVkm2QAFmj8</t>
  </si>
  <si>
    <t>MALHA- 1183-300279350-F &amp; L AZEVEDO CONFECCAO LTDA FILIAL  - Etiqueta de Composição</t>
  </si>
  <si>
    <t>2026-07-15T16:48:55.9776013Z</t>
  </si>
  <si>
    <t xml:space="preserve">felconfeccao@gmail.com
Ordem de Produção Mestre: 300279350
Parte da peça: Etiqueta de Composição
Motivo: FALTOU
Quantidade: 2
Quantidade por tamanho:PP-2
Observações: 
Código de Aviamento: 0
</t>
  </si>
  <si>
    <t>5TlLCVO2Z02JLgAWYiTgKWQAJR6d</t>
  </si>
  <si>
    <t>JEANS- 1422-300276278-A S CONFECCOES LTDA  - Etiqueta de Composição</t>
  </si>
  <si>
    <t>2026-07-23T12:28:32.3248122Z</t>
  </si>
  <si>
    <t xml:space="preserve">s.a.confeccoesind@gmail.com
Ordem de Produção Mestre: 300276278
Parte da peça: Etiqueta de Composição
Motivo: Danificada na produção
Quantidade: 2
Quantidade por tamanho:40-2 unidades
Observações: etiqueta de composição tamanho 40
Código de Aviamento: 0000
</t>
  </si>
  <si>
    <t>watSZxw8x0KrkIlM6sTq8WQAKrBi</t>
  </si>
  <si>
    <t>JEANS- 1182-300275049-FACCAO ELLO LTDA  - Frente</t>
  </si>
  <si>
    <t>2026-07-15T16:15:56.4303994Z</t>
  </si>
  <si>
    <t xml:space="preserve">faccaoello@hotmail.com
Ordem de Produção Mestre: 300275049
Parte da peça: Frente
Motivo: MATERIAL NÃO ENVIADO PELA GUARARAPES
Quantidade: 3
Quantidade por tamanho:5-3
Observações: 
Código de Aviamento: 000
</t>
  </si>
  <si>
    <t>rBDUbxaEFUWuE3H_CH1gp2QAMvtE</t>
  </si>
  <si>
    <t>641-300275410-W A 2 CONFECCOES LTDA  - ETIQUETA DE COMPOSIÇÃO</t>
  </si>
  <si>
    <t>2026-06-30T16:14:59.106644Z</t>
  </si>
  <si>
    <t xml:space="preserve">wag-almeida@hotmail.com
Ordem de Produção Mestre: 300275410
Parte da peça: ETIQUETA DE COMPOSIÇÃO
Motivo: faltou
Quantidade: 35
Quantidade por tamanho:36-05; 38-05; 40-05; 42-05; 44-05; 46-05; 48-05
Observações: faltou etiqueta
Código de Aviamento: 0000
</t>
  </si>
  <si>
    <t>bfFXgM4g20iGa4DX7bfW92QAFZy3</t>
  </si>
  <si>
    <t>TEAR- 1421-300282856-CONFECCOES GENESIS LTDA  - Aviamento Completo</t>
  </si>
  <si>
    <t>2026-07-23T12:09:46.4058261Z</t>
  </si>
  <si>
    <t xml:space="preserve">confeccaogenesisltda@gmail.com
Ordem de Produção Mestre: 300282856
Parte da peça: Aviamento Completo
Motivo: VEIO PARTES DAS PEÇAS FURADAS E FALTOU TODAS AS PARTES PARA 27 PEÇAS
Quantidade: 27
Quantidade por tamanho:27
Observações: PARTES FALTANTES BOLSO, FRENTE E TRASEIRO
Código de Aviamento: 0
</t>
  </si>
  <si>
    <t>DuNO2hATI06IkJmJGCfwimQAFRud</t>
  </si>
  <si>
    <t>JEANS- 1420-300277546-ASA CONFECCOES LTDA  - Traseiro</t>
  </si>
  <si>
    <t>2026-07-23T11:59:25.9978804Z</t>
  </si>
  <si>
    <t xml:space="preserve">asaequador@gmail.com
Ordem de Produção Mestre: 300277546
Parte da peça: Traseiro
Motivo: veio faltando os traseiro  palas
Quantidade: 7
Quantidade por tamanho:3-13/14 , 2-8/9
Observações: essa ordem ja veio com os bolsos pregados , e veio faltando 3 traseiros e as palas 13/14  , 2-8/9  ,2 -6/72
Código de Aviamento: 0000
</t>
  </si>
  <si>
    <t>tNShrG-cqEuL1f99WTLkSGQAIgCN</t>
  </si>
  <si>
    <t>POLO- 1181-300281474-SERRANA TEXTIL LTDA  - Frente</t>
  </si>
  <si>
    <t>2026-07-15T15:55:09.8752298Z</t>
  </si>
  <si>
    <t xml:space="preserve">tlcserranatextil@gmail.com
Ordem de Produção Mestre: 300281474
Parte da peça: Frente
Motivo: Não veio
Quantidade: 27
Quantidade por tamanho:G - 15 GG - 12
Observações: Vieram os traseiros e mangas e faltaram as frentes
Código de Aviamento: 0
</t>
  </si>
  <si>
    <t>fvIyUGyw50mFbejWUX5hG2QAHFyW</t>
  </si>
  <si>
    <t>640-300270295-F &amp; L AZEVEDO CONFECCAO LTDA MATRIZ  - ETIQUETA DE COMPOSIÇÃO</t>
  </si>
  <si>
    <t>2026-06-30T15:37:57.5696191Z</t>
  </si>
  <si>
    <t xml:space="preserve">felconfeccao@gmail.com
Ordem de Produção Mestre: 300270295
Parte da peça: ETIQUETA DE COMPOSIÇÃO
Motivo: PEÇAS A MAIS QUE O GUIA DE RISCO
Quantidade: 26
Quantidade por tamanho:P-5; M-8; G-8; GG-5
Observações: 
Código de Aviamento: NÃO TEM CÓDIGO
</t>
  </si>
  <si>
    <t>XlGx_RE1Lk2WcHYWLAj082QAI2Mo</t>
  </si>
  <si>
    <t>POLO- 1179-300281473-IDEAL CONFECCOES LTDA  - Etiqueta de Composição</t>
  </si>
  <si>
    <t>2026-07-15T14:36:25.7005277Z</t>
  </si>
  <si>
    <t xml:space="preserve">idealconfecltda@gmail.com
Ordem de Produção Mestre: 300281473
Parte da peça: Etiqueta de Composição
Motivo: faltou
Quantidade: 12
Quantidade por tamanho:XG: 2 G:5 M:5
Observações: 
Código de Aviamento: 000000
</t>
  </si>
  <si>
    <t>_4qIOtfji02AhT0YwL1eG2QAGwX6</t>
  </si>
  <si>
    <t>JEANS- 1417-300280668-LAJEDO JEANS CONFECCOES LTDA  - Passante</t>
  </si>
  <si>
    <t>2026-07-23T11:28:23.9269058Z</t>
  </si>
  <si>
    <t xml:space="preserve">lajedoconf5@gmail.com
Ordem de Produção Mestre: 300280668
Parte da peça: Passante
Motivo: quantidade insuficiente para concluir a ordem
Quantidade: 690 peças
Quantidade por tamanho:690
Observações: solicitamos reposição de viés de passante para 690 peças 
Código de Aviamento: 0
</t>
  </si>
  <si>
    <t>LpxvCiOmTUCmr9-T3vfdJGQAJKyL</t>
  </si>
  <si>
    <t>632-300241953-J M CONFECCOES &amp; CIA LTDA  - CÓS</t>
  </si>
  <si>
    <t>2026-06-30T12:52:54.9082696Z</t>
  </si>
  <si>
    <t xml:space="preserve">sjarlandia@hotmail.com
Ordem de Produção Mestre: 300241953
Parte da peça: CÓS
Motivo: reprocesso de cós e estragou alguns no desmanche 
Quantidade: 100
Quantidade por tamanho:g-100
Observações: 
Código de Aviamento: 00
</t>
  </si>
  <si>
    <t>adg3bQ2Q10awj_KzhzEXTGQAKLYj</t>
  </si>
  <si>
    <t>TEAR- 1176-300279739-CONFECCOES GENESIS LTDA  - Etiqueta de Composição</t>
  </si>
  <si>
    <t>2026-07-15T13:25:06.9673854Z</t>
  </si>
  <si>
    <t xml:space="preserve">confeccaogenesisltda@gmail.com
Ordem de Produção Mestre: 300279739
Parte da peça: Etiqueta de Composição
Motivo: VEIO SOBRANDO PEÇAS E FALTANDO ETIQUETA DE COMPOSIÇÃO
Quantidade: 30
Quantidade por tamanho:1-5;2-5;3-5;4-5;5-5;6-5
Observações: 
Código de Aviamento: 0
</t>
  </si>
  <si>
    <t>mu7qR2SXYEOyxhLuYSw9l2QAImrn</t>
  </si>
  <si>
    <t>TEAR- 1415-300276370-JOSENI MARIA DE MEDEIROS  - Linhas</t>
  </si>
  <si>
    <t>2026-07-23T11:27:40.8771125Z</t>
  </si>
  <si>
    <t xml:space="preserve">administrativo@zajaconfeccoes.com.br
Ordem de Produção Mestre: 300276370
Parte da peça: Linhas
Motivo: insuficiente
Quantidade: 10
Quantidade por tamanho:10
Observações: 
Código de Aviamento: 10000072709
</t>
  </si>
  <si>
    <t>f3aTm9eXe0Wi9-4lX_FX72QAPj4-</t>
  </si>
  <si>
    <t>624-300271488-LEANDRO MATIAS DA SILVA  - ETIQUETA DE COMPOSIÇÃO</t>
  </si>
  <si>
    <t>2026-06-30T11:57:42.6288001Z</t>
  </si>
  <si>
    <t xml:space="preserve">alfaequador@gmail.com
Ordem de Produção Mestre: 300271488
Parte da peça: ETIQUETA DE COMPOSIÇÃO
Motivo: INSUFICIENTE 
Quantidade: 2
Quantidade por tamanho:44-2
Observações: QUANTIDADE INSUFICIENTE 
Código de Aviamento: 0000
</t>
  </si>
  <si>
    <t>fE6dnQpsbkmtVOW-eOUfNWQAHWze</t>
  </si>
  <si>
    <t>TEAR- 1414-300276371-JOSENI MARIA DE MEDEIROS  - Linhas</t>
  </si>
  <si>
    <t>2026-07-23T11:26:33.6726542Z</t>
  </si>
  <si>
    <t xml:space="preserve">administrativo@zajaconfeccoes.com.br
Ordem de Produção Mestre: 300276371
Parte da peça: Linhas
Motivo: insuficiente 
Quantidade: 10
Quantidade por tamanho:10
Observações: 
Código de Aviamento: 10000072709
</t>
  </si>
  <si>
    <t>A2EJAsfvNUSGKmtqXsznOWQAKgU3</t>
  </si>
  <si>
    <t>MALHA- 1172-300273870-TENDENCIA CONFECCOES LTDA  - Etiqueta de Composição</t>
  </si>
  <si>
    <t>2026-07-15T11:35:50.6428314Z</t>
  </si>
  <si>
    <t xml:space="preserve">tendenciaconfec@gmail.com
Ordem de Produção Mestre: 300273870
Parte da peça: Etiqueta de Composição
Motivo: FALTOU PARA FINALIZAR OP
Quantidade: 5
Quantidade por tamanho:GG-5
Observações: 
Código de Aviamento: ETIQUETA DE COMPOSIÇÃO
</t>
  </si>
  <si>
    <t>tzOxgwJoTUi34qpwFpLLPmQAFyHY</t>
  </si>
  <si>
    <t>622-300269151-DANJAN CONFECCOES LTDA  - ETIQUETA DE COMPOSIÇÃO</t>
  </si>
  <si>
    <t>2026-06-30T11:48:33.2591916Z</t>
  </si>
  <si>
    <t xml:space="preserve">spauloazevedo@bol.com.br
Ordem de Produção Mestre: 300269151
Parte da peça: ETIQUETA DE COMPOSIÇÃO
Motivo: material não enviado pela guararapes
Quantidade: 25
Quantidade por tamanho:5
Observações: PP-5; P-5; M-5; G-5; GG-5
Código de Aviamento: 0000000
</t>
  </si>
  <si>
    <t>poIWkI7SaEuj8cWWlcuHa2QAJROR</t>
  </si>
  <si>
    <t>JEANS- 1405-300277546-ASA CONFECCOES LTDA  - Traseiro</t>
  </si>
  <si>
    <t>2026-07-22T21:23:24.2497407Z</t>
  </si>
  <si>
    <t xml:space="preserve">asaequado@gmail.com
Ordem de Produção Mestre: 300277546
Parte da peça: Traseiro
Motivo: não veio os traseiro e nem as palas , e essa ordem veio ja com os bolso pregado.  
Quantidade: 7
Quantidade por tamanho: 3-13/14 , 2-8/9 2-6/7 os traseiros e palas
Observações: veio as frentes sobrando
Código de Aviamento: 0000
</t>
  </si>
  <si>
    <t>RzIRr6mYYkeHrX1UhIbQjmQABrP8</t>
  </si>
  <si>
    <t>MALHA- 1170-300279221-JOSENI MARIA DE MEDEIROS  - Etiqueta de Composição</t>
  </si>
  <si>
    <t>2026-07-15T10:57:49.4588665Z</t>
  </si>
  <si>
    <t xml:space="preserve">administrativo@zajaconfeccoes.com.br
Ordem de Produção Mestre: 300279221
Parte da peça: Etiqueta de Composição
Motivo: insuficiente 
Quantidade: 8
Quantidade por tamanho:XG-8
Observações: 
Código de Aviamento: 0
</t>
  </si>
  <si>
    <t>chr6vKWAy02WDOlzwLpFumQALWGN</t>
  </si>
  <si>
    <t>TEAR- 1145-300280237-JOSENI MARIA DE MEDEIROS  - Etiqueta de Composição</t>
  </si>
  <si>
    <t>2026-07-14T18:58:39.282464Z</t>
  </si>
  <si>
    <t xml:space="preserve">administrativo@zajaconfeccoes.com.br
Ordem de Produção Mestre: 300280237
Parte da peça: Etiqueta de Composição
Motivo: insuficiente 
Quantidade: 15
Quantidade por tamanho:GG-15
Observações: 
Código de Aviamento: 0
</t>
  </si>
  <si>
    <t>H-GMRfB_U0qugtBQTdoH2WQAMET5</t>
  </si>
  <si>
    <t>618-300270304-F &amp; L AZEVEDO CONFECCAO LTDA MATRIZ  - TRASEIRO</t>
  </si>
  <si>
    <t>2026-06-30T10:47:28.8668568Z</t>
  </si>
  <si>
    <t xml:space="preserve">felconfeccao@gmail.com
Ordem de Produção Mestre: 300270304
Parte da peça: TRASEIRO
Motivo: NÃO FOI ENVIADO PARA OFICINA
Quantidade: 17
Quantidade por tamanho:P-10; M-2; G-3; XG-2
Observações: O BOLSO JÁ VEIO PREGADO PARA OFICINA.
Código de Aviamento: 100000107336
</t>
  </si>
  <si>
    <t>gCbg6U9z_U2eljcb1mkWFWQAPtSY</t>
  </si>
  <si>
    <t>JEANS- 1404-300280109-A S CONFECCOES LTDA  - Etiqueta de Composição</t>
  </si>
  <si>
    <t>2026-07-22T21:15:07.80501Z</t>
  </si>
  <si>
    <t xml:space="preserve">s.a.confeccoesind@gmail.com
Ordem de Produção Mestre: 300280109
Parte da peça: Etiqueta de Composição
Motivo: Danificada no processo
Quantidade: 10
Quantidade por tamanho:40-2 unidades; 42-8 unidades
Observações: 8 etiquetas de composição tamanho 42 e 2 etiquetas de composição tamanho 40
Código de Aviamento: 0000
</t>
  </si>
  <si>
    <t>1-6WsnI8AkODxuwc1REnKWQAL5gT</t>
  </si>
  <si>
    <t>JEANS- 1400-300273321-CONFECCOES J. S. LTDA  - Etiqueta de Composição</t>
  </si>
  <si>
    <t>2026-07-22T19:55:29.6378803Z</t>
  </si>
  <si>
    <t xml:space="preserve">confeccoesjsltda@outlook.com
Ordem de Produção Mestre: 300273321
Parte da peça: Etiqueta de Composição
Motivo: Veio faltando 
Quantidade: 14
Quantidade por tamanho:14- 46
Observações: Material não veio
Código de Aviamento: 350
</t>
  </si>
  <si>
    <t>rJ1nDQJceUCoxvzV2rHtF2QAK-ri</t>
  </si>
  <si>
    <t>615-300273819-F &amp; L AZEVEDO CONFECCAO LTDA FILIAL  - ETIQUETA DE COMPOSIÇÃO</t>
  </si>
  <si>
    <t>2026-06-29T21:06:50.2639731Z</t>
  </si>
  <si>
    <t xml:space="preserve">FELCONFECCAO@GMAIL.COM
Ordem de Produção Mestre: 300273819
Parte da peça: ETIQUETA DE COMPOSIÇÃO
Motivo: FALTOU PARA FINALIZAR
Quantidade: 12
Quantidade por tamanho:P-4; M-4; G-4
Observações: 
Código de Aviamento: 0
</t>
  </si>
  <si>
    <t>52u1lFCslEeUP2NKCOFGC2QAEGsW</t>
  </si>
  <si>
    <t>JEANS- 1143-300269799-POTENGI TEXTIL LTDA  - Elástico</t>
  </si>
  <si>
    <t>2026-07-14T18:56:23.610472Z</t>
  </si>
  <si>
    <t xml:space="preserve">potengitextil@outlook.com.br
Ordem de Produção Mestre: 300269799
Parte da peça: Elástico
Motivo: Reprocesso de ordem 
Quantidade: 1078
Quantidade por tamanho:6/7-147; 8/9-245; 9/10-245; 11/12-245; 13/14-196
Observações: 
Código de Aviamento: 10000170337
</t>
  </si>
  <si>
    <t>A9SMfpOD5UegMSNWCmuWG2QAPNa8</t>
  </si>
  <si>
    <t>MALHA- 1396-300283983-JOSE MEDEIROS DE ARAUJO  - Etiqueta de Composição</t>
  </si>
  <si>
    <t>2026-07-22T18:45:55.9049399Z</t>
  </si>
  <si>
    <t xml:space="preserve">administrativo@zajaconfeccoes.com
Ordem de Produção Mestre: 300283983
Parte da peça: Etiqueta de Composição
Motivo: insuficiente
Quantidade: 10
Quantidade por tamanho:G-5; M-5
Observações: 
Código de Aviamento: 0
</t>
  </si>
  <si>
    <t>WtBw6KAIbUGVtcs7Oih5mGQAJorQ</t>
  </si>
  <si>
    <t>POLO- 1136-300281472-IDEAL CONFECCOES LTDA  - Frente</t>
  </si>
  <si>
    <t>2026-07-14T18:49:39.1210449Z</t>
  </si>
  <si>
    <t xml:space="preserve">idealconfecltda@gmail.com
Ordem de Produção Mestre: 300281472
Parte da peça: Frente
Motivo: não veio
Quantidade: 31
Quantidade por tamanho:27 tam GG e 4 tamanho XG
Observações: 
Código de Aviamento: 00000
</t>
  </si>
  <si>
    <t>ORRmyeK-dkyUUrz-fmRR9mQACG5y</t>
  </si>
  <si>
    <t>614-300273817-F &amp; L AZEVEDO CONFECCAO LTDA FILIAL  - ETIQUETA DE COMPOSIÇÃO</t>
  </si>
  <si>
    <t>2026-06-29T21:05:22.2201087Z</t>
  </si>
  <si>
    <t xml:space="preserve">felconfeccao@gmail.com
Ordem de Produção Mestre: 300273817
Parte da peça: ETIQUETA DE COMPOSIÇÃO
Motivo: FALTOU PRA FINALIZAR
Quantidade: 17
Quantidade por tamanho:P-8; M-5; GG-4
Observações: 
Código de Aviamento: 0
</t>
  </si>
  <si>
    <t>eiQpn2i6vk2PH8dspklMImQAAr0F</t>
  </si>
  <si>
    <t>JEANS- 1134-300271538-POTENGI TEXTIL LTDA  - Cós estamos  verificando com Rayna  a possibilidade de não precisar seguir com a reposição</t>
  </si>
  <si>
    <t>2026-07-14T18:47:31.3114657Z</t>
  </si>
  <si>
    <t xml:space="preserve">potengitextil@outlook.com.br
Ordem de Produção Mestre: 300271538
Parte da peça: Cós
Motivo: Reprocesso de ordem
Quantidade: 1232
Quantidade por tamanho:6/7-176; 8/9-264; 9/10-264; 11/12-264; 13/14-264
Observações: 
Código de Aviamento: 0
</t>
  </si>
  <si>
    <t>NwiZLpz_OEWsPk6VcXUEZmQABgF3</t>
  </si>
  <si>
    <t>MALHA- 1395-300283432-DI3 CONFECCOES LTDA  - Frente</t>
  </si>
  <si>
    <t>2026-07-22T18:40:45.6741471Z</t>
  </si>
  <si>
    <t xml:space="preserve">di3confec@gmail.com
Ordem de Produção Mestre: 300283432
Parte da peça: Frente
Motivo: Material insuficiente para finalizar a op
Quantidade: 1
Quantidade por tamanho:P - 1
Observações: 
Código de Aviamento: 0
</t>
  </si>
  <si>
    <t>a25ekjpxMkSuThuqobp11mQADpZM</t>
  </si>
  <si>
    <t>609-300273715-J M CONFECCOES &amp; CIA LTDA  - BOLSO RELOGIO</t>
  </si>
  <si>
    <t>2026-06-29T19:20:26.5209044Z</t>
  </si>
  <si>
    <t xml:space="preserve">Sjarlandia@hotmail.com
Ordem de Produção Mestre: 300273715
Parte da peça: BOLSO RELOGIO
Motivo: Nao veio grade completa 
Quantidade: 570
Quantidade por tamanho:4-63,3-253,1-252
Observações: Veio faltando
Código de Aviamento: Bolso relogio
</t>
  </si>
  <si>
    <t>QgpyLNELMU2tYLyjHlpQQmQAFOcO</t>
  </si>
  <si>
    <t>JEANS- 1394-300277057-FACCAO ELLO LTDA  - Etiqueta de Composição</t>
  </si>
  <si>
    <t>2026-07-22T18:40:23.2240612Z</t>
  </si>
  <si>
    <t xml:space="preserve">faccaoello@hotmail.com
Ordem de Produção Mestre: 300277057
Parte da peça: Etiqueta de Composição
Motivo: MATERIAL NÃO ENVIADO PELA GUARARAPES
Quantidade: 1
Quantidade por tamanho:13-14: 1
Observações: 
Código de Aviamento: 000
</t>
  </si>
  <si>
    <t>nnamIVpKLEqzfC6xHSvO2GQAP1fI</t>
  </si>
  <si>
    <t>POLO- 1131-300273782-POTENGI TEXTIL LTDA  - Etiqueta de Composição</t>
  </si>
  <si>
    <t>2026-07-14T18:38:29.4534679Z</t>
  </si>
  <si>
    <t xml:space="preserve">potengitextil@outlook.com.br
Ordem de Produção Mestre: 300273782
Parte da peça: Etiqueta de Composição
Motivo: Insuficiente para finalizar ordem.
Quantidade: 8
Quantidade por tamanho:G-8
Observações: 
Código de Aviamento: 0
</t>
  </si>
  <si>
    <t>UG4f3zAzhEiUfsBPEBnNymQAJ4s_</t>
  </si>
  <si>
    <t>602-300276276-FLAVIA GEORGIA BRAGA SILVA CONFECCOES LTDA  - ETIQUETA DE COMPOSIÇÃO</t>
  </si>
  <si>
    <t>2026-06-29T13:50:22.4495416Z</t>
  </si>
  <si>
    <t xml:space="preserve">w.anny.k@hotmail.com
Ordem de Produção Mestre: 300276276
Parte da peça: ETIQUETA DE COMPOSIÇÃO
Motivo: VEIO FALTANDO
Quantidade: 35
Quantidade por tamanho:52-5 50-5 48-5 46-5 44-5 42-5 40-5
Observações: VEIO FALTANDO ETIQUETA DE COMPOSICAO NA ORDEM 300276276.
Código de Aviamento: 000000000000000
</t>
  </si>
  <si>
    <t>AE4DYe_yCkCTcUocxESzTWQAElM5</t>
  </si>
  <si>
    <t>POLO- 1120-300277113-SERRANA TEXTIL LTDA  - Frente</t>
  </si>
  <si>
    <t>2026-07-14T15:14:10.6657227Z</t>
  </si>
  <si>
    <t xml:space="preserve">tlcserranatêxtil@gmail.com
Ordem de Produção Mestre: 300277113
Parte da peça: Frente
Motivo: Frente menores e algumas com um rasgo no bordado
Quantidade: 7
Quantidade por tamanho:M - 7
Observações: 
Código de Aviamento: 0
</t>
  </si>
  <si>
    <t>s4sxMa5lz0mlIavlX7fo-2QADvNw</t>
  </si>
  <si>
    <t>MALHA- 1117-300280226-F &amp; L AZEVEDO CONFECCAO LTDA FILIAL  - Etiqueta de Composição</t>
  </si>
  <si>
    <t>2026-07-14T13:32:44.2210104Z</t>
  </si>
  <si>
    <t xml:space="preserve">FELCONFECCAO@GMAIL.COM
Ordem de Produção Mestre: 300280226
Parte da peça: Etiqueta de Composição
Motivo: FALTOU
Quantidade: 1
Quantidade por tamanho:G-1
Observações: 
Código de Aviamento: 0
</t>
  </si>
  <si>
    <t>sL3QxFmTSUyMynk22NYO1GQAB49K</t>
  </si>
  <si>
    <t>586-300271109-LEANDRO MATIAS DA SILVA  - Etiqueta composição</t>
  </si>
  <si>
    <t>2026-06-27T12:52:40.8330882Z</t>
  </si>
  <si>
    <t xml:space="preserve">alfaequador@gmail.com
Ordem de Produção Mestre: 300271109
Parte da peça: Etiqueta composição
Motivo: INSUFICIENTE
Quantidade: 2
Quantidade por tamanho:13-14: 2
Observações: QUANTIDADE INSUFICIENTE 
Código de Aviamento: 000
</t>
  </si>
  <si>
    <t>9pSCcuzVPUiUYKmdQNYBumQAKcsY</t>
  </si>
  <si>
    <t>TEAR- 1113-300273736-CONFECCOES GENESIS LTDA  - Pala</t>
  </si>
  <si>
    <t>2026-07-14T12:08:58.3839743Z</t>
  </si>
  <si>
    <t xml:space="preserve">confeccaogenesisltda@gmail.com
Ordem de Produção Mestre: 300273736
Parte da peça: Pala
Motivo: veio faltando pala para 26 peças TAM 1
Quantidade: 26
Quantidade por tamanho:1-26
Observações: PALA FRENTE E PALA TRASEIRA
Código de Aviamento: 0
</t>
  </si>
  <si>
    <t>bRaFEELcbEOq9u-eJctAkmQAD9xU</t>
  </si>
  <si>
    <t>TEAR- 1112-300279736-CONFECCOES GENESIS LTDA  - Aviamento Completo</t>
  </si>
  <si>
    <t>2026-07-14T12:03:19.5483619Z</t>
  </si>
  <si>
    <t xml:space="preserve">confeccaogenesisltda@gmail.com
Ordem de Produção Mestre: 300279736
Parte da peça: Aviamento Completo
Motivo: VEIO FALTANDO TODAS AS PARTES PARA 26 PEÇAS
Quantidade: 26
Quantidade por tamanho:5-26
Observações: FALTOU O CONJUNTO COMPLETO DA PEÇA NO TAMANHO 5. NÃO FORAM ENVIADAS AS PARTES QUE COMPÕEM AS PEÇAS. SOLICITO O ENVIO COMPLETO PARA MONTAGEM DE 26 PEÇAS
Código de Aviamento: 0
</t>
  </si>
  <si>
    <t>knsmu37QS0mEa6a8-41Df2QAMet0</t>
  </si>
  <si>
    <t>577-300271823-ARAUJO CAMARA LTDA  - Etiqueta composição</t>
  </si>
  <si>
    <t>2026-06-26T15:26:18.6653995Z</t>
  </si>
  <si>
    <t xml:space="preserve">marionetemedeiros2@hotmail.com
Ordem de Produção Mestre: 300271823
Parte da peça: Etiqueta composição
Motivo: Faltou para concluir a op
Quantidade: 10
Quantidade por tamanho:G-06, M-02, P-02
Observações: Etiqueta composição que vai na parte interna da peça 
Código de Aviamento: 9.ET2E2.001.000001
</t>
  </si>
  <si>
    <t>rqXkbUtgzk2gzQGYJOSnBGQAOqHv</t>
  </si>
  <si>
    <t>TEAR- 1111-300279736-CONFECCOES GENESIS LTDA  - Babado</t>
  </si>
  <si>
    <t>2026-07-14T11:57:59.7900943Z</t>
  </si>
  <si>
    <t xml:space="preserve">confeccaogenesisltda@gmail.com
Ordem de Produção Mestre: 300279736
Parte da peça: Babado
Motivo: VEIO FALTANDO PARA 26 PEÇAS TAMANO 1
Quantidade: 26
Quantidade por tamanho:1-26
Observações: 
Código de Aviamento: 0
</t>
  </si>
  <si>
    <t>_OlfDpedRUGE2JN8d0XYQWQAKsNy</t>
  </si>
  <si>
    <t>571-300269895-POTENGI TEXTIL LTDA  - Etiqueta composição</t>
  </si>
  <si>
    <t>2026-06-26T13:04:13.5348688Z</t>
  </si>
  <si>
    <t xml:space="preserve">potengitextil@outlook.com.br
Ordem de Produção Mestre: 300269895
Parte da peça: Etiqueta composição
Motivo: Insuficiente para finalizar op 
Quantidade: 5
Quantidade por tamanho:5-5
Observações: 
Código de Aviamento: 0
</t>
  </si>
  <si>
    <t>3G5A3wGzW0a1-JBhamBGI2QAC1fE</t>
  </si>
  <si>
    <t>TEAR- 1110-300279736-CONFECCOES GENESIS LTDA  - Babado</t>
  </si>
  <si>
    <t>2026-07-14T11:55:25.0595137Z</t>
  </si>
  <si>
    <t xml:space="preserve">confeccaogenesisltda@gmail.com
Ordem de Produção Mestre: 300279736
Parte da peça: Babado
Motivo: VEIO 
Quantidade: 56
Quantidade por tamanho:5-56
Observações: 
Código de Aviamento: 0
</t>
  </si>
  <si>
    <t>r2NssBikSkiH-wyPq8BIvmQACayg</t>
  </si>
  <si>
    <t>570-300274225-A S CONFECCOES LTDA  - Cós</t>
  </si>
  <si>
    <t>2026-06-26T12:38:17.7153869Z</t>
  </si>
  <si>
    <t xml:space="preserve">s.a.confeccoesind@gmail.com
Ordem de Produção Mestre: 300274225
Parte da peça: Cós
Motivo: Peças danificadas na costura.
Quantidade: 24
Quantidade por tamanho:6/7 - 24 unidades
Observações: 24 unidades de cós tamanhos 6-7
Código de Aviamento: 00000000
</t>
  </si>
  <si>
    <t>WX5_2LMtAkCqToTw0ZUL22QABNNG</t>
  </si>
  <si>
    <t>TEAR- 1107-300279736-CONFECCOES GENESIS LTDA  - Traseiro</t>
  </si>
  <si>
    <t>2026-07-14T11:46:26.9519891Z</t>
  </si>
  <si>
    <t xml:space="preserve">confeccaogenesisltda@gmail.com
Ordem de Produção Mestre: 300279736
Parte da peça: Traseiro
Motivo: VEIO FALTANDO SAIA TRASEIRO PARA 26 PEÇAS
Quantidade: 26
Quantidade por tamanho:5-26
Observações: SAIA TRASEIRO
Código de Aviamento: 0
</t>
  </si>
  <si>
    <t>WlainXmKQEOTiJQtiEwR0WQAA0Tr</t>
  </si>
  <si>
    <t>569-300272959-DI3 CONFECCOES LTDA  - Frente e traseiro</t>
  </si>
  <si>
    <t>2026-06-26T12:04:05.7104757Z</t>
  </si>
  <si>
    <t xml:space="preserve">di3confec@gmail.com
Ordem de Produção Mestre: 300272959
Parte da peça: Frente e traseiro
Motivo: Material insuficiente para finalizar a ordem
Quantidade: 7
Quantidade por tamanho:38 - 1; 50 - 3; 48 - 3
Observações: 
Código de Aviamento: 0
</t>
  </si>
  <si>
    <t>6pYwO__NYkGYOqPbQueoe2QAENfE</t>
  </si>
  <si>
    <t>TEAR- 1106-300279736-CONFECCOES GENESIS LTDA  - Frente</t>
  </si>
  <si>
    <t>2026-07-14T11:45:19.3494652Z</t>
  </si>
  <si>
    <t xml:space="preserve">confeccaogenesisltda@gmail.com
Ordem de Produção Mestre: 300279736
Parte da peça: Frente
Motivo: veio faltando saia frente para 26 peças
Quantidade: 26
Quantidade por tamanho:5-26
Observações: SAIA FRENTE
Código de Aviamento: 0
</t>
  </si>
  <si>
    <t>5w-DiOoGhUGqCWo1TXDE5mQAFh_o</t>
  </si>
  <si>
    <t>567-300274899-CONFECCAO G. B. DA SILVA JUNIOR &amp; CIA LTDA  - Pala</t>
  </si>
  <si>
    <t>2026-06-26T11:31:06.2391907Z</t>
  </si>
  <si>
    <t xml:space="preserve">confeccoesgbdas@hotmail.com
Ordem de Produção Mestre: 300274899
Parte da peça: Pala
Motivo: MATERIAL INSUFICIENTE
Quantidade: PALA PARA 20 PEÇAS
Quantidade por tamanho:PALA PARA 20 PEÇAS OS DOIS LADOS
Observações: PALA PARA 20 PEÇAS COMPLETA, OS DOIS LADOS
Código de Aviamento: 16273311
</t>
  </si>
  <si>
    <t>E6yuEye380OzRZmbPrVmBWQAN7R0</t>
  </si>
  <si>
    <t>JEANS- 1104-300274233-POTENGI TEXTIL LTDA  - Linhas</t>
  </si>
  <si>
    <t>2026-07-14T11:38:55.5895704Z</t>
  </si>
  <si>
    <t xml:space="preserve">potengitextil@outlook.com.br
Ordem de Produção Mestre: 300274233
Parte da peça: Linhas
Motivo: Não enviado pela guararapes 
Quantidade: 620
Quantidade por tamanho:1-93; 2-124; 3-124; 4-124; 5-93; 6-62
Observações: Linha não foi enviada. 
Código de Aviamento: 10000073317
</t>
  </si>
  <si>
    <t>jMGTnnt2Kkegvn2QFl1bZGQAIIbI</t>
  </si>
  <si>
    <t>566-300274899-CONFECCAO G. B. DA SILVA JUNIOR &amp; CIA LTDA  - Traseiro</t>
  </si>
  <si>
    <t>2026-06-26T11:29:14.1789284Z</t>
  </si>
  <si>
    <t xml:space="preserve">confeccoesgbdas@hotmail.com
Ordem de Produção Mestre: 300274899
Parte da peça: Traseiro
Motivo: MATERIAL INSUFICIENTE
Quantidade: 20
Quantidade por tamanho:20 TRASEIRO COMPLETO (OS DOIS LADOS) TAMANHO 46
Observações: TRASEIRO COMPLETO, OS DOIS LADOS
Código de Aviamento: 16273311
</t>
  </si>
  <si>
    <t>_WXn9cMQxk-c-fzKWfuByWQAMnDi</t>
  </si>
  <si>
    <t>MALHA- 1101-300280718-F &amp; L AZEVEDO CONFECCAO LTDA FILIAL  - Etiqueta de Composição</t>
  </si>
  <si>
    <t>2026-07-14T10:57:25.3282982Z</t>
  </si>
  <si>
    <t xml:space="preserve">felconfeccao@gmail.com
Ordem de Produção Mestre: 300280718
Parte da peça: Etiqueta de Composição
Motivo: FALTOU
Quantidade: 6
Quantidade por tamanho:G-4; GG-2
Observações: 
Código de Aviamento: 0
</t>
  </si>
  <si>
    <t>pAPiLxDI8U6Us8GTjG5zBGQAKKKu</t>
  </si>
  <si>
    <t>563-300275005-FLAVIA GEORGIA BRAGA SILVA CONFECCOES LTDA  - Etiqueta composição</t>
  </si>
  <si>
    <t>2026-06-26T10:26:44.2131302Z</t>
  </si>
  <si>
    <t xml:space="preserve">w.anny.k@hotmail.com
Ordem de Produção Mestre: 300275005
Parte da peça: Etiqueta composição
Motivo: VEIO FALTANDO NA ORDEM 
Quantidade: 25
Quantidade por tamanho:6-7: 5, 8-9: 5, 9-10: 5, 11-12: 5, 13-14: 5
Observações: 
Código de Aviamento: 0000000000000
</t>
  </si>
  <si>
    <t>kGT4sxUB-0qy2vvHR4xvQWQALk0B</t>
  </si>
  <si>
    <t>JEANS- 1100-300273731-FREIRE SILVA CONFECCOES LTDA  - Etiqueta de Composição</t>
  </si>
  <si>
    <t>2026-07-14T10:28:51.0194915Z</t>
  </si>
  <si>
    <t xml:space="preserve">freiresilvaconfeccoes@gmail.com
Ordem de Produção Mestre: 300273731
Parte da peça: Etiqueta de Composição
Motivo: Material insuficiente para finalizar a OP. 
Quantidade: 31
Quantidade por tamanho:5-7; 4-7; 3-5; 2-5; 1-7. 
Observações: *
Código de Aviamento: *
</t>
  </si>
  <si>
    <t>ZDmO-0Qsy06Ly1gi8nGTomQAF2n6</t>
  </si>
  <si>
    <t>556-300275007-FLAVIA GEORGIA BRAGA SILVA CONFECCOES LTDA  - Etiqueta composição</t>
  </si>
  <si>
    <t>2026-06-25T19:47:06.0624168Z</t>
  </si>
  <si>
    <t xml:space="preserve">w.anny.k@hotmail.com
Ordem de Produção Mestre: 300275007
Parte da peça: Etiqueta composição
Motivo: VEIO FALTANDO
Quantidade: 25
Quantidade por tamanho:13-14 5  11-12 5  9-10 5  8-9 5  6-7 5
Observações: 
Código de Aviamento: 0000000000000
</t>
  </si>
  <si>
    <t>ivLB6YKoq0mdwtA90DsKaGQACMel</t>
  </si>
  <si>
    <t>553-300271538-POTENGI TEXTIL LTDA  - Etiqueta composição</t>
  </si>
  <si>
    <t>2026-06-25T19:11:16.8650833Z</t>
  </si>
  <si>
    <t xml:space="preserve">potengitextil@outlook.com.br
Ordem de Produção Mestre: 300271538
Parte da peça: Etiqueta composição
Motivo: Insuficiente para finalizar ordem 
Quantidade: 13
Quantidade por tamanho:8/9-7; 6/7-6
Observações: Falta para finalizar ordem 
Código de Aviamento: 0 
</t>
  </si>
  <si>
    <t>OvN0nRBTwE-GClMwh78nvmQAFiBd</t>
  </si>
  <si>
    <t>MALHA- 1097-300271262-M A P FORTE FORTEX PRODUCAO TEXTIL  - Etiqueta de Composição</t>
  </si>
  <si>
    <t>2026-07-13T20:42:30.6889068Z</t>
  </si>
  <si>
    <t xml:space="preserve">auxiforte@hotmail.com
Ordem de Produção Mestre: 300271262
Parte da peça: Etiqueta de Composição
Motivo: MATERIAL ENVIADO EM QUANTIDADE INSUFICIENTE;
Quantidade: 2
Quantidade por tamanho:M - 2;
Observações: MATERIAL ENVIADO EM QUANTIDADE INSUFICIENTE;
Código de Aviamento: 00
</t>
  </si>
  <si>
    <t>O6DL8o3k2UyLaJn6P18Hb2QANG9E</t>
  </si>
  <si>
    <t>546-300273781-POTENGI TEXTIL LTDA  - Gola</t>
  </si>
  <si>
    <t>2026-06-25T17:22:48.2658997Z</t>
  </si>
  <si>
    <t xml:space="preserve">potengitextil@outlook.com.br
Ordem de Produção Mestre: 300273781
Parte da peça: Gola
Motivo: Insuficiente para finalizar ordem 
Quantidade: 55
Quantidade por tamanho:GG-55
Observações: Golas de camisas polo 
Código de Aviamento: 0
</t>
  </si>
  <si>
    <t>8dAx72gaG0Ssa30FyZKR-2QAFAWE</t>
  </si>
  <si>
    <t>MALHA- 1096-300271262-M A P FORTE FORTEX PRODUCAO TEXTIL  - Manga</t>
  </si>
  <si>
    <t>2026-07-13T20:41:23.9011689Z</t>
  </si>
  <si>
    <t xml:space="preserve">auxiforte@hotmail.com
Ordem de Produção Mestre: 300271262
Parte da peça: Manga
Motivo: Material não enviado pela Guararapes; Risco em falta - 46 UNIDADES; TAMANHO - P;
Quantidade: 46
Quantidade por tamanho:P - 46
Observações: Material não enviado pela Guararapes; Risco em falta - 46 UNIDADES; TAMANHO - P;
Código de Aviamento: 00
</t>
  </si>
  <si>
    <t>ENJOlIAsuUWaMXpzpoUbwGQAE3qy</t>
  </si>
  <si>
    <t>522-300271507-CONFECCAO G. B. DA SILVA JUNIOR &amp; CIA LTDA  - Vista</t>
  </si>
  <si>
    <t>2026-06-24T17:07:22.0888745Z</t>
  </si>
  <si>
    <t xml:space="preserve">confeccoesgbdas@hotmail.com
Ordem de Produção Mestre: 300271507
Parte da peça: Vista
Motivo: FALTA DE PARTES PARA COMPLETAR A ORDEM
Quantidade: 54
Quantidade por tamanho:1 LOTE DE 54 VISTA TAMANHO 11-12
Observações: 
Código de Aviamento: 16217845
</t>
  </si>
  <si>
    <t>c3mcPyrRH0mmFjcowpj902QAGMzC</t>
  </si>
  <si>
    <t>521-300271507-CONFECCAO G. B. DA SILVA JUNIOR &amp; CIA LTDA  - Braguilha</t>
  </si>
  <si>
    <t>2026-06-24T17:06:28.9753238Z</t>
  </si>
  <si>
    <t xml:space="preserve">confeccoesgbdas@hotmail.com
Ordem de Produção Mestre: 300271507
Parte da peça: Braguilha
Motivo: FALTA DE PARTES PARA COMPLETAR A ORDEM
Quantidade: 54
Quantidade por tamanho:1 LOTE COM 54 BRAGUILHA TAMANHO 11-12
Observações: 
Código de Aviamento: 16217845
</t>
  </si>
  <si>
    <t>JuPWstkhaEm2t22Iiv5qb2QAJzU2</t>
  </si>
  <si>
    <t>MALHA- 1093-300279752-DI3 CONFECCOES LTDA  - Gola</t>
  </si>
  <si>
    <t>2026-07-13T20:28:25.6085518Z</t>
  </si>
  <si>
    <t xml:space="preserve">di3confec@gmail.com
Ordem de Produção Mestre: 300279752
Parte da peça: Gola
Motivo: Material insuficiente 
Quantidade: 45
Quantidade por tamanho:PP - 45
Observações: Não veio quantidade suficiente para finalizar a op
Código de Aviamento: 0
</t>
  </si>
  <si>
    <t>9zoYqtrV6EKm8e_Suz2Dg2QAB8oy</t>
  </si>
  <si>
    <t>JEANS- 1086-300276046-F J DE AZEVEDO  - Etiqueta de Composição</t>
  </si>
  <si>
    <t>2026-07-13T19:10:14.5865253Z</t>
  </si>
  <si>
    <t xml:space="preserve">fjdeazevedo@hotmail.com
Ordem de Produção Mestre: 300276046
Parte da peça: Etiqueta de Composição
Motivo: DANIFICADAS NO PROCESSO DE COSTURA
Quantidade: 16
Quantidade por tamanho:TAM.: 36-QUANT.: 13
Observações: ETIQUETAS FORAM DANIFICADAS NA COSTURA 
Código de Aviamento: NÃO TEM CODIGO
</t>
  </si>
  <si>
    <t>8aV-28bitUOOf4ISGH4nMWQAAxzk</t>
  </si>
  <si>
    <t>520-300271507-CONFECCAO G. B. DA SILVA JUNIOR &amp; CIA LTDA  - Bolso</t>
  </si>
  <si>
    <t>2026-06-24T17:05:09.8853154Z</t>
  </si>
  <si>
    <t xml:space="preserve">confeccoesgbdas@hotmail.com
Ordem de Produção Mestre: 300271507
Parte da peça: Bolso
Motivo: FALTA DE PARTES PARA COMPLETAR A ORDEM
Quantidade: 54
Quantidade por tamanho:BOLSO DIANTEIRO PARA 54 PEÇAS TAMANHO 11-12
Observações: 
Código de Aviamento: 16217845
</t>
  </si>
  <si>
    <t>aMw9JkEtlUSbw64vvMugzGQAIgki</t>
  </si>
  <si>
    <t>POLO- 1085-300271211-FREIRE SILVA CONFECCOES LTDA  - Frente</t>
  </si>
  <si>
    <t>2026-07-13T19:06:41.4764895Z</t>
  </si>
  <si>
    <t>freiresilvaconfeccoes@gmail.com_x000D_
Ordem de Produção Mestre: 300271211_x000D_
Parte da peça: Frente_x000D_
Motivo: Material insuficiente para finalizar a OP.._x000D_
Quantidade: 80_x000D_
Quantidade por tamanho:GG-40; G-40._x000D_
Observações: Está faltando a peça completa FRENTE, COSTA e MANGA. _x000D_
Código de Aviamento: *</t>
  </si>
  <si>
    <t>519-300271507-CONFECCAO G. B. DA SILVA JUNIOR &amp; CIA LTDA  - Bolso traseiro</t>
  </si>
  <si>
    <t>2026-06-24T17:03:55.9303037Z</t>
  </si>
  <si>
    <t xml:space="preserve">confeccoesgbdas@hotmail.com
Ordem de Produção Mestre: 300271507
Parte da peça: Bolso traseiro
Motivo: FALTA DE PARTES PARA COMPLETAR A ORDEM
Quantidade: 54
Quantidade por tamanho:BOLSO TRASEIRO PARA 54 PEÇAS TAMANHO 11-12
Observações: 
Código de Aviamento: 16217845
</t>
  </si>
  <si>
    <t>XRyuo3a4n0qpZg6kH5nhVWQACSzs</t>
  </si>
  <si>
    <t>JEANS- 1077-300276213-ASA CONFECCOES LTDA  - Etiqueta de Composição</t>
  </si>
  <si>
    <t>2026-07-13T16:31:30.2449482Z</t>
  </si>
  <si>
    <t xml:space="preserve">asaequador@gmail.com
Ordem de Produção Mestre: 300276213
Parte da peça: Etiqueta de Composição
Motivo: faltou
Quantidade: 11
Quantidade por tamanho:13/14-2 ,11/12-3, 9/10-3 ,8/9-3
Observações: veio faltando
Código de Aviamento: 000000
</t>
  </si>
  <si>
    <t>GUzbTinwyU6gYvCEW8gWbmQADBIU</t>
  </si>
  <si>
    <t>JEANS- 1075-300269315-J. S. &amp; SILVA LTDA  - Babado</t>
  </si>
  <si>
    <t>2026-07-13T16:20:20.6985485Z</t>
  </si>
  <si>
    <t xml:space="preserve">js.silva6815@gmail.com
Ordem de Produção Mestre: 300269315
Parte da peça: Babado
Motivo: insuficiente para finalizar ordem
Quantidade: 117
Quantidade por tamanho:6-20; 5-47; 2-50
Observações: babado BORDADO, 20 do tamanho 6 do lado esquerdo de quem veste; 47 do tamanho 5 sendo 30 do lado direito de quem veste e 17 do lado esquerdo de quem veste; 50 do tamanho 2 do lado direito de quem veste!!!! todas essas reposições são BORDADAS.
Código de Aviamento: 000
</t>
  </si>
  <si>
    <t>cbwNSy4ai0G6lL6H33WSNmQAChG-</t>
  </si>
  <si>
    <t>516-300271507-CONFECCAO G. B. DA SILVA JUNIOR &amp; CIA LTDA  - Perdigal</t>
  </si>
  <si>
    <t>2026-06-24T17:01:00.9613029Z</t>
  </si>
  <si>
    <t xml:space="preserve">confeccoesgbdas@hotmail.com
Ordem de Produção Mestre: 300271507
Parte da peça: Perdigal
Motivo: FALTA DE PARTES PARA COMPLETAR A ORDEM
Quantidade: 54
Quantidade por tamanho:1 LOTE COM 54 PERDIGAL TAMANHO 11-12
Observações: 
Código de Aviamento: 16217845
</t>
  </si>
  <si>
    <t>VUgeErCUQkOok4aJpV6lxGQAKvuC</t>
  </si>
  <si>
    <t>MALHA- 1072-300274589-AJG CONFECCOES LTDA  - Etiqueta de Composição</t>
  </si>
  <si>
    <t>2026-07-13T13:48:49.7957814Z</t>
  </si>
  <si>
    <t xml:space="preserve">ajgconfeccoes2021@gmail.com
Ordem de Produção Mestre: 300274589
Parte da peça: Etiqueta de Composição
Motivo: Faltou 8 etiquetas de composição 
Quantidade: 10
Quantidade por tamanho:M:7 , pp:3
Observações: Faltou 10 etiquetas de composição 
Código de Aviamento: N tem 
</t>
  </si>
  <si>
    <t>o-nwcLKsq0WqMCE7yAFkyWQADt_G</t>
  </si>
  <si>
    <t>515-300271507-CONFECCAO G. B. DA SILVA JUNIOR &amp; CIA LTDA  - Passante</t>
  </si>
  <si>
    <t>2026-06-24T16:59:25.3246455Z</t>
  </si>
  <si>
    <t xml:space="preserve">confeccoesgbdas@hotmail.com
Ordem de Produção Mestre: 300271507
Parte da peça: Passante
Motivo: FALTA DE PARTES PARA COMPLETAR A ORDEM
Quantidade: 54
Quantidade por tamanho:PASSANTE PARA 54 PEÇAS TAMANHO 11-12
Observações: 
Código de Aviamento: 16217845
</t>
  </si>
  <si>
    <t>Y3X6SUUeXkC8MEwmo9_ENWQAGH8l</t>
  </si>
  <si>
    <t>POLO- 1069-300273782-POTENGI TEXTIL LTDA  - Traseiro</t>
  </si>
  <si>
    <t>2026-07-13T13:26:05.222904Z</t>
  </si>
  <si>
    <t xml:space="preserve">potengitextil@outlook.com.br
Ordem de Produção Mestre: 300273782
Parte da peça: Traseiro
Motivo: Não enviado pela guararapes 
Quantidade: 30
Quantidade por tamanho:P-15; M-15
Observações: 
Código de Aviamento: 0 
</t>
  </si>
  <si>
    <t>0iNLnJXRXUyN4u3Ge95Jp2QAEmvM</t>
  </si>
  <si>
    <t>514-300271507-CONFECCAO G. B. DA SILVA JUNIOR &amp; CIA LTDA  - Cós</t>
  </si>
  <si>
    <t>2026-06-24T16:58:22.3868326Z</t>
  </si>
  <si>
    <t xml:space="preserve">confeccoesgbdas@hotmmail.com
Ordem de Produção Mestre: 300271507
Parte da peça: Cós
Motivo: FALTA DE PARTES PARA COMPLETAR A ORDEM
Quantidade: 54
Quantidade por tamanho:1 LOTE COM 54 CÓS TAMANHO 11-12
Observações: 
Código de Aviamento: 16217845
</t>
  </si>
  <si>
    <t>HC2mtEt86EeQehQ6HKUYDmQAE1lT</t>
  </si>
  <si>
    <t>513-300271507-CONFECCAO G. B. DA SILVA JUNIOR &amp; CIA LTDA  - Pala</t>
  </si>
  <si>
    <t>2026-06-24T16:57:16.7721332Z</t>
  </si>
  <si>
    <t xml:space="preserve">confeccoesgbdas@hotmail.com
Ordem de Produção Mestre: 300271507
Parte da peça: Pala
Motivo: FALTA DE PARTES PARA COMPLETAR A ORDEM
Quantidade: 54
Quantidade por tamanho:1 LOTE COM 54 PALA TAMANHO 11-12
Observações: 
Código de Aviamento: 16217845
</t>
  </si>
  <si>
    <t>lYy6gbj2MEKzt-f_zmuDiWQACuaI</t>
  </si>
  <si>
    <t>JEANS- 1061-300273701-POTENGI TEXTIL LTDA  - Etiqueta de Composição</t>
  </si>
  <si>
    <t>2026-07-13T12:26:23.3396223Z</t>
  </si>
  <si>
    <t xml:space="preserve">potengitextil@outlook.com.br
Ordem de Produção Mestre: 300273701
Parte da peça: Etiqueta de Composição
Motivo: Insuficiente para finalizar ordem 
Quantidade: 20
Quantidade por tamanho:1-05; 2-05; 3-05; 4-05.
Observações: 
Código de Aviamento: 0
</t>
  </si>
  <si>
    <t>Lf5nSssS-EGqnbe8SvZnq2QAJ3RI</t>
  </si>
  <si>
    <t>512-300271507-CONFECCAO G. B. DA SILVA JUNIOR &amp; CIA LTDA  - Frente e traseiro</t>
  </si>
  <si>
    <t>2026-06-24T16:55:56.360091Z</t>
  </si>
  <si>
    <t xml:space="preserve">confeccoesgbdas@hotmail.com
Ordem de Produção Mestre: 300271507
Parte da peça: Frente e traseiro
Motivo: FALTA DE PEÇAS PARA FINALIZAR A ORDEM
Quantidade: 108
Quantidade por tamanho:1 LOTE COM 54 FRENTE TAMANHO 11-12 // 1 LOTE COM 54 TRASEIRO TAMANHO 11-12
Observações: 
Código de Aviamento: 16217845
</t>
  </si>
  <si>
    <t>geYNlsyHRUa-qqZoGnMPFWQAA8od</t>
  </si>
  <si>
    <t>MALHA- 1058-300279343-LC TEXTIL LTDA  - Etiqueta de Composição</t>
  </si>
  <si>
    <t>2026-07-13T12:15:50.7533584Z</t>
  </si>
  <si>
    <t xml:space="preserve">lctextil@outlook.com.br
Ordem de Produção Mestre: 300279343
Parte da peça: Etiqueta de Composição
Motivo: Insuficiente para finalizar ordem
Quantidade: 19 
Quantidade por tamanho:4-03; 6-16
Observações: 
Código de Aviamento: 0
</t>
  </si>
  <si>
    <t>VW_r8ML-j0idwK0H78wp9WQADwMX</t>
  </si>
  <si>
    <t>JEANS- 1057-300275426-JANUNCIO NOBREGA DE AZEVEDO  - Etiqueta de Composição</t>
  </si>
  <si>
    <t>2026-07-13T12:13:41.7812111Z</t>
  </si>
  <si>
    <t xml:space="preserve">reposicoesjkmodas@gmail.com
Ordem de Produção Mestre: 300275426
Parte da peça: Etiqueta de Composição
Motivo: NÃO ENVIADO PELA GUARARAPES
Quantidade: 25
Quantidade por tamanho:TAMANHO 13/14: 5 - TAMANHO 11/12: - TAMANHO 9/10: 5 - TAMANHO 8/9: 5 - TAMANHO 6/7: 5
Observações: 
Código de Aviamento: 000000
</t>
  </si>
  <si>
    <t>lR90Yib7NUiwSKmJtrWqwmQAKYTr</t>
  </si>
  <si>
    <t>505-300274214-ARAUJO E M CONFECCOES LTDA  - Cós</t>
  </si>
  <si>
    <t>2026-06-24T13:53:00.2298265Z</t>
  </si>
  <si>
    <t xml:space="preserve">samuelmedeiros074@hotmail.com
Ordem de Produção Mestre: 300274214
Parte da peça: Cós
Motivo: ERRO NO PROCSSO
Quantidade: 25
Quantidade por tamanho:8-9 (25)
Observações: 
Código de Aviamento: .
</t>
  </si>
  <si>
    <t>pAtP78UULkOATV19g61vVGQAM50s</t>
  </si>
  <si>
    <t>503-300274418-ALINE RODRIGUES DE LIMA ARAUJO  - Gola</t>
  </si>
  <si>
    <t>2026-06-24T13:31:26.810995Z</t>
  </si>
  <si>
    <t xml:space="preserve">deboraclothing.textil@gmail.com
Ordem de Produção Mestre: 300274418
Parte da peça: Gola
Motivo: INSUFICIENTE PARA FINALIZAR ORDEM 
Quantidade: 17
Quantidade por tamanho:17-PP
Observações: INSUFICIENTE PARA FINALIZAR ORDEM 
Código de Aviamento: 0
</t>
  </si>
  <si>
    <t>9mfaSzncV0aVqSepbEiVb2QAHeer</t>
  </si>
  <si>
    <t>MALHA- 1056-300276414-P A VITURINO SERVIÇOES E CONFECÇÕES LTDA  - Gola</t>
  </si>
  <si>
    <t>2026-07-13T11:52:05.9051545Z</t>
  </si>
  <si>
    <t xml:space="preserve">paulaviturinoconfeccoes@gmail.com
Ordem de Produção Mestre: 300276414
Parte da peça: Gola
Motivo: quantidade insuficiente para terminar a op
Quantidade: 35
Quantidade por tamanho:25 golas (tamanho PP) 10 golas (tamanho P)
Observações: 
Código de Aviamento: 0000000100002320
</t>
  </si>
  <si>
    <t>ef_dpujbDU6djeERuyPEpGQABbng</t>
  </si>
  <si>
    <t>JEANS- 1045-300276222-DIAS E ALVES CONFECCOES LTDA  - Cós</t>
  </si>
  <si>
    <t>2026-07-11T11:42:12.0384274Z</t>
  </si>
  <si>
    <t xml:space="preserve">ocalves3@gmail.com
Ordem de Produção Mestre: 300276222
Parte da peça: Cós
Motivo: a ordem veio sem o cós interno
Quantidade: 322
Quantidade por tamanho:322
Observações: o có que veio faltando foi o interno
Código de Aviamento: 0000000
</t>
  </si>
  <si>
    <t>xLxHu8bMtk-aOyeT2RJiJWQAPwEZ</t>
  </si>
  <si>
    <t>494-300267541-CONFECCAO G. B. DA SILVA JUNIOR &amp; CIA LTDA  - Bolso</t>
  </si>
  <si>
    <t>2026-06-24T10:48:15.1421324Z</t>
  </si>
  <si>
    <t xml:space="preserve">confeccoesgbdas@hotmail.com
Ordem de Produção Mestre: 300267541
Parte da peça: Bolso
Motivo: NÃO TEM PEÇAS SUFICIENTE PARA FINALIZAR OP
Quantidade: 50
Quantidade por tamanho:50 BOLSOS CANGURU TAMANHO 6-9M
Observações: 
Código de Aviamento: 16491246
</t>
  </si>
  <si>
    <t>n4xr1Wh6ikqqe3m_EPuFbmQANOJ3</t>
  </si>
  <si>
    <t>MALHA- 1043-300279127-POTENGI TEXTIL LTDA  - Gola</t>
  </si>
  <si>
    <t>2026-07-10T19:16:14.4968303Z</t>
  </si>
  <si>
    <t xml:space="preserve">potengitextil@outlook.com.br
Ordem de Produção Mestre: 300279127
Parte da peça: Gola
Motivo: Produto com defeito 
Quantidade: 150
Quantidade por tamanho:G-150
Observações: Viés de gola, os rolos estão apresentando uma dobra dentro deles e ta instruindo muito.
Código de Aviamento: 0
</t>
  </si>
  <si>
    <t>Yz3L9umxkkGXKGKKOi3f3WQABozp</t>
  </si>
  <si>
    <t>486-300261560-CONFECCAO G. B. DA SILVA JUNIOR &amp; CIA LTDA  - Frente e traseiro</t>
  </si>
  <si>
    <t>2026-06-23T19:30:22.5709602Z</t>
  </si>
  <si>
    <t xml:space="preserve">confeccoesgbdas@hotmail.com
Ordem de Produção Mestre: 300261560
Parte da peça: Frente e traseiro
Motivo: FALTARAM PARTES PARA COMPLETAR A ORDEM
Quantidade: 70
Quantidade por tamanho:1 LOTE DE 88 PEÇAS TAMANHO 4
Observações: 
Código de Aviamento: 16481577
</t>
  </si>
  <si>
    <t>mCIUEWPkF0OuaUMmSxTPsGQAG0N_</t>
  </si>
  <si>
    <t>JEANS- 1041-300272967-DIAS E ALVES CONFECCOES LTDA  - Cós</t>
  </si>
  <si>
    <t>2026-07-10T18:45:19.3091833Z</t>
  </si>
  <si>
    <t xml:space="preserve">ocalves3@gmail.com
Ordem de Produção Mestre: 300272967
Parte da peça: Cós
Motivo: O CÓS INTERTELADO VEIO TODA A ORDEM PELO AVESSO
Quantidade: 608
Quantidade por tamanho:608
Observações: A ORDEM VEIO COM O COS ERRADO O CÓS INTERTELADO VEIO PELO AVESSO
Código de Aviamento: COS
</t>
  </si>
  <si>
    <t>VqI-ak_OQUO8jqWbq6wKi2QACoXv</t>
  </si>
  <si>
    <t>482-300272969-ARAUJO E M CONFECCOES LTDA  - Cós</t>
  </si>
  <si>
    <t>2026-06-23T19:20:31.8375531Z</t>
  </si>
  <si>
    <t xml:space="preserve">samuelmedeiros074@hotmail.com
Ordem de Produção Mestre: 300272969
Parte da peça: Cós
Motivo: ERRO NO PROCESSO
Quantidade: 25
Quantidade por tamanho:8-9 (25)
Observações: 
Código de Aviamento: .
</t>
  </si>
  <si>
    <t>OjlW47HAlkK0HX1dcnoU5mQABm_A</t>
  </si>
  <si>
    <t>MALHA- 1031-300270795-JOLI TEXTIL SERVICOS E COMERCIO LTD  - Manga</t>
  </si>
  <si>
    <t>2026-07-10T17:19:18.9132542Z</t>
  </si>
  <si>
    <t xml:space="preserve">jolitextilfabrica@gmail.com
Ordem de Produção Mestre: 300270795
Parte da peça: Manga
Motivo: Veio manga cortada no meio e precisamos dessas unidades para costurar o lote
Quantidade: 24
Quantidade por tamanho:24 M
Observações: 
Código de Aviamento: MANGA
</t>
  </si>
  <si>
    <t>TEAR- 1026-300280237-JOSENI MARIA DE MEDEIROS  - Etiqueta de Composição</t>
  </si>
  <si>
    <t>2026-07-10T14:01:33.3928087Z</t>
  </si>
  <si>
    <t xml:space="preserve">administrativo@zajaconfeccoes.com.br
Ordem de Produção Mestre: 300280237
Parte da peça: Etiqueta de Composição
Motivo: insuficientte 
Quantidade: 10
Quantidade por tamanho:GG-10
Observações: 
Código de Aviamento: 0
</t>
  </si>
  <si>
    <t>D1tsO8DwfkqfTVZd9g_MWWQAAB9k</t>
  </si>
  <si>
    <t>2026-06-23T12:23:03.1097429Z</t>
  </si>
  <si>
    <t xml:space="preserve">w.anny.k@hotmail.com
Ordem de Produção Mestre: 300271213
Parte da peça: Fios
Motivo: VEIO FALTANDO NA ORDEM MESTRE
Quantidade: 8
Quantidade por tamanho:8
Observações: 
Código de Aviamento: 00000000000
</t>
  </si>
  <si>
    <t>IO0sL95rGE6nIy_RmYS1gmQANiGj</t>
  </si>
  <si>
    <t>JEANS- 1011-300273713-TROPICALLIZ CONFECCOES LTDA  - Cós</t>
  </si>
  <si>
    <t>2026-07-10T12:44:47.8687088Z</t>
  </si>
  <si>
    <t xml:space="preserve">lupercio-fnb@hotmail.com
Ordem de Produção Mestre: 300273713
Parte da peça: Cós
Motivo: Faltando para finalização de ordem
Quantidade: 55
Quantidade por tamanho:6-25, 1-30
Observações: Precisamos com atenção pois ordem pode parar
Código de Aviamento: 00
</t>
  </si>
  <si>
    <t>4-eg5vRGrkWRWF0ptpwrn2QAGJlw</t>
  </si>
  <si>
    <t>461-300272630-DI3 CONFECCOES LTDA  - Traseiro</t>
  </si>
  <si>
    <t>2026-06-23T11:47:56.2696874Z</t>
  </si>
  <si>
    <t xml:space="preserve">di3confec@gmail.com
Ordem de Produção Mestre: 300272630
Parte da peça: Traseiro
Motivo: Material insuficiente
Quantidade: 4
Quantidade por tamanho:G - 4; 
Observações: 
Código de Aviamento: 0
</t>
  </si>
  <si>
    <t>1V6MgDFCUEy_pm2jykDqbmQAIfYv</t>
  </si>
  <si>
    <t>453-300269514-POTENGI TEXTIL LTDA  - Etiqueta de preço</t>
  </si>
  <si>
    <t>2026-06-23T11:10:30.967907Z</t>
  </si>
  <si>
    <t xml:space="preserve">potengitextil@outlook.com.br
Ordem de Produção Mestre: 300269514
Parte da peça: Etiqueta de preço
Motivo: Insuficiente para finalizar ordem
Quantidade: 140
Quantidade por tamanho:5-140
Observações: Insuficiente para finalizar ordem
Código de Aviamento: 0
</t>
  </si>
  <si>
    <t>hbkDTxY6y0ebFCTfGmnbAWQAJyrJ</t>
  </si>
  <si>
    <t>MALHA- 1000-300277277-F &amp; L AZEVEDO CONFECCAO LTDA FILIAL  - Etiqueta de Composição</t>
  </si>
  <si>
    <t>2026-07-10T10:51:03.190541Z</t>
  </si>
  <si>
    <t xml:space="preserve">felconfeccao@gmail.com
Ordem de Produção Mestre: 300277277
Parte da peça: Etiqueta de Composição
Motivo: FALTOU 
Quantidade: 1
Quantidade por tamanho:M-1
Observações: 
Código de Aviamento: 0
</t>
  </si>
  <si>
    <t>TYgNT_t440qB7yu0yopZNGQAPPdz</t>
  </si>
  <si>
    <t>967-300276760-IVANILDO JOSE DE SOUZA  - Etiqueta de Composição</t>
  </si>
  <si>
    <t>2026-07-09T13:01:24.4303399Z</t>
  </si>
  <si>
    <t xml:space="preserve">hiconfeccao@gmail.com
Ordem de Produção Mestre: 300276760
Parte da peça: Etiqueta de Composição
Motivo: Porque a quantidade é insuficiente para concluir a OP.
Quantidade: 25
Quantidade por tamanho:Tamanho 9-10: pedido de 5 etiquetas de composição. Código: 10000216487.  Tamanho 6-7: pedido de 5 etiquetas de composição. Código: 10000216483.  Tamanho 8-9: pedido de 5 etiquetas de composição. Código: 10000216484.  Tamanho 11-12: pedido de 5 etiquetas de composição. Código: 10000216488.  Tamanho 13-14: pedido de 5 etiquetas de composição. Código: 10000216489.
Observações: Pedido de 5 Etiquetas de Composição para todos os tamanhos.
Código de Aviamento: 10000216487/10000216483/10000216484/10000216488/10000216489
</t>
  </si>
  <si>
    <t>xLIOuAt7Nkm-BAdT-BNipGQAJcQk</t>
  </si>
  <si>
    <t>446-300267991-ASA CONFECCOES LTDA  - Bolso traseiro</t>
  </si>
  <si>
    <t>2026-06-22T19:56:47.9901186Z</t>
  </si>
  <si>
    <t xml:space="preserve">asaequador@gmail.com
Ordem de Produção Mestre: 300267991
Parte da peça: Bolso traseiro
Motivo: esta ordem veio com os bolsos pregados , mas veio um lote de traseiro sem o bolso tamanho 38
Quantidade: 8 pç
Quantidade por tamanho:8 pç tamanho 38
Observações: esta ordem veio um lote sem o bolso traseiro tamanho 38
Código de Aviamento: 0000
</t>
  </si>
  <si>
    <t>Zf_6sWWOrkSRjEzatD11dWQAIqSd</t>
  </si>
  <si>
    <t>965-300275796-F &amp; L AZEVEDO CONFECCAO LTDA MATRIZ  - Etiqueta de Composição</t>
  </si>
  <si>
    <t>2026-07-09T12:39:03.5574852Z</t>
  </si>
  <si>
    <t xml:space="preserve">felconfeccao@gmail.com
Ordem de Produção Mestre: 300275796
Parte da peça: Etiqueta de Composição
Motivo: insuficiente para finalizar ordem
Quantidade: 4
Quantidade por tamanho:G-3; GG-1
Observações: 
Código de Aviamento: não informado
</t>
  </si>
  <si>
    <t>iID-wa1olkC0iH1kIs1-WWQAFwEW</t>
  </si>
  <si>
    <t>441-300272630-DI3 CONFECCOES LTDA  - Gola</t>
  </si>
  <si>
    <t>2026-06-22T18:13:09.4387801Z</t>
  </si>
  <si>
    <t xml:space="preserve">di3confec@gmail.com
Ordem de Produção Mestre: 300272630
Parte da peça: Gola
Motivo: Faltou 50 golas para completar o tamanho M
Quantidade: 50
Quantidade por tamanho:M - 50
Observações: 
Código de Aviamento: 0
</t>
  </si>
  <si>
    <t>2EksFEGr40CEnYE7SWHlrGQANZRK</t>
  </si>
  <si>
    <t>439-300272959-DI3 CONFECCOES LTDA  - Vivo</t>
  </si>
  <si>
    <t>2026-06-22T18:04:59.139292Z</t>
  </si>
  <si>
    <t xml:space="preserve">di3confecções@gmail.com
Ordem de Produção Mestre: 300272959
Parte da peça: Vivo
Motivo: NÃO ENCONTRAMOS OS VIVOS DO 1° RISCO TAMANHOS 38, 40, 42 E 1 PACOTE DO 46
Quantidade: 384
Quantidade por tamanho:38 - 64; 40 - 128; 42 - 128; 46 - 64
Observações: MATERIAL NÃO ENVIADO
Código de Aviamento: 0
</t>
  </si>
  <si>
    <t>SIuRWbV_LkWCem6pPiuNfWQAGVn5</t>
  </si>
  <si>
    <t>962-300278638-JOSE MEDEIROS DE ARAUJO  - Etiqueta de Composição</t>
  </si>
  <si>
    <t>2026-07-09T12:03:49.151215Z</t>
  </si>
  <si>
    <t xml:space="preserve">administrativo@zajaconfeccoes.com.br
Ordem de Produção Mestre: 300278638
Parte da peça: Etiqueta de Composição
Motivo: insuficiente 
Quantidade: 3
Quantidade por tamanho:G-3
Observações: 
Código de Aviamento: 0
</t>
  </si>
  <si>
    <t>NFihtf75FEOb2bR6asZCqmQAKBcW</t>
  </si>
  <si>
    <t>436-300271749-FLAVIA GEORGIA BRAGA SILVA CONFECCOES LTDA  - Cós</t>
  </si>
  <si>
    <t>2026-06-22T17:21:45.6083921Z</t>
  </si>
  <si>
    <t xml:space="preserve">w.anny.k@hotmail.com
Ordem de Produção Mestre: 300271749
Parte da peça: Cós
Motivo: MATERIAL INSUFICIENTE PARA TERMINAMOS A ORDEM
Quantidade: 55
Quantidade por tamanho:G2-55
Observações: 
Código de Aviamento: 00000000000000
</t>
  </si>
  <si>
    <t>lUzFmZ_JF0aEv-h9rX0xrmQAHtlt</t>
  </si>
  <si>
    <t>431-300271749-FLAVIA GEORGIA BRAGA SILVA CONFECCOES LTDA  - Cós</t>
  </si>
  <si>
    <t>2026-06-22T14:30:28.3220664Z</t>
  </si>
  <si>
    <t>w.anny.k@hotmail.com_x000D_
Ordem de Produção Mestre: 300271749_x000D_
Parte da peça: Cós_x000D_
Motivo: MATERIAL INSUFICIENTE PARA FINALIZAR A ORDEM MESTRE_x000D_
Quantidade: 65_x000D_
Quantidade por tamanho:G4-10, G2-55_x000D_
Observações: _x000D_
Código de Aviamento: 000000000000000</t>
  </si>
  <si>
    <t>KcVwrd0hlUaVAHYYmQ-3WmQAE6js</t>
  </si>
  <si>
    <t>MALHA- 1728-300285834-SOLIS CONFECCOES LTDA  - Viés </t>
  </si>
  <si>
    <t>2026-07-31T19:57:58.001026Z</t>
  </si>
  <si>
    <t xml:space="preserve">solisconfeccoes@gmail.com
Ordem de Produção Mestre: 300285834
Parte da peça: Viés 
Motivo: ISUFICIENTE PRA FINALIZAR OP/REMONTE
Quantidade: 200
Quantidade por tamanho:PP=156/P=44
Observações: INSUFICIENTE PRA FINALIZAR OP/VIES DE REFORÇO DE GOLA
Código de Aviamento: 00
</t>
  </si>
  <si>
    <t>eOZtwpdJHEOKHD4D4z891mQAC3eZ</t>
  </si>
  <si>
    <t>MALHA- 1720-300284927-DONA TICA CONFECCOES LTDA MATRIZ  - Etiqueta de Composição</t>
  </si>
  <si>
    <t>2026-07-31T16:46:53.5433394Z</t>
  </si>
  <si>
    <t xml:space="preserve">faccao_sales2010@hotmail.com
Ordem de Produção Mestre: 300284927
Parte da peça: Etiqueta de Composição
Motivo: INSUFICIENTE PARA FINALIZAR A OP
Quantidade: 25
Quantidade por tamanho:G-25
Observações: 
Código de Aviamento: -
</t>
  </si>
  <si>
    <t>zDFjZz_JNE6l-5EiLWP7nWQADAVw</t>
  </si>
  <si>
    <t>MALHA- 1719-300280737-JOSE MEDEIROS DE ARAUJO  - Gola</t>
  </si>
  <si>
    <t>2026-07-31T16:29:24.9124511Z</t>
  </si>
  <si>
    <t xml:space="preserve">administrativo@zajaconfeccoes.com.br
Ordem de Produção Mestre: 300280737
Parte da peça: Gola
Motivo: insuficiente 
Quantidade: 20
Quantidade por tamanho:PP-20
Observações: GOLA DE RIBANA 
Código de Aviamento: 0
</t>
  </si>
  <si>
    <t>Us_l3ii1uEC8m5gEkOi_OWQANLPI</t>
  </si>
  <si>
    <t>MALHA- 1718-300284138-F &amp; L AZEVEDO CONFECCAO LTDA FILIAL  - Etiqueta de Composição</t>
  </si>
  <si>
    <t>2026-07-31T16:16:48.8433539Z</t>
  </si>
  <si>
    <t xml:space="preserve">felconfeccao@gmail.com
Ordem de Produção Mestre: 300284138
Parte da peça: Etiqueta de Composição
Motivo: FALTOU
Quantidade: 1
Quantidade por tamanho:6-1
Observações: 
Código de Aviamento: 0
</t>
  </si>
  <si>
    <t>gHKXsN6gPEK2-ogA4gdca2QAM9Ho</t>
  </si>
  <si>
    <t>POLO- 1714-300281466-TECE COSTURAS E CONFECCOES LTDA  - Etiqueta de Composição</t>
  </si>
  <si>
    <t>2026-07-31T14:38:37.3471568Z</t>
  </si>
  <si>
    <t xml:space="preserve">teceuzl@hotmail.com
Ordem de Produção Mestre: 300281466
Parte da peça: Etiqueta de Composição
Motivo: INSUFICIENTE PARA FINALIZAR 
Quantidade: 7
Quantidade por tamanho:G - 1, M-4, P-2
Observações: 
Código de Aviamento: 0
</t>
  </si>
  <si>
    <t>eGo6JGFI0EqKTDssy53jrGQALbwv</t>
  </si>
  <si>
    <t>JEANS- 1707-300276224-A S CONFECCOES LTDA  - Etiqueta de Composição</t>
  </si>
  <si>
    <t>2026-07-31T12:45:22.8403028Z</t>
  </si>
  <si>
    <t xml:space="preserve">s.a.confeccoesind@gmail.com
Ordem de Produção Mestre: 300276224
Parte da peça: Etiqueta de Composição
Motivo: Danificada no processo
Quantidade: 6
Quantidade por tamanho:40-6 unidades
Observações: 6 Etiquetas de composição tamanho 40
Código de Aviamento: 0000
</t>
  </si>
  <si>
    <t>kaGIUSlbf02iBBkNk1nmCWQABrNC</t>
  </si>
  <si>
    <t>JEANS- 1700-300280615-FACCAO ELLO LTDA  - Frente</t>
  </si>
  <si>
    <t>2026-07-30T19:22:34.8865624Z</t>
  </si>
  <si>
    <t xml:space="preserve">faccaoello@hotmail.com
Ordem de Produção Mestre: 300280615
Parte da peça: Frente
Motivo: MATERIAL NÃO ENVIADO PELA GUARARAPES
Quantidade: 7
Quantidade por tamanho:2-3; 3-4
Observações: LADO ESQUERDO
Código de Aviamento: 000
</t>
  </si>
  <si>
    <t>bDr0E4e_EkiJLDeJyzwykWQAC-2z</t>
  </si>
  <si>
    <t>MALHA- 1699-300282458-CONFECCOES GENESIS LTDA  - Etiqueta de Composição</t>
  </si>
  <si>
    <t>2026-07-30T19:12:45.2113344Z</t>
  </si>
  <si>
    <t xml:space="preserve">confeccaogenesisltda@gmail.com
Ordem de Produção Mestre: 300282458
Parte da peça: Etiqueta de Composição
Motivo: peças sobrando e faltando etiqueta
Quantidade: 15
Quantidade por tamanho:4-10; 5-5
Observações: sobrando peças e faltando etiqueta
Código de Aviamento: 0
</t>
  </si>
  <si>
    <t>9SpNaRg1i0i0Llpir712VGQAIlA8</t>
  </si>
  <si>
    <t>JEANS- 1696-300274635-JANUNCIO NOBREGA DE AZEVEDO  - Etiqueta de Composição</t>
  </si>
  <si>
    <t>2026-07-30T18:33:25.019961Z</t>
  </si>
  <si>
    <t xml:space="preserve">reposicoesjkmodas@gmail.com
Ordem de Produção Mestre: 300274635
Parte da peça: Etiqueta de Composição
Motivo: NÃO ENVIADO PELA GUARARAPES
Quantidade: 10
Quantidade por tamanho:TAMANHO M: 10 ETIQUETAS
Observações: 
Código de Aviamento: 000
</t>
  </si>
  <si>
    <t>nwx6YayYk0GaydC8E4q0JWQAD9hH</t>
  </si>
  <si>
    <t>MALHA- 1689-300280735-JOLI TEXTIL SERVICOS E COMERCIO LTD  - Traseiro</t>
  </si>
  <si>
    <t>2026-07-30T18:02:08.1382764Z</t>
  </si>
  <si>
    <t xml:space="preserve">jolitextilfabrica@gmail.com
Ordem de Produção Mestre: 300280735
Parte da peça: Traseiro
Motivo: ORDEM VEIO APENAS COM AS FRENTES
Quantidade: 472
Quantidade por tamanho:P 50  M 150 G 112 GG 74 XG 50 PP 36 
Observações: 
Código de Aviamento: TRASEIRO
</t>
  </si>
  <si>
    <t>oXxgDaj7qkq_7OMtQY7juWQADAPN</t>
  </si>
  <si>
    <t>MALHA- 1687-300283444-JOLI TEXTIL SERVICOS E COMERCIO LTD  - Manga</t>
  </si>
  <si>
    <t>2026-07-30T17:39:48.7181735Z</t>
  </si>
  <si>
    <t xml:space="preserve">jolitextilfabrica@gmail.com
Ordem de Produção Mestre: 300283444
Parte da peça: Manga
Motivo: OP VEIO COM MANGAS FALTANDO
Quantidade: 36
Quantidade por tamanho:18 PARES GG
Observações: OP faltando 18 pares de manga GG
Código de Aviamento: MANGA
</t>
  </si>
  <si>
    <t>5lGJrj2y2UWxtJyYOdsb5mQAAsqc</t>
  </si>
  <si>
    <t>MALHA- 1685-300286230-JOSENI MARIA DE MEDEIROS  - Etiqueta de Composição</t>
  </si>
  <si>
    <t>2026-07-30T17:14:26.6747658Z</t>
  </si>
  <si>
    <t xml:space="preserve">administrativo@zajaconfeccoes.com.br
Ordem de Produção Mestre: 300286230
Parte da peça: Etiqueta de Composição
Motivo: insuficiente 
Quantidade: 9
Quantidade por tamanho:11/12-3; 6/7-6
Observações: 
Código de Aviamento: 0
</t>
  </si>
  <si>
    <t>erTgHTqgH0Odrfgx-3tqQ2QAI4vE</t>
  </si>
  <si>
    <t>MALHA- 1678-300283438-JOLI TEXTIL SERVICOS E COMERCIO LTD  - Manga</t>
  </si>
  <si>
    <t>2026-07-30T13:32:39.4034779Z</t>
  </si>
  <si>
    <t xml:space="preserve">jolitextilfabrica@gmail.com
Ordem de Produção Mestre: 300283438
Parte da peça: Manga
Motivo: FALTOU MANGA 
Quantidade: 10
Quantidade por tamanho:10 G
Observações: FALTOU MANGA PARA 10 CAMISAS G
Código de Aviamento: MANGA
</t>
  </si>
  <si>
    <t>QTPrcVxWrEeCxb7BhfBgNmQAC1uL</t>
  </si>
  <si>
    <t>JEANS- 1675-300280210-JOSE MEDEIROS DE ARAUJO  - Etiqueta de Composição</t>
  </si>
  <si>
    <t>2026-07-30T12:43:29.3547765Z</t>
  </si>
  <si>
    <t xml:space="preserve">administrativo@zajaconfeccoes.com.br
Ordem de Produção Mestre: 300280210
Parte da peça: Etiqueta de Composição
Motivo: insuficiente 
Quantidade: 2
Quantidade por tamanho:46-2
Observações: 
Código de Aviamento: 0
</t>
  </si>
  <si>
    <t>5orLkn4cCkSqiIW2kZiCX2QAJoy_</t>
  </si>
  <si>
    <t>MALHA- 1674-300284533-AJG CONFECCOES LTDA  - Etiqueta de Composição</t>
  </si>
  <si>
    <t>2026-07-30T12:42:39.7161663Z</t>
  </si>
  <si>
    <t xml:space="preserve">ajgconfeccoes2021@gmail.com
Ordem de Produção Mestre: 300284533
Parte da peça: Etiqueta de Composição
Motivo: Faltou 20 etiquetas de composição 
Quantidade: 20
Quantidade por tamanho:3;10 ,4;3 , 5;5 , 6;2 
Observações: Faltou no aviamento 
Código de Aviamento: N tem 
</t>
  </si>
  <si>
    <t>plE-SV-ab0OIB0nROPfG0WQAIlYb</t>
  </si>
  <si>
    <t>MALHA- 1673-300286263-JOSENI MARIA DE MEDEIROS  - Etiqueta de Composição</t>
  </si>
  <si>
    <t>2026-07-30T12:37:10.5243327Z</t>
  </si>
  <si>
    <t xml:space="preserve">administrativo@zajaconfeccoes.com.br
Ordem de Produção Mestre: 300286263
Parte da peça: Etiqueta de Composição
Motivo: insuficiente 
Quantidade: 11
Quantidade por tamanho:G-3; M-8
Observações: 
Código de Aviamento: 0
</t>
  </si>
  <si>
    <t>cMEZd8drkk-dXQwIj00P02QAD-lb</t>
  </si>
  <si>
    <t>MALHA- 1670-300280243-F &amp; L AZEVEDO CONFECCAO LTDA FILIAL  - Etiqueta de Composição</t>
  </si>
  <si>
    <t>2026-07-30T11:58:04.3028574Z</t>
  </si>
  <si>
    <t xml:space="preserve">FELCONFECCAO@GMAIL.COM
Ordem de Produção Mestre: 300280243
Parte da peça: Etiqueta de Composição
Motivo: FALTOU
Quantidade: 27
Quantidade por tamanho:PP-5; P-5; M-5; G-6; GG-4; XG-2
Observações: 
Código de Aviamento: 0
</t>
  </si>
  <si>
    <t>nkBzlP9EPUeXd8SA_G-mEGQANu5o</t>
  </si>
  <si>
    <t>MALHA- 1669-300280243-F &amp; L AZEVEDO CONFECCAO LTDA FILIAL  - Gola</t>
  </si>
  <si>
    <t>2026-07-30T11:52:39.4928126Z</t>
  </si>
  <si>
    <t xml:space="preserve">FELCONFECCAO@GMAIL.COM
Ordem de Produção Mestre: 300280243
Parte da peça: Gola
Motivo: FALTOU
Quantidade: 36
Quantidade por tamanho:PP-12; P-24
Observações: 
Código de Aviamento: 0
</t>
  </si>
  <si>
    <t>c6DAxWZ1ak-gflGonWozdmQAItVL</t>
  </si>
  <si>
    <t>JEANS- 1668-300283158-JOSE MEDEIROS DE ARAUJO  - Etiqueta de Composição</t>
  </si>
  <si>
    <t>2026-07-30T11:39:26.521158Z</t>
  </si>
  <si>
    <t xml:space="preserve">administrativo@zajaconfeccoes.com.br
Ordem de Produção Mestre: 300283158
Parte da peça: Etiqueta de Composição
Motivo: insuficiente 
Quantidade: 7
Quantidade por tamanho:38-2; 36-3; 34-2
Observações: 
Código de Aviamento: 0
</t>
  </si>
  <si>
    <t>q6VSz7K3V0KRwz3ZhYPDjmQAEEjv</t>
  </si>
  <si>
    <t>JEANS- 1666-300282323-CONFECCAO G. B. DA SILVA JUNIOR &amp; CIA LTDA  - Etiqueta de Composição</t>
  </si>
  <si>
    <t>2026-07-30T11:09:06.1825942Z</t>
  </si>
  <si>
    <t xml:space="preserve">confeccoesgbdas@hotmail.com
Ordem de Produção Mestre: 300282323
Parte da peça: Etiqueta de Composição
Motivo: FALTA DE COMPOSIÇÃO PARA FINALIZAR OP
Quantidade: 15
Quantidade por tamanho:2 ETIQUETAS DE COMPOSIÇÃO TAM 44 // 3 ETIQUETAS DE COMPOSIÇÃO TAM 38 // 5 ETIQUETAS DE COMPOSIÇÃO TAM 36 // 5 ETIQUETAS DE COMPOSIÇÃO TAM 34
Observações: 
Código de Aviamento: 16482611
</t>
  </si>
  <si>
    <t>PMHTJK0HhU2GcA57rOcYkGQAOBHI</t>
  </si>
  <si>
    <t>MALHA- 1664-300280242-POTENGI TEXTIL LTDA  - Etiqueta de Composição</t>
  </si>
  <si>
    <t>2026-07-30T11:04:29.7281984Z</t>
  </si>
  <si>
    <t xml:space="preserve">potengitextil@outlook.com.br
Ordem de Produção Mestre: 300280242
Parte da peça: Etiqueta de Composição
Motivo: Insuficiente para finalizar ordem 
Quantidade: 2
Quantidade por tamanho:G-2
Observações: 
Código de Aviamento: 0
</t>
  </si>
  <si>
    <t>opdcbHoMzE2Y561n9ZpNcmQAK7BF</t>
  </si>
  <si>
    <t>JEANS- 1656-300284282-IVANILDO JOSE DE SOUZA  - Etiqueta de Composição</t>
  </si>
  <si>
    <t>2026-07-29T19:42:08.5171762Z</t>
  </si>
  <si>
    <t xml:space="preserve">hiconfeccao@gmail.com
Ordem de Produção Mestre: 300284282
Parte da peça: Etiqueta de Composição
Motivo: As mesmas estavam com falhas.
Quantidade: 31 etiquetas de composição.
Quantidade por tamanho:Para o Tamanho 48: Pedido de 6 unidades de etiquetas de composição. / Para o Tamanho 46: Pedido de 5 unidades de etiquetas de composição. / Para o Tamanho 44: Pedido de 5 unidades de etiquetas de composição. / Para o Tamanho 42: Pedido de 5 unidades de etiquetas de composição. / Para o Tamanho 40: Pedido de 5 unidades de etiquetas de composição. / Para o Tamanho 38: Pedido de 5 unidades de etiquetas de composição.
Observações: Etiquetas de composição.
Código de Aviamento: 10000214518/10000214517/10000214516/10000214515/10000214512/10000214511.
</t>
  </si>
  <si>
    <t>Iq0yErOoXU69a7GipqXR9GQALZMz</t>
  </si>
  <si>
    <t>JEANS- 1651-300279730-LUIZ LUPERCIO DA SILVA JUNIOR  - Cós</t>
  </si>
  <si>
    <t>2026-07-29T17:33:21.0261396Z</t>
  </si>
  <si>
    <t xml:space="preserve">lupercio-fnb@hotmail.com
Ordem de Produção Mestre: 300279730
Parte da peça: Cós
Motivo: Faltando para finalização de ordem
Quantidade: 48
Quantidade por tamanho:36-48
Observações: Atenção estamos precisando o mais breve possível!
Código de Aviamento: 00
</t>
  </si>
  <si>
    <t>FaEbCrUOaUKPeP0izJp1CWQAPPIw</t>
  </si>
  <si>
    <t>MALHA- 1636-300280766-CONFECCOES GENESIS LTDA  - Etiqueta de Gola</t>
  </si>
  <si>
    <t>2026-07-29T12:37:15.2280002Z</t>
  </si>
  <si>
    <t xml:space="preserve">confeccaogenesisltda@gmail.com
Ordem de Produção Mestre: 300280766
Parte da peça: Etiqueta de Gola
Motivo: etiquetas eram pra ser vertical e vieram horizontal
Quantidade: 1670
Quantidade por tamanho:P-334; M-501; G-501; GG-334
Observações: ETIQUETAS DE MARCA VIERAM ERRADAS
Código de Aviamento: 000000010000247913 
</t>
  </si>
  <si>
    <t>L1Xxiz2g1EGpC5Pt8dWWe2QAAK15</t>
  </si>
  <si>
    <t>MALHA- 1635-300280767-CONFECCOES GENESIS LTDA  - Etiqueta de Gola</t>
  </si>
  <si>
    <t>2026-07-29T12:34:17.8179794Z</t>
  </si>
  <si>
    <t xml:space="preserve">confeccaogenesisltda@gmail.com
Ordem de Produção Mestre: 300280767
Parte da peça: Etiqueta de Gola
Motivo: as etiquetas vieram erradas, eram pra ser vertical e vieram horizontal
Quantidade: 1730
Quantidade por tamanho:P-346; M-519; G-519; GG-346
Observações: ETIQUETAS VIERAM ERRADAS
Código de Aviamento: 000000010000247913 
</t>
  </si>
  <si>
    <t>wdHPBZWxzE2aTVfeOf6A8mQAFgRP</t>
  </si>
  <si>
    <t>POLO- 1627-300283297-FLAVIA GEORGIA BRAGA SILVA CONFECCOES LTDA  - Frente</t>
  </si>
  <si>
    <t>2026-07-29T12:03:33.7566709Z</t>
  </si>
  <si>
    <t xml:space="preserve">w.anny.k@hotmail.com
Ordem de Produção Mestre: 300283297
Parte da peça: Frente
Motivo: VEIO FALTANDO 9 FRENTE NESSA ORDEM MESTRE
Quantidade: 9
Quantidade por tamanho:9 FRENTE TAMANHO M
Observações: 
Código de Aviamento: 000000000
</t>
  </si>
  <si>
    <t>SPiIzlDEXEeIaiCV4ew6mWQAPeGV</t>
  </si>
  <si>
    <t>POLO- 1626-300284029-POTENGI TEXTIL LTDA  - Etiqueta de Composição</t>
  </si>
  <si>
    <t>2026-07-29T11:25:47.1328557Z</t>
  </si>
  <si>
    <t xml:space="preserve">potengitextil@outlook.com.br
Ordem de Produção Mestre: 300284029
Parte da peça: Etiqueta de Composição
Motivo: Insuficiente para finalizar ordem 
Quantidade: 4
Quantidade por tamanho:GG-4
Observações: 
Código de Aviamento: 0
</t>
  </si>
  <si>
    <t>2utw9e0OXESPrs3ogqGojGQABsFC</t>
  </si>
  <si>
    <t>JEANS- 1621-300279617-ACARI TÊXTIL LTDA  - Cós</t>
  </si>
  <si>
    <t>2026-07-29T10:53:47.4200869Z</t>
  </si>
  <si>
    <t xml:space="preserve">acaritextil2801@gmail.com
Ordem de Produção Mestre: 300279617
Parte da peça: Cós
Motivo: CORTE DIVERGENTE  -  VEIO BEM FINO
Quantidade: 234
Quantidade por tamanho:50-18/48-36/46-36/44-36/42-36/40-36/38-36
Observações: CÓS INTERNO 
Código de Aviamento: *
</t>
  </si>
  <si>
    <t>FcZGSQZ2-kGYsc_h0deHZWQABNbv</t>
  </si>
  <si>
    <t>MALHA- 1618-300286264-JOSENI MARIA DE MEDEIROS  - Etiqueta de Composição</t>
  </si>
  <si>
    <t>2026-07-29T10:21:40.1271148Z</t>
  </si>
  <si>
    <t xml:space="preserve">administrativo@zajaconfeccoes.com.br
Ordem de Produção Mestre: 300286264
Parte da peça: Etiqueta de Composição
Motivo: insuficiente 
Quantidade: 3
Quantidade por tamanho:P-3
Observações: 
Código de Aviamento: 0
</t>
  </si>
  <si>
    <t>ophDDmjCXESvA7XmdZmSnmQAKejS</t>
  </si>
  <si>
    <t>MALHA- 1614-300284834-JOSE MEDEIROS DE ARAUJO  - Etiqueta de Composição</t>
  </si>
  <si>
    <t>2026-07-28T19:42:51.0482663Z</t>
  </si>
  <si>
    <t xml:space="preserve">administrativo@zajaconfeccoes.com.br
Ordem de Produção Mestre: 300284834
Parte da peça: Etiqueta de Composição
Motivo: insuficiente 
Quantidade: 11
Quantidade por tamanho:M-6; PP-3; PP-2
Observações: 
Código de Aviamento: 0
</t>
  </si>
  <si>
    <t>WagROZUQAEKk4awQe2PqTGQAO7sQ</t>
  </si>
  <si>
    <t>JEANS- 1611-300281956-DI3 CONFECCOES LTDA  - Frente</t>
  </si>
  <si>
    <t>2026-07-28T17:36:10.1113377Z</t>
  </si>
  <si>
    <t xml:space="preserve">di3confec@gmail.com
Ordem de Produção Mestre: 300281956
Parte da peça: Frente
Motivo: Material insuficiente
Quantidade: 5
Quantidade por tamanho:G1 - 5
Observações: 
Código de Aviamento: 0
</t>
  </si>
  <si>
    <t>rAeqW4U64EekS6RoCwg052QAD3kO</t>
  </si>
  <si>
    <t>MALHA- 1610-300281660-F &amp; L AZEVEDO CONFECCAO LTDA FILIAL  - Etiqueta de Composição</t>
  </si>
  <si>
    <t>2026-07-28T17:34:09.4177897Z</t>
  </si>
  <si>
    <t xml:space="preserve">FELCONFECCAO@GMAIL.COM
Ordem de Produção Mestre: 300281660
Parte da peça: Etiqueta de Composição
Motivo: FALTOU
Quantidade: 1
Quantidade por tamanho:P-1
Observações: 
Código de Aviamento: 0
</t>
  </si>
  <si>
    <t>TJXUYalEA0SHNXF9NCqMtWQAHY8E</t>
  </si>
  <si>
    <t>JEANS- 1606-300284299-J M CONFECCOES &amp; CIA LTDA  - Etiqueta de Composição</t>
  </si>
  <si>
    <t>2026-07-28T15:05:31.2208786Z</t>
  </si>
  <si>
    <t xml:space="preserve">sjarlandia@hotmail.com
Ordem de Produção Mestre: 300284299
Parte da peça: Etiqueta de Composição
Motivo: insuficiente 
Quantidade: 15
Quantidade por tamanho:6/7-15
Observações: 
Código de Aviamento: 0
</t>
  </si>
  <si>
    <t>r-m_nTuV4kycoeXsOLJGoWQABTXE</t>
  </si>
  <si>
    <t>JEANS- 1604-300277529-JOSENI MARIA DE MEDEIROS  - Etiqueta de Composição</t>
  </si>
  <si>
    <t>2026-07-28T13:44:56.7041493Z</t>
  </si>
  <si>
    <t xml:space="preserve">administrativo@zajaconfeccoes.com.br
Ordem de Produção Mestre: 300277529
Parte da peça: Etiqueta de Composição
Motivo: insuficiente
Quantidade: 1
Quantidade por tamanho:3-1
Observações: 
Código de Aviamento: 0
</t>
  </si>
  <si>
    <t>yfZsXDQ2sE26iL03NMB7BWQALDAX</t>
  </si>
  <si>
    <t>MALHA- 1603-300280742-F &amp; L AZEVEDO CONFECCAO LTDA FILIAL  - Etiqueta de Composição</t>
  </si>
  <si>
    <t>2026-07-28T13:42:24.7635035Z</t>
  </si>
  <si>
    <t xml:space="preserve">FELCONFECCAO@GMAIL.COM
Ordem de Produção Mestre: 300280742
Parte da peça: Etiqueta de Composição
Motivo: FALTOU
Quantidade: 1
Quantidade por tamanho:G-1
Observações: 
Código de Aviamento: 0
</t>
  </si>
  <si>
    <t>us4Gp_Mw7UuZuKPTGnF5xmQAA3KN</t>
  </si>
  <si>
    <t>MALHA- 1596-300272210-F &amp; L AZEVEDO CONFECCAO LTDA FILIAL  - Traseiro</t>
  </si>
  <si>
    <t>2026-07-28T13:29:10.3575714Z</t>
  </si>
  <si>
    <t xml:space="preserve">FELCONFECCAO@GMAIL.COM
Ordem de Produção Mestre: 300272210
Parte da peça: Traseiro
Motivo: FALTOU
Quantidade: 1
Quantidade por tamanho:M-1
Observações: 
Código de Aviamento: 0
</t>
  </si>
  <si>
    <t>2lhlQieVOUCW0uPz0ugipmQAHJDB</t>
  </si>
  <si>
    <t>MALHA- 1595-300272210-F &amp; L AZEVEDO CONFECCAO LTDA FILIAL  - Manga</t>
  </si>
  <si>
    <t>2026-07-28T13:28:14.3283872Z</t>
  </si>
  <si>
    <t xml:space="preserve">FELCONFECCAO@GMAIL.COM
Ordem de Produção Mestre: 300272210
Parte da peça: Manga
Motivo: FALTOU
Quantidade: 1
Quantidade por tamanho:P-1
Observações: 
Código de Aviamento: 0
</t>
  </si>
  <si>
    <t>TatCIWnkF0G2OeQwte5yBmQADRn3</t>
  </si>
  <si>
    <t>MALHA- 1593-300272210-F &amp; L AZEVEDO CONFECCAO LTDA FILIAL  - Frente</t>
  </si>
  <si>
    <t>2026-07-28T13:27:16.081932Z</t>
  </si>
  <si>
    <t xml:space="preserve">FELCONFECCAO@GMAIL.COM
Ordem de Produção Mestre: 300272210
Parte da peça: Frente
Motivo: FALTOU
Quantidade: 1
Quantidade por tamanho:P-1
Observações: 
Código de Aviamento: 0
</t>
  </si>
  <si>
    <t>UUAyaOC_O0Sd4TkWew-tYGQAG4PQ</t>
  </si>
  <si>
    <t>MALHA- 1592-300282889-F &amp; L AZEVEDO CONFECCAO LTDA FILIAL  - Traseiro</t>
  </si>
  <si>
    <t>2026-07-28T13:26:02.0775091Z</t>
  </si>
  <si>
    <t xml:space="preserve">FELCONFECCAO@GMAIL.COM
Ordem de Produção Mestre: 300282889
Parte da peça: Traseiro
Motivo: FALTOU
Quantidade: 3
Quantidade por tamanho:M-2; GG-1
Observações: 
Código de Aviamento: 0
</t>
  </si>
  <si>
    <t>RbdeIVl8QE-KMN4aYs0miWQABBsP</t>
  </si>
  <si>
    <t>MALHA- 1591-300282889-F &amp; L AZEVEDO CONFECCAO LTDA FILIAL  - Frente</t>
  </si>
  <si>
    <t>2026-07-28T13:24:46.5906534Z</t>
  </si>
  <si>
    <t xml:space="preserve">FELCONFECCAO@GMAIL.COM
Ordem de Produção Mestre: 300282889
Parte da peça: Frente
Motivo: FALTOU
Quantidade: 1
Quantidade por tamanho:P-1
Observações: 
Código de Aviamento: 0
</t>
  </si>
  <si>
    <t>jXogF47KMUOUkg2NS3IREWQAD99Q</t>
  </si>
  <si>
    <t>MALHA- 1588-300276882-POTENGI TEXTIL LTDA  - Gola</t>
  </si>
  <si>
    <t>2026-07-28T13:06:49.4563755Z</t>
  </si>
  <si>
    <t xml:space="preserve">potengitextil@outlook.com.br
Ordem de Produção Mestre: 300276882
Parte da peça: Gola
Motivo: Insuficiente para finalizar ordem 
Quantidade: 25
Quantidade por tamanho:P-25
Observações: 
Código de Aviamento: 0
</t>
  </si>
  <si>
    <t>dQPgUfDHMkyrgZ9A-GuJuWQAKh0m</t>
  </si>
  <si>
    <t>MALHA- 1587-300284835-DI3 CONFECCOES LTDA  - Frente</t>
  </si>
  <si>
    <t>2026-07-28T12:50:29.9940541Z</t>
  </si>
  <si>
    <t xml:space="preserve">di3confec@gmail.com
Ordem de Produção Mestre: 300284835
Parte da peça: Frente
Motivo: Material insuficiente
Quantidade: 4
Quantidade por tamanho:PP - 4
Observações: 
Código de Aviamento: 0
</t>
  </si>
  <si>
    <t>JEANS- 1585-300284338-FACCAO ELLO LTDA  - Etiqueta de Composição</t>
  </si>
  <si>
    <t>2026-07-28T12:46:56.636035Z</t>
  </si>
  <si>
    <t xml:space="preserve">faccaoello@hotmail.com
Ordem de Produção Mestre: 300284338
Parte da peça: Etiqueta de Composição
Motivo: MATERIAL NÃO ENVIADO PELA GUARARAPES
Quantidade: 9
Quantidade por tamanho:6-9
Observações: 
Código de Aviamento: 000
</t>
  </si>
  <si>
    <t>HuR5OHuYEka3FOCsEaDlBGQALCx6</t>
  </si>
  <si>
    <t>JEANS- 1575-300284299-J M CONFECCOES &amp; CIA LTDA  - Etiqueta de Composição</t>
  </si>
  <si>
    <t>2026-07-28T12:19:44.6608469Z</t>
  </si>
  <si>
    <t xml:space="preserve">sjarlandia@hotmail.com
Ordem de Produção Mestre: 300284299
Parte da peça: Etiqueta de Composição
Motivo: faltou
Quantidade: 12
Quantidade por tamanho:6/7-12
Observações: 
Código de Aviamento: 00
</t>
  </si>
  <si>
    <t>EvV_SV-vAkCzdYS_pHx5s2QAE1UD</t>
  </si>
  <si>
    <t>MALHA- 1574-300282865-N S CONSTANTINO LTDA  - Etiqueta de Composição</t>
  </si>
  <si>
    <t>2026-07-28T12:13:40.5100205Z</t>
  </si>
  <si>
    <t xml:space="preserve">neemias.sc@hotmail.com
Ordem de Produção Mestre: 300282865
Parte da peça: Etiqueta de Composição
Motivo: INCOMPLETA
Quantidade: 8
Quantidade por tamanho:PP - 8
Observações: Recebemos apenas 112 unidades, faltando 8
Código de Aviamento: ETIQUETA DE COMPOSIÇÃO
</t>
  </si>
  <si>
    <t>hFDZqgXgl0SCNlWyzmz3nmQAC9cc</t>
  </si>
  <si>
    <t>JEANS- 1570-300278585-M &amp; F EMPREENDIMENTOS LTDA  - Etiqueta de Composição</t>
  </si>
  <si>
    <t>2026-07-28T10:54:40.9394989Z</t>
  </si>
  <si>
    <t xml:space="preserve">marceloleite.mafaldo03@gmail.com
Ordem de Produção Mestre: 300278585
Parte da peça: Etiqueta de Composição
Motivo: Faltou
Quantidade: 28
Quantidade por tamanho:28 unid  do tamanho 48
Observações: Por favor, Urgente.
Código de Aviamento: nao tem
</t>
  </si>
  <si>
    <t>kw6InfdMIk6t1qzMiPv8m2QACSCw</t>
  </si>
  <si>
    <t>TEAR- 1568-300279747-FREIRE SILVA CONFECCOES LTDA  - Etiqueta de Composição</t>
  </si>
  <si>
    <t>2026-07-28T10:40:01.5208737Z</t>
  </si>
  <si>
    <t xml:space="preserve">freiresilvaconfeccoes@gmail.com
Ordem de Produção Mestre: 300279747
Parte da peça: Etiqueta de Composição
Motivo: Material insuficiente.
Quantidade: 16
Quantidade por tamanho:M-8; P-4; PP-4.
Observações: *
Código de Aviamento: *
</t>
  </si>
  <si>
    <t>hSM04v5xo0yiZf39_z-UWmQAMx0-</t>
  </si>
  <si>
    <t>MALHA- 1562-300274892-LC TEXTIL LTDA  - Etiqueta de Composição</t>
  </si>
  <si>
    <t>2026-07-27T20:09:03.1486217Z</t>
  </si>
  <si>
    <t xml:space="preserve">lctextil@outlook.com.br
Ordem de Produção Mestre: 300274892
Parte da peça: Etiqueta de Composição
Motivo: Insuficiente para finalizar ordem 
Quantidade: 20
Quantidade por tamanho:10-5; 10-6
Observações: 
Código de Aviamento: 0
</t>
  </si>
  <si>
    <t>4woUoa9VGUmJo7hlGmF6mGQAIPmI</t>
  </si>
  <si>
    <t>MALHA- 1549-300284834-JOSE MEDEIROS DE ARAUJO  - Etiqueta de Composição</t>
  </si>
  <si>
    <t>2026-07-27T17:07:40.8077059Z</t>
  </si>
  <si>
    <t xml:space="preserve">administrativo@zajaconfeccoes.com.br
Ordem de Produção Mestre: 300284834
Parte da peça: Etiqueta de Composição
Motivo: insuficiente 
Quantidade: 8
Quantidade por tamanho:GG-2; G-6
Observações: 
Código de Aviamento: 0
</t>
  </si>
  <si>
    <t>RT8lzjLcKkqKechy8mKF82QAOjV2</t>
  </si>
  <si>
    <t>JEANS- 1548-300281498-IVANILDO JOSE DE SOUZA  - Aviamento Completo</t>
  </si>
  <si>
    <t>2026-07-27T17:00:06.5090557Z</t>
  </si>
  <si>
    <t xml:space="preserve">hiconfeccao@gmail.com
Ordem de Produção Mestre: 300281498
Parte da peça: Aviamento Completo
Motivo: Porque faltou reposição para 24 peças completas.
Quantidade: Reposição para 24 peças completas.
Quantidade por tamanho:Do Tamanho 48: reposição para 2 peças completas.  Do Tamanho 46: reposição para 2 peças completas.  Do Tamanho 44: reposição para 2 peças completas.  Do Tamanho 42: reposição para 7 peças completas.  Do Tamanho 40: reposição para 4 peças completas.  Do Tamanho 38: reposição para 5 peças completas.  Do Tamanho 36: reposição para 2 peças completas.
Observações: Reposição para 24 peças completas. Do Tamanho 48: reposição para 2 peças completas.  Do Tamanho 46: reposição para 2 peças completas.  Do Tamanho 44: reposição para 2 peças completas.  Do Tamanho 42: reposição para 7 peças completas.  Do Tamanho 40: reposição para 4 peças completas.  Do Tamanho 38: reposição para 5 peças completas.  Do Tamanho 36: reposição para 2 peças completas.
Código de Aviamento: 300281498
</t>
  </si>
  <si>
    <t>fYrZESHrhkCjrrmNkEdK8GQAKYIF</t>
  </si>
  <si>
    <t>MALHA- 1547-300283628-LC TEXTIL LTDA  - Etiqueta de Composição</t>
  </si>
  <si>
    <t>2026-07-27T16:59:57.3905288Z</t>
  </si>
  <si>
    <t xml:space="preserve">lctextil@outlook.com.br
Ordem de Produção Mestre: 300283628
Parte da peça: Etiqueta de Composição
Motivo: Insuficiente para finalizar ordem 
Quantidade: 2
Quantidade por tamanho:2-2
Observações: 
Código de Aviamento: 0
</t>
  </si>
  <si>
    <t>jd7oAjOXl0-0YGld1Nox92QAHnpA</t>
  </si>
  <si>
    <t>JEANS- 1545-300281498-IVANILDO JOSE DE SOUZA  - Aviamento Completo</t>
  </si>
  <si>
    <t>2026-07-27T16:41:46.7997807Z</t>
  </si>
  <si>
    <t xml:space="preserve">hiconfeccao@gmail.com
Ordem de Produção Mestre: 300281498
Parte da peça: Aviamento Completo
Motivo: Porque faltou reposição para 24 peças completa.
Quantidade: Para 24 peças completas
Quantidade por tamanho:24
Observações: Todas as reposições para total de 24 peças completas.
Código de Aviamento: 300281498
</t>
  </si>
  <si>
    <t>bg0S8JsFyU23fO2bDS0WnWQACng2</t>
  </si>
  <si>
    <t>POLO- 1543-300282552-TECE COSTURAS E CONFECCOES LTDA  - Etiqueta de Composição</t>
  </si>
  <si>
    <t>2026-07-27T16:33:08.0806657Z</t>
  </si>
  <si>
    <t xml:space="preserve">teceuzl@hotmail.com
Ordem de Produção Mestre: 300282552
Parte da peça: Etiqueta de Composição
Motivo: Quantidade insuficiente para finalizar 
Quantidade: 20 
Quantidade por tamanho:G - 20
Observações: 
Código de Aviamento: 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</si>
</sst>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2" fontId="0" fillId="0" borderId="0" xfId="0" applyNumberFormat="1"/>
    <xf numFmtId="16" fontId="0" fillId="0" borderId="0" xfId="0" applyNumberFormat="1"/>
    <xf numFmtId="22" fontId="0" fillId="0" borderId="0" xfId="0" applyNumberFormat="1" applyAlignment="1">
      <alignment horizontal="left"/>
    </xf>
    <xf numFmtId="11" fontId="0" fillId="0" borderId="0" xfId="0" applyNumberFormat="1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pivotButton="1"/>
    <xf numFmtId="14" fontId="1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  <xf numFmtId="0" fontId="0" fillId="3" borderId="0" xfId="0" applyFill="1"/>
    <xf numFmtId="4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2" xfId="0" applyFont="1" applyBorder="1"/>
    <xf numFmtId="14" fontId="1" fillId="0" borderId="0" xfId="0" applyNumberFormat="1" applyFont="1" applyAlignment="1">
      <alignment wrapText="1"/>
    </xf>
    <xf numFmtId="3" fontId="0" fillId="0" borderId="0" xfId="0" applyNumberFormat="1"/>
  </cellXfs>
  <cellStyles count="1">
    <cellStyle name="Normal" xfId="0" builtinId="0"/>
  </cellStyles>
  <dxfs count="20">
    <dxf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numFmt numFmtId="19" formatCode="dd/mm/yyyy"/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numFmt numFmtId="19" formatCode="dd/mm/yyyy"/>
      <alignment horizontal="center" vertical="center" wrapText="0" relativeIndent="-1"/>
    </dxf>
    <dxf>
      <numFmt numFmtId="19" formatCode="dd/mm/yyyy"/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numFmt numFmtId="0" formatCode="General"/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numFmt numFmtId="0" formatCode="General"/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numFmt numFmtId="0" formatCode="General"/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numFmt numFmtId="0" formatCode="General"/>
      <alignment horizontal="center" wrapText="0"/>
    </dxf>
    <dxf>
      <numFmt numFmtId="0" formatCode="General"/>
      <alignment wrapTex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charset val="1"/>
        <scheme val="none"/>
      </font>
      <alignment wrapText="0"/>
    </dxf>
    <dxf>
      <alignment wrapText="0"/>
    </dxf>
    <dxf>
      <border outline="0">
        <bottom style="thick">
          <color theme="0"/>
        </bottom>
      </border>
    </dxf>
    <dxf>
      <alignment wrapText="1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19" formatCode="dd/mm/yyyy"/>
    </dxf>
    <dxf>
      <numFmt numFmtId="15" formatCode="0.00E+00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8.427010879626" createdVersion="8" refreshedVersion="8" minRefreshableVersion="3" recordCount="2823" xr:uid="{D3BC8A18-781A-4FF1-9A18-26CA6C9AE92B}">
  <cacheSource type="worksheet">
    <worksheetSource name="Tabela1"/>
  </cacheSource>
  <cacheFields count="18">
    <cacheField name="OFICINA" numFmtId="0">
      <sharedItems count="217">
        <s v="FREIRE SILVA CONFECÇÕES LTDA"/>
        <s v="F &amp; L AZEVEDO CONFECCAO LTDA - ME MATRIZ"/>
        <s v="OFICINA DE COSTURA SANTOS LTDA"/>
        <s v="SOLY BRASIL LTDA"/>
        <s v="IVANILDO JOSE DE SOUSA - ME"/>
        <s v="TENDENCIA CONFECCOES LTDA - ME"/>
        <s v="CONFECCAO G. B. DA S. JUNIOR &amp; CIA LTDA"/>
        <s v="CONFECCOES GENESIS LTDA ME"/>
        <s v="SERRANA TEXTIL LTDA"/>
        <s v="POEST INDUSTRIA COMERCIO VESTUARIO LTDA"/>
        <s v="ACAUÃ CONFECÇÕES LTDA"/>
        <s v="A S CONFECCOES LTDA"/>
        <s v="LC TÊXTIL LTDA."/>
        <s v="JOSENI MARIA DE MEDEIROS"/>
        <s v="ASA CONFECCOES LTDA - ME"/>
        <s v="DANJAN CONFECCOES LTDA"/>
        <s v="F. W. DE SOUZA CONFECCOES"/>
        <s v="FENIX INDUSTRIA TÊXTIL LTDA"/>
        <s v="EBENEZER INDUSTRIA TEXTIL LTDA"/>
        <s v="CONFECCOES FRANOELDA M. M. ARAUJO EIRELI"/>
        <s v="CONFECÇÃO SÃO SEBASTIÃO LTDA"/>
        <s v="POTENGI TEXTIL LTDA"/>
        <s v="FIOS DO SERTÃO LTDA"/>
        <s v="JANUNCIO NOBREGA DE AZEVEDO"/>
        <s v="MAXWELA ARAÚJO SILVA LTDA"/>
        <s v="JK INDUSTRIA TEXTIL LTDA"/>
        <s v="CABUGI CONFECCOES LTDA."/>
        <s v="F A N CONFECCOES LTDA"/>
        <s v="LIMA CONFECCOES LTDA-ME"/>
        <s v="P &amp; A CONFECCOES LTDA"/>
        <s v="B&amp;N SILVA CONFECCOES LTDA"/>
        <s v="JOSE MEDEIROS DE ARAUJO"/>
        <s v="DI3 CONFECCOES LTDA"/>
        <s v="FLAVIA GEORGIA B SILVA CONFECCOES EIRELI"/>
        <s v="DANTAS E PAULINO CONFECCOES LTDA"/>
        <s v="TROPICALLIZ CONFECCOES LTDA"/>
        <s v="SOLIS CONFECCOES LTDA"/>
        <s v="F &amp; L AZEVEDO CONFECCAO LTDA FILIAL"/>
        <s v="PEDRO E ODAIR CONFECÇÕES LTDA"/>
        <s v="LD CONFECÇÕES LTDA"/>
        <s v="P A VITURINO SERVIÇOS E CONFECÇÕES LTDA"/>
        <s v="DONA TICA CONFECCOES MATRIZ"/>
        <s v="ARAUJO &amp; CAMARA LTDA"/>
        <s v="FACCAO ELLO LTDA - ME"/>
        <s v="TECE COSTURAS E CONFECCOES LTDA"/>
        <s v="J M CONFECÇÕES &amp; CIA LTDA FILIAL"/>
        <s v="J M CONFECÇÕES &amp; CIA LTDA MATRIZ"/>
        <s v="KSW CONFECÇÕES LTDA"/>
        <s v="EVALBER DE CASTRO DANTAS ME"/>
        <s v="S RAMOS DE AZEVEDO NETO CONFECCOES"/>
        <s v="M K INDUSTRIA TEXTIL LTDA"/>
        <s v="F &amp; K FACCAO LTDA"/>
        <s v="AJG CONFECÇÕES LTDA"/>
        <s v="G4 CONFECCOES"/>
        <s v="ALINE RODRIGUES DE LIMA ARAUJO"/>
        <s v="DONA TICA MATRIZ"/>
        <s v="IDEAL CONFECCOES LTDA"/>
        <s v="JUCURUTU TEXTIL LTDA ME"/>
        <s v="J. S. &amp; SILVA LTDA"/>
        <s v="UNIAO CONFECCOES LTDA ME"/>
        <s v="M K DE AZEVEDO MEDEIROS INDUSTRIA TEXTIL"/>
        <s v="NOEL PEREIRA DE AZEVEDO CONFECCAO"/>
        <s v="M. &amp; F. EMPREENDIMENTOS LTDA"/>
        <s v="ACARI TÊXTIL LTDA"/>
        <s v="N S CONSTANTINO"/>
        <s v="F DA SILVA JUNIOR"/>
        <s v="LIVIA REBOUCAS DE CARVALHO - ME"/>
        <s v="ARAUJO E M CONFECCOES EIRELI"/>
        <s v="LINEA IND. COM. SER. CONFECCOES LTDA"/>
        <s v="A. S. EMPREENDIMENTOS LTDA"/>
        <s v="NOVA CONFECCOES LTDA"/>
        <s v="LEANDRO MATIAS DA SILVA - ME"/>
        <s v="MARIONETE M DE A CAMARA - ME"/>
        <s v="F J DE AZEVEDO - ME"/>
        <s v="I M DE OLIVEIRA SILVA"/>
        <s v="M DALISON DE MEDEIROS"/>
        <s v="AMORIM &amp; PEDRO CONFECCOES LTDA - ME"/>
        <s v="W A 2 CONFECCOES LTDA"/>
        <s v="DIAS E ALVES CONFECCOES LTDA"/>
        <s v="ANTONIO IGOR DANTAS DE SOUZA"/>
        <s v="M. A. VIEIRA DE ALMEIDA - ME"/>
        <s v="GEFERSON ALAN DOS SANTOS SILVA"/>
        <s v="VITALIZE CONFECCOES LTDA"/>
        <s v="FORTE FORTEX PRODUÇÃO TEXTIL"/>
        <s v="CLARA A DE MEDEIROS LEITE"/>
        <s v="A DE M DIAS ALVES LIMITADA"/>
        <s v="Dantas e paulino "/>
        <s v="B&amp;N SILVA CONFECÇÕES "/>
        <s v="B&amp;N SILVA CONFECOES "/>
        <s v="asa confecções"/>
        <s v="M.A VIEIRA DE ALMEIDA-ME "/>
        <s v="P&amp;A Confecções"/>
        <s v="ACARI TEXTIL"/>
        <s v="LEANDRO MATIAS "/>
        <s v="vitalize "/>
        <s v="Lima Confecções"/>
        <s v="LIVIA REBOUÇAS DE CARVALHO ME"/>
        <s v="EBENEZER INDUSTRIA"/>
        <s v="DONA TICA CONFECÇÕES"/>
        <s v="MAXWELA ARAUJO"/>
        <s v="MAXWELA ARAUJO SILVA LTDA"/>
        <s v="FEL AZEVEDO CONFECÇÃO"/>
        <s v="GENESIS"/>
        <s v="Dantas e Paulino"/>
        <s v="AJG confecções "/>
        <s v="Ideal Confecções"/>
        <s v="SOLIS CONFECCOES"/>
        <s v="B&amp;N SILVA CONFECÇOES "/>
        <s v="Potengi têxtil "/>
        <s v="CONFECÇÕES GB DA SILVA"/>
        <s v="EVALBER CASTRO"/>
        <s v="CONFECÇÃO GB DA SILVA"/>
        <s v="js &amp; silva ltda"/>
        <s v="FREIRE SILVA CONFECÇÕES "/>
        <s v="jucurutu têxtil "/>
        <s v="IDEAL CONFECÇÕES LTDA "/>
        <s v="JOSENI MARIA"/>
        <s v="JOSENI MARIA "/>
        <s v="F J DE AZEVEDO"/>
        <s v="NS CONSTANTINO"/>
        <s v="IVANILDO JOSE DE SOUZA - ME"/>
        <s v="Serrana Textil"/>
        <s v="g4 confecções "/>
        <s v="AS Confecções Ltda"/>
        <s v="ALINE RODRIGUES DE LIMA ARAUJO "/>
        <s v="B&amp;N SILVA CONFEÇÕES "/>
        <s v="DI3 CONFECÇÕES "/>
        <s v="M.A VIEIRA DE ALMEIDA"/>
        <s v="JOSÉ MEDEIROS "/>
        <s v="F E L MATRIZ"/>
        <s v="TECE COSTURAS E CONFECÇÕES LTDA"/>
        <s v="A S Confecções Ltda"/>
        <s v="TROPICALLIZ CONFECÇÕES LTDA"/>
        <s v="AJG "/>
        <s v="ACARI TEXTIL "/>
        <s v="F W DE SOUZA CONFECÇÕES"/>
        <s v="jm confecções &amp; cia ltda"/>
        <s v="jm confecções filial "/>
        <s v="DI3 CONFECÇÕES"/>
        <s v="FLAVIA GEORGIA BRAGA SILVA CONFECÇÕES LTDA"/>
        <s v="FLAVIA GEORGIA BRAGA SILVA CONFECÇÕES LTDA "/>
        <s v="IDEAL CONGFEÇÕES LTDA"/>
        <s v="AMORIM E PEDRO"/>
        <s v="geferson alan dos santos silva "/>
        <s v="fios do sertão"/>
        <s v="ACAUÃ "/>
        <s v="LC têxtil "/>
        <s v="LD CONFECCOES"/>
        <s v="FORTE FORTEX"/>
        <s v="Noel Pereira de Azevedo confecção "/>
        <s v="Danjan confecções"/>
        <s v="LC TEXTIL"/>
        <s v="CONFECÃO SAO SEBASTIAO"/>
        <s v="JOSENI "/>
        <s v="FACÇÃO ELLO LTDA"/>
        <s v="A. S. Empreendimentos"/>
        <s v="JOSÉ MEDEIROS DE ARAÚJO EPP"/>
        <s v="Tendência Confecções"/>
        <s v="Potengi textil"/>
        <s v="jm confeccoes matriz "/>
        <s v="Clara A de Medeiros Leite "/>
        <s v="F&amp;L AZEVEDO MATRIZ"/>
        <s v="FACCAO ELLO LTDA"/>
        <s v="F &amp; L AZEVEDO CONFECCAO LTDA MATRIZ"/>
        <s v="M A P FORTE FORTEX PRODUCAO TEXTIL"/>
        <s v="FREIRE SILVA CONFECCOES LTDA"/>
        <s v="FLAVIA GEORGIA BRAGA SILVA CONFECCOES LTDA"/>
        <s v="CONFECCOES FRANOELDA MAGNEUDA DE MEDEIROS ARAUJO LTDA"/>
        <s v="JUCURUTU TEXTIL LTDA"/>
        <s v="ACAUA CONFECCOES LTDA"/>
        <s v="N S CONSTANTINO LTDA"/>
        <s v="CONFECCAO G. B. DA SILVA JUNIOR &amp; CIA LTDA"/>
        <s v="ALANIS SANTOS LTDA"/>
        <s v="LEANDRO MATIAS DA SILVA"/>
        <s v="JAKELINE F DE AZEVEDO"/>
        <s v="CONFECCOES GENESIS LTDA"/>
        <s v="IVANILDO JOSE DE SOUZA"/>
        <s v="LINEA INDUSTRIA, COMERCIO &amp; SERVICOS DE CONFECCOES LTDA"/>
        <s v="DONA TICA CONFECCOES LTDA MATRIZ"/>
        <s v="FENIX INDUSTRIA TEXTIL LTDA"/>
        <s v="LAJEDO JEANS CONFECCOES LTDA"/>
        <s v="ASA CONFECCOES LTDA"/>
        <s v="UNIAO CONFECCOES LTDA"/>
        <s v="KSW CONFECCOES LTDA"/>
        <s v="POEST INDUSTRIA E COMERCIO DE VESTUARIO LTDA"/>
        <s v="M A VIEIRA DE ALMEIDA"/>
        <s v="MANSOUR &amp; DANTAS CONFECCOES LTDA"/>
        <s v="EVALBER DE CASTRO DANTAS"/>
        <s v="TENDENCIA CONFECCOES LTDA"/>
        <s v="LD CONFECÇÕES"/>
        <s v="LIVIA REBOUCAS DE CARVALHO"/>
        <s v="LC TEXTIL LTDA"/>
        <s v="A A PEREIRA LIMITADA"/>
        <s v="AJG CONFECCOES LTDA"/>
        <s v="PEDRO E ODAIR"/>
        <s v="LIMA CONFECCOES LTDA"/>
        <s v="ARAUJO E M CONFECCOES LTDA"/>
        <s v="M C CONFECCOES LTDA"/>
        <s v="A X DA PENHA FILHO LTDA"/>
        <s v="CONFECCOES J. S. LTDA"/>
        <s v="G4 INDUSTRIA E COMERCIO DO VESTUARIO LTDA"/>
        <s v="ARAUJO CAMARA LTDA"/>
        <s v="FERREIRA E ARAUJO CONFECCOES LTDA"/>
        <s v="JOLI TEXTIL SERVICOS E COMERCIO LTD"/>
        <s v="FACCAO SANTANENSE LTDA"/>
        <s v="J M CONFECCOES &amp; CIA LTDA"/>
        <s v="AMORIM &amp; PEDRO CONFECCOES LTDA"/>
        <s v="B &amp; N SILVA CONFECCOES LTDA"/>
        <s v="TESTE"/>
        <s v="J F CONFECCOES LTDA"/>
        <s v="LUIZ LUPERCIO DA SILVA JUNIOR"/>
        <s v="M &amp; F EMPREENDIMENTOS LTDA"/>
        <s v="MARIONETE M DE A CAMARA"/>
        <s v="FIOS DO SERTÃO LTDA. (FILIAL)"/>
        <s v="G&amp;C EMPREENDIMENTOS TEXTIL LTDA"/>
        <s v="P A VITURINO SERVIÇOES E CONFECÇÕES LTDA"/>
        <s v="ALANIS QUEIROZ LTDA"/>
      </sharedItems>
    </cacheField>
    <cacheField name="EMAIL DA OFICINA" numFmtId="0">
      <sharedItems/>
    </cacheField>
    <cacheField name="ORDEM DE PRODUÇÃO" numFmtId="0">
      <sharedItems containsSemiMixedTypes="0" containsString="0" containsNumber="1" containsInteger="1" minValue="300000000" maxValue="310000000"/>
    </cacheField>
    <cacheField name="NÚMERO DO MATERIAL" numFmtId="0">
      <sharedItems containsMixedTypes="1" containsNumber="1" containsInteger="1" minValue="0" maxValue="100000000000"/>
    </cacheField>
    <cacheField name="MP" numFmtId="0">
      <sharedItems count="4">
        <s v="TEAR"/>
        <s v="POLO"/>
        <s v="JEANS"/>
        <s v="MALHA"/>
      </sharedItems>
    </cacheField>
    <cacheField name="PARTE DA PEÇA" numFmtId="0">
      <sharedItems containsMixedTypes="1" containsNumber="1" containsInteger="1" minValue="10" maxValue="10" count="169">
        <s v="Capas de artok"/>
        <s v="Etiqueta bandeirola"/>
        <s v="Etiqueta composição"/>
        <s v="Etiqueta de marca/modelagem"/>
        <s v="Etiqueta de preço"/>
        <s v="Filme plástico"/>
        <s v="Gola"/>
        <s v="Lacre"/>
        <s v="Linha"/>
        <s v="Linhas e fios"/>
        <s v="Papelão para gabarito"/>
        <s v="Pistola"/>
        <s v="Traseiro"/>
        <s v="Zíper"/>
        <s v="Viés de gola"/>
        <s v="Recorte coração"/>
        <s v="Passante"/>
        <s v="Cós"/>
        <s v="Elástico"/>
        <s v="Fios"/>
        <s v="Punho"/>
        <s v="Artok vazio"/>
        <s v="Frente"/>
        <s v="Cadarço"/>
        <s v="Vista"/>
        <s v="Colchetes"/>
        <s v="Pala"/>
        <s v="Botão"/>
        <s v="Babado"/>
        <s v="Viés de reforço"/>
        <s v="Manga"/>
        <s v="tag de preço"/>
        <s v="ETIQUETA DISNEY"/>
        <s v="Gola e punho"/>
        <s v="PENTE"/>
        <s v="SOLICITO BOLSO TRASEIRO BTA NO PLANO COR PRETA NÃO E JEANS POIS NÃO TEM A OPÇÃO DE COLOCAR "/>
        <s v="PAPEL FILME PARA FUSIONAR PASSANTES"/>
        <s v="Vivo"/>
        <s v="Forro"/>
        <s v="Frente e traseiro"/>
        <s v="Gola e pé de gola"/>
        <s v="AGULHA DE PISTOLA"/>
        <s v="SACOS PARA EMBALAR ORDENS"/>
        <s v="Bolso relógio"/>
        <s v="Bolso traseiro"/>
        <s v="Aviamento completo"/>
        <s v="FRENTE LADO ESQUERDO"/>
        <s v="LACRE PARA EMBALAR OP"/>
        <s v="Cinto"/>
        <s v="ETIQUETA DE CÓS"/>
        <s v="Perdigal"/>
        <s v="Bolso"/>
        <s v="Pino"/>
        <s v="Peça piloto"/>
        <s v="Alças"/>
        <s v="Braguilha"/>
        <s v="Etiqueta de gola"/>
        <s v="Frente e manga"/>
        <s v="Bolso frente"/>
        <s v="Insumo"/>
        <s v="Agulha"/>
        <s v="etiqueta de composição"/>
        <s v="ZIPER INOX METAL MEDIO PRETO 15 CM "/>
        <s v="ETQ MODEL POOL 52 SLIM 60X10 BR"/>
        <s v="PALAS "/>
        <s v="PERDIGAL "/>
        <s v="passantes "/>
        <s v="vies da boca do bolso da frente"/>
        <s v="ZIPER "/>
        <s v="linha tit 50s.321"/>
        <s v="FILME DE FUSIONAR PASSANTE "/>
        <s v="ETIQUETA DE COMPOSIÇAO "/>
        <s v="ZIPER"/>
        <s v="Etiqueta FIT"/>
        <s v="etiqueta"/>
        <s v="etiqueta de marca skinny"/>
        <s v="FIO"/>
        <s v="SILICONE"/>
        <s v="Pinos para fast pin"/>
        <s v="cos "/>
        <s v="Frente e as vistas "/>
        <s v="ETIQUETA DE COMPOSIÇÃO "/>
        <s v="VIES DE BOCA"/>
        <s v="Elástico "/>
        <s v="PANO PARA ARTOKS "/>
        <s v="PLÁSTICO FILME"/>
        <s v="LACRES"/>
        <s v="elastico"/>
        <s v="Filme plástico "/>
        <s v="Etiqueta de cós e etiqueta de preço. "/>
        <s v="ETIQUETA COMPOSIÇAÕ"/>
        <s v="Etiqueta de cós "/>
        <s v="ETIQUETA DE MARCA"/>
        <s v="ETIQUETA DE  MARCA "/>
        <s v="ETIQUETA DE MARCA "/>
        <s v="AGULHA PRA PISTOLA"/>
        <s v="COMPOSIÇÃO"/>
        <s v="Reposição traseiros completo (pala, bolso)"/>
        <s v="AGULHA DA PISTOLA"/>
        <s v="vies para bocada do bolso dianteiro na cor preta "/>
        <s v="VIES DA BOCA BOLSO - CRU "/>
        <s v="filme para fusionar passante "/>
        <s v="TAGS DE PREÇO"/>
        <s v="ziper 17cm"/>
        <s v="ziper 15cm"/>
        <s v="Plastico de fusionar passante"/>
        <s v="gola e punho peça para toda ordem"/>
        <s v="Gola e Punho toda ordem não foi enviado pel guararapes"/>
        <s v="Etiqueta composição "/>
        <s v="BRAGUILHA  - PANINHO DO ZÍPER "/>
        <s v="SACOS PARA ARTOKS "/>
        <s v="PAPELÃO"/>
        <s v="Etiqueta de preço  "/>
        <s v="PALA TRASEIRO"/>
        <s v="pala traseira"/>
        <s v="FOI"/>
        <s v="FIO E LINHA"/>
        <s v="FIO DE SILICONE PARA PASSANTE"/>
        <s v="ziper para bolso lateral "/>
        <s v="plastico para fusionar passante "/>
        <s v="VIÉS LISTRADO"/>
        <s v="PLÁSTICO FILME PARA PASSANTES"/>
        <s v="FIOS "/>
        <s v="LINHAS "/>
        <s v="FILME DE FUSIONAR PASSANTE"/>
        <s v="traseiros "/>
        <s v="traseiros e frente"/>
        <s v="plastico para fusionar passante"/>
        <s v="Lacres para as OPS"/>
        <s v="Linha e fio "/>
        <s v="Gola "/>
        <n v="10"/>
        <s v="Etiqueta marca "/>
        <s v="frentes "/>
        <s v="etq"/>
        <s v="VIES"/>
        <s v="Pentilho e alça "/>
        <s v="ZIPER TAMANHO 17CM"/>
        <s v="Etiqueta de composição tamanho 38"/>
        <s v="FILME PLÁSTICO - PASSANTE"/>
        <s v="TRASEIRO (LADO DO SILK, LADO ESQUERDO DE QUEM VESTE)"/>
        <s v="CÓS INTERNO E EXTERNO"/>
        <s v="linhas"/>
        <s v="PERTINGAL"/>
        <s v="filme"/>
        <s v="zíper "/>
        <s v="ziper cru tamanho 12cm"/>
        <s v="TAG  DE PREÇO"/>
        <s v="Etiqueta de preço "/>
        <s v="passante "/>
        <s v="Dianteiro "/>
        <s v="linha TIT25"/>
        <s v="frentes"/>
        <s v="Etiqueta de marca/composição"/>
        <s v="Viés"/>
        <s v="Linha e Fio"/>
        <s v="Tag"/>
        <s v="Viés de passante"/>
        <s v="BOLSO RELOGIO"/>
        <s v="ETIQUETA SLIM OU FIT"/>
        <s v="SACOS PARA ARTOKS"/>
        <s v="VIÉS DE BOCADA"/>
        <s v="Lapela"/>
        <s v="Viés "/>
        <s v="Peça Completa"/>
        <s v="Peitilho"/>
        <s v="Revel"/>
        <s v="Colchete"/>
        <s v="Martingal"/>
      </sharedItems>
    </cacheField>
    <cacheField name="QUANTIDADE" numFmtId="0">
      <sharedItems containsMixedTypes="1" containsNumber="1" minValue="0" maxValue="10000000"/>
    </cacheField>
    <cacheField name="MOTIVO DA REPOSIÇÃO" numFmtId="0">
      <sharedItems containsMixedTypes="1" containsNumber="1" minValue="0" maxValue="1.095" longText="1"/>
    </cacheField>
    <cacheField name="PROCESSO ANTERIOR?" numFmtId="0">
      <sharedItems containsBlank="1"/>
    </cacheField>
    <cacheField name="OBSERVAÇÕES" numFmtId="0">
      <sharedItems containsDate="1" containsBlank="1" containsMixedTypes="1" minDate="1899-12-31T00:00:00" maxDate="1900-01-06T16:03:06" longText="1"/>
    </cacheField>
    <cacheField name="DATA" numFmtId="14">
      <sharedItems containsDate="1" containsMixedTypes="1" minDate="2026-06-01T07:49:00" maxDate="2026-08-14T10:01:29"/>
    </cacheField>
    <cacheField name="STATUS" numFmtId="0">
      <sharedItems containsString="0" containsBlank="1" containsNumber="1" containsInteger="1" minValue="300271213" maxValue="300277359"/>
    </cacheField>
    <cacheField name="Reposição N°: " numFmtId="0">
      <sharedItems containsSemiMixedTypes="0" containsString="0" containsNumber="1" containsInteger="1" minValue="3" maxValue="2153"/>
    </cacheField>
    <cacheField name="REPOSIÇÃO" numFmtId="0">
      <sharedItems containsBlank="1" count="4">
        <m/>
        <s v="INCOMPLETA"/>
        <s v="COMPLETA"/>
        <s v="NEGADA"/>
      </sharedItems>
    </cacheField>
    <cacheField name="CÓDIGO DO AVIAMENTO" numFmtId="0">
      <sharedItems containsBlank="1" containsMixedTypes="1" containsNumber="1" containsInteger="1" minValue="0" maxValue="1.00002478112478E+34" longText="1"/>
    </cacheField>
    <cacheField name="__PowerAppsId__" numFmtId="0">
      <sharedItems containsBlank="1"/>
    </cacheField>
    <cacheField name="DATA_RELATORIO" numFmtId="14">
      <sharedItems containsSemiMixedTypes="0" containsNonDate="0" containsDate="1" containsString="0" minDate="2026-05-20T00:00:00" maxDate="2026-08-15T00:00:00"/>
    </cacheField>
    <cacheField name="SEMANA RELATÓRIO" numFmtId="0">
      <sharedItems count="2">
        <s v="NÃO"/>
        <s v="SIM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x v="0"/>
    <s v="freiresilvaconfeccoes@gmail.com"/>
    <n v="300264432"/>
    <n v="15581888"/>
    <x v="0"/>
    <x v="0"/>
    <n v="35"/>
    <s v="Quantidade insuficiente para terminar a ordem"/>
    <s v="NÃO"/>
    <s v="Estamos com.a OP pronta e não tem como enviar devido a falta de sacos. "/>
    <s v="20/05/2026 11:01"/>
    <m/>
    <n v="48"/>
    <x v="0"/>
    <m/>
    <s v="95db3f93-1f06-4102-9ee8-bd7f2c200774"/>
    <d v="2026-05-20T00:00:00"/>
    <x v="0"/>
  </r>
  <r>
    <x v="1"/>
    <s v="felconfeccao@gmail.com"/>
    <n v="300261449"/>
    <n v="16217861"/>
    <x v="1"/>
    <x v="1"/>
    <s v="8-9-15; 9-10-10; 11-12-10"/>
    <s v="Quantidade insuficiente para terminar a ordem"/>
    <s v="NÃO"/>
    <s v="ETIQUETA NUMERICA, PARA PREGAR AO LADO DA DE MARCA"/>
    <s v="20/05/2026 13:28"/>
    <m/>
    <n v="54"/>
    <x v="0"/>
    <m/>
    <s v="ec38384d-384d-4751-8611-c43c6cab003f"/>
    <d v="2026-05-20T00:00:00"/>
    <x v="0"/>
  </r>
  <r>
    <x v="2"/>
    <s v="oficinasantos08@outlook.com"/>
    <n v="300261824"/>
    <n v="15411800"/>
    <x v="2"/>
    <x v="2"/>
    <n v="75"/>
    <s v="Material não enviado pela Guararapes"/>
    <s v="NÃO"/>
    <s v="as etiquetas são tamanho 34"/>
    <s v="20/05/2026 09:08"/>
    <m/>
    <n v="31"/>
    <x v="0"/>
    <m/>
    <s v="4e588439-f036-4270-9b9b-7cb293476609"/>
    <d v="2026-05-20T00:00:00"/>
    <x v="0"/>
  </r>
  <r>
    <x v="3"/>
    <s v="qualidade@solybrasil.com.br"/>
    <n v="300262886"/>
    <n v="16453751"/>
    <x v="3"/>
    <x v="2"/>
    <n v="786"/>
    <s v="Material não enviado pela Guararapes"/>
    <s v="NÃO"/>
    <s v="gg-135/g-174/m-192/p-171/pp-114"/>
    <s v="20/05/2026 10:17"/>
    <m/>
    <n v="42"/>
    <x v="0"/>
    <m/>
    <s v="5d7e1426-c89b-41a0-b64c-da4514b2de37"/>
    <d v="2026-05-20T00:00:00"/>
    <x v="0"/>
  </r>
  <r>
    <x v="4"/>
    <s v="hiconfeccao@gmail.com"/>
    <n v="300257641"/>
    <n v="16217942"/>
    <x v="2"/>
    <x v="2"/>
    <n v="15"/>
    <s v="Material não enviado pela Guararapes"/>
    <s v="NÃO"/>
    <s v="Pedido de 15 etiquetas de composição, tamanhos 6-7."/>
    <s v="20/05/2026 10:44"/>
    <m/>
    <n v="45"/>
    <x v="0"/>
    <m/>
    <s v="7cb5a7ee-0343-44e4-9bb7-842ca70e5fb2"/>
    <d v="2026-05-20T00:00:00"/>
    <x v="0"/>
  </r>
  <r>
    <x v="5"/>
    <s v="tendenciaconfec@gmail.com"/>
    <n v="300260821"/>
    <n v="16443853"/>
    <x v="3"/>
    <x v="2"/>
    <s v="13-14: 175; 11-12:140; 9-10: 140; 8-9: 105; 6-7: 70;"/>
    <s v="Material diferente do especificado na ordem"/>
    <s v="NÃO"/>
    <m/>
    <s v="20/05/2026 14:08"/>
    <m/>
    <n v="57"/>
    <x v="0"/>
    <m/>
    <s v="7e75b5c8-6a44-4950-9c36-80a622424358"/>
    <d v="2026-05-20T00:00:00"/>
    <x v="0"/>
  </r>
  <r>
    <x v="5"/>
    <s v="tendenciaconfec@gmail.com"/>
    <n v="300261083"/>
    <n v="15774104"/>
    <x v="2"/>
    <x v="3"/>
    <n v="110"/>
    <s v="Material não enviado pela Guararapes"/>
    <s v="NÃO"/>
    <s v="Faltou do tamanho 38 ao 50."/>
    <s v="20/05/2026 09:04"/>
    <m/>
    <n v="30"/>
    <x v="0"/>
    <m/>
    <s v="21723a81-b7c8-4555-a4b4-7eaa9fffba85"/>
    <d v="2026-05-20T00:00:00"/>
    <x v="0"/>
  </r>
  <r>
    <x v="5"/>
    <s v="tendenciaconfec@gmail.com"/>
    <n v="300260821"/>
    <n v="16443853"/>
    <x v="3"/>
    <x v="4"/>
    <n v="75"/>
    <s v="Quantidade insuficiente para terminar a ordem"/>
    <s v="NÃO"/>
    <s v="Faltou para o tamanho 13-14"/>
    <s v="20/05/2026 09:01"/>
    <m/>
    <n v="27"/>
    <x v="0"/>
    <m/>
    <s v="8a90f40b-c347-4308-8ae9-5f85a15f86ea"/>
    <d v="2026-05-20T00:00:00"/>
    <x v="0"/>
  </r>
  <r>
    <x v="6"/>
    <s v="confeccoesgbdas@hotmail.com"/>
    <n v="300257066"/>
    <n v="16311841"/>
    <x v="3"/>
    <x v="4"/>
    <s v="100 ETIQUETAS DE PREÇO TAM 6-7"/>
    <s v="Quantidade insuficiente para terminar a ordem"/>
    <s v="NÃO"/>
    <m/>
    <s v="20/05/2026 09:52"/>
    <m/>
    <n v="35"/>
    <x v="0"/>
    <m/>
    <s v="ebfd45ec-0451-4e4e-95f7-d229a71e838a"/>
    <d v="2026-05-20T00:00:00"/>
    <x v="0"/>
  </r>
  <r>
    <x v="7"/>
    <s v="confeccaogenesisltda@gmail.com"/>
    <n v="300261256"/>
    <n v="16474368"/>
    <x v="3"/>
    <x v="4"/>
    <s v="G-110"/>
    <s v="Quantidade insuficiente para terminar a ordem"/>
    <s v="NÃO"/>
    <s v="veio faltando etiqueta"/>
    <s v="20/05/2026 09:53"/>
    <m/>
    <n v="36"/>
    <x v="0"/>
    <m/>
    <s v="803684ba-870e-4689-a420-07a3ba95c580"/>
    <d v="2026-05-20T00:00:00"/>
    <x v="0"/>
  </r>
  <r>
    <x v="8"/>
    <s v="tlcserranatextil@gmail.com"/>
    <n v="300263202"/>
    <n v="15215539"/>
    <x v="1"/>
    <x v="4"/>
    <s v="P - 93 M - 186 G - 186 GG - 126 XG - 93"/>
    <s v="Material não enviado pela Guararapes"/>
    <s v="NÃO"/>
    <s v="veio faltando"/>
    <s v="20/05/2026 10:07"/>
    <m/>
    <n v="38"/>
    <x v="0"/>
    <m/>
    <s v="96547ca4-93eb-4d19-a85f-cd9636110b25"/>
    <d v="2026-05-20T00:00:00"/>
    <x v="0"/>
  </r>
  <r>
    <x v="8"/>
    <s v="tlcserranatextil@gmail.com"/>
    <n v="300263200"/>
    <n v="15215539"/>
    <x v="1"/>
    <x v="4"/>
    <s v="P - 110 M - 330 G - 330 GG - 220 XG - 110"/>
    <s v="Material não enviado pela Guararapes"/>
    <s v="NÃO"/>
    <s v="veio faltando"/>
    <s v="20/05/2026 10:08"/>
    <m/>
    <n v="39"/>
    <x v="0"/>
    <m/>
    <s v="2c698c0a-8ce6-4a5e-93fd-11f422354eca"/>
    <d v="2026-05-20T00:00:00"/>
    <x v="0"/>
  </r>
  <r>
    <x v="9"/>
    <s v="encantopoest@gmail.com"/>
    <n v="300263245"/>
    <n v="16218140"/>
    <x v="2"/>
    <x v="5"/>
    <n v="30"/>
    <s v="Quantidade insuficiente para terminar a ordem"/>
    <s v="NÃO"/>
    <s v="filme plastico do estreito"/>
    <s v="20/05/2026 10:38"/>
    <m/>
    <n v="44"/>
    <x v="0"/>
    <m/>
    <s v="c27e49d0-504a-4fd9-85a9-1664a26ccaf3"/>
    <d v="2026-05-20T00:00:00"/>
    <x v="0"/>
  </r>
  <r>
    <x v="10"/>
    <s v="acauaconfeccoes@outlook.com"/>
    <n v="300262228"/>
    <n v="16441435"/>
    <x v="3"/>
    <x v="6"/>
    <s v="PP-30 P-10.   40 Golas "/>
    <s v="Quantidade insuficiente para terminar a ordem"/>
    <s v="NÃO"/>
    <s v="Faltando 40 Golas . 30 PP e 10 P"/>
    <s v="20/05/2026 09:43"/>
    <m/>
    <n v="32"/>
    <x v="0"/>
    <m/>
    <s v="0a174cad-afa0-43a7-bc7d-7df82f07bf2b"/>
    <d v="2026-05-20T00:00:00"/>
    <x v="0"/>
  </r>
  <r>
    <x v="11"/>
    <s v="S.a.confeccoesind@gmail.com"/>
    <n v="300260155"/>
    <n v="15865614"/>
    <x v="2"/>
    <x v="7"/>
    <n v="100"/>
    <s v="Quantidade insuficiente para terminar a ordem"/>
    <s v="NÃO"/>
    <m/>
    <s v="20/05/2026 10:12"/>
    <m/>
    <n v="41"/>
    <x v="0"/>
    <m/>
    <s v="54fa919c-b41b-43af-a3c9-70313807a04c"/>
    <d v="2026-05-20T00:00:00"/>
    <x v="0"/>
  </r>
  <r>
    <x v="12"/>
    <s v="lctextil@outlook.com.br"/>
    <n v="300261547"/>
    <n v="15260828"/>
    <x v="3"/>
    <x v="7"/>
    <n v="1166"/>
    <s v="Material não enviado pela Guararapes"/>
    <s v="NÃO"/>
    <s v="Lacres da oficina acabou "/>
    <s v="20/05/2026 10:22"/>
    <m/>
    <n v="43"/>
    <x v="0"/>
    <m/>
    <s v="56a42912-73a4-4293-affc-d772aff645f8"/>
    <d v="2026-05-20T00:00:00"/>
    <x v="0"/>
  </r>
  <r>
    <x v="13"/>
    <s v="administrativo@zajaconfeccoes.com.br"/>
    <n v="300260896"/>
    <n v="16465768"/>
    <x v="0"/>
    <x v="8"/>
    <s v="800 peças "/>
    <s v="Quantidade insuficiente para terminar a ordem"/>
    <s v="NÃO"/>
    <s v="As linhas enviadas foram insuficiente para finalizar a ordem "/>
    <s v="20/05/2026 09:02"/>
    <m/>
    <n v="28"/>
    <x v="0"/>
    <m/>
    <s v="3b8f7cc8-63b9-4d58-94d4-689790f15797"/>
    <d v="2026-05-20T00:00:00"/>
    <x v="0"/>
  </r>
  <r>
    <x v="14"/>
    <s v="asaequador@gmail.com"/>
    <n v="300260969"/>
    <n v="15345904"/>
    <x v="2"/>
    <x v="8"/>
    <n v="6"/>
    <s v="Quantidade insuficiente para terminar a ordem"/>
    <s v="NÃO"/>
    <s v="codigo: 10000062975 cor: s.759"/>
    <s v="20/05/2026 10:50"/>
    <m/>
    <n v="47"/>
    <x v="0"/>
    <m/>
    <s v="164ed524-e6d6-4641-8d90-efd65d49cbfb"/>
    <d v="2026-05-20T00:00:00"/>
    <x v="0"/>
  </r>
  <r>
    <x v="15"/>
    <s v="spauloazevedo@bol.com.br"/>
    <n v="300260321"/>
    <n v="15581888"/>
    <x v="0"/>
    <x v="9"/>
    <s v="300 pçs"/>
    <s v="Quantidade insuficiente para terminar a ordem"/>
    <s v="NÃO"/>
    <s v="A linha veio insuficiente pra finalizar a op"/>
    <s v="20/05/2026 09:44"/>
    <m/>
    <n v="33"/>
    <x v="0"/>
    <m/>
    <s v="0bfaca47-84ad-4506-9f59-63fec81c8651"/>
    <d v="2026-05-20T00:00:00"/>
    <x v="0"/>
  </r>
  <r>
    <x v="16"/>
    <s v="arconfec-oes@hotmail.com"/>
    <n v="300258755"/>
    <n v="16380096"/>
    <x v="2"/>
    <x v="10"/>
    <s v="10 metros"/>
    <s v="Material não enviado pela Guararapes"/>
    <s v="NÃO"/>
    <m/>
    <s v="20/05/2026 09:55"/>
    <m/>
    <n v="37"/>
    <x v="0"/>
    <m/>
    <s v="bbf5543a-7dd6-4480-aae1-940a40303cab"/>
    <d v="2026-05-20T00:00:00"/>
    <x v="0"/>
  </r>
  <r>
    <x v="17"/>
    <s v="faccao_sales2010@hotmail.com"/>
    <n v="300261035"/>
    <n v="16285328"/>
    <x v="2"/>
    <x v="10"/>
    <s v="-"/>
    <s v="Quantidade insuficiente para terminar a ordem"/>
    <s v="NÃO"/>
    <m/>
    <s v="20/05/2026 10:09"/>
    <m/>
    <n v="40"/>
    <x v="0"/>
    <m/>
    <s v="acf31ac4-76a9-4bfb-99fe-3bd4ba48cc2c"/>
    <d v="2026-05-20T00:00:00"/>
    <x v="0"/>
  </r>
  <r>
    <x v="1"/>
    <s v="felconfeccao@gmail.com"/>
    <n v="300263214"/>
    <n v="16138473"/>
    <x v="2"/>
    <x v="10"/>
    <n v="1488"/>
    <s v="Quantidade insuficiente para terminar a ordem"/>
    <s v="NÃO"/>
    <m/>
    <s v="20/05/2026 13:31"/>
    <m/>
    <n v="55"/>
    <x v="0"/>
    <m/>
    <s v="5aa1fe67-9ec8-4ab6-8241-2fb1c743b1a4"/>
    <d v="2026-05-20T00:00:00"/>
    <x v="0"/>
  </r>
  <r>
    <x v="18"/>
    <s v="ebenezerindustriat@hotmail.com"/>
    <n v="300262214"/>
    <n v="16252160"/>
    <x v="3"/>
    <x v="11"/>
    <n v="2"/>
    <s v="Material diferente do especificado na ordem"/>
    <s v="NÃO"/>
    <s v="marquei a opção aleatoria"/>
    <s v="20/05/2026 13:13"/>
    <m/>
    <n v="53"/>
    <x v="0"/>
    <m/>
    <s v="c766fecd-41dd-49a4-8ca8-9e4cc6616b7e"/>
    <d v="2026-05-20T00:00:00"/>
    <x v="0"/>
  </r>
  <r>
    <x v="19"/>
    <s v="falconconfeccoes@hotmail.com"/>
    <n v="300260622"/>
    <n v="16494610"/>
    <x v="2"/>
    <x v="12"/>
    <n v="7"/>
    <s v="Quantidade insuficiente para terminar a ordem"/>
    <s v="BOLSO AUTOMÁTICO"/>
    <m/>
    <s v="20/05/2026 08:59"/>
    <m/>
    <n v="26"/>
    <x v="0"/>
    <m/>
    <s v="66e9756d-5e9a-4ccb-a2a4-48884c857b04"/>
    <d v="2026-05-20T00:00:00"/>
    <x v="0"/>
  </r>
  <r>
    <x v="10"/>
    <s v="acauaconfeccoes@outlook.com"/>
    <n v="300258842"/>
    <n v="16222326"/>
    <x v="3"/>
    <x v="12"/>
    <s v="XG-58"/>
    <s v="Material não enviado pela Guararapes"/>
    <s v="NÃO"/>
    <s v="Faltando 58 Traseiros XG"/>
    <s v="20/05/2026 09:48"/>
    <m/>
    <n v="34"/>
    <x v="0"/>
    <m/>
    <s v="e0c99c78-8f69-4ab8-a18b-600e4798ec0e"/>
    <d v="2026-05-20T00:00:00"/>
    <x v="0"/>
  </r>
  <r>
    <x v="20"/>
    <s v="CONFECCAOSAOSEBASTIAO@GMAIL.COM"/>
    <n v="300261481"/>
    <n v="15773477"/>
    <x v="2"/>
    <x v="12"/>
    <n v="180"/>
    <s v="Material não enviado pela Guararapes"/>
    <s v="NÃO"/>
    <s v="NÃO FOI ENVIADO O A SEQUENCIA DE ENFESTO 3, TOTALIZANDO QUANTIDADE DE 180 PEÇAS, SENDO TAMANHO 52- 20; TAM 48-20; TAM 46-40;  TAM, 42-60; TAM  40-40."/>
    <s v="20/05/2026 10:44"/>
    <m/>
    <n v="46"/>
    <x v="0"/>
    <m/>
    <s v="fc45eb71-e5d1-4314-8199-fc13cf8881b4"/>
    <d v="2026-05-20T00:00:00"/>
    <x v="0"/>
  </r>
  <r>
    <x v="21"/>
    <s v="potengitextil@outlook.com.br"/>
    <n v="300261554"/>
    <n v="16457226"/>
    <x v="3"/>
    <x v="12"/>
    <n v="798"/>
    <s v="Material não enviado pela Guararapes"/>
    <s v="NÃO"/>
    <s v="Traseiros do top "/>
    <s v="20/05/2026 12:20"/>
    <m/>
    <n v="49"/>
    <x v="0"/>
    <m/>
    <s v="4ad3d049-04f2-46f0-ba57-58d316df85af"/>
    <d v="2026-05-20T00:00:00"/>
    <x v="0"/>
  </r>
  <r>
    <x v="21"/>
    <s v="potengitextil@outlook.com.br"/>
    <n v="300261553"/>
    <n v="16457226"/>
    <x v="3"/>
    <x v="12"/>
    <n v="518"/>
    <s v="Material não enviado pela Guararapes"/>
    <s v="NÃO"/>
    <s v="Traseiro do top"/>
    <s v="20/05/2026 12:21"/>
    <m/>
    <n v="50"/>
    <x v="0"/>
    <m/>
    <s v="377356f5-7db7-450f-88c3-dabcb754136f"/>
    <d v="2026-05-20T00:00:00"/>
    <x v="0"/>
  </r>
  <r>
    <x v="21"/>
    <s v="potengitextil@outlook.com.br"/>
    <n v="300233223"/>
    <n v="15225539"/>
    <x v="1"/>
    <x v="12"/>
    <n v="38"/>
    <s v="Material não enviado pela Guararapes"/>
    <s v="NÃO"/>
    <s v="1 lote de Traseiro tamanho M de 38 peças "/>
    <s v="20/05/2026 12:55"/>
    <m/>
    <n v="52"/>
    <x v="0"/>
    <m/>
    <s v="dc244a7b-1a11-45d4-af27-053bc1ac9e31"/>
    <d v="2026-05-20T00:00:00"/>
    <x v="0"/>
  </r>
  <r>
    <x v="21"/>
    <s v="potengitextil@outlook.com.br"/>
    <n v="300263223"/>
    <n v="15215539"/>
    <x v="1"/>
    <x v="12"/>
    <n v="38"/>
    <s v="Material não enviado pela Guararapes"/>
    <s v="NÃO"/>
    <s v="1 lote de traseiro tamanho M de 38 peças. "/>
    <s v="20/05/2026 13:39"/>
    <m/>
    <n v="56"/>
    <x v="0"/>
    <m/>
    <s v="68e35499-a6a8-4e33-abfc-1ea248a9a752"/>
    <d v="2026-05-20T00:00:00"/>
    <x v="0"/>
  </r>
  <r>
    <x v="5"/>
    <s v="tendenciaconfec@gmail.com"/>
    <n v="300261083"/>
    <n v="15774104"/>
    <x v="2"/>
    <x v="13"/>
    <n v="110"/>
    <s v="Material não enviado pela Guararapes"/>
    <s v="NÃO"/>
    <s v="Faltou do tamanho 38 ao 50"/>
    <s v="20/05/2026 09:02"/>
    <m/>
    <n v="29"/>
    <x v="0"/>
    <m/>
    <s v="29bde96e-a4eb-4f81-9bd3-221c153c2b35"/>
    <d v="2026-05-20T00:00:00"/>
    <x v="0"/>
  </r>
  <r>
    <x v="22"/>
    <s v="fiosdosertao01@gmail.com"/>
    <n v="300263683"/>
    <n v="16474090"/>
    <x v="2"/>
    <x v="13"/>
    <n v="1534"/>
    <s v="Material não enviado pela Guararapes"/>
    <s v="NÃO"/>
    <s v="1.082 ziper de 17cm; 452 ziper de 15cm"/>
    <s v="20/05/2026 12:35"/>
    <m/>
    <n v="51"/>
    <x v="0"/>
    <m/>
    <s v="555fd7aa-0678-4d1e-8b08-225d1651d603"/>
    <d v="2026-05-20T00:00:00"/>
    <x v="0"/>
  </r>
  <r>
    <x v="23"/>
    <s v="gruponobrejk@gmail.com"/>
    <n v="300254994"/>
    <n v="16377311"/>
    <x v="2"/>
    <x v="14"/>
    <n v="400"/>
    <s v="Quantidade insuficiente para terminar a ordem"/>
    <s v="NÃO"/>
    <s v="O VIÉS SOLICITADO É O VIÉS DE 3cm DA PRÓPRIA MATERIA PRIMA DO TECIDO"/>
    <s v="20/05/2026 14:34"/>
    <m/>
    <n v="58"/>
    <x v="0"/>
    <m/>
    <s v="91ef955a-5d32-45b2-88b6-278c1e0580b5"/>
    <d v="2026-05-20T00:00:00"/>
    <x v="0"/>
  </r>
  <r>
    <x v="24"/>
    <s v="maxwelaaraujo7@gmail.com"/>
    <n v="300261298"/>
    <n v="16481690"/>
    <x v="0"/>
    <x v="4"/>
    <s v="2-56, 3-42, 4-56, 5-42, 6-56, 1-28, TOTAL 280"/>
    <s v="Material não enviado pela Guararapes"/>
    <s v="NÃO"/>
    <m/>
    <s v="20/05/2026 15:02"/>
    <m/>
    <n v="59"/>
    <x v="0"/>
    <m/>
    <s v="59370781-3997-4345-8429-c936fb7e48b6"/>
    <d v="2026-05-20T00:00:00"/>
    <x v="0"/>
  </r>
  <r>
    <x v="25"/>
    <s v="gruponobrejk@gmail.com"/>
    <n v="300229797"/>
    <n v="16292740"/>
    <x v="2"/>
    <x v="15"/>
    <n v="70"/>
    <s v="Material não enviado pela Guararapes"/>
    <s v="NÃO"/>
    <s v="FALTANDO 70 PARES"/>
    <s v="20/05/2026 15:10"/>
    <m/>
    <n v="60"/>
    <x v="0"/>
    <m/>
    <s v="d6798370-1dc2-4ba5-b058-9939a18ca710"/>
    <d v="2026-05-20T00:00:00"/>
    <x v="0"/>
  </r>
  <r>
    <x v="26"/>
    <s v="cabugiconfeccoes.adm@gmail.com"/>
    <n v="300259160"/>
    <n v="16474163"/>
    <x v="2"/>
    <x v="16"/>
    <s v="350 PEÇAS "/>
    <s v="Material não enviado pela Guararapes"/>
    <s v="NÃO"/>
    <s v="PASSANTE PARA 350 PEÇAS COM ENTRADA 2,5 DE E SAÍDA DE 1,0"/>
    <s v="20/05/2026 15:12"/>
    <m/>
    <n v="61"/>
    <x v="0"/>
    <m/>
    <s v="318b5943-6dc2-443a-96d0-944ce03e0b90"/>
    <d v="2026-05-20T00:00:00"/>
    <x v="0"/>
  </r>
  <r>
    <x v="26"/>
    <s v="cabugiconfeccoes.adm@gmail.com"/>
    <n v="300261857"/>
    <n v="16523164"/>
    <x v="2"/>
    <x v="5"/>
    <s v="5 ROLOS"/>
    <s v="Quantidade insuficiente para terminar a ordem"/>
    <s v="NÃO"/>
    <s v="REPOSIÇÃO"/>
    <s v="20/05/2026 15:15"/>
    <m/>
    <n v="62"/>
    <x v="0"/>
    <m/>
    <s v="3852ca6f-99d7-4e1e-9317-f9faaf4a991d"/>
    <d v="2026-05-20T00:00:00"/>
    <x v="0"/>
  </r>
  <r>
    <x v="26"/>
    <s v="cabugiconfeccoes.adm@gmail.com"/>
    <n v="300261859"/>
    <n v="16523164"/>
    <x v="2"/>
    <x v="7"/>
    <s v="1 PACOTE"/>
    <s v="Quantidade insuficiente para terminar a ordem"/>
    <s v="NÃO"/>
    <s v="REPOSIÇÃO"/>
    <s v="20/05/2026 15:17"/>
    <m/>
    <n v="63"/>
    <x v="0"/>
    <m/>
    <s v="b362340c-cd84-4277-b0af-2d20d7e644ae"/>
    <d v="2026-05-20T00:00:00"/>
    <x v="0"/>
  </r>
  <r>
    <x v="27"/>
    <s v="ffconfeccoesobrn@hotmail.com"/>
    <n v="300250901"/>
    <n v="16430301"/>
    <x v="2"/>
    <x v="17"/>
    <n v="1088"/>
    <s v="Erro operacional da oficina"/>
    <s v="NÃO"/>
    <s v="ordem devolvida para refazer o cós pois a medida ficou menor "/>
    <s v="20/05/2026 15:29"/>
    <m/>
    <n v="64"/>
    <x v="0"/>
    <m/>
    <s v="1242feed-3c1e-4bfe-8f52-db528972ca25"/>
    <d v="2026-05-20T00:00:00"/>
    <x v="0"/>
  </r>
  <r>
    <x v="23"/>
    <s v="gruponobrejk@gmail.com"/>
    <n v="300254994"/>
    <n v="16377311"/>
    <x v="2"/>
    <x v="18"/>
    <n v="600"/>
    <s v="Quantidade insuficiente para terminar a ordem"/>
    <s v="NÃO"/>
    <s v="ELÁSTICO PARA 600 PEÇAS. ELÁSTICO DE 39mm"/>
    <s v="20/05/2026 16:14"/>
    <m/>
    <n v="65"/>
    <x v="0"/>
    <m/>
    <s v="4f9cec56-15cd-4d2f-91f8-15b6990a938d"/>
    <d v="2026-05-20T00:00:00"/>
    <x v="0"/>
  </r>
  <r>
    <x v="28"/>
    <s v="limaconfeccoes78@gmail.com"/>
    <n v="300261850"/>
    <n v="16523164"/>
    <x v="2"/>
    <x v="14"/>
    <n v="700"/>
    <s v="Quantidade insuficiente para terminar a ordem"/>
    <s v="NÃO"/>
    <s v="O viés do bolso dianteiro veio insuficiente."/>
    <s v="20/05/2026 16:40"/>
    <m/>
    <n v="66"/>
    <x v="0"/>
    <m/>
    <s v="423567e9-cfc7-449c-be45-ebd31fa568e2"/>
    <d v="2026-05-20T00:00:00"/>
    <x v="0"/>
  </r>
  <r>
    <x v="5"/>
    <s v="tendenciaconfec@gmail.com"/>
    <n v="300259797"/>
    <n v="16502426"/>
    <x v="3"/>
    <x v="2"/>
    <s v="G-8; P-5; PP-5"/>
    <s v="Quantidade insuficiente para terminar a ordem"/>
    <s v="NÃO"/>
    <m/>
    <s v="20/05/2026 16:41"/>
    <m/>
    <n v="67"/>
    <x v="0"/>
    <m/>
    <s v="523a73ff-45d6-476b-87d6-568df6a42180"/>
    <d v="2026-05-20T00:00:00"/>
    <x v="0"/>
  </r>
  <r>
    <x v="29"/>
    <s v="pea2015confeccoes@hotmail.com"/>
    <n v="300261482"/>
    <n v="15773477"/>
    <x v="2"/>
    <x v="2"/>
    <n v="1.284"/>
    <s v="Material não enviado pela Guararapes"/>
    <s v="NÃO"/>
    <s v="A ordem chegou em nossa oficina, sem as composição."/>
    <s v="20/05/2026 17:01"/>
    <m/>
    <n v="68"/>
    <x v="0"/>
    <m/>
    <s v="f05233c1-7d04-4a8d-b5ff-5e5429cad419"/>
    <d v="2026-05-20T00:00:00"/>
    <x v="0"/>
  </r>
  <r>
    <x v="17"/>
    <s v="faccao_sales2010@hotmail.com"/>
    <n v="300261037"/>
    <n v="16285310"/>
    <x v="2"/>
    <x v="18"/>
    <n v="400"/>
    <s v="Quantidade insuficiente para terminar a ordem"/>
    <s v="NÃO"/>
    <s v="Elastico para barra "/>
    <s v="20/05/2026 20:00"/>
    <m/>
    <n v="69"/>
    <x v="0"/>
    <m/>
    <s v="6a974d13-9148-4306-891a-7566ef46cb4c"/>
    <d v="2026-05-20T00:00:00"/>
    <x v="0"/>
  </r>
  <r>
    <x v="30"/>
    <s v="bensilvaconfeccoes@gmail.com"/>
    <n v="300262568"/>
    <n v="16240944"/>
    <x v="2"/>
    <x v="0"/>
    <n v="30"/>
    <s v="Material não enviado pela Guararapes"/>
    <s v="NÃO"/>
    <m/>
    <s v="21/05/2026 07:34"/>
    <m/>
    <n v="70"/>
    <x v="0"/>
    <m/>
    <s v="9ecd5f8d-2078-45e4-86b9-e03e6fa99cfc"/>
    <d v="2026-05-21T00:00:00"/>
    <x v="0"/>
  </r>
  <r>
    <x v="6"/>
    <s v="confeccoesgbdas@hotmail.com"/>
    <n v="300238279"/>
    <n v="15929086"/>
    <x v="3"/>
    <x v="3"/>
    <s v="42 ETIQUETAS DE CÓS TAM 12-18 // 28 ETIQUETAS DE CÓS TAM 9-12M // 28 ETIQUETAS DE CÓS TAM 6-9M // 28 ETIQUETAS DE CÓS TAM 3-6M // 28 ETIQUETAS DE CÓS TAM 1-3M"/>
    <s v="Material não enviado pela Guararapes"/>
    <s v="NÃO"/>
    <s v="154 ETIQUETAS DE CÓS NO TOTAL"/>
    <s v="21/05/2026 08:15"/>
    <m/>
    <n v="71"/>
    <x v="0"/>
    <m/>
    <s v="936d64ea-a1e7-418f-b844-78a19aa8559a"/>
    <d v="2026-05-21T00:00:00"/>
    <x v="0"/>
  </r>
  <r>
    <x v="31"/>
    <s v="administrativo@zajaconfeccoes.com.br"/>
    <n v="300261317"/>
    <n v="16499808"/>
    <x v="3"/>
    <x v="4"/>
    <s v="TOTAL: 126;"/>
    <s v="Material não enviado pela Guararapes"/>
    <s v="NÃO"/>
    <m/>
    <s v="21/05/2026 09:08"/>
    <m/>
    <n v="72"/>
    <x v="0"/>
    <m/>
    <s v="a16aeeaa-2f33-4512-9004-ce7ba958229b"/>
    <d v="2026-05-21T00:00:00"/>
    <x v="0"/>
  </r>
  <r>
    <x v="32"/>
    <s v="di3confec@gmail.com"/>
    <n v="300262586"/>
    <n v="16441303"/>
    <x v="3"/>
    <x v="8"/>
    <s v="4 cones"/>
    <s v="Quantidade insuficiente para terminar a ordem"/>
    <s v="NÃO"/>
    <s v="Material Insuficiente"/>
    <s v="21/05/2026 09:14"/>
    <m/>
    <n v="73"/>
    <x v="0"/>
    <m/>
    <s v="867b4cc3-4d49-4012-abcc-81996ac4b7df"/>
    <d v="2026-05-21T00:00:00"/>
    <x v="0"/>
  </r>
  <r>
    <x v="32"/>
    <s v="di3confec@gmail.com"/>
    <n v="300262586"/>
    <n v="16441303"/>
    <x v="3"/>
    <x v="19"/>
    <s v="4 cones"/>
    <s v="Quantidade insuficiente para terminar a ordem"/>
    <s v="NÃO"/>
    <s v="Material Insuficiente"/>
    <s v="21/05/2026 09:17"/>
    <m/>
    <n v="74"/>
    <x v="0"/>
    <m/>
    <s v="8a64cb37-f7a3-4762-8214-6e1f43e6e785"/>
    <d v="2026-05-21T00:00:00"/>
    <x v="0"/>
  </r>
  <r>
    <x v="32"/>
    <s v="di3confec@gmail.com"/>
    <n v="300259840"/>
    <n v="16223462"/>
    <x v="3"/>
    <x v="12"/>
    <n v="3"/>
    <s v="Quantidade insuficiente para terminar a ordem"/>
    <s v="TAMPOGRAFIA"/>
    <s v="Preciso de 3 partes do traseiro para finalizar a ordem"/>
    <s v="21/05/2026 09:19"/>
    <m/>
    <n v="75"/>
    <x v="0"/>
    <m/>
    <s v="12034654-0eb7-4b20-a8fb-6537b7c3c89d"/>
    <d v="2026-05-21T00:00:00"/>
    <x v="0"/>
  </r>
  <r>
    <x v="32"/>
    <s v="di3confec@gmail.com"/>
    <n v="300258861"/>
    <n v="16253515"/>
    <x v="3"/>
    <x v="12"/>
    <s v="Tamanho GG - 7 PEÇAS"/>
    <s v="Quantidade insuficiente para terminar a ordem"/>
    <s v="TAMPOGRAFIA"/>
    <s v="Preciso de 7 partes do traseiro para finalizar a op"/>
    <s v="21/05/2026 09:21"/>
    <m/>
    <n v="76"/>
    <x v="0"/>
    <m/>
    <s v="4f74b535-382c-4972-a719-20449fed8deb"/>
    <d v="2026-05-21T00:00:00"/>
    <x v="0"/>
  </r>
  <r>
    <x v="13"/>
    <s v="administrativo@zajaconfeccoes.com.br"/>
    <n v="300264541"/>
    <n v="16453808"/>
    <x v="0"/>
    <x v="3"/>
    <s v="TAM. M - 2; TAM. P - 2."/>
    <s v="Quantidade insuficiente para terminar a ordem"/>
    <s v="NÃO"/>
    <m/>
    <s v="21/05/2026 09:22"/>
    <m/>
    <n v="77"/>
    <x v="0"/>
    <m/>
    <s v="30f125db-4e77-410a-bac7-6890a3e0abf3"/>
    <d v="2026-05-21T00:00:00"/>
    <x v="0"/>
  </r>
  <r>
    <x v="33"/>
    <s v="w.anny.k@hotmail.com"/>
    <n v="300263206"/>
    <n v="15215539"/>
    <x v="1"/>
    <x v="6"/>
    <n v="1.1000000000000001"/>
    <s v="Material não enviado pela Guararapes"/>
    <s v="NÃO"/>
    <s v="PRECISAMOS DAS GOLAS PARA A ORDEM MESTRE: 300263206 - QUE NÃO VEIO NESTA ORDEM"/>
    <s v="21/05/2026 09:58"/>
    <m/>
    <n v="78"/>
    <x v="0"/>
    <m/>
    <s v="978b6326-a39c-4402-b243-f73d6b6e7406"/>
    <d v="2026-05-21T00:00:00"/>
    <x v="0"/>
  </r>
  <r>
    <x v="5"/>
    <s v="tendenciaconfec@gmail.com"/>
    <n v="300260821"/>
    <n v="16443853"/>
    <x v="3"/>
    <x v="4"/>
    <s v="9-10: 20, 8-9: 20, 6-7: 20"/>
    <s v="Quantidade insuficiente para terminar a ordem"/>
    <s v="NÃO"/>
    <m/>
    <s v="21/05/2026 09:58"/>
    <m/>
    <n v="79"/>
    <x v="0"/>
    <m/>
    <s v="975f568f-054b-45b9-be2b-19654aefaf1f"/>
    <d v="2026-05-21T00:00:00"/>
    <x v="0"/>
  </r>
  <r>
    <x v="12"/>
    <s v="lctextil@outlook.com.br"/>
    <n v="300262900"/>
    <n v="16493133"/>
    <x v="3"/>
    <x v="2"/>
    <n v="20"/>
    <s v="Quantidade insuficiente para terminar a ordem"/>
    <s v="NÃO"/>
    <s v="20 etiquetas de composição GG"/>
    <s v="21/05/2026 10:04"/>
    <m/>
    <n v="80"/>
    <x v="0"/>
    <m/>
    <s v="9e74ce50-0ee1-4bb0-b0f1-7b91a6aa7017"/>
    <d v="2026-05-21T00:00:00"/>
    <x v="0"/>
  </r>
  <r>
    <x v="21"/>
    <s v="potengitextil@outlook.com.br"/>
    <n v="300261554"/>
    <n v="16457226"/>
    <x v="3"/>
    <x v="2"/>
    <n v="83"/>
    <s v="Material extraviado"/>
    <s v="NÃO"/>
    <s v="Tamanho 3 - 28; tamanho 2- 55"/>
    <s v="21/05/2026 10:06"/>
    <m/>
    <n v="81"/>
    <x v="0"/>
    <m/>
    <s v="98e07949-fa0f-4b13-9a0b-c20fa6bb6dc4"/>
    <d v="2026-05-21T00:00:00"/>
    <x v="0"/>
  </r>
  <r>
    <x v="34"/>
    <s v="dantasepaulino@gmail.com"/>
    <n v="300256860"/>
    <n v="16293754"/>
    <x v="2"/>
    <x v="3"/>
    <n v="13"/>
    <s v="Quantidade insuficiente para terminar a ordem"/>
    <s v="NÃO"/>
    <m/>
    <s v="21/05/2026 10:27"/>
    <m/>
    <n v="82"/>
    <x v="0"/>
    <m/>
    <s v="ae72e4f0-68b7-4ea1-ba56-c20a0d4e96e3"/>
    <d v="2026-05-21T00:00:00"/>
    <x v="0"/>
  </r>
  <r>
    <x v="33"/>
    <s v="w.anny.k@hotmail.com"/>
    <n v="300263206"/>
    <n v="15215539"/>
    <x v="1"/>
    <x v="20"/>
    <n v="1100"/>
    <s v="Material não enviado pela Guararapes"/>
    <s v="NÃO"/>
    <s v="PRECISAMOS DAS GOLAS PARA A ORDEM MESTRE: 300263206 - QUE NÃO VEIO NESTA ORDEM"/>
    <s v="21/05/2026 10:27"/>
    <m/>
    <n v="83"/>
    <x v="0"/>
    <m/>
    <s v="4e47fc28-d3fe-4b3c-804a-2b763e35d4c1"/>
    <d v="2026-05-21T00:00:00"/>
    <x v="0"/>
  </r>
  <r>
    <x v="33"/>
    <s v="w.anny.k@hotmail.com"/>
    <n v="300263220"/>
    <n v="15215539"/>
    <x v="1"/>
    <x v="6"/>
    <n v="1090"/>
    <s v="Material não enviado pela Guararapes"/>
    <s v="NÃO"/>
    <s v="PRECISAMOS DAS GOLAS PARA A ORDEM MESTRE: 300263220 - QUE NÃO VEIO NESTA ORDEM"/>
    <s v="21/05/2026 10:29"/>
    <m/>
    <n v="84"/>
    <x v="0"/>
    <m/>
    <s v="95ffaebb-c47a-48fe-ad62-cdc52444a77b"/>
    <d v="2026-05-21T00:00:00"/>
    <x v="0"/>
  </r>
  <r>
    <x v="33"/>
    <s v="w.anny.k@hotmail.com"/>
    <n v="300263220"/>
    <n v="15215539"/>
    <x v="1"/>
    <x v="20"/>
    <n v="1090"/>
    <s v="Material não enviado pela Guararapes"/>
    <s v="NÃO"/>
    <s v="PRECISAMOS DO PUNHO PARA ESTA ORDEM "/>
    <s v="21/05/2026 10:32"/>
    <m/>
    <n v="85"/>
    <x v="0"/>
    <m/>
    <s v="7ef44b29-06ed-4447-9a1a-b707e0d8c92e"/>
    <d v="2026-05-21T00:00:00"/>
    <x v="0"/>
  </r>
  <r>
    <x v="33"/>
    <s v="w.anny.k@hotmail.com"/>
    <n v="300261088"/>
    <n v="15774104"/>
    <x v="2"/>
    <x v="7"/>
    <n v="2"/>
    <s v="Quantidade insuficiente para terminar a ordem"/>
    <s v="NÃO"/>
    <s v="ESTOU PRECISANDO DE LACRES PARA AS ORDENS "/>
    <s v="21/05/2026 10:35"/>
    <m/>
    <n v="86"/>
    <x v="0"/>
    <m/>
    <s v="f060126d-1a31-4194-b00c-e4b9e8ee8a61"/>
    <d v="2026-05-21T00:00:00"/>
    <x v="0"/>
  </r>
  <r>
    <x v="33"/>
    <s v="w.anny.k@hotmail.com"/>
    <n v="300261088"/>
    <n v="15774104"/>
    <x v="2"/>
    <x v="5"/>
    <n v="10"/>
    <s v="Material não enviado pela Guararapes"/>
    <s v="NÃO"/>
    <s v="estou precisando para a ordem"/>
    <s v="21/05/2026 10:40"/>
    <m/>
    <n v="87"/>
    <x v="0"/>
    <m/>
    <s v="f7554f1a-cddd-4c87-a067-0811bf7e6dd4"/>
    <d v="2026-05-21T00:00:00"/>
    <x v="0"/>
  </r>
  <r>
    <x v="35"/>
    <s v="lupercio-fnb@hotmail.com"/>
    <n v="300256322"/>
    <n v="16474589"/>
    <x v="2"/>
    <x v="13"/>
    <n v="10"/>
    <s v="Quantidade insuficiente para terminar a ordem"/>
    <s v="NÃO"/>
    <s v="Faltando"/>
    <s v="21/05/2026 10:43"/>
    <m/>
    <n v="88"/>
    <x v="0"/>
    <m/>
    <s v="c2ac03fd-f8dd-4abf-955c-47300ee078d3"/>
    <d v="2026-05-21T00:00:00"/>
    <x v="0"/>
  </r>
  <r>
    <x v="35"/>
    <s v="lupercio-fnb@hotmail.com"/>
    <n v="300263232"/>
    <n v="16488067"/>
    <x v="2"/>
    <x v="10"/>
    <n v="10"/>
    <s v="Quantidade insuficiente para terminar a ordem"/>
    <s v="NÃO"/>
    <s v="Faltando "/>
    <s v="21/05/2026 10:44"/>
    <m/>
    <n v="89"/>
    <x v="0"/>
    <m/>
    <s v="30a629ab-fe3d-497e-9507-0d275bf9b640"/>
    <d v="2026-05-21T00:00:00"/>
    <x v="0"/>
  </r>
  <r>
    <x v="36"/>
    <s v="solisconfeccoes@gmail.com"/>
    <n v="300243911"/>
    <n v="16346378"/>
    <x v="3"/>
    <x v="21"/>
    <n v="5"/>
    <s v="Material não enviado pela Guararapes"/>
    <s v="NÃO"/>
    <s v="ESTAMOS PRECISANDO PRA ENVIAR A OPS"/>
    <s v="21/05/2026 12:29"/>
    <m/>
    <n v="90"/>
    <x v="0"/>
    <m/>
    <s v="ade46d49-5bb1-4368-9218-b611c07e6cda"/>
    <d v="2026-05-21T00:00:00"/>
    <x v="0"/>
  </r>
  <r>
    <x v="10"/>
    <s v="acauaconfeccoes@outlook.com"/>
    <n v="300258842"/>
    <n v="16222326"/>
    <x v="3"/>
    <x v="12"/>
    <s v="P-58 PP-58"/>
    <s v="Material não enviado pela Guararapes"/>
    <s v="NÃO"/>
    <s v="Faltando 58 Traseiros P e 58 Traseiros PP. Ao todo 116 Traseiros "/>
    <s v="21/05/2026 13:12"/>
    <m/>
    <n v="91"/>
    <x v="0"/>
    <m/>
    <s v="59df4351-631f-4a44-b621-a53c49e96967"/>
    <d v="2026-05-21T00:00:00"/>
    <x v="0"/>
  </r>
  <r>
    <x v="6"/>
    <s v="confeccoesgbdas@hotmail.com"/>
    <n v="300238279"/>
    <n v="15929086"/>
    <x v="3"/>
    <x v="22"/>
    <s v="14 tamanho 12-18m"/>
    <s v="Quantidade insuficiente para terminar a ordem"/>
    <s v="NÃO"/>
    <m/>
    <s v="21/05/2026 13:17"/>
    <m/>
    <n v="92"/>
    <x v="0"/>
    <m/>
    <s v="2a3dbc6f-9d90-44ee-a9a6-d54260147dc8"/>
    <d v="2026-05-21T00:00:00"/>
    <x v="0"/>
  </r>
  <r>
    <x v="35"/>
    <s v="lupercio-fnb@hotmail.com"/>
    <n v="300262794"/>
    <n v="16442679"/>
    <x v="1"/>
    <x v="14"/>
    <n v="10"/>
    <s v="Quantidade insuficiente para terminar a ordem"/>
    <s v="NÃO"/>
    <s v="Faltando"/>
    <s v="21/05/2026 13:42"/>
    <m/>
    <n v="93"/>
    <x v="0"/>
    <m/>
    <s v="fb608a0c-713e-4fac-90a8-65b9475749e3"/>
    <d v="2026-05-21T00:00:00"/>
    <x v="0"/>
  </r>
  <r>
    <x v="13"/>
    <s v="administrativo@zajaconfeccoes.com.br"/>
    <n v="300256375"/>
    <n v="16375874"/>
    <x v="2"/>
    <x v="23"/>
    <n v="1.282"/>
    <s v="Material não enviado pela Guararapes"/>
    <s v="NÃO"/>
    <m/>
    <s v="21/05/2026 13:49"/>
    <m/>
    <n v="94"/>
    <x v="0"/>
    <m/>
    <s v="f1b7459f-bb7f-494a-8900-45d96ac31d71"/>
    <d v="2026-05-21T00:00:00"/>
    <x v="0"/>
  </r>
  <r>
    <x v="37"/>
    <s v="felconfeccao@gmail.com"/>
    <n v="300262202"/>
    <n v="15456714"/>
    <x v="3"/>
    <x v="2"/>
    <n v="16"/>
    <s v="Quantidade insuficiente para terminar a ordem"/>
    <s v="NÃO"/>
    <m/>
    <s v="21/05/2026 14:23"/>
    <m/>
    <n v="95"/>
    <x v="0"/>
    <m/>
    <s v="5b7af37e-71cd-4379-b935-0866844e5a40"/>
    <d v="2026-05-21T00:00:00"/>
    <x v="0"/>
  </r>
  <r>
    <x v="23"/>
    <s v="gruponobrejk@gmail.com"/>
    <n v="300000000"/>
    <n v="12345678"/>
    <x v="2"/>
    <x v="5"/>
    <n v="10"/>
    <s v="Quantidade insuficiente para terminar a ordem"/>
    <s v="NÃO"/>
    <m/>
    <s v="21/05/2026 14:36"/>
    <m/>
    <n v="96"/>
    <x v="0"/>
    <m/>
    <s v="dafed6a7-d4de-4c00-a7bd-8f42441b8ee7"/>
    <d v="2026-05-21T00:00:00"/>
    <x v="0"/>
  </r>
  <r>
    <x v="6"/>
    <s v="confeccoesgbdas@hotmail.com"/>
    <n v="300256013"/>
    <n v="16445007"/>
    <x v="3"/>
    <x v="3"/>
    <s v="10 ETIQUETAS DE CÓS TAM 12-18M // 10 ETIQUETAS DE CÓS TAM 9-12 // 10 ETIQUETAS DE CÓS TAM 6-9M // 10 ETIQUETAS DE CÓS TAM 3-6M // 10 ETIQUETAS DE CÓS TAM 1-3M"/>
    <s v="Quantidade insuficiente para terminar a ordem"/>
    <s v="NÃO"/>
    <m/>
    <s v="21/05/2026 14:41"/>
    <m/>
    <n v="97"/>
    <x v="0"/>
    <m/>
    <s v="78c615f8-c358-4731-a9e1-94f5c2d34de2"/>
    <d v="2026-05-21T00:00:00"/>
    <x v="0"/>
  </r>
  <r>
    <x v="5"/>
    <s v="tendenciaconfec@gmail.com"/>
    <n v="300234852"/>
    <n v="15764494"/>
    <x v="2"/>
    <x v="2"/>
    <s v="38-12, 40-65, 42-130, 44-130, 46-85, 48-120"/>
    <s v="Quantidade insuficiente para terminar a ordem"/>
    <s v="NÃO"/>
    <m/>
    <s v="21/05/2026 14:46"/>
    <m/>
    <n v="98"/>
    <x v="0"/>
    <m/>
    <s v="21fa8d5f-acec-492b-a1f1-935e3f05446a"/>
    <d v="2026-05-21T00:00:00"/>
    <x v="0"/>
  </r>
  <r>
    <x v="38"/>
    <s v="pn.fenix@gmail.com"/>
    <n v="300263218"/>
    <n v="16488393"/>
    <x v="2"/>
    <x v="16"/>
    <n v="550"/>
    <s v="Quantidade insuficiente para terminar a ordem"/>
    <s v="NÃO"/>
    <m/>
    <s v="21/05/2026 15:20"/>
    <m/>
    <n v="99"/>
    <x v="0"/>
    <m/>
    <s v="46cbae2f-b3f7-41e7-acfb-50367e75693a"/>
    <d v="2026-05-21T00:00:00"/>
    <x v="0"/>
  </r>
  <r>
    <x v="8"/>
    <s v="tlcserranatextil@gmail.com"/>
    <n v="300263203"/>
    <n v="15215539"/>
    <x v="1"/>
    <x v="4"/>
    <s v="P - 113 M - 339 G - 339 GG - 226 XG - 113"/>
    <s v="Material não enviado pela Guararapes"/>
    <s v="NÃO"/>
    <s v="mandaram as etiquetas erradas"/>
    <s v="22/05/2026 07:29"/>
    <m/>
    <n v="100"/>
    <x v="0"/>
    <m/>
    <s v="4d573b5b-85c4-4bcf-bc09-d3104bdf0c1e"/>
    <d v="2026-05-22T00:00:00"/>
    <x v="0"/>
  </r>
  <r>
    <x v="1"/>
    <s v="felconfeccao@gmail.com"/>
    <n v="300261449"/>
    <n v="16217861"/>
    <x v="2"/>
    <x v="1"/>
    <n v="15"/>
    <s v="Quantidade insuficiente para terminar a ordem"/>
    <s v="NÃO"/>
    <m/>
    <s v="22/05/2026 07:30"/>
    <m/>
    <n v="101"/>
    <x v="0"/>
    <m/>
    <s v="3e63fdda-875f-49d9-9ef6-b07edbfdf532"/>
    <d v="2026-05-22T00:00:00"/>
    <x v="0"/>
  </r>
  <r>
    <x v="8"/>
    <s v="tlcserranatextil@gmail.com"/>
    <n v="300263205"/>
    <n v="15215539"/>
    <x v="1"/>
    <x v="4"/>
    <s v="P - 40 M - 120 G - 120 GG - 80 XG - 40"/>
    <s v="Material não enviado pela Guararapes"/>
    <s v="NÃO"/>
    <s v="enviaram as etiquetas erradas"/>
    <s v="22/05/2026 07:31"/>
    <m/>
    <n v="102"/>
    <x v="0"/>
    <m/>
    <s v="ee97429b-f79d-4eed-b659-19ecd11ac3b2"/>
    <d v="2026-05-22T00:00:00"/>
    <x v="0"/>
  </r>
  <r>
    <x v="39"/>
    <s v="ldinizconfeccoes@hotmail.com"/>
    <n v="300000000"/>
    <n v="0"/>
    <x v="2"/>
    <x v="7"/>
    <s v="pacote"/>
    <s v="Quantidade insuficiente para terminar a ordem"/>
    <s v="NÃO"/>
    <m/>
    <s v="22/05/2026 07:36"/>
    <m/>
    <n v="103"/>
    <x v="0"/>
    <m/>
    <s v="5ca8f9d4-a429-44f2-8eeb-689a618185f4"/>
    <d v="2026-05-22T00:00:00"/>
    <x v="0"/>
  </r>
  <r>
    <x v="17"/>
    <s v="faccao_sales2010@hotmail.com"/>
    <n v="300258508"/>
    <n v="16223780"/>
    <x v="3"/>
    <x v="4"/>
    <s v="gg-80, g-50, m-45, p-50, pp-20"/>
    <s v="Quantidade insuficiente para terminar a ordem"/>
    <s v="NÃO"/>
    <m/>
    <s v="22/05/2026 07:36"/>
    <m/>
    <n v="104"/>
    <x v="0"/>
    <m/>
    <s v="f3a47b46-f5b5-417f-9957-0327049b8389"/>
    <d v="2026-05-22T00:00:00"/>
    <x v="0"/>
  </r>
  <r>
    <x v="40"/>
    <s v="paulaaretuzaviturino@gmail.com"/>
    <n v="300260817"/>
    <n v="16223608"/>
    <x v="3"/>
    <x v="4"/>
    <n v="78"/>
    <s v="Quantidade insuficiente para terminar a ordem"/>
    <s v="NÃO"/>
    <s v="veio etiquetas insuficientes do tamanho GG para terminar a OP"/>
    <s v="22/05/2026 07:56"/>
    <m/>
    <n v="105"/>
    <x v="0"/>
    <m/>
    <s v="b620c84c-95c4-4028-a291-59f1e34a253d"/>
    <d v="2026-05-22T00:00:00"/>
    <x v="0"/>
  </r>
  <r>
    <x v="39"/>
    <s v="ldinizconfeccoes@hotmail.com"/>
    <n v="300264021"/>
    <n v="16474570"/>
    <x v="2"/>
    <x v="24"/>
    <n v="22"/>
    <s v="Material não enviado pela Guararapes"/>
    <s v="BOLSO AUTOMÁTICO"/>
    <s v="solicito urgencia, a guararapes me enviou ontem e pediu devolução ja na quarta. "/>
    <s v="22/05/2026 08:02"/>
    <m/>
    <n v="106"/>
    <x v="0"/>
    <m/>
    <s v="53a94f94-0248-4d57-a671-00c97fd8d2de"/>
    <d v="2026-05-22T00:00:00"/>
    <x v="0"/>
  </r>
  <r>
    <x v="4"/>
    <s v="hiconfeccao@gmail.com"/>
    <n v="300262454"/>
    <n v="16447603"/>
    <x v="2"/>
    <x v="8"/>
    <n v="5"/>
    <s v="Quantidade insuficiente para terminar a ordem"/>
    <s v="NÃO"/>
    <s v="Pedido de envio de 5 cones da linha 100%PES TÍT80 S.728 132803."/>
    <s v="22/05/2026 08:04"/>
    <m/>
    <n v="107"/>
    <x v="0"/>
    <m/>
    <s v="45d39f76-d8b6-4ae0-a612-19db7a3221c0"/>
    <d v="2026-05-22T00:00:00"/>
    <x v="0"/>
  </r>
  <r>
    <x v="31"/>
    <s v="administrativo@zajaconfeccoes.com.br"/>
    <n v="300262582"/>
    <n v="16499883"/>
    <x v="3"/>
    <x v="0"/>
    <n v="0"/>
    <s v="Quantidade insuficiente para terminar a ordem"/>
    <s v="NÃO"/>
    <m/>
    <s v="22/05/2026 08:30"/>
    <m/>
    <n v="108"/>
    <x v="0"/>
    <m/>
    <s v="a4d95d2d-ef38-4261-b655-59c28f64a5e3"/>
    <d v="2026-05-22T00:00:00"/>
    <x v="0"/>
  </r>
  <r>
    <x v="41"/>
    <s v="faccao_sales2010@hotmail.com"/>
    <n v="300260245"/>
    <n v="16440960"/>
    <x v="3"/>
    <x v="14"/>
    <n v="100"/>
    <s v="Quantidade insuficiente para terminar a ordem"/>
    <s v="NÃO"/>
    <s v="viés de ribana de gola"/>
    <s v="22/05/2026 08:49"/>
    <m/>
    <n v="109"/>
    <x v="0"/>
    <m/>
    <s v="b8b112b1-331c-4103-8074-7694395dd1ab"/>
    <d v="2026-05-22T00:00:00"/>
    <x v="0"/>
  </r>
  <r>
    <x v="42"/>
    <s v="marionetemedeiros2@hotmail.com"/>
    <n v="300257326"/>
    <n v="16218230"/>
    <x v="2"/>
    <x v="18"/>
    <n v="1584"/>
    <s v="Material não enviado pela Guararapes"/>
    <s v="NÃO"/>
    <s v="POR GENTILEZA MANDAR EM PEÇA POIS IREI UTILIZAR O ELASTICO DE OUTRA ORDEM QUE ESTÁ COMIGO PARA NÃO PARAR."/>
    <s v="22/05/2026 08:58"/>
    <m/>
    <n v="110"/>
    <x v="0"/>
    <m/>
    <s v="bc2b89f7-74d5-47b3-a885-5e7b33399c03"/>
    <d v="2026-05-22T00:00:00"/>
    <x v="0"/>
  </r>
  <r>
    <x v="43"/>
    <s v="faccaoello@hotmail.com"/>
    <n v="300253751"/>
    <n v="16450302"/>
    <x v="2"/>
    <x v="12"/>
    <s v="LADO DIREITO- 47"/>
    <s v="Material não enviado pela Guararapes"/>
    <s v="NÃO"/>
    <m/>
    <s v="22/05/2026 09:13"/>
    <m/>
    <n v="111"/>
    <x v="0"/>
    <m/>
    <s v="01c6fc07-46b7-4f3f-8448-a9a425771628"/>
    <d v="2026-05-22T00:00:00"/>
    <x v="0"/>
  </r>
  <r>
    <x v="43"/>
    <s v="faccaoello@hotmail.com"/>
    <n v="300253751"/>
    <n v="16450302"/>
    <x v="2"/>
    <x v="12"/>
    <s v="LADO ESQUERDO-47"/>
    <s v="Material não enviado pela Guararapes"/>
    <s v="NÃO"/>
    <s v="TAMANHO 5"/>
    <s v="22/05/2026 09:14"/>
    <m/>
    <n v="112"/>
    <x v="0"/>
    <m/>
    <s v="35260b19-5141-40c5-950d-d993d6a9a389"/>
    <d v="2026-05-22T00:00:00"/>
    <x v="0"/>
  </r>
  <r>
    <x v="43"/>
    <s v="faccaoello@hotmail.com"/>
    <n v="300253751"/>
    <n v="16450302"/>
    <x v="2"/>
    <x v="25"/>
    <s v="TAM 5- 47 PEÇAS"/>
    <s v="Material não enviado pela Guararapes"/>
    <s v="NÃO"/>
    <s v="MARQUEI UMA OPÇÃO ALEATORIA, POIS NÃO TEM A OPÇÃO DE PEDIR REVEL"/>
    <s v="22/05/2026 09:17"/>
    <m/>
    <n v="113"/>
    <x v="0"/>
    <m/>
    <s v="07394c1d-6b04-47d5-bad8-8057e99ec298"/>
    <d v="2026-05-22T00:00:00"/>
    <x v="0"/>
  </r>
  <r>
    <x v="43"/>
    <s v="facçãoello@hotmail.com"/>
    <n v="300253751"/>
    <n v="16450302"/>
    <x v="2"/>
    <x v="24"/>
    <s v="TAM 5- 36 "/>
    <s v="Material não enviado pela Guararapes"/>
    <s v="NÃO"/>
    <m/>
    <s v="22/05/2026 09:18"/>
    <m/>
    <n v="114"/>
    <x v="0"/>
    <m/>
    <s v="b57c8184-b037-43de-834e-3c053e76e515"/>
    <d v="2026-05-22T00:00:00"/>
    <x v="0"/>
  </r>
  <r>
    <x v="43"/>
    <s v="faccaoello@hotmail.com"/>
    <n v="300253751"/>
    <n v="16450302"/>
    <x v="2"/>
    <x v="22"/>
    <s v="TAM 5- 29"/>
    <s v="Material não enviado pela Guararapes"/>
    <s v="NÃO"/>
    <m/>
    <s v="22/05/2026 09:19"/>
    <m/>
    <n v="115"/>
    <x v="0"/>
    <m/>
    <s v="63b22d06-e746-4cd5-a6cb-2730bb035918"/>
    <d v="2026-05-22T00:00:00"/>
    <x v="0"/>
  </r>
  <r>
    <x v="43"/>
    <s v="faccaoello@hotmail.com"/>
    <n v="300253751"/>
    <n v="16450302"/>
    <x v="2"/>
    <x v="22"/>
    <s v="TAM 5- 26"/>
    <s v="Material não enviado pela Guararapes"/>
    <s v="NÃO"/>
    <m/>
    <s v="22/05/2026 09:20"/>
    <m/>
    <n v="116"/>
    <x v="0"/>
    <m/>
    <s v="f4cd19f3-18d8-4ddb-ad4d-10041bb4a767"/>
    <d v="2026-05-22T00:00:00"/>
    <x v="0"/>
  </r>
  <r>
    <x v="43"/>
    <s v="faccaoello@hotmail.com"/>
    <n v="300253751"/>
    <n v="16450302"/>
    <x v="2"/>
    <x v="22"/>
    <s v="TAM 4- 3"/>
    <s v="Material não enviado pela Guararapes"/>
    <s v="NÃO"/>
    <m/>
    <s v="22/05/2026 09:21"/>
    <m/>
    <n v="117"/>
    <x v="0"/>
    <m/>
    <s v="80f36db6-1d94-496f-956a-8fd0fbf88ed3"/>
    <d v="2026-05-22T00:00:00"/>
    <x v="0"/>
  </r>
  <r>
    <x v="43"/>
    <s v="faccaoello@hotmail.com"/>
    <n v="300253751"/>
    <n v="16450302"/>
    <x v="2"/>
    <x v="24"/>
    <s v="TAM 5- 36"/>
    <s v="Material não enviado pela Guararapes"/>
    <s v="NÃO"/>
    <m/>
    <s v="22/05/2026 09:27"/>
    <m/>
    <n v="118"/>
    <x v="0"/>
    <m/>
    <s v="2f0d0386-5bf3-4356-b90b-90fdd81047d0"/>
    <d v="2026-05-22T00:00:00"/>
    <x v="0"/>
  </r>
  <r>
    <x v="24"/>
    <s v="maxwelaaraujo7@gmail.com"/>
    <n v="300261298"/>
    <n v="16481690"/>
    <x v="0"/>
    <x v="26"/>
    <n v="280"/>
    <s v="Material não enviado pela Guararapes"/>
    <s v="NÃO"/>
    <s v="PALA TRASEIRO, MATERIAL PARA PRODUÇÃO ENTEIRA, TODOS OS TAMANHOS"/>
    <s v="22/05/2026 09:50"/>
    <m/>
    <n v="119"/>
    <x v="0"/>
    <m/>
    <s v="9603e7a0-ff33-4be7-86ea-3cf616245b1b"/>
    <d v="2026-05-22T00:00:00"/>
    <x v="0"/>
  </r>
  <r>
    <x v="8"/>
    <s v="tlcserranatextil@gmail.com"/>
    <n v="300263202"/>
    <n v="15215539"/>
    <x v="1"/>
    <x v="2"/>
    <s v="M-100"/>
    <s v="Material não enviado pela Guararapes"/>
    <s v="NÃO"/>
    <s v="veio faltando etiqueta"/>
    <s v="22/05/2026 09:52"/>
    <m/>
    <n v="120"/>
    <x v="0"/>
    <m/>
    <s v="3a0648e1-1144-4f9b-ad13-69dbf369dbb0"/>
    <d v="2026-05-22T00:00:00"/>
    <x v="0"/>
  </r>
  <r>
    <x v="23"/>
    <s v="gruponobrejk@gmail.com"/>
    <n v="300231420"/>
    <n v="16317840"/>
    <x v="2"/>
    <x v="3"/>
    <n v="40"/>
    <s v="Material não enviado pela Guararapes"/>
    <s v="NÃO"/>
    <s v="10000218092 - 15 ETIQUETAS/ 10000208288 - 10 ETIQUETAS / 10000208287 - 15 ETIQUETAS"/>
    <s v="22/05/2026 09:57"/>
    <m/>
    <n v="121"/>
    <x v="0"/>
    <m/>
    <s v="e71aa8cd-f8fa-440a-9963-5332533207c9"/>
    <d v="2026-05-22T00:00:00"/>
    <x v="0"/>
  </r>
  <r>
    <x v="44"/>
    <s v="teceuzl@hotmail.com"/>
    <n v="300264156"/>
    <n v="15128288"/>
    <x v="1"/>
    <x v="27"/>
    <n v="1476"/>
    <s v="Material não enviado pela Guararapes"/>
    <s v="NÃO"/>
    <m/>
    <s v="22/05/2026 09:58"/>
    <m/>
    <n v="122"/>
    <x v="0"/>
    <m/>
    <s v="6055264b-e46a-4a9a-9df5-26d546b27816"/>
    <d v="2026-05-22T00:00:00"/>
    <x v="0"/>
  </r>
  <r>
    <x v="44"/>
    <s v="teceuzl@hotmail.com"/>
    <n v="300264156"/>
    <n v="15128288"/>
    <x v="1"/>
    <x v="2"/>
    <n v="738"/>
    <s v="Material não enviado pela Guararapes"/>
    <s v="NÃO"/>
    <s v="P - 82; M - 205; G - 205; GG - 164; XG - 82"/>
    <s v="22/05/2026 10:01"/>
    <m/>
    <n v="123"/>
    <x v="0"/>
    <m/>
    <s v="90b8fa28-554a-415f-aecc-5837b69b136b"/>
    <d v="2026-05-22T00:00:00"/>
    <x v="0"/>
  </r>
  <r>
    <x v="7"/>
    <s v="confeccaogenesisltda@gmail.com"/>
    <n v="300259284"/>
    <n v="16451090"/>
    <x v="0"/>
    <x v="28"/>
    <n v="70"/>
    <s v="Quantidade insuficiente para terminar a ordem"/>
    <s v="NÃO"/>
    <s v="babado da manga, veio danificado e será preciso enviar reposição para finalizar a op"/>
    <s v="22/05/2026 10:02"/>
    <m/>
    <n v="124"/>
    <x v="0"/>
    <m/>
    <s v="8060ef25-c687-45dc-ab42-2535faeeab43"/>
    <d v="2026-05-22T00:00:00"/>
    <x v="0"/>
  </r>
  <r>
    <x v="44"/>
    <s v="teceuzl@hotmail.com"/>
    <n v="300264157"/>
    <n v="15128288"/>
    <x v="1"/>
    <x v="27"/>
    <n v="1632"/>
    <s v="Material não enviado pela Guararapes"/>
    <s v="NÃO"/>
    <m/>
    <s v="22/05/2026 10:02"/>
    <m/>
    <n v="125"/>
    <x v="0"/>
    <m/>
    <s v="4640867a-42ef-461f-af4e-610169ff3003"/>
    <d v="2026-05-22T00:00:00"/>
    <x v="0"/>
  </r>
  <r>
    <x v="44"/>
    <s v="teceuzl@hotmail.com"/>
    <n v="300264157"/>
    <n v="15128288"/>
    <x v="1"/>
    <x v="2"/>
    <n v="816"/>
    <s v="Material não enviado pela Guararapes"/>
    <s v="NÃO"/>
    <s v="P - 96; M- 216; G - 216; GG - 192; XG - 96"/>
    <s v="22/05/2026 10:04"/>
    <m/>
    <n v="126"/>
    <x v="0"/>
    <m/>
    <s v="1daedc0a-91a5-44a8-81a1-03af92f11707"/>
    <d v="2026-05-22T00:00:00"/>
    <x v="0"/>
  </r>
  <r>
    <x v="5"/>
    <s v="tendenciaconfec@gmail.com"/>
    <n v="300262834"/>
    <n v="16226895"/>
    <x v="3"/>
    <x v="4"/>
    <s v="8-9: 120"/>
    <s v="Quantidade insuficiente para terminar a ordem"/>
    <s v="NÃO"/>
    <m/>
    <s v="22/05/2026 10:08"/>
    <m/>
    <n v="127"/>
    <x v="0"/>
    <m/>
    <s v="ae9090a4-4073-4553-9f7f-16211c6e428a"/>
    <d v="2026-05-22T00:00:00"/>
    <x v="0"/>
  </r>
  <r>
    <x v="45"/>
    <s v="Sjarlandia@hotmail.com"/>
    <n v="300264396"/>
    <n v="16293755"/>
    <x v="2"/>
    <x v="7"/>
    <n v="5"/>
    <s v="Material não enviado pela Guararapes"/>
    <s v="NÃO"/>
    <m/>
    <s v="22/05/2026 10:22"/>
    <m/>
    <n v="128"/>
    <x v="0"/>
    <m/>
    <s v="e4f5d552-2efd-46f9-8f26-35f0d882de8a"/>
    <d v="2026-05-22T00:00:00"/>
    <x v="0"/>
  </r>
  <r>
    <x v="46"/>
    <s v="Sjarlandia@hotmail.com"/>
    <n v="300263215"/>
    <n v="16138473"/>
    <x v="2"/>
    <x v="7"/>
    <n v="1"/>
    <s v="Quantidade insuficiente para terminar a ordem"/>
    <s v="NÃO"/>
    <m/>
    <s v="22/05/2026 10:23"/>
    <m/>
    <n v="129"/>
    <x v="0"/>
    <m/>
    <s v="2bb794cc-b353-49d7-8ce8-bc9accda5ef7"/>
    <d v="2026-05-22T00:00:00"/>
    <x v="0"/>
  </r>
  <r>
    <x v="21"/>
    <s v="potengitextil@outlook.com.br"/>
    <n v="300260029"/>
    <n v="16442660"/>
    <x v="1"/>
    <x v="4"/>
    <n v="325"/>
    <s v="Material diferente do especificado na ordem"/>
    <s v="NÃO"/>
    <s v="As etiquetas veio referente a um vestido infantil. "/>
    <s v="22/05/2026 10:47"/>
    <m/>
    <n v="130"/>
    <x v="0"/>
    <m/>
    <s v="aff21532-fa2c-457c-b322-22925fffbdf8"/>
    <d v="2026-05-22T00:00:00"/>
    <x v="0"/>
  </r>
  <r>
    <x v="35"/>
    <s v="lupercio-fnb@hotmail.com"/>
    <n v="300262794"/>
    <n v="16442679"/>
    <x v="1"/>
    <x v="14"/>
    <s v="10 rolos"/>
    <s v="Quantidade insuficiente para terminar a ordem"/>
    <s v="NÃO"/>
    <m/>
    <s v="22/05/2026 12:45"/>
    <m/>
    <n v="131"/>
    <x v="0"/>
    <m/>
    <s v="dfc416e5-6d11-4143-b1b7-cbab6371b198"/>
    <d v="2026-05-22T00:00:00"/>
    <x v="0"/>
  </r>
  <r>
    <x v="35"/>
    <s v="lupercio-fnb@hotmail.com"/>
    <n v="300262794"/>
    <n v="16442679"/>
    <x v="1"/>
    <x v="14"/>
    <s v="10 rolos "/>
    <s v="Quantidade insuficiente para terminar a ordem"/>
    <s v="NÃO"/>
    <s v="Cor - 8184"/>
    <s v="22/05/2026 12:46"/>
    <m/>
    <n v="132"/>
    <x v="0"/>
    <m/>
    <s v="1fc065e5-478d-44f1-98a3-cc9d3e6661c1"/>
    <d v="2026-05-22T00:00:00"/>
    <x v="0"/>
  </r>
  <r>
    <x v="35"/>
    <s v="lupercio-fnb@hotmail.com"/>
    <n v="300262794"/>
    <n v="16442679"/>
    <x v="1"/>
    <x v="12"/>
    <s v="24 peças"/>
    <s v="Quantidade insuficiente para terminar a ordem"/>
    <s v="NÃO"/>
    <m/>
    <s v="22/05/2026 12:58"/>
    <m/>
    <n v="133"/>
    <x v="0"/>
    <m/>
    <s v="1a1b877c-7b1f-415e-8547-96c7ca24ebd7"/>
    <d v="2026-05-22T00:00:00"/>
    <x v="0"/>
  </r>
  <r>
    <x v="35"/>
    <s v="lupercio-fnb@hotmail.com"/>
    <n v="300262794"/>
    <n v="16442679"/>
    <x v="1"/>
    <x v="2"/>
    <s v="34 peças"/>
    <s v="Material diferente do especificado na ordem"/>
    <s v="NÃO"/>
    <m/>
    <s v="22/05/2026 13:03"/>
    <m/>
    <n v="134"/>
    <x v="0"/>
    <m/>
    <s v="263c091e-3ff9-417a-94d0-8c75be1c0e41"/>
    <d v="2026-05-22T00:00:00"/>
    <x v="0"/>
  </r>
  <r>
    <x v="47"/>
    <s v="kswconfeccoesltda@gmail.com"/>
    <n v="300260891"/>
    <n v="16223462"/>
    <x v="3"/>
    <x v="19"/>
    <n v="1215"/>
    <s v="Quantidade insuficiente para terminar a ordem"/>
    <s v="NÃO"/>
    <s v="Material insuficiente enviado, todas ordens estão vindo com um baixíssimo volume de aviamentos."/>
    <s v="22/05/2026 13:12"/>
    <m/>
    <n v="135"/>
    <x v="0"/>
    <m/>
    <s v="43b64ecb-7beb-4685-af57-94b452db43e5"/>
    <d v="2026-05-22T00:00:00"/>
    <x v="0"/>
  </r>
  <r>
    <x v="35"/>
    <s v="lupercio-fnb@hotmail.com"/>
    <n v="300262794"/>
    <n v="16442679"/>
    <x v="1"/>
    <x v="14"/>
    <n v="180"/>
    <s v="Quantidade insuficiente para terminar a ordem"/>
    <s v="NÃO"/>
    <m/>
    <s v="22/05/2026 13:16"/>
    <m/>
    <n v="136"/>
    <x v="0"/>
    <m/>
    <s v="2669c960-d92a-4d63-9666-c250cf251a51"/>
    <d v="2026-05-22T00:00:00"/>
    <x v="0"/>
  </r>
  <r>
    <x v="35"/>
    <s v="lupercio-fnb@hotmail.com"/>
    <n v="300263232"/>
    <n v="16488067"/>
    <x v="1"/>
    <x v="17"/>
    <s v="3-44, 40-40 Par"/>
    <s v="Quantidade insuficiente para terminar a ordem"/>
    <s v="NÃO"/>
    <s v="No caso 3 par tamanho 44 e 40 par tamanho 40"/>
    <s v="22/05/2026 13:18"/>
    <m/>
    <n v="137"/>
    <x v="0"/>
    <m/>
    <s v="4026d425-59d0-4d02-9f80-517a0c6c921d"/>
    <d v="2026-05-22T00:00:00"/>
    <x v="0"/>
  </r>
  <r>
    <x v="48"/>
    <s v="evalber_dantas@hotmail.com"/>
    <n v="300265382"/>
    <n v="16272676"/>
    <x v="2"/>
    <x v="17"/>
    <s v="Boa tarde, não veio cõs para 248 peças. TAM 48 - 31 PEÇAS, TAM 46 - 31 PEÇAS,  TAM 44- 62 PEÇAS, TAM 42 - 93 PEÇAS , TAM 38- 31 PEÇAS"/>
    <s v="Material não enviado pela Guararapes"/>
    <s v="NÃO"/>
    <s v="CÓS RETO ( ENTRADA - 11,0 CM/ SAÍDA - 4,2 CM)"/>
    <s v="22/05/2026 13:29"/>
    <m/>
    <n v="138"/>
    <x v="0"/>
    <m/>
    <s v="64869e26-11bb-4125-893c-70f16355fba8"/>
    <d v="2026-05-22T00:00:00"/>
    <x v="0"/>
  </r>
  <r>
    <x v="47"/>
    <s v="kswconfeccoesltda@gmail.com"/>
    <n v="300260891"/>
    <n v="16223462"/>
    <x v="3"/>
    <x v="8"/>
    <n v="1215"/>
    <s v="Quantidade insuficiente para terminar a ordem"/>
    <s v="NÃO"/>
    <s v="Material insuficiente enviado, todas ordens estão vindo com um baixíssimo volume de aviamentos."/>
    <s v="22/05/2026 13:41"/>
    <m/>
    <n v="139"/>
    <x v="0"/>
    <m/>
    <s v="54477943-2af5-49ad-8ccb-11657ba06f2c"/>
    <d v="2026-05-22T00:00:00"/>
    <x v="0"/>
  </r>
  <r>
    <x v="49"/>
    <s v="s.ramosconfeccoes@gmail.com"/>
    <n v="300264043"/>
    <n v="16507665"/>
    <x v="2"/>
    <x v="5"/>
    <n v="1008"/>
    <s v="Material não enviado pela Guararapes"/>
    <s v="NÃO"/>
    <s v="Estamos precisando de filme plastico para passante"/>
    <s v="22/05/2026 13:41"/>
    <m/>
    <n v="140"/>
    <x v="0"/>
    <m/>
    <s v="8ab7f321-d1d9-46f1-9869-7bbc4440ace1"/>
    <d v="2026-05-22T00:00:00"/>
    <x v="0"/>
  </r>
  <r>
    <x v="50"/>
    <s v="acauaconfeccoes@outlook.com"/>
    <n v="300263577"/>
    <n v="16507630"/>
    <x v="2"/>
    <x v="9"/>
    <s v="5 Cones da textura 36 e 5 cones da textura 80"/>
    <s v="Quantidade insuficiente para terminar a ordem"/>
    <s v="NÃO"/>
    <m/>
    <s v="22/05/2026 13:42"/>
    <m/>
    <n v="141"/>
    <x v="0"/>
    <m/>
    <s v="99abb5d1-0541-4f64-ad88-80c65d3ca386"/>
    <d v="2026-05-22T00:00:00"/>
    <x v="0"/>
  </r>
  <r>
    <x v="51"/>
    <s v="fc_faccao@yahoo.com.br"/>
    <n v="300259798"/>
    <n v="16441630"/>
    <x v="3"/>
    <x v="6"/>
    <s v="20 - PP"/>
    <s v="Quantidade insuficiente para terminar a ordem"/>
    <s v="NÃO"/>
    <m/>
    <s v="22/05/2026 13:52"/>
    <m/>
    <n v="143"/>
    <x v="0"/>
    <m/>
    <s v="3a55d305-7b3f-4ae3-8b54-dcb218fabd8b"/>
    <d v="2026-05-22T00:00:00"/>
    <x v="0"/>
  </r>
  <r>
    <x v="51"/>
    <s v="fc_faccao@yahoo.com.br"/>
    <n v="300259798"/>
    <n v="16441630"/>
    <x v="3"/>
    <x v="7"/>
    <n v="200"/>
    <s v="Material não enviado pela Guararapes"/>
    <s v="NÃO"/>
    <m/>
    <s v="22/05/2026 13:53"/>
    <m/>
    <n v="144"/>
    <x v="0"/>
    <m/>
    <s v="fe2ed6ee-d367-43d8-8b3e-6afb20b6cfe1"/>
    <d v="2026-05-22T00:00:00"/>
    <x v="0"/>
  </r>
  <r>
    <x v="47"/>
    <s v="kswconfeccoesltda@gmail.com"/>
    <n v="300258864"/>
    <n v="16474295"/>
    <x v="3"/>
    <x v="19"/>
    <n v="880"/>
    <s v="Quantidade insuficiente para terminar a ordem"/>
    <s v="NÃO"/>
    <s v="Material insuficiente enviado, todas ordens estão vindo com um baixíssimo volume de aviamentos."/>
    <s v="22/05/2026 13:55"/>
    <m/>
    <n v="145"/>
    <x v="0"/>
    <m/>
    <s v="4869fed6-765f-45c1-917a-81a061a83791"/>
    <d v="2026-05-22T00:00:00"/>
    <x v="0"/>
  </r>
  <r>
    <x v="7"/>
    <s v="confeccaogenesisltda@gmail.com"/>
    <n v="300259284"/>
    <n v="16451090"/>
    <x v="0"/>
    <x v="2"/>
    <s v="6-7=100"/>
    <s v="Material não enviado pela Guararapes"/>
    <s v="NÃO"/>
    <s v="veio faltando"/>
    <s v="22/05/2026 14:01"/>
    <m/>
    <n v="146"/>
    <x v="0"/>
    <m/>
    <s v="b549e50c-c7c5-4825-8672-e024bf7834f6"/>
    <d v="2026-05-22T00:00:00"/>
    <x v="0"/>
  </r>
  <r>
    <x v="47"/>
    <s v="kswconfeccoesltda@gmail.com"/>
    <n v="300258864"/>
    <n v="16474295"/>
    <x v="3"/>
    <x v="8"/>
    <n v="880"/>
    <s v="Quantidade insuficiente para terminar a ordem"/>
    <s v="NÃO"/>
    <s v="Material insuficiente enviado, todas ordens estão vindo com um baixíssimo volume de aviamentos."/>
    <s v="22/05/2026 14:04"/>
    <m/>
    <n v="147"/>
    <x v="0"/>
    <m/>
    <s v="423f6a78-b423-4df7-b825-4c82e7f18a42"/>
    <d v="2026-05-22T00:00:00"/>
    <x v="0"/>
  </r>
  <r>
    <x v="52"/>
    <s v="ajgconfeccoes2021@gmail.com"/>
    <n v="300260824"/>
    <n v="16443853"/>
    <x v="3"/>
    <x v="29"/>
    <n v="200"/>
    <s v="Quantidade insuficiente para terminar a ordem"/>
    <s v="NÃO"/>
    <s v="é vies do decote 5,2 cm ."/>
    <s v="22/05/2026 14:07"/>
    <m/>
    <n v="148"/>
    <x v="0"/>
    <m/>
    <s v="9f887181-c3d1-4d95-9b0b-7c8a9d1434c1"/>
    <d v="2026-05-22T00:00:00"/>
    <x v="0"/>
  </r>
  <r>
    <x v="17"/>
    <s v="faccao_sales2010@hotmail.com"/>
    <n v="300236089"/>
    <n v="16247388"/>
    <x v="2"/>
    <x v="13"/>
    <s v="9/10-356; 6/7-178"/>
    <s v="Material diferente do especificado na ordem"/>
    <s v="NÃO"/>
    <s v="ziper vieram errados do que esta pedindo na ordem"/>
    <s v="22/05/2026 14:20"/>
    <m/>
    <n v="149"/>
    <x v="0"/>
    <m/>
    <s v="e842758b-379f-4258-a9d5-8e662e90d3ea"/>
    <d v="2026-05-22T00:00:00"/>
    <x v="0"/>
  </r>
  <r>
    <x v="36"/>
    <s v="solisconfeccoes@gmail.com"/>
    <n v="300263372"/>
    <n v="16099605"/>
    <x v="3"/>
    <x v="2"/>
    <s v="GG=18/G=18/M=24/P=24/PP=12  TOTAL =96"/>
    <s v="Material não enviado pela Guararapes"/>
    <s v="NÃO"/>
    <s v="NÃO ENVIADA PELA GUARARAPES"/>
    <s v="22/05/2026 14:43"/>
    <m/>
    <n v="150"/>
    <x v="0"/>
    <m/>
    <s v="e682adac-efe1-4c48-ac9f-53f9aecf7674"/>
    <d v="2026-05-22T00:00:00"/>
    <x v="0"/>
  </r>
  <r>
    <x v="36"/>
    <s v="solisconfeccoes@gmail.com"/>
    <n v="300263372"/>
    <n v="16099605"/>
    <x v="3"/>
    <x v="30"/>
    <s v="G=18"/>
    <s v="Material não enviado pela Guararapes"/>
    <s v="NÃO"/>
    <s v="NÃO VEIO JUNTO COM A OP"/>
    <s v="22/05/2026 14:46"/>
    <m/>
    <n v="151"/>
    <x v="0"/>
    <m/>
    <s v="2c181b27-6eca-4b97-8860-75b75d85a386"/>
    <d v="2026-05-22T00:00:00"/>
    <x v="0"/>
  </r>
  <r>
    <x v="31"/>
    <s v="administrativo@zajaconfeccoes.com.br"/>
    <n v="300261317"/>
    <n v="16499808"/>
    <x v="3"/>
    <x v="4"/>
    <n v="56"/>
    <s v="Quantidade insuficiente para terminar a ordem"/>
    <s v="NÃO"/>
    <s v="11/12-28; 8/9- 28"/>
    <s v="22/05/2026 15:03"/>
    <m/>
    <n v="152"/>
    <x v="0"/>
    <m/>
    <s v="14db4549-f2e5-4f76-801b-d059a696b179"/>
    <d v="2026-05-22T00:00:00"/>
    <x v="0"/>
  </r>
  <r>
    <x v="53"/>
    <s v="g4confeccao@gmail.com"/>
    <n v="300257650"/>
    <n v="15420000"/>
    <x v="2"/>
    <x v="17"/>
    <n v="195"/>
    <s v="Material diferente do especificado na ordem"/>
    <s v="NÃO"/>
    <s v="Enviar cós do 46 quantidade 110  cós 48 quantidade 85"/>
    <s v="22/05/2026 15:04"/>
    <m/>
    <n v="153"/>
    <x v="0"/>
    <m/>
    <s v="1f172dc3-754d-4361-a674-7c3000572242"/>
    <d v="2026-05-22T00:00:00"/>
    <x v="0"/>
  </r>
  <r>
    <x v="40"/>
    <s v="paulaaretuzaviturino@gmail.com"/>
    <n v="300263350"/>
    <n v="16099605"/>
    <x v="3"/>
    <x v="7"/>
    <n v="200"/>
    <s v="Quantidade insuficiente para terminar a ordem"/>
    <s v="NÃO"/>
    <s v="Lacres insuficientes."/>
    <s v="22/05/2026 15:10"/>
    <m/>
    <n v="154"/>
    <x v="0"/>
    <m/>
    <s v="5676babb-381b-4b3e-901f-1e4035b1eec6"/>
    <d v="2026-05-22T00:00:00"/>
    <x v="0"/>
  </r>
  <r>
    <x v="54"/>
    <s v="deboraclothing.textil@gmail.com"/>
    <n v="300250465"/>
    <n v="16103173"/>
    <x v="3"/>
    <x v="31"/>
    <n v="579"/>
    <s v="Material não enviado pela Guararapes"/>
    <s v="NÃO"/>
    <s v="Não veio as tags de preço. "/>
    <s v="22/05/2026 15:46"/>
    <m/>
    <n v="155"/>
    <x v="0"/>
    <m/>
    <s v="55b822c2-edae-4256-8de8-249cf71ba520"/>
    <d v="2026-05-22T00:00:00"/>
    <x v="0"/>
  </r>
  <r>
    <x v="10"/>
    <s v="acauaconfeccoes@outlook.com"/>
    <n v="300000000"/>
    <n v="1"/>
    <x v="3"/>
    <x v="11"/>
    <n v="1"/>
    <s v="Reposição "/>
    <s v="NÃO"/>
    <s v="Estamos precisando de outra pistola,porque só uma não tá dando conta da produção!!!"/>
    <s v="22/05/2026 16:28"/>
    <m/>
    <n v="156"/>
    <x v="0"/>
    <m/>
    <s v="c667edf4-0be7-4df3-b7d3-58899e065f82"/>
    <d v="2026-05-22T00:00:00"/>
    <x v="0"/>
  </r>
  <r>
    <x v="24"/>
    <s v="maxwelaaraujo7@gmail.com"/>
    <n v="300261299"/>
    <n v="16481690"/>
    <x v="0"/>
    <x v="9"/>
    <n v="1000"/>
    <s v="Quantidade insuficiente para terminar a ordem"/>
    <s v="NÃO"/>
    <s v="AVIAMENTOS DESSA ORDEM FOI UTILIZADOS EM OUTRAS ORDENS ANTERIORES DO MESMO TOM DE LINHA E FIO"/>
    <s v="22/05/2026 16:36"/>
    <m/>
    <n v="157"/>
    <x v="0"/>
    <m/>
    <s v="3d0bb431-8848-4db0-a74e-5b65cd4c0f9e"/>
    <d v="2026-05-22T00:00:00"/>
    <x v="0"/>
  </r>
  <r>
    <x v="8"/>
    <s v="tlcserranatextil@gmail.com"/>
    <n v="300263203"/>
    <n v="15215539"/>
    <x v="1"/>
    <x v="30"/>
    <s v="GG-110 XG-90"/>
    <s v="Material não enviado pela Guararapes"/>
    <s v="NÃO"/>
    <s v="veio faltando"/>
    <s v="22/05/2026 16:55"/>
    <m/>
    <n v="158"/>
    <x v="0"/>
    <m/>
    <s v="74f6cf2e-c019-4126-880c-5ef51a58396f"/>
    <d v="2026-05-22T00:00:00"/>
    <x v="0"/>
  </r>
  <r>
    <x v="8"/>
    <s v="tlcserranatextil@gmail.com"/>
    <n v="300263205"/>
    <n v="15215539"/>
    <x v="1"/>
    <x v="30"/>
    <s v="GG-90 XG-50"/>
    <s v="Material não enviado pela Guararapes"/>
    <s v="NÃO"/>
    <s v="veio faltando"/>
    <s v="22/05/2026 16:56"/>
    <m/>
    <n v="159"/>
    <x v="0"/>
    <m/>
    <s v="61fa15a5-542b-4c9f-91a0-7b1f049e4b59"/>
    <d v="2026-05-22T00:00:00"/>
    <x v="0"/>
  </r>
  <r>
    <x v="26"/>
    <s v="cabugiconfeccoes.adm@gmail.com"/>
    <n v="300252104"/>
    <n v="15178242"/>
    <x v="2"/>
    <x v="17"/>
    <n v="396"/>
    <s v="Reprocesso (devolução para conserto na oficina)"/>
    <s v="NÃO"/>
    <s v="TAMANHO 48 - 13 PARES / TAMANHO 46 - 36 PARES / TAMANHO 44 -64 PARES / TAMANHO 42 - 88 PARES / TAMANHO 40 - 100 PARES / TAMANHO 38 - 100 PARES / TAMANHO 36 - 64 PARES / TAMANHO 34 - PARES "/>
    <s v="22/05/2026 17:31"/>
    <m/>
    <n v="160"/>
    <x v="0"/>
    <m/>
    <s v="b9d0a21f-4598-4690-aaa6-db33c1c88a8f"/>
    <d v="2026-05-22T00:00:00"/>
    <x v="0"/>
  </r>
  <r>
    <x v="26"/>
    <s v="cabugiconfeccoes.adm@gmail.com"/>
    <n v="300252104"/>
    <n v="15178242"/>
    <x v="2"/>
    <x v="16"/>
    <s v="396 PEÇAS"/>
    <s v="Reprocesso (devolução para conserto na oficina)"/>
    <s v="NÃO"/>
    <s v="12 ROLOS - ENTRADA DE 2,5 E SAIDA DE 1"/>
    <s v="22/05/2026 17:34"/>
    <m/>
    <n v="161"/>
    <x v="0"/>
    <m/>
    <s v="82f1fe6e-5aff-420f-88d7-90eae3708f84"/>
    <d v="2026-05-22T00:00:00"/>
    <x v="0"/>
  </r>
  <r>
    <x v="13"/>
    <s v="administrativo@zajaconfeccoes.com.br"/>
    <n v="300260705"/>
    <n v="15859215"/>
    <x v="2"/>
    <x v="23"/>
    <n v="600"/>
    <s v="Quantidade insuficiente para terminar a ordem"/>
    <s v="NÃO"/>
    <s v="Reposição para 600 peças "/>
    <s v="25/05/2026 07:11"/>
    <m/>
    <n v="162"/>
    <x v="0"/>
    <m/>
    <s v="61c65a4b-b1ab-40b6-989e-98e5c79f9c05"/>
    <d v="2026-05-25T00:00:00"/>
    <x v="0"/>
  </r>
  <r>
    <x v="31"/>
    <s v="administrativo@zajaconfeccoes.com.br"/>
    <n v="300260705"/>
    <n v="0"/>
    <x v="2"/>
    <x v="0"/>
    <n v="1000"/>
    <s v="Quantidade insuficiente para terminar a ordem"/>
    <s v="NÃO"/>
    <m/>
    <s v="25/05/2026 07:15"/>
    <m/>
    <n v="163"/>
    <x v="0"/>
    <m/>
    <s v="d31f2bc6-6831-4384-b95a-4dc7cbfa25c5"/>
    <d v="2026-05-25T00:00:00"/>
    <x v="0"/>
  </r>
  <r>
    <x v="41"/>
    <s v="faccao_sales2010@hotmail.com"/>
    <n v="300260280"/>
    <n v="16223691"/>
    <x v="3"/>
    <x v="14"/>
    <n v="164"/>
    <s v="Quantidade insuficiente para terminar a ordem"/>
    <s v="NÃO"/>
    <m/>
    <s v="25/05/2026 07:23"/>
    <m/>
    <n v="164"/>
    <x v="0"/>
    <m/>
    <s v="51e4c61d-4cdd-4689-9759-251e2b9ae2f8"/>
    <d v="2026-05-25T00:00:00"/>
    <x v="0"/>
  </r>
  <r>
    <x v="13"/>
    <s v="administrativo@zajaconfeccoes.com.br"/>
    <n v="300264541"/>
    <n v="16453808"/>
    <x v="0"/>
    <x v="8"/>
    <n v="10"/>
    <s v="Quantidade insuficiente para terminar a ordem"/>
    <s v="NÃO"/>
    <s v="10 cones de linhas"/>
    <s v="25/05/2026 07:31"/>
    <m/>
    <n v="165"/>
    <x v="0"/>
    <m/>
    <s v="290d201d-5eae-49f2-9e36-3c36856908f5"/>
    <d v="2026-05-25T00:00:00"/>
    <x v="0"/>
  </r>
  <r>
    <x v="32"/>
    <s v="di3confec@gmail.com"/>
    <n v="300246175"/>
    <n v="16202856"/>
    <x v="3"/>
    <x v="8"/>
    <n v="4"/>
    <s v="Quantidade insuficiente para terminar a ordem"/>
    <s v="NÃO"/>
    <s v="MATERIAL INSUFICIENTE"/>
    <s v="25/05/2026 07:48"/>
    <m/>
    <n v="166"/>
    <x v="0"/>
    <m/>
    <s v="d8705ac8-57c2-4848-bfba-4ea3b4d2f7cc"/>
    <d v="2026-05-25T00:00:00"/>
    <x v="0"/>
  </r>
  <r>
    <x v="32"/>
    <s v="di3confec@gmail.com"/>
    <n v="300246175"/>
    <n v="16202856"/>
    <x v="3"/>
    <x v="19"/>
    <n v="4"/>
    <s v="Quantidade insuficiente para terminar a ordem"/>
    <s v="NÃO"/>
    <s v="Material insuficiente"/>
    <s v="25/05/2026 07:49"/>
    <m/>
    <n v="167"/>
    <x v="0"/>
    <m/>
    <s v="e3effcf3-3931-411a-9f07-887ec86c35eb"/>
    <d v="2026-05-25T00:00:00"/>
    <x v="0"/>
  </r>
  <r>
    <x v="13"/>
    <s v="administrativo@zajaconfeccoes.com.br"/>
    <n v="300262458"/>
    <n v="16243668"/>
    <x v="2"/>
    <x v="32"/>
    <n v="3"/>
    <s v="Quantidade insuficiente para terminar a ordem"/>
    <s v="NÃO"/>
    <m/>
    <s v="25/05/2026 08:01"/>
    <m/>
    <n v="169"/>
    <x v="0"/>
    <m/>
    <s v="aed4344e-f681-4d17-8b27-1483bea5448d"/>
    <d v="2026-05-25T00:00:00"/>
    <x v="0"/>
  </r>
  <r>
    <x v="31"/>
    <s v="administrativo@zajaconfeccoes.com.br"/>
    <n v="300262582"/>
    <n v="16499883"/>
    <x v="3"/>
    <x v="2"/>
    <n v="6"/>
    <s v="Quantidade insuficiente para terminar a ordem"/>
    <s v="NÃO"/>
    <d v="2026-06-02T00:00:00"/>
    <s v="25/05/2026 08:02"/>
    <m/>
    <n v="170"/>
    <x v="0"/>
    <m/>
    <s v="8f4878b1-535a-4c0c-93dd-e01d8a2d5c13"/>
    <d v="2026-05-25T00:00:00"/>
    <x v="0"/>
  </r>
  <r>
    <x v="13"/>
    <s v="administrativo@zajaconfeccoes.com.br"/>
    <n v="300262458"/>
    <n v="16243668"/>
    <x v="2"/>
    <x v="1"/>
    <n v="20"/>
    <s v="Quantidade insuficiente para terminar a ordem"/>
    <s v="NÃO"/>
    <d v="2020-08-09T00:00:00"/>
    <s v="25/05/2026 08:05"/>
    <m/>
    <n v="168"/>
    <x v="0"/>
    <m/>
    <s v="f7968a52-0ad7-4893-bb26-6fedbb59e588"/>
    <d v="2026-05-25T00:00:00"/>
    <x v="0"/>
  </r>
  <r>
    <x v="37"/>
    <s v="felconfeccao@gmail.com"/>
    <n v="300262870"/>
    <n v="16474228"/>
    <x v="3"/>
    <x v="6"/>
    <n v="77"/>
    <s v="Quantidade insuficiente para terminar a ordem"/>
    <s v="NÃO"/>
    <s v="GOLA RODADA"/>
    <s v="25/05/2026 08:17"/>
    <m/>
    <n v="171"/>
    <x v="0"/>
    <m/>
    <s v="8ac90d14-0d8d-4b2c-b0fe-5be67796d723"/>
    <d v="2026-05-25T00:00:00"/>
    <x v="0"/>
  </r>
  <r>
    <x v="55"/>
    <s v="faccao_sales2010@hotmail.com"/>
    <n v="300260279"/>
    <n v="16223691"/>
    <x v="3"/>
    <x v="4"/>
    <n v="712"/>
    <s v="Material não enviado pela Guararapes"/>
    <s v="NÃO"/>
    <m/>
    <s v="25/05/2026 08:20"/>
    <m/>
    <n v="172"/>
    <x v="0"/>
    <m/>
    <s v="019d90da-c6c0-431a-8096-59f6ecaa9940"/>
    <d v="2026-05-25T00:00:00"/>
    <x v="0"/>
  </r>
  <r>
    <x v="21"/>
    <s v="potengitextil@outlook.com.br"/>
    <n v="300250949"/>
    <n v="16247477"/>
    <x v="3"/>
    <x v="33"/>
    <n v="2"/>
    <s v="Quantidade insuficiente para terminar a ordem"/>
    <s v="NÃO"/>
    <s v="2 golas tamanho P"/>
    <s v="25/05/2026 08:34"/>
    <m/>
    <n v="173"/>
    <x v="0"/>
    <m/>
    <s v="0d87034b-a1f0-4fbd-9dcc-07a4b1323bf4"/>
    <d v="2026-05-25T00:00:00"/>
    <x v="0"/>
  </r>
  <r>
    <x v="29"/>
    <s v="pea2015confeccoes@hotmail.com"/>
    <n v="300259644"/>
    <n v="10000114"/>
    <x v="2"/>
    <x v="1"/>
    <n v="19"/>
    <s v="Material não enviado pela Guararapes"/>
    <s v="NÃO"/>
    <s v="Material da ordem: 10000114787, estou colocando aqui nas observações o numero do material, pois na aba m,aterial só consigo no maximo digitar 8 numeos. Faltou todas as bandeirolas do tamanho 52. Quantidade 19 unidades"/>
    <s v="25/05/2026 09:14"/>
    <m/>
    <n v="174"/>
    <x v="0"/>
    <m/>
    <s v="3ff4620f-c56d-4116-893e-0b5dd3856dc8"/>
    <d v="2026-05-25T00:00:00"/>
    <x v="0"/>
  </r>
  <r>
    <x v="56"/>
    <s v="idealconfecltda@gmail.com"/>
    <n v="300252567"/>
    <n v="15758249"/>
    <x v="1"/>
    <x v="34"/>
    <n v="10000"/>
    <s v="Material não enviado pela Guararapes"/>
    <s v="NÃO"/>
    <s v="PENTE PARA PISTOLA DE TAGS"/>
    <s v="25/05/2026 10:30"/>
    <m/>
    <n v="175"/>
    <x v="0"/>
    <m/>
    <s v="8347fd3f-c6e1-44a9-8bc2-456759e2e6b5"/>
    <d v="2026-05-25T00:00:00"/>
    <x v="0"/>
  </r>
  <r>
    <x v="57"/>
    <s v="jucurututextil@gmail.com"/>
    <n v="300263690"/>
    <n v="16473965"/>
    <x v="2"/>
    <x v="35"/>
    <s v="19 pares de bolso  traseiro do tamanho 42   /  57 pares de bolso traseiro do tamanho 40 do 2ºenfestobolso traseiro tamanho 40"/>
    <s v="Material não enviado pela Guararapes"/>
    <s v="NÃO"/>
    <s v="ESTOU REPOSIÇAO DE BOLSO BTA TECIDO PLANO COR PRETA POIS O MSM NÃO VEIO DA GUARARAPES "/>
    <s v="25/05/2026 10:31"/>
    <m/>
    <n v="176"/>
    <x v="0"/>
    <m/>
    <s v="d8e89846-a45d-4c91-b6e6-beb000fb59d1"/>
    <d v="2026-05-25T00:00:00"/>
    <x v="0"/>
  </r>
  <r>
    <x v="8"/>
    <s v="tlcserranatextil@gmail.com"/>
    <n v="300263205"/>
    <n v="15215539"/>
    <x v="1"/>
    <x v="30"/>
    <s v="GG-80; XG-40"/>
    <s v="Quantidade insuficiente para terminar a ordem"/>
    <s v="NÃO"/>
    <s v="veio faltando"/>
    <s v="25/05/2026 10:42"/>
    <m/>
    <n v="177"/>
    <x v="0"/>
    <m/>
    <s v="50f073a7-bdec-431a-b928-3ae1b79d8563"/>
    <d v="2026-05-25T00:00:00"/>
    <x v="0"/>
  </r>
  <r>
    <x v="21"/>
    <s v="potengitextil@outlook.com.br"/>
    <n v="300264419"/>
    <n v="13132547"/>
    <x v="1"/>
    <x v="4"/>
    <n v="963"/>
    <s v="Material não enviado pela Guararapes"/>
    <s v="NÃO"/>
    <m/>
    <s v="25/05/2026 10:43"/>
    <m/>
    <n v="178"/>
    <x v="0"/>
    <m/>
    <s v="cd2aef80-f77c-4b2a-a6f0-0b472556b98c"/>
    <d v="2026-05-25T00:00:00"/>
    <x v="0"/>
  </r>
  <r>
    <x v="8"/>
    <s v="tlcserranatextil@gmail.com"/>
    <n v="300263203"/>
    <n v="15215539"/>
    <x v="1"/>
    <x v="30"/>
    <s v="GG-226; XG-113"/>
    <s v="Quantidade insuficiente para terminar a ordem"/>
    <s v="NÃO"/>
    <s v="veio faltando"/>
    <s v="25/05/2026 10:43"/>
    <m/>
    <n v="179"/>
    <x v="0"/>
    <m/>
    <s v="4069544f-4c15-43e0-ac1f-fb5c045cd50b"/>
    <d v="2026-05-25T00:00:00"/>
    <x v="0"/>
  </r>
  <r>
    <x v="12"/>
    <s v="lctextil@outlook.com.br"/>
    <n v="300262898"/>
    <n v="16433133"/>
    <x v="3"/>
    <x v="4"/>
    <n v="108"/>
    <s v="Quantidade insuficiente para terminar a ordem"/>
    <s v="NÃO"/>
    <s v="GG-15; G-38; M-40; P-15"/>
    <s v="25/05/2026 10:44"/>
    <m/>
    <n v="180"/>
    <x v="0"/>
    <m/>
    <s v="b176ccd9-8fdd-4518-b6c5-4e5fc1164294"/>
    <d v="2026-05-25T00:00:00"/>
    <x v="0"/>
  </r>
  <r>
    <x v="30"/>
    <s v="bensilvaconfeccoes@gmail.com"/>
    <n v="300266213"/>
    <n v="15187632"/>
    <x v="2"/>
    <x v="0"/>
    <n v="30"/>
    <s v="Quantidade insuficiente para terminar a ordem"/>
    <s v="NÃO"/>
    <m/>
    <s v="25/05/2026 10:54"/>
    <m/>
    <n v="181"/>
    <x v="0"/>
    <m/>
    <s v="dc2f5e19-104f-4dcb-afe6-7872164853ff"/>
    <d v="2026-05-25T00:00:00"/>
    <x v="0"/>
  </r>
  <r>
    <x v="30"/>
    <s v="bensilvaconfeccoes@gmail.com"/>
    <n v="300264394"/>
    <n v="16293754"/>
    <x v="2"/>
    <x v="8"/>
    <n v="10"/>
    <s v="Quantidade insuficiente para terminar a ordem"/>
    <s v="NÃO"/>
    <s v="LINHA 100%PES TIT25 C.PT PR8001"/>
    <s v="25/05/2026 10:55"/>
    <m/>
    <n v="182"/>
    <x v="0"/>
    <m/>
    <s v="1551a1b9-2b67-40ec-8b9f-c4f28ad16c65"/>
    <d v="2026-05-25T00:00:00"/>
    <x v="0"/>
  </r>
  <r>
    <x v="30"/>
    <s v="bensilvaconfeccoes@gmail.com"/>
    <n v="300264394"/>
    <n v="16293754"/>
    <x v="2"/>
    <x v="7"/>
    <n v="50"/>
    <s v="Quantidade insuficiente para terminar a ordem"/>
    <s v="NÃO"/>
    <m/>
    <s v="25/05/2026 10:57"/>
    <m/>
    <n v="183"/>
    <x v="0"/>
    <m/>
    <s v="6bc460bf-04e0-4ddd-811e-bfa42e556450"/>
    <d v="2026-05-25T00:00:00"/>
    <x v="0"/>
  </r>
  <r>
    <x v="57"/>
    <s v="jucurututextil@gmail.com"/>
    <n v="300263690"/>
    <n v="16473965"/>
    <x v="2"/>
    <x v="7"/>
    <s v="PARA 998 PEÇAS "/>
    <s v="ACABOU "/>
    <s v="NÃO"/>
    <s v="ACABOU OS LACRE"/>
    <s v="25/05/2026 10:57"/>
    <m/>
    <n v="184"/>
    <x v="0"/>
    <m/>
    <s v="22f3702b-d988-4c46-8532-adae0934a526"/>
    <d v="2026-05-25T00:00:00"/>
    <x v="0"/>
  </r>
  <r>
    <x v="5"/>
    <s v="tendenciaconfec@gmail.com"/>
    <n v="300263704"/>
    <n v="16100280"/>
    <x v="2"/>
    <x v="12"/>
    <s v="52-180; 50-120; 48-60"/>
    <s v="chegaram com defeitos"/>
    <s v="NÃO"/>
    <m/>
    <s v="25/05/2026 10:57"/>
    <m/>
    <n v="185"/>
    <x v="0"/>
    <m/>
    <s v="6fb5cc5a-fdfc-49ac-baf5-a50d45f2dbb9"/>
    <d v="2026-05-25T00:00:00"/>
    <x v="0"/>
  </r>
  <r>
    <x v="57"/>
    <s v="jucurututextil@gmail.com"/>
    <n v="300263690"/>
    <n v="16473965"/>
    <x v="2"/>
    <x v="36"/>
    <n v="998"/>
    <s v="ACABOU"/>
    <s v="NÃO"/>
    <s v="ACABOU O PAPEL FILME DE FUSIONAR PASSANTES"/>
    <s v="25/05/2026 11:12"/>
    <m/>
    <n v="186"/>
    <x v="0"/>
    <m/>
    <s v="dcfc30a9-14ac-4b20-95b4-8636e082825b"/>
    <d v="2026-05-25T00:00:00"/>
    <x v="0"/>
  </r>
  <r>
    <x v="47"/>
    <s v="kswconfeccoesltda@gmail.com"/>
    <n v="300261963"/>
    <n v="16223691"/>
    <x v="3"/>
    <x v="22"/>
    <n v="1040"/>
    <s v="Material diferente do especificado na ordem"/>
    <s v="NÃO"/>
    <s v="A reposição da Ordem 300261963 chegou, porém enviaram preto e a OP é nude."/>
    <s v="25/05/2026 11:49"/>
    <m/>
    <n v="187"/>
    <x v="0"/>
    <m/>
    <s v="ac538969-6a63-44ee-87c8-c8329346a857"/>
    <d v="2026-05-25T00:00:00"/>
    <x v="0"/>
  </r>
  <r>
    <x v="5"/>
    <s v="tendenciaconfec@gmail.com"/>
    <n v="300263704"/>
    <n v="16100280"/>
    <x v="2"/>
    <x v="37"/>
    <s v="52-180; 50-120; 48-60"/>
    <s v="Os traseiros estão com defeitos"/>
    <s v="NÃO"/>
    <m/>
    <s v="25/05/2026 12:47"/>
    <m/>
    <n v="188"/>
    <x v="0"/>
    <m/>
    <s v="b7f17dde-df4c-487f-85e6-647880800d5f"/>
    <d v="2026-05-25T00:00:00"/>
    <x v="0"/>
  </r>
  <r>
    <x v="57"/>
    <s v="jucurututextil@gmail.com"/>
    <n v="300263690"/>
    <n v="16473965"/>
    <x v="2"/>
    <x v="10"/>
    <n v="998"/>
    <s v="ACABOU"/>
    <s v="NÃO"/>
    <s v="acabou"/>
    <s v="25/05/2026 12:47"/>
    <m/>
    <n v="189"/>
    <x v="0"/>
    <m/>
    <s v="cde2d0b6-98af-4629-9514-ff3e4c5fc57c"/>
    <d v="2026-05-25T00:00:00"/>
    <x v="0"/>
  </r>
  <r>
    <x v="36"/>
    <s v="solisconfeccoes@gmail.com"/>
    <n v="300263339"/>
    <n v="16099605"/>
    <x v="3"/>
    <x v="7"/>
    <n v="100"/>
    <s v="PRECISANDO"/>
    <s v="NÃO"/>
    <s v="ESTOU PRECISANDO"/>
    <s v="25/05/2026 12:55"/>
    <m/>
    <n v="190"/>
    <x v="0"/>
    <m/>
    <s v="d43f8575-daea-41a2-a0fe-ad1ad8209fb9"/>
    <d v="2026-05-25T00:00:00"/>
    <x v="0"/>
  </r>
  <r>
    <x v="58"/>
    <s v="js.silva6815@gmail.com"/>
    <n v="300263699"/>
    <n v="16450280"/>
    <x v="2"/>
    <x v="18"/>
    <n v="1496"/>
    <s v="Material não enviado pela Guararapes"/>
    <s v="NÃO"/>
    <m/>
    <s v="25/05/2026 13:15"/>
    <m/>
    <n v="191"/>
    <x v="0"/>
    <m/>
    <s v="9f6f49c8-f81c-4c47-9ca6-ae67eebf142d"/>
    <d v="2026-05-25T00:00:00"/>
    <x v="0"/>
  </r>
  <r>
    <x v="58"/>
    <s v="js.silva6815@gmail.com"/>
    <n v="300263698"/>
    <n v="16450280"/>
    <x v="2"/>
    <x v="18"/>
    <n v="814"/>
    <s v="Material não enviado pela Guararapes"/>
    <s v="NÃO"/>
    <m/>
    <s v="25/05/2026 13:15"/>
    <m/>
    <n v="192"/>
    <x v="0"/>
    <m/>
    <s v="a23f9ea2-90a7-4149-89f7-e13dd72f383a"/>
    <d v="2026-05-25T00:00:00"/>
    <x v="0"/>
  </r>
  <r>
    <x v="51"/>
    <s v="fc_faccao@yahoo.com.br"/>
    <n v="300261530"/>
    <n v="16491912"/>
    <x v="1"/>
    <x v="22"/>
    <s v="55-GG, 55 - XG"/>
    <s v="Material não enviado pela Guararapes"/>
    <s v="NÃO"/>
    <m/>
    <s v="25/05/2026 13:17"/>
    <m/>
    <n v="193"/>
    <x v="0"/>
    <m/>
    <s v="829da0fb-c7e7-437a-bfb0-8b658c364b9a"/>
    <d v="2026-05-25T00:00:00"/>
    <x v="0"/>
  </r>
  <r>
    <x v="58"/>
    <s v="js.silva6815@gmail.com"/>
    <n v="300257618"/>
    <n v="16373685"/>
    <x v="2"/>
    <x v="3"/>
    <n v="40"/>
    <s v="Quantidade insuficiente para terminar a ordem"/>
    <s v="NÃO"/>
    <m/>
    <s v="25/05/2026 13:29"/>
    <m/>
    <n v="194"/>
    <x v="0"/>
    <m/>
    <s v="78959e84-bad2-46a3-a613-2e1a4832ceeb"/>
    <d v="2026-05-25T00:00:00"/>
    <x v="0"/>
  </r>
  <r>
    <x v="52"/>
    <s v="ajgconfeccoes2021@gmail.com"/>
    <n v="300252525"/>
    <n v="15161718"/>
    <x v="2"/>
    <x v="5"/>
    <n v="50"/>
    <s v="ACABOU "/>
    <s v="NÃO"/>
    <s v="acabou "/>
    <s v="25/05/2026 13:43"/>
    <m/>
    <n v="195"/>
    <x v="0"/>
    <m/>
    <s v="7dc5432c-c2fc-479f-8b49-0d2e2d429ca0"/>
    <d v="2026-05-25T00:00:00"/>
    <x v="0"/>
  </r>
  <r>
    <x v="41"/>
    <s v="faccao_sales2010@hotmail.com"/>
    <n v="300260279"/>
    <n v="16223691"/>
    <x v="3"/>
    <x v="14"/>
    <n v="48"/>
    <s v="Quantidade insuficiente para terminar a ordem"/>
    <s v="NÃO"/>
    <m/>
    <s v="25/05/2026 13:46"/>
    <m/>
    <n v="196"/>
    <x v="0"/>
    <m/>
    <s v="481eb260-e924-481e-a410-a1fe2ba7ac2b"/>
    <d v="2026-05-25T00:00:00"/>
    <x v="0"/>
  </r>
  <r>
    <x v="59"/>
    <s v="uniaoconfeccao.me@gmail.com"/>
    <n v="300260702"/>
    <n v="16472209"/>
    <x v="2"/>
    <x v="5"/>
    <n v="50000"/>
    <s v="ACABOU"/>
    <s v="NÃO"/>
    <s v="acabou "/>
    <s v="25/05/2026 13:47"/>
    <m/>
    <n v="197"/>
    <x v="0"/>
    <m/>
    <s v="bc2f5052-ccaa-4127-8e4b-010061314a15"/>
    <d v="2026-05-25T00:00:00"/>
    <x v="0"/>
  </r>
  <r>
    <x v="41"/>
    <s v="faccao_sales2010@hotmail.com"/>
    <n v="300260280"/>
    <n v="16223691"/>
    <x v="3"/>
    <x v="4"/>
    <n v="300"/>
    <s v="Quantidade insuficiente para terminar a ordem"/>
    <s v="NÃO"/>
    <s v="tamanho M"/>
    <s v="25/05/2026 14:01"/>
    <m/>
    <n v="198"/>
    <x v="0"/>
    <m/>
    <s v="0b1529fe-3b59-44a3-873e-140728a92bbb"/>
    <d v="2026-05-25T00:00:00"/>
    <x v="0"/>
  </r>
  <r>
    <x v="41"/>
    <s v="faccao_sales2010@hotmail.com"/>
    <n v="300260280"/>
    <n v="16223691"/>
    <x v="3"/>
    <x v="2"/>
    <n v="25"/>
    <s v="Quantidade insuficiente para terminar a ordem"/>
    <s v="NÃO"/>
    <s v="tamanho P"/>
    <s v="25/05/2026 14:01"/>
    <m/>
    <n v="199"/>
    <x v="0"/>
    <m/>
    <s v="e176aaec-12d6-4cb4-b44c-8c4850b4ec84"/>
    <d v="2026-05-25T00:00:00"/>
    <x v="0"/>
  </r>
  <r>
    <x v="60"/>
    <s v="mkdeazevedomedeiros@gmail.com"/>
    <n v="300262455"/>
    <n v="16447603"/>
    <x v="2"/>
    <x v="8"/>
    <n v="1386"/>
    <s v="Quantidade insuficiente para terminar a ordem"/>
    <s v="NÃO"/>
    <s v="só recebemos 3 cones, e essa linha é pra chuleado tbm"/>
    <s v="25/05/2026 14:17"/>
    <m/>
    <n v="200"/>
    <x v="0"/>
    <m/>
    <s v="70894ca0-b1c4-45ed-9f99-944795a2c4a0"/>
    <d v="2026-05-25T00:00:00"/>
    <x v="0"/>
  </r>
  <r>
    <x v="37"/>
    <s v="felconfeccao@gmail.com"/>
    <n v="300000000"/>
    <n v="0"/>
    <x v="3"/>
    <x v="11"/>
    <n v="2"/>
    <s v="DEFEITO"/>
    <s v="NÃO"/>
    <d v="1899-12-30T00:00:00"/>
    <s v="25/05/2026 15:29"/>
    <m/>
    <n v="201"/>
    <x v="0"/>
    <m/>
    <s v="fd38b914-28cd-4e67-a5bc-854261450111"/>
    <d v="2026-05-25T00:00:00"/>
    <x v="0"/>
  </r>
  <r>
    <x v="38"/>
    <s v="pn.fenix@gmail.com"/>
    <n v="300263139"/>
    <n v="16489985"/>
    <x v="2"/>
    <x v="5"/>
    <n v="0"/>
    <s v="Quantidade insuficiente para terminar a ordem"/>
    <s v="NÃO"/>
    <m/>
    <s v="25/05/2026 15:47"/>
    <m/>
    <n v="202"/>
    <x v="0"/>
    <m/>
    <s v="d529c216-00ff-474a-92ec-866c685fb9ca"/>
    <d v="2026-05-25T00:00:00"/>
    <x v="0"/>
  </r>
  <r>
    <x v="17"/>
    <s v="faccao_sales2010@hotmail.com"/>
    <n v="300250247"/>
    <n v="16440960"/>
    <x v="3"/>
    <x v="4"/>
    <n v="415"/>
    <s v="Quantidade insuficiente para terminar a ordem"/>
    <s v="NÃO"/>
    <s v="xg-75,gg-70,g-150,pp-120"/>
    <s v="25/05/2026 16:05"/>
    <m/>
    <n v="203"/>
    <x v="0"/>
    <m/>
    <s v="9e2b9ca1-b6dd-472d-bc70-e87d7ca7ed0f"/>
    <d v="2026-05-25T00:00:00"/>
    <x v="0"/>
  </r>
  <r>
    <x v="23"/>
    <s v="gruponobrejk@gmail.com"/>
    <n v="300259133"/>
    <n v="16450361"/>
    <x v="2"/>
    <x v="18"/>
    <s v="ELÁSTICO PARA 966 PEÇAS"/>
    <s v="Material não enviado pela Guararapes"/>
    <s v="NÃO"/>
    <s v="ELÁSTICO PARA 966 PEÇAS"/>
    <s v="25/05/2026 16:11"/>
    <m/>
    <n v="204"/>
    <x v="0"/>
    <m/>
    <s v="cb7ba26d-f79e-4d67-9a6e-3ca65dc5474b"/>
    <d v="2026-05-25T00:00:00"/>
    <x v="0"/>
  </r>
  <r>
    <x v="23"/>
    <s v="gruponobrejk@gmail.com"/>
    <n v="300259133"/>
    <n v="16450361"/>
    <x v="2"/>
    <x v="27"/>
    <n v="966"/>
    <s v="Material não enviado pela Guararapes"/>
    <s v="NÃO"/>
    <s v="POR FAVOR, MANDEM A MATRIZ PARA PREGARMOS OS BOTÕES, NÃO TEMOS ELA NA OFICINA!!!!!!!"/>
    <s v="25/05/2026 16:15"/>
    <m/>
    <n v="205"/>
    <x v="0"/>
    <m/>
    <s v="f92a5887-1cc7-4a85-b741-d8eb5366cb07"/>
    <d v="2026-05-25T00:00:00"/>
    <x v="0"/>
  </r>
  <r>
    <x v="23"/>
    <s v="gruponobrejk@gmail.com"/>
    <n v="300255447"/>
    <n v="16450361"/>
    <x v="2"/>
    <x v="27"/>
    <n v="246"/>
    <s v="Material não enviado pela Guararapes"/>
    <s v="NÃO"/>
    <s v="POR FAVOR MANDEM A MATRIZ PARA PREGARMOS OS BOTÕES, POIS NÃO TEMOS ELA NA OFICINA "/>
    <s v="25/05/2026 16:18"/>
    <m/>
    <n v="206"/>
    <x v="0"/>
    <m/>
    <s v="b84018fd-eb0d-4cf3-bd1e-2f78c0313bb3"/>
    <d v="2026-05-25T00:00:00"/>
    <x v="0"/>
  </r>
  <r>
    <x v="4"/>
    <s v="hiconfeccao@gmail.com"/>
    <n v="300262454"/>
    <n v="16447603"/>
    <x v="2"/>
    <x v="8"/>
    <s v="5 cones"/>
    <s v="Quantidade insuficiente para terminar a ordem"/>
    <s v="NÃO"/>
    <s v="Pedido de 5 Cones da LINHA 100%PES TÍT80 S.728 132803. Código: 000000010000063062.  Total do pedido: 5 cones."/>
    <s v="25/05/2026 16:21"/>
    <m/>
    <n v="207"/>
    <x v="0"/>
    <m/>
    <s v="d6893fd8-61d5-47af-b28f-18e08fef09a8"/>
    <d v="2026-05-25T00:00:00"/>
    <x v="0"/>
  </r>
  <r>
    <x v="57"/>
    <s v="jucurututextil@gmail.com"/>
    <n v="300263231"/>
    <n v="15773469"/>
    <x v="0"/>
    <x v="12"/>
    <s v="19 PARES DE BOLSO TRASEIRO DO TAMANHO 42/ 57 PARES DE BOLSO TRASEIRO DO TAMANHO 40"/>
    <s v="Material não enviado pela Guararapes"/>
    <s v="NÃO"/>
    <s v="Bolso traseiro, não tinha a opção na solicitação por isso coloquei traseiro"/>
    <s v="25/05/2026 16:33"/>
    <m/>
    <n v="208"/>
    <x v="0"/>
    <m/>
    <s v="30bd16ab-8bc6-4c81-aabf-1155995a397c"/>
    <d v="2026-05-25T00:00:00"/>
    <x v="0"/>
  </r>
  <r>
    <x v="23"/>
    <s v="gruponobrejk@gmail.com"/>
    <n v="300231420"/>
    <n v="16317840"/>
    <x v="2"/>
    <x v="27"/>
    <s v="3.660 - SÃO 3 BOTÕES PARA CADA PEÇA"/>
    <s v="Material não enviado pela Guararapes"/>
    <s v="NÃO"/>
    <s v="POR FAVOR MANDEM A MATRIZ PARA PREGARMOS OS BOTÕES, POIS NÃO TEMOS ELA NA OFICINA"/>
    <s v="25/05/2026 16:45"/>
    <m/>
    <n v="209"/>
    <x v="0"/>
    <m/>
    <s v="ceccfee2-4999-4c2e-a595-944e390e4444"/>
    <d v="2026-05-25T00:00:00"/>
    <x v="0"/>
  </r>
  <r>
    <x v="12"/>
    <s v="lctextil@outlook.com.br"/>
    <n v="300262205"/>
    <n v="16464591"/>
    <x v="3"/>
    <x v="21"/>
    <n v="756"/>
    <s v="Quantidade insuficiente para terminar a ordem"/>
    <s v="NÃO"/>
    <m/>
    <s v="25/05/2026 16:51"/>
    <m/>
    <n v="210"/>
    <x v="0"/>
    <m/>
    <s v="4dc6a1a0-bc13-4d85-84e7-241c3921fbb7"/>
    <d v="2026-05-25T00:00:00"/>
    <x v="0"/>
  </r>
  <r>
    <x v="12"/>
    <s v="lctextil@outlook.com.br"/>
    <n v="300262203"/>
    <n v="16464591"/>
    <x v="3"/>
    <x v="21"/>
    <n v="672"/>
    <s v="Quantidade insuficiente para terminar a ordem"/>
    <s v="NÃO"/>
    <m/>
    <s v="25/05/2026 16:52"/>
    <m/>
    <n v="211"/>
    <x v="0"/>
    <m/>
    <s v="9160458d-8774-41df-be6a-4e7daebdd4b4"/>
    <d v="2026-05-25T00:00:00"/>
    <x v="0"/>
  </r>
  <r>
    <x v="12"/>
    <s v="lctextil@outlook.com.br"/>
    <n v="300262203"/>
    <n v="16464591"/>
    <x v="3"/>
    <x v="0"/>
    <n v="672"/>
    <s v="Quantidade insuficiente para terminar a ordem"/>
    <s v="NÃO"/>
    <s v="Estou precisando de caixas ou artoks vazios para envio das ordens e de sacos também. "/>
    <s v="25/05/2026 16:54"/>
    <m/>
    <n v="212"/>
    <x v="0"/>
    <m/>
    <s v="cadbc676-d771-4086-8d39-7e1077fcc700"/>
    <d v="2026-05-25T00:00:00"/>
    <x v="0"/>
  </r>
  <r>
    <x v="12"/>
    <s v="lctextil@outlook.com.br"/>
    <n v="300260277"/>
    <n v="16426010"/>
    <x v="3"/>
    <x v="21"/>
    <n v="1408"/>
    <s v="Quantidade insuficiente para terminar a ordem"/>
    <s v="NÃO"/>
    <s v="Caixas ou artks vazios e sacos para devolução da ordem. "/>
    <s v="25/05/2026 16:55"/>
    <m/>
    <n v="213"/>
    <x v="0"/>
    <m/>
    <s v="9c7262bd-b174-44c3-accc-1fbd4bbe4baa"/>
    <d v="2026-05-25T00:00:00"/>
    <x v="0"/>
  </r>
  <r>
    <x v="12"/>
    <s v="lctextil@outlook.com.br"/>
    <n v="300260277"/>
    <n v="16426010"/>
    <x v="3"/>
    <x v="7"/>
    <n v="1408"/>
    <s v="Quantidade insuficiente para terminar a ordem"/>
    <s v="NÃO"/>
    <m/>
    <s v="25/05/2026 16:56"/>
    <m/>
    <n v="214"/>
    <x v="0"/>
    <m/>
    <s v="ef1ff408-eaa5-4918-9186-951ab7b91ca5"/>
    <d v="2026-05-25T00:00:00"/>
    <x v="0"/>
  </r>
  <r>
    <x v="21"/>
    <s v="potengitextil@outlook.com.br"/>
    <n v="300260278"/>
    <n v="16426010"/>
    <x v="3"/>
    <x v="7"/>
    <n v="1408"/>
    <s v="Quantidade insuficiente para terminar a ordem"/>
    <s v="NÃO"/>
    <m/>
    <s v="25/05/2026 16:56"/>
    <m/>
    <n v="215"/>
    <x v="0"/>
    <m/>
    <s v="550f34e6-3ea0-481e-94d7-ad7e9dbd3fa3"/>
    <d v="2026-05-25T00:00:00"/>
    <x v="0"/>
  </r>
  <r>
    <x v="21"/>
    <s v="potengitextil@outlook.com.br"/>
    <n v="300260278"/>
    <n v="16426010"/>
    <x v="3"/>
    <x v="21"/>
    <n v="1408"/>
    <s v="Quantidade insuficiente para terminar a ordem"/>
    <s v="NÃO"/>
    <m/>
    <s v="25/05/2026 16:57"/>
    <m/>
    <n v="216"/>
    <x v="0"/>
    <m/>
    <s v="ca290560-5324-4a87-902d-38d8797e0df4"/>
    <d v="2026-05-25T00:00:00"/>
    <x v="0"/>
  </r>
  <r>
    <x v="21"/>
    <s v="potengitextil@outlook.com.br"/>
    <n v="300265389"/>
    <n v="16473434"/>
    <x v="3"/>
    <x v="21"/>
    <n v="1350"/>
    <s v="Quantidade insuficiente para terminar a ordem"/>
    <s v="NÃO"/>
    <s v="Artks, caixas e sacos vazios para devolução de ordem. "/>
    <s v="25/05/2026 16:59"/>
    <m/>
    <n v="217"/>
    <x v="0"/>
    <m/>
    <s v="971404c9-d826-4c96-96a4-5bdc4241e004"/>
    <d v="2026-05-25T00:00:00"/>
    <x v="0"/>
  </r>
  <r>
    <x v="21"/>
    <s v="potengitextil@outlook.com.br"/>
    <n v="300269893"/>
    <n v="16474937"/>
    <x v="3"/>
    <x v="21"/>
    <n v="11.06"/>
    <s v="Quantidade insuficiente para terminar a ordem"/>
    <s v="NÃO"/>
    <s v="Caixas, artks e sacos vazios para devolução da ordem. "/>
    <s v="25/05/2026 17:00"/>
    <m/>
    <n v="218"/>
    <x v="0"/>
    <m/>
    <s v="1444f2a1-3f00-4757-9a68-33c5d106c038"/>
    <d v="2026-05-25T00:00:00"/>
    <x v="0"/>
  </r>
  <r>
    <x v="21"/>
    <s v="potengitextil@outloo.com.br"/>
    <n v="300262894"/>
    <n v="16474837"/>
    <x v="3"/>
    <x v="21"/>
    <n v="1022"/>
    <s v="Quantidade insuficiente para terminar a ordem"/>
    <s v="NÃO"/>
    <s v="Artoks, caixas e sacos vazio para devolução da ordem. "/>
    <s v="25/05/2026 17:01"/>
    <m/>
    <n v="219"/>
    <x v="0"/>
    <m/>
    <s v="ed8ee164-fb50-4d3e-b1f6-15e535f28565"/>
    <d v="2026-05-25T00:00:00"/>
    <x v="0"/>
  </r>
  <r>
    <x v="13"/>
    <s v="administrativo@zajaconfeccoes.com.br"/>
    <n v="300263787"/>
    <n v="16450590"/>
    <x v="3"/>
    <x v="2"/>
    <n v="1456"/>
    <s v="Material diferente do especificado na ordem"/>
    <s v="NÃO"/>
    <s v="GG-260; G-312; M-364; P-312; PP-208"/>
    <s v="25/05/2026 17:03"/>
    <m/>
    <n v="220"/>
    <x v="0"/>
    <m/>
    <s v="27000d77-b0a6-42db-9e9a-363859e3d2a3"/>
    <d v="2026-05-25T00:00:00"/>
    <x v="0"/>
  </r>
  <r>
    <x v="59"/>
    <s v="uniaoconfeccao.me@gmail.com"/>
    <n v="300253555"/>
    <n v="12131415"/>
    <x v="2"/>
    <x v="0"/>
    <n v="10"/>
    <s v="Saco grande de colocar nas artok "/>
    <s v="NÃO"/>
    <s v="Estamos precisando de sacos grandes pra colocar na artok "/>
    <s v="25/05/2026 17:13"/>
    <m/>
    <n v="221"/>
    <x v="0"/>
    <m/>
    <s v="4b629a2d-455f-4f63-baad-fefb79184805"/>
    <d v="2026-05-25T00:00:00"/>
    <x v="0"/>
  </r>
  <r>
    <x v="23"/>
    <s v="gruponobrejk@gmail.com"/>
    <n v="300259133"/>
    <n v="16450361"/>
    <x v="2"/>
    <x v="29"/>
    <n v="966"/>
    <s v="Material não enviado pela Guararapes"/>
    <s v="NÃO"/>
    <s v="VIÉS DE BOLSO DE 2.5cm "/>
    <s v="25/05/2026 17:16"/>
    <m/>
    <n v="222"/>
    <x v="0"/>
    <m/>
    <s v="24ab77ea-6b61-44b4-8d57-678587b384e2"/>
    <d v="2026-05-25T00:00:00"/>
    <x v="0"/>
  </r>
  <r>
    <x v="61"/>
    <s v="noelpazevedo@gmail.com"/>
    <n v="300263926"/>
    <n v="16483979"/>
    <x v="2"/>
    <x v="13"/>
    <s v="1315, tamanho 15-1210, tamanho 16-133"/>
    <s v="Material não enviado pela Guararapes"/>
    <s v="NÃO"/>
    <s v="O material não veio junto com a ordem "/>
    <s v="25/05/2026 17:50"/>
    <m/>
    <n v="223"/>
    <x v="0"/>
    <m/>
    <s v="468d75c3-d455-44f5-b5d8-5e5e8dc2c1c3"/>
    <d v="2026-05-25T00:00:00"/>
    <x v="0"/>
  </r>
  <r>
    <x v="61"/>
    <s v="noelpazevedo@gmail.com"/>
    <n v="300260709"/>
    <n v="16473914"/>
    <x v="2"/>
    <x v="23"/>
    <n v="1315"/>
    <s v="Material não enviado pela Guararapes"/>
    <s v="NÃO"/>
    <s v="Não vei junto com a ordem os cadarços de reforço das lapelas "/>
    <s v="25/05/2026 17:56"/>
    <m/>
    <n v="224"/>
    <x v="0"/>
    <m/>
    <s v="c7471827-d42f-4437-aa1e-34eeb73088b7"/>
    <d v="2026-05-25T00:00:00"/>
    <x v="0"/>
  </r>
  <r>
    <x v="61"/>
    <s v="noelpazevedo@gmail.com"/>
    <n v="300260609"/>
    <n v="16473914"/>
    <x v="2"/>
    <x v="10"/>
    <n v="10"/>
    <s v="Quantidade insuficiente para terminar a ordem"/>
    <s v="NÃO"/>
    <s v="Está faltando "/>
    <s v="25/05/2026 17:59"/>
    <m/>
    <n v="225"/>
    <x v="0"/>
    <m/>
    <s v="d446f128-b54d-44be-b477-8c59721c1329"/>
    <d v="2026-05-25T00:00:00"/>
    <x v="0"/>
  </r>
  <r>
    <x v="62"/>
    <s v="marceloleite.mafaldo03@gmail.com"/>
    <n v="300262135"/>
    <n v="15855880"/>
    <x v="2"/>
    <x v="38"/>
    <n v="40"/>
    <s v="Material não enviado pela Guararapes"/>
    <s v="NÃO"/>
    <s v="Faltou pro tamanho 44"/>
    <s v="25/05/2026 18:35"/>
    <m/>
    <n v="226"/>
    <x v="0"/>
    <m/>
    <s v="8c88264d-e7e2-4ecd-b91d-b18a135d707e"/>
    <d v="2026-05-25T00:00:00"/>
    <x v="0"/>
  </r>
  <r>
    <x v="41"/>
    <s v="faccao_sales2010@hotmail.com"/>
    <n v="300259918"/>
    <n v="15863387"/>
    <x v="2"/>
    <x v="16"/>
    <n v="1254"/>
    <s v="Material diferente do especificado na ordem"/>
    <s v="NÃO"/>
    <s v="o passante recebido foi um jeans azul, a ordem é sarja cor bege"/>
    <s v="26/05/2026 07:21"/>
    <m/>
    <n v="227"/>
    <x v="0"/>
    <m/>
    <s v="ccdfbefe-1186-446a-91b0-a931a280c461"/>
    <d v="2026-05-26T00:00:00"/>
    <x v="0"/>
  </r>
  <r>
    <x v="10"/>
    <s v="acauaconfeccoes@outlook.com"/>
    <n v="300265051"/>
    <n v="16433858"/>
    <x v="3"/>
    <x v="8"/>
    <n v="840"/>
    <s v="Quantidade insuficiente para terminar a ordem"/>
    <s v="NÃO"/>
    <m/>
    <s v="26/05/2026 07:36"/>
    <m/>
    <n v="228"/>
    <x v="0"/>
    <m/>
    <s v="eaed8c13-719d-4196-8011-1432c24df324"/>
    <d v="2026-05-26T00:00:00"/>
    <x v="0"/>
  </r>
  <r>
    <x v="10"/>
    <s v="acauaconfeccoes@outlook.com"/>
    <n v="300265052"/>
    <n v="16433858"/>
    <x v="3"/>
    <x v="8"/>
    <n v="276"/>
    <s v="Quantidade insuficiente para terminar a ordem"/>
    <s v="NÃO"/>
    <m/>
    <s v="26/05/2026 07:40"/>
    <m/>
    <n v="229"/>
    <x v="0"/>
    <m/>
    <s v="a2f8af89-4adf-4a67-85b0-9f176c0c170e"/>
    <d v="2026-05-26T00:00:00"/>
    <x v="0"/>
  </r>
  <r>
    <x v="40"/>
    <s v="paulaaretuzaviturino@gmail.com"/>
    <n v="300259845"/>
    <n v="16099605"/>
    <x v="3"/>
    <x v="22"/>
    <s v="72 peças "/>
    <s v="Material não enviado pela Guararapes"/>
    <s v="NÃO"/>
    <s v="está faltando 1 lote de 18 peças frente do tamanho M - está faltando 2 lotes de 18 peças frente do tamanho P - está faltando 1 lote de 18 peças frente tamanho PP"/>
    <s v="26/05/2026 08:09"/>
    <m/>
    <n v="230"/>
    <x v="0"/>
    <m/>
    <s v="92c19ada-2a10-4ab4-a23b-8dd609a04c27"/>
    <d v="2026-05-26T00:00:00"/>
    <x v="0"/>
  </r>
  <r>
    <x v="5"/>
    <s v="tendenciaconfec@gmail.com"/>
    <n v="300261083"/>
    <n v="15774104"/>
    <x v="2"/>
    <x v="13"/>
    <s v="50-5; 48-11; 46-17; 44-22; 42-28; 40-16; 38-11"/>
    <s v="Material não enviado pela Guararapes"/>
    <s v="NÃO"/>
    <m/>
    <s v="26/05/2026 08:12"/>
    <m/>
    <n v="231"/>
    <x v="0"/>
    <m/>
    <s v="b1f99336-80a6-4487-af01-00a42f0f2089"/>
    <d v="2026-05-26T00:00:00"/>
    <x v="0"/>
  </r>
  <r>
    <x v="63"/>
    <s v="acaritextil2801@gmail.com"/>
    <n v="300262511"/>
    <n v="16215117"/>
    <x v="2"/>
    <x v="2"/>
    <s v="35 para o tamanho 4"/>
    <s v="Quantidade insuficiente para terminar a ordem"/>
    <s v="NÃO"/>
    <s v="tamanho 4 - 35 etiquetas"/>
    <s v="26/05/2026 08:56"/>
    <m/>
    <n v="232"/>
    <x v="0"/>
    <m/>
    <s v="86dc6434-0918-451f-8a28-5dd3a7488801"/>
    <d v="2026-05-26T00:00:00"/>
    <x v="0"/>
  </r>
  <r>
    <x v="27"/>
    <s v="ffconfeccoesobrn@hotmail.com"/>
    <n v="300259104"/>
    <n v="16217683"/>
    <x v="2"/>
    <x v="8"/>
    <n v="450"/>
    <s v="Quantidade insuficiente para terminar a ordem"/>
    <s v="NÃO"/>
    <s v="A ORDEM ANTERIOR ELA FALTOU LINHA E FOI PRECISO PEGAR DESSA OUTRA"/>
    <s v="26/05/2026 09:05"/>
    <m/>
    <n v="233"/>
    <x v="0"/>
    <m/>
    <s v="c60acec4-d010-4a1f-a298-3d47b2112416"/>
    <d v="2026-05-26T00:00:00"/>
    <x v="0"/>
  </r>
  <r>
    <x v="64"/>
    <s v="neemias.sc@hotmail.com"/>
    <n v="300260708"/>
    <n v="16473914"/>
    <x v="2"/>
    <x v="23"/>
    <n v="309"/>
    <s v="Quantidade insuficiente para terminar a ordem"/>
    <s v="NÃO"/>
    <s v="Cadarço Benef C0001 25mm PR8071"/>
    <s v="26/05/2026 09:30"/>
    <m/>
    <n v="234"/>
    <x v="0"/>
    <m/>
    <s v="21bf6f59-6278-4903-a206-495ad4de390b"/>
    <d v="2026-05-26T00:00:00"/>
    <x v="0"/>
  </r>
  <r>
    <x v="36"/>
    <s v="solisconfeccoes@gmail.com"/>
    <n v="300263362"/>
    <n v="16099605"/>
    <x v="3"/>
    <x v="39"/>
    <s v="22 SENDO GG=2/G=4M=6 P=6 PP=4"/>
    <s v="Quantidade insuficiente para terminar a ordem"/>
    <s v="NÃO"/>
    <s v="FALTOU PRA FINALIZAR A OP PRECISO TAMBEM DAS MANGAS"/>
    <s v="26/05/2026 10:05"/>
    <m/>
    <n v="235"/>
    <x v="0"/>
    <m/>
    <s v="f2dca06e-9616-46bc-9740-fe909cde6b1f"/>
    <d v="2026-05-26T00:00:00"/>
    <x v="0"/>
  </r>
  <r>
    <x v="65"/>
    <s v="fortetecnologiatextil@gmail.com"/>
    <n v="300262863"/>
    <n v="15433269"/>
    <x v="3"/>
    <x v="7"/>
    <n v="100"/>
    <s v="estamos sem lacres"/>
    <s v="NÃO"/>
    <s v="lacres urgente"/>
    <s v="26/05/2026 10:08"/>
    <m/>
    <n v="236"/>
    <x v="0"/>
    <m/>
    <s v="a9cca94b-7a30-4119-bd02-d6c35d504bee"/>
    <d v="2026-05-26T00:00:00"/>
    <x v="0"/>
  </r>
  <r>
    <x v="0"/>
    <s v="freiresilvaconfeccoes@gmail.com"/>
    <n v="300264402"/>
    <n v="15581888"/>
    <x v="0"/>
    <x v="40"/>
    <n v="53"/>
    <s v="Quantidade insuficiente para terminar a ordem"/>
    <s v="NÃO"/>
    <s v="Faltou o lote 45375443"/>
    <s v="26/05/2026 10:15"/>
    <m/>
    <n v="237"/>
    <x v="0"/>
    <m/>
    <s v="1cdc5c7d-d342-4e62-9d68-0aebb8da222a"/>
    <d v="2026-05-26T00:00:00"/>
    <x v="0"/>
  </r>
  <r>
    <x v="43"/>
    <s v="faccaoello@hotmail.com"/>
    <n v="300264890"/>
    <n v="16448430"/>
    <x v="2"/>
    <x v="18"/>
    <s v="1- 231; 2-308; 3-308; 4-308; 5-231; 6-154 = 1540 PEÇAS"/>
    <s v="Material não enviado pela Guararapes"/>
    <s v="NÃO"/>
    <s v="NÃO VEIO NENHUM ELASTICO E NENHUM CODIGO"/>
    <s v="26/05/2026 10:24"/>
    <m/>
    <n v="238"/>
    <x v="0"/>
    <m/>
    <s v="983b0176-6e51-4518-869c-ee9b905dcd9a"/>
    <d v="2026-05-26T00:00:00"/>
    <x v="0"/>
  </r>
  <r>
    <x v="66"/>
    <s v="EMPORIODAMODAMOSSORO@GMAIL.COM"/>
    <n v="300261856"/>
    <n v="16523164"/>
    <x v="2"/>
    <x v="5"/>
    <n v="1430"/>
    <s v="Quantidade insuficiente para terminar a ordem"/>
    <s v="NÃO"/>
    <m/>
    <s v="26/05/2026 10:33"/>
    <m/>
    <n v="239"/>
    <x v="0"/>
    <m/>
    <s v="194a91f8-2f3b-4859-8913-025fe535c29b"/>
    <d v="2026-05-26T00:00:00"/>
    <x v="0"/>
  </r>
  <r>
    <x v="66"/>
    <s v="EMPORIODAMODAMOSSORO@GMAIL.COM"/>
    <n v="300261856"/>
    <n v="16523164"/>
    <x v="2"/>
    <x v="21"/>
    <n v="1430"/>
    <s v="Quantidade insuficiente para terminar a ordem"/>
    <s v="NÃO"/>
    <m/>
    <s v="26/05/2026 10:34"/>
    <m/>
    <n v="240"/>
    <x v="0"/>
    <m/>
    <s v="59d453de-5a9e-40c6-a8b5-114681ba2b69"/>
    <d v="2026-05-26T00:00:00"/>
    <x v="0"/>
  </r>
  <r>
    <x v="61"/>
    <s v="noelpazevedo@gmail.com"/>
    <n v="300260709"/>
    <n v="16473914"/>
    <x v="2"/>
    <x v="13"/>
    <n v="1315"/>
    <s v="Material não enviado pela Guararapes"/>
    <s v="NÃO"/>
    <s v="Não veio junto com a ordem "/>
    <s v="26/05/2026 11:28"/>
    <m/>
    <n v="241"/>
    <x v="0"/>
    <m/>
    <s v="e61cc0f6-17ec-4b9c-847e-c8835301f054"/>
    <d v="2026-05-26T00:00:00"/>
    <x v="0"/>
  </r>
  <r>
    <x v="32"/>
    <s v="di3confec@gmail.com"/>
    <n v="300261091"/>
    <n v="15774104"/>
    <x v="2"/>
    <x v="12"/>
    <s v="48 - 2; 42 - 2"/>
    <s v="Quantidade insuficiente para terminar a ordem"/>
    <s v="NÃO"/>
    <s v="MATERIAL INSUFICIENTE"/>
    <s v="26/05/2026 11:53"/>
    <m/>
    <n v="242"/>
    <x v="0"/>
    <m/>
    <s v="90016661-e6ec-4945-86ac-ae55dd230ad0"/>
    <d v="2026-05-26T00:00:00"/>
    <x v="0"/>
  </r>
  <r>
    <x v="44"/>
    <s v="teceuzl@hotmail.com"/>
    <n v="300262465"/>
    <n v="14487004"/>
    <x v="1"/>
    <x v="27"/>
    <n v="200"/>
    <s v="Quantidade insuficiente para terminar a ordem"/>
    <s v="NÃO"/>
    <m/>
    <s v="26/05/2026 12:54"/>
    <m/>
    <n v="243"/>
    <x v="0"/>
    <m/>
    <s v="07261fe6-d68b-47e4-bf4a-3d95b37f9ea7"/>
    <d v="2026-05-26T00:00:00"/>
    <x v="0"/>
  </r>
  <r>
    <x v="5"/>
    <s v="tendenciaconfec@gmail.com"/>
    <n v="300263702"/>
    <n v="16100280"/>
    <x v="2"/>
    <x v="13"/>
    <n v="10"/>
    <s v="Quantidade insuficiente para terminar a ordem"/>
    <s v="NÃO"/>
    <m/>
    <s v="26/05/2026 13:05"/>
    <m/>
    <n v="244"/>
    <x v="0"/>
    <m/>
    <s v="3a7151b1-4e45-4ff9-ac23-cd0f2c1ae5e3"/>
    <d v="2026-05-26T00:00:00"/>
    <x v="0"/>
  </r>
  <r>
    <x v="33"/>
    <s v="w.anny.k@hotmail.com"/>
    <n v="300262464"/>
    <n v="14487004"/>
    <x v="1"/>
    <x v="11"/>
    <n v="1"/>
    <s v="Material não enviado pela Guararapes"/>
    <s v="NÃO"/>
    <s v="ESTOU PRECISANDO DA PISTOLA PARA O USO NA CAMISA DA POLO"/>
    <s v="26/05/2026 14:23"/>
    <m/>
    <n v="245"/>
    <x v="0"/>
    <m/>
    <s v="4203f4f7-9bfa-4372-a938-a67fbb32e823"/>
    <d v="2026-05-26T00:00:00"/>
    <x v="0"/>
  </r>
  <r>
    <x v="10"/>
    <s v="acauaconfeccoes@outlook.com"/>
    <n v="300265051"/>
    <n v="16433858"/>
    <x v="3"/>
    <x v="19"/>
    <n v="840"/>
    <s v="Reposição "/>
    <s v="NÃO"/>
    <m/>
    <s v="26/05/2026 14:31"/>
    <m/>
    <n v="246"/>
    <x v="0"/>
    <m/>
    <s v="c2f3d505-e246-4e1c-9933-f17f751b48b4"/>
    <d v="2026-05-26T00:00:00"/>
    <x v="0"/>
  </r>
  <r>
    <x v="17"/>
    <s v="faccao_sales2010@hotmail.com"/>
    <n v="300248761"/>
    <n v="16247388"/>
    <x v="2"/>
    <x v="13"/>
    <n v="408"/>
    <s v="Material diferente do especificado na ordem"/>
    <s v="NÃO"/>
    <s v="6/7-136; 8/9-272"/>
    <s v="26/05/2026 15:04"/>
    <m/>
    <n v="247"/>
    <x v="0"/>
    <m/>
    <s v="d368797a-4234-44a5-a150-31528d0ae9f1"/>
    <d v="2026-05-26T00:00:00"/>
    <x v="0"/>
  </r>
  <r>
    <x v="67"/>
    <s v="samuelmedeiros074@hotmail.com"/>
    <n v="300261089"/>
    <n v="15774104"/>
    <x v="2"/>
    <x v="7"/>
    <n v="1244"/>
    <s v="FALTANDO"/>
    <s v="NÃO"/>
    <s v="."/>
    <s v="26/05/2026 15:23"/>
    <m/>
    <n v="248"/>
    <x v="0"/>
    <m/>
    <s v="d290db73-d96a-4cf2-b892-1d58081d2727"/>
    <d v="2026-05-26T00:00:00"/>
    <x v="0"/>
  </r>
  <r>
    <x v="38"/>
    <s v="pn.fenix@gmail.com"/>
    <n v="300263218"/>
    <n v="16488393"/>
    <x v="2"/>
    <x v="39"/>
    <n v="4"/>
    <s v="Material não enviado pela Guararapes"/>
    <s v="NÃO"/>
    <s v="Vieram tres frentes lado esquerdo, faltando o lado direiro e tres trazeiros, e uma frente completa. TODAS NO TAMANHO 44"/>
    <s v="26/05/2026 15:28"/>
    <m/>
    <n v="249"/>
    <x v="0"/>
    <m/>
    <s v="3844e79b-cb90-4ab0-bb04-431572f5a234"/>
    <d v="2026-05-26T00:00:00"/>
    <x v="0"/>
  </r>
  <r>
    <x v="7"/>
    <s v="tlcserranatextil@gmail.com"/>
    <n v="300263947"/>
    <n v="13044826"/>
    <x v="1"/>
    <x v="2"/>
    <s v="GG-35"/>
    <s v="Quantidade insuficiente para terminar a ordem"/>
    <s v="NÃO"/>
    <s v="veio faltando"/>
    <s v="26/05/2026 15:43"/>
    <m/>
    <n v="250"/>
    <x v="0"/>
    <m/>
    <s v="c4c21ed5-ac5f-46e8-876b-4a59ed830544"/>
    <d v="2026-05-26T00:00:00"/>
    <x v="0"/>
  </r>
  <r>
    <x v="32"/>
    <s v="di3confec@gmail.com"/>
    <n v="300249466"/>
    <n v="16350588"/>
    <x v="3"/>
    <x v="22"/>
    <s v="G - 6"/>
    <s v="Quantidade insuficiente para terminar a ordem"/>
    <s v="NÃO"/>
    <s v="Preciso de 6 partes da frente para finalizar a op"/>
    <s v="26/05/2026 16:23"/>
    <m/>
    <n v="251"/>
    <x v="0"/>
    <m/>
    <s v="a248f8ce-467e-4269-8ac8-bd8d488b4d6c"/>
    <d v="2026-05-26T00:00:00"/>
    <x v="0"/>
  </r>
  <r>
    <x v="35"/>
    <s v="lupercio-fnb@hotmail.com"/>
    <n v="300263232"/>
    <n v="16488067"/>
    <x v="2"/>
    <x v="17"/>
    <s v="3 cós 44 e 40 cós 40"/>
    <s v="Quantidade insuficiente para terminar a ordem"/>
    <s v="NÃO"/>
    <s v="Reposição de 3 cós tamanho 44, e 40 cós tamanho 40."/>
    <s v="26/05/2026 16:43"/>
    <m/>
    <n v="252"/>
    <x v="0"/>
    <m/>
    <s v="3c0c4059-a46e-4f98-96e2-a95d7f0112f3"/>
    <d v="2026-05-26T00:00:00"/>
    <x v="0"/>
  </r>
  <r>
    <x v="6"/>
    <s v="confeccoesgbdas@hotmail.com"/>
    <n v="300267336"/>
    <n v="16217799"/>
    <x v="2"/>
    <x v="3"/>
    <n v="25"/>
    <s v="Erro operacional da oficina"/>
    <s v="NÃO"/>
    <s v="5 ETIQUETAS DE CÓS TAM 6-7 // 5 ETIQUETAS DE CÓS TAM 8-9 // 5 ETIQUETAS DE CÓS TAM 9-10 // 5 ETIQUETAS DE CÓS TAM 11-12 // 5 ETIQUETAS DE CÓS TAM 13-14 "/>
    <s v="26/05/2026 17:10"/>
    <m/>
    <n v="253"/>
    <x v="1"/>
    <m/>
    <s v="fb0b4985-d728-4e8e-9c74-a1d40a29d933"/>
    <d v="2026-05-26T00:00:00"/>
    <x v="0"/>
  </r>
  <r>
    <x v="56"/>
    <s v="idealconfecltda@gmail.com"/>
    <n v="300263199"/>
    <n v="15215539"/>
    <x v="3"/>
    <x v="12"/>
    <s v="tamanho GG =63 PEÇAS"/>
    <s v="Quantidade insuficiente para terminar a ordem"/>
    <s v="NÃO"/>
    <s v="Material insuficiente para finalizar op"/>
    <s v="26/05/2026 18:26"/>
    <m/>
    <n v="254"/>
    <x v="1"/>
    <m/>
    <s v="f0645aa5-2735-4d61-9e67-b483bcae2743"/>
    <d v="2026-05-26T00:00:00"/>
    <x v="0"/>
  </r>
  <r>
    <x v="21"/>
    <s v="potengitextil@outlook.com.br"/>
    <n v="300264397"/>
    <n v="16447603"/>
    <x v="2"/>
    <x v="8"/>
    <n v="1166"/>
    <s v="Quantidade insuficiente para terminar a ordem"/>
    <s v="NÃO"/>
    <s v="5 cones de linha (código: 10000063302)"/>
    <s v="27/05/2026 07:22"/>
    <m/>
    <n v="255"/>
    <x v="1"/>
    <m/>
    <s v="4f35d3f5-d130-4df4-8109-9d19a960ed84"/>
    <d v="2026-05-27T00:00:00"/>
    <x v="0"/>
  </r>
  <r>
    <x v="21"/>
    <s v="potengitextil@outlook.com.br"/>
    <n v="300244397"/>
    <n v="16447603"/>
    <x v="2"/>
    <x v="8"/>
    <n v="1166"/>
    <s v="Quantidade insuficiente para terminar a ordem"/>
    <s v="NÃO"/>
    <s v="22 cones (código: 10000063062) só veio 3 cones para chuleado e travet, o consumo não está correto. "/>
    <s v="27/05/2026 07:25"/>
    <m/>
    <n v="256"/>
    <x v="2"/>
    <m/>
    <s v="753e8c32-efd1-40e6-9834-51a13b692f2d"/>
    <d v="2026-05-27T00:00:00"/>
    <x v="0"/>
  </r>
  <r>
    <x v="13"/>
    <s v="administrativo@zajaconfeccoes.com.br"/>
    <n v="300265054"/>
    <n v="16453310"/>
    <x v="0"/>
    <x v="2"/>
    <s v="GG- 50"/>
    <s v="Quantidade insuficiente para terminar a ordem"/>
    <s v="NÃO"/>
    <m/>
    <s v="27/05/2026 07:55"/>
    <m/>
    <n v="257"/>
    <x v="1"/>
    <m/>
    <s v="c304c62b-3dae-4cff-88ca-764dd033bab3"/>
    <d v="2026-05-27T00:00:00"/>
    <x v="0"/>
  </r>
  <r>
    <x v="18"/>
    <s v="ebenezerindustriat@hotmail.com"/>
    <n v="300262881"/>
    <n v="16474228"/>
    <x v="3"/>
    <x v="41"/>
    <n v="2"/>
    <s v="QUEBROU"/>
    <s v="NÃO"/>
    <s v="ANEXEI UMA FOTO ALEATORIA, POIS NÃO ABRI NENHUM CHAMADO"/>
    <s v="27/05/2026 07:56"/>
    <m/>
    <n v="258"/>
    <x v="2"/>
    <m/>
    <s v="5f0dde00-0c58-4752-a604-ba14c8409740"/>
    <d v="2026-05-27T00:00:00"/>
    <x v="0"/>
  </r>
  <r>
    <x v="13"/>
    <s v="administrativo@zajaconfeccoes.com.br"/>
    <n v="300265054"/>
    <n v="16453310"/>
    <x v="0"/>
    <x v="3"/>
    <s v="M-5; GG-5"/>
    <s v="Quantidade insuficiente para terminar a ordem"/>
    <s v="NÃO"/>
    <m/>
    <s v="27/05/2026 07:58"/>
    <m/>
    <n v="259"/>
    <x v="1"/>
    <m/>
    <s v="3ba9dbbc-6a7a-4336-89a3-6668bcd897ef"/>
    <d v="2026-05-27T00:00:00"/>
    <x v="0"/>
  </r>
  <r>
    <x v="32"/>
    <s v="di3confec@gmail.com"/>
    <n v="300261090"/>
    <n v="15774104"/>
    <x v="3"/>
    <x v="42"/>
    <s v="30 SACOS"/>
    <s v="Quantidade insuficiente para terminar a ordem"/>
    <s v="NÃO"/>
    <m/>
    <s v="27/05/2026 07:59"/>
    <m/>
    <n v="260"/>
    <x v="2"/>
    <m/>
    <s v="a70f2d59-f9d5-4857-b8a7-2da164a8f2e4"/>
    <d v="2026-05-27T00:00:00"/>
    <x v="0"/>
  </r>
  <r>
    <x v="68"/>
    <s v="MLUCILEIDEC@HOTMAIL.COM"/>
    <n v="300263216"/>
    <n v="16488393"/>
    <x v="2"/>
    <x v="3"/>
    <n v="910"/>
    <s v="Material não enviado pela Guararapes"/>
    <s v="NÃO"/>
    <m/>
    <s v="27/05/2026 08:11"/>
    <m/>
    <n v="261"/>
    <x v="2"/>
    <m/>
    <s v="00efcb54-3bc8-4695-a9d4-4956b232fe1f"/>
    <d v="2026-05-27T00:00:00"/>
    <x v="0"/>
  </r>
  <r>
    <x v="69"/>
    <s v="a.sempreendimentostextil@gmail.com"/>
    <n v="300259161"/>
    <n v="16474163"/>
    <x v="2"/>
    <x v="5"/>
    <n v="10"/>
    <s v="acabou o filme de passente"/>
    <s v="NÃO"/>
    <s v="acabou o filme"/>
    <s v="27/05/2026 08:23"/>
    <m/>
    <n v="262"/>
    <x v="2"/>
    <m/>
    <s v="a006a023-9f77-45d3-9df6-0500ac3385bd"/>
    <d v="2026-05-27T00:00:00"/>
    <x v="0"/>
  </r>
  <r>
    <x v="69"/>
    <s v="a.sempreendimentostextil@gmail.com"/>
    <n v="300259161"/>
    <n v="16474163"/>
    <x v="2"/>
    <x v="7"/>
    <n v="100"/>
    <s v="acabou o lacre"/>
    <s v="NÃO"/>
    <s v="acabou"/>
    <s v="27/05/2026 08:25"/>
    <m/>
    <n v="263"/>
    <x v="2"/>
    <m/>
    <s v="d8b31d9b-0fcc-452b-a159-e847f9117cb6"/>
    <d v="2026-05-27T00:00:00"/>
    <x v="0"/>
  </r>
  <r>
    <x v="37"/>
    <s v="felconfeccao@gmail.com"/>
    <n v="300265943"/>
    <n v="16251962"/>
    <x v="3"/>
    <x v="14"/>
    <s v="PP-3"/>
    <s v="Quantidade insuficiente para terminar a ordem"/>
    <s v="NÃO"/>
    <m/>
    <s v="27/05/2026 08:54"/>
    <m/>
    <n v="264"/>
    <x v="1"/>
    <m/>
    <s v="3dcd4493-74f9-4fa4-9e34-73089bc34302"/>
    <d v="2026-05-27T00:00:00"/>
    <x v="0"/>
  </r>
  <r>
    <x v="2"/>
    <s v="oficinasantos08@outlook.com"/>
    <n v="300261824"/>
    <n v="15411800"/>
    <x v="2"/>
    <x v="3"/>
    <n v="1.028"/>
    <s v="Reprocesso (devolução para conserto na oficina)"/>
    <s v="NÃO"/>
    <s v="as duas etiquetas do cós ( tamanho e fit). Ordem completa "/>
    <s v="27/05/2026 09:57"/>
    <m/>
    <n v="265"/>
    <x v="2"/>
    <m/>
    <s v="26f6c21d-0a11-49b4-8659-574ef13173d2"/>
    <d v="2026-05-27T00:00:00"/>
    <x v="0"/>
  </r>
  <r>
    <x v="70"/>
    <s v="novaconfeccoes.0@hotmail.com"/>
    <n v="300262509"/>
    <n v="16187416"/>
    <x v="2"/>
    <x v="38"/>
    <n v="297"/>
    <s v="Material não enviado pela Guararapes"/>
    <s v="NÃO"/>
    <s v="Bolso dianteiro lado esquerdo-superior e inferior "/>
    <s v="27/05/2026 10:08"/>
    <m/>
    <n v="266"/>
    <x v="1"/>
    <m/>
    <s v="982cdce2-4b80-457b-8156-5d0f4d86f7c3"/>
    <d v="2026-05-27T00:00:00"/>
    <x v="0"/>
  </r>
  <r>
    <x v="32"/>
    <s v="di3confec@gmail.com"/>
    <n v="300251486"/>
    <n v="16222326"/>
    <x v="3"/>
    <x v="22"/>
    <s v="XG - 16; GG - 16; G - 24; M - 24; P - 16"/>
    <s v="Material não enviado pela Guararapes"/>
    <s v="NÃO"/>
    <s v="Essa ordem veio faltando as frentes, as mangas e as golas do primeiro risco, total de 96 peças. "/>
    <s v="27/05/2026 10:17"/>
    <m/>
    <n v="267"/>
    <x v="1"/>
    <m/>
    <s v="441248c1-f4ca-496e-b11b-d7808ae7e259"/>
    <d v="2026-05-27T00:00:00"/>
    <x v="0"/>
  </r>
  <r>
    <x v="32"/>
    <s v="di3confec@gmail.com"/>
    <n v="300251486"/>
    <n v="16222326"/>
    <x v="3"/>
    <x v="30"/>
    <s v="XG - 16; GG - 16; G - 24; M - 24; P - 16"/>
    <s v="Material não enviado pela Guararapes"/>
    <s v="NÃO"/>
    <s v="Essa ordem veio faltando as frentes, as mangas e as golas do primeiro risco, total de 96 peças."/>
    <s v="27/05/2026 10:21"/>
    <m/>
    <n v="268"/>
    <x v="1"/>
    <m/>
    <s v="648c8106-82b1-499d-aba1-7b73371e25b3"/>
    <d v="2026-05-27T00:00:00"/>
    <x v="0"/>
  </r>
  <r>
    <x v="32"/>
    <s v="di3confec@gmail.com"/>
    <n v="300251486"/>
    <n v="16222326"/>
    <x v="3"/>
    <x v="6"/>
    <s v="XG - 16; GG - 16; G - 24; M - 24; P - 16"/>
    <s v="Material não enviado pela Guararapes"/>
    <s v="NÃO"/>
    <s v="Essa ordem veio faltando as frentes, as mangas e as golas do primeiro risco, total de 96 peças."/>
    <s v="27/05/2026 10:22"/>
    <m/>
    <n v="269"/>
    <x v="1"/>
    <m/>
    <s v="533902bc-8579-4efe-827c-9e91398d2450"/>
    <d v="2026-05-27T00:00:00"/>
    <x v="0"/>
  </r>
  <r>
    <x v="71"/>
    <s v="alfaequador@gmail.com"/>
    <n v="300266686"/>
    <n v="16243340"/>
    <x v="2"/>
    <x v="10"/>
    <n v="1"/>
    <s v="Quantidade insuficiente para terminar a ordem"/>
    <s v="NÃO"/>
    <s v="papelão para fazer gabarito "/>
    <s v="27/05/2026 10:46"/>
    <m/>
    <n v="270"/>
    <x v="2"/>
    <m/>
    <s v="98d5a82c-c320-4772-b8b7-86f0434a29c4"/>
    <d v="2026-05-27T00:00:00"/>
    <x v="0"/>
  </r>
  <r>
    <x v="65"/>
    <s v="fortetecnologiatextil@gmail.com"/>
    <n v="300264453"/>
    <n v="16229215"/>
    <x v="3"/>
    <x v="22"/>
    <n v="44"/>
    <s v="Frente está pintada (silk) com o tamanho da peça."/>
    <s v="SILK"/>
    <s v="A frente de um lote de 44 peças (tamanho 9-10) veio com a pintura/silk de tamanho feita na frente da peça deste lote."/>
    <s v="27/05/2026 12:10"/>
    <m/>
    <n v="271"/>
    <x v="1"/>
    <m/>
    <s v="ad9c3f8a-b22b-4bb9-9c5d-8f5c25f35b13"/>
    <d v="2026-05-27T00:00:00"/>
    <x v="0"/>
  </r>
  <r>
    <x v="7"/>
    <s v="confeccaogenesisltda@gmail.com"/>
    <n v="300262245"/>
    <n v="16464591"/>
    <x v="3"/>
    <x v="4"/>
    <s v="GG-216; G-120; PP-50; PP-20"/>
    <s v="Quantidade insuficiente para terminar a ordem"/>
    <s v="NÃO"/>
    <s v="veio faltando"/>
    <s v="27/05/2026 13:05"/>
    <m/>
    <n v="272"/>
    <x v="1"/>
    <m/>
    <s v="afb8167f-ba75-435c-b0b5-58463344c059"/>
    <d v="2026-05-27T00:00:00"/>
    <x v="0"/>
  </r>
  <r>
    <x v="8"/>
    <s v="tlcserranatextil@gmail.com"/>
    <n v="300263203"/>
    <n v="15215539"/>
    <x v="1"/>
    <x v="30"/>
    <s v="GG-336; XG-168"/>
    <s v="Quantidade insuficiente para terminar a ordem"/>
    <s v="NÃO"/>
    <s v="veio faltando"/>
    <s v="27/05/2026 13:10"/>
    <m/>
    <n v="273"/>
    <x v="1"/>
    <m/>
    <s v="d73eb9b4-d89b-49d2-90af-65bb77b2cc7d"/>
    <d v="2026-05-27T00:00:00"/>
    <x v="0"/>
  </r>
  <r>
    <x v="5"/>
    <s v="tendenciaconfec@gmail.com"/>
    <n v="300261565"/>
    <n v="15888533"/>
    <x v="3"/>
    <x v="4"/>
    <s v="P-90"/>
    <s v="Quantidade insuficiente para terminar a ordem"/>
    <s v="NÃO"/>
    <m/>
    <s v="27/05/2026 13:11"/>
    <m/>
    <n v="274"/>
    <x v="1"/>
    <m/>
    <s v="28666e71-af21-4644-8b99-538640efa70d"/>
    <d v="2026-05-27T00:00:00"/>
    <x v="0"/>
  </r>
  <r>
    <x v="63"/>
    <s v="acaritextil2801@gmail.com"/>
    <n v="300266267"/>
    <n v="16187415"/>
    <x v="2"/>
    <x v="3"/>
    <n v="1.08"/>
    <s v="Material diferente do especificado na ordem"/>
    <s v="NÃO"/>
    <s v="veio e etiqueta adulto"/>
    <s v="27/05/2026 13:11"/>
    <m/>
    <n v="275"/>
    <x v="2"/>
    <m/>
    <s v="29721a96-9c85-43bb-818f-07c04e9e25e1"/>
    <d v="2026-05-27T00:00:00"/>
    <x v="0"/>
  </r>
  <r>
    <x v="8"/>
    <s v="tlcserranatextil@gmail.com"/>
    <n v="300263205"/>
    <n v="15215539"/>
    <x v="1"/>
    <x v="30"/>
    <s v="GG-100"/>
    <s v="Quantidade insuficiente para terminar a ordem"/>
    <s v="NÃO"/>
    <s v="veio faltando"/>
    <s v="27/05/2026 13:11"/>
    <m/>
    <n v="276"/>
    <x v="1"/>
    <m/>
    <s v="02bb130b-e25b-400c-87ac-4dffac8159db"/>
    <d v="2026-05-27T00:00:00"/>
    <x v="0"/>
  </r>
  <r>
    <x v="63"/>
    <s v="acaritextil2801@gmail.com"/>
    <n v="300260144"/>
    <n v="16215176"/>
    <x v="2"/>
    <x v="3"/>
    <n v="1.4"/>
    <s v="Material diferente do especificado na ordem"/>
    <s v="NÃO"/>
    <s v="ETQ RCHLO TOP INFANTIL 65x12 TAM 1,2,3,4,5,6."/>
    <s v="27/05/2026 13:17"/>
    <m/>
    <n v="277"/>
    <x v="2"/>
    <m/>
    <s v="7a5c0687-8ceb-4473-b3c0-975ba095f56a"/>
    <d v="2026-05-27T00:00:00"/>
    <x v="0"/>
  </r>
  <r>
    <x v="63"/>
    <s v="acaritextil2801@gmail.com"/>
    <n v="300260144"/>
    <n v="16215176"/>
    <x v="2"/>
    <x v="8"/>
    <s v="50.000/50.000"/>
    <s v="Quantidade insuficiente para terminar a ordem"/>
    <s v="NÃO"/>
    <s v="9.LI001.036.151217/ 9.LI001.080.151217"/>
    <s v="27/05/2026 13:26"/>
    <m/>
    <n v="278"/>
    <x v="1"/>
    <m/>
    <s v="d959fea6-9d68-43ed-8160-d80759f6544a"/>
    <d v="2026-05-27T00:00:00"/>
    <x v="0"/>
  </r>
  <r>
    <x v="4"/>
    <s v="hiconfeccao@gmail.com"/>
    <n v="300262454"/>
    <n v="16447603"/>
    <x v="2"/>
    <x v="22"/>
    <n v="18"/>
    <s v="Pedido de 9 frentes do tamanho 2 (só o lado direito).  Pedido de 9 frente do tamanho 6 (só o lado esquerdo).  Total do pedido: 18 frentes  O Motivo do pedido, veio faltando, insuficiente para concluir a OP."/>
    <s v="NÃO"/>
    <s v="Pedido de 9 frentes do tamanho 2 (só o lado direito).  Pedido de 9 frente do tamanho 6 (só o lado esquerdo).  Total do pedido: 18 frentes"/>
    <s v="27/05/2026 13:45"/>
    <m/>
    <n v="279"/>
    <x v="1"/>
    <m/>
    <s v="c99a6864-17f6-4493-9bec-fe300d105cff"/>
    <d v="2026-05-27T00:00:00"/>
    <x v="0"/>
  </r>
  <r>
    <x v="2"/>
    <s v="oficinasantos08@outlook.com"/>
    <n v="300264368"/>
    <n v="16473604"/>
    <x v="2"/>
    <x v="43"/>
    <s v="50 (tam 36)"/>
    <s v="Material não enviado pela Guararapes"/>
    <s v="NÃO"/>
    <s v="veio faltando 50 bolso relógio, do tam 36"/>
    <s v="27/05/2026 13:45"/>
    <m/>
    <n v="280"/>
    <x v="1"/>
    <m/>
    <s v="732f1444-522d-4147-9070-9b908a7cbc63"/>
    <d v="2026-05-27T00:00:00"/>
    <x v="0"/>
  </r>
  <r>
    <x v="4"/>
    <s v="hiconfeccao@gmail.com"/>
    <n v="300262454"/>
    <n v="16447603"/>
    <x v="2"/>
    <x v="2"/>
    <s v="Pedido de 4 etiquetas de composição, tamanho 3."/>
    <s v="Quantidade insuficiente para terminar a ordem"/>
    <s v="NÃO"/>
    <s v="Pedido de 4 etiquetas de composição, tamanho 3.  Total do pedido: 4 etiquetas."/>
    <s v="27/05/2026 13:47"/>
    <m/>
    <n v="281"/>
    <x v="2"/>
    <m/>
    <s v="e0843da6-a6f6-4e88-a387-419d76d673ba"/>
    <d v="2026-05-27T00:00:00"/>
    <x v="0"/>
  </r>
  <r>
    <x v="72"/>
    <s v="marionetemedeiros2@hotmail.com"/>
    <n v="300263686"/>
    <n v="16445678"/>
    <x v="2"/>
    <x v="44"/>
    <n v="20"/>
    <s v="BOLSOS BORDADOS E VIERAM FALTANDO 20"/>
    <s v="BORDADO"/>
    <s v="TAM06-10, TAM03-07, TAM01-03"/>
    <s v="27/05/2026 13:49"/>
    <m/>
    <n v="282"/>
    <x v="1"/>
    <m/>
    <s v="0f700c7c-f254-48d1-80e2-20c473d471ce"/>
    <d v="2026-05-27T00:00:00"/>
    <x v="0"/>
  </r>
  <r>
    <x v="41"/>
    <s v="faccao_sales2010@hotmai.com"/>
    <n v="300000000"/>
    <n v="11111111"/>
    <x v="2"/>
    <x v="10"/>
    <s v="-"/>
    <s v="REPOSIÇÃO"/>
    <s v="NÃO"/>
    <m/>
    <s v="27/05/2026 14:18"/>
    <m/>
    <n v="283"/>
    <x v="2"/>
    <m/>
    <s v="c0375c5d-ce04-49c5-bedd-6f2a4eb54e09"/>
    <d v="2026-05-27T00:00:00"/>
    <x v="0"/>
  </r>
  <r>
    <x v="27"/>
    <s v="ffconfeccoesobrn@hotmail.com"/>
    <n v="300250255"/>
    <n v="16473914"/>
    <x v="2"/>
    <x v="12"/>
    <n v="15"/>
    <s v="Material não enviado pela Guararapes"/>
    <s v="BOLSO AUTOMÁTICO"/>
    <s v="FALTOU O LOTE 4346886"/>
    <s v="27/05/2026 14:21"/>
    <m/>
    <n v="284"/>
    <x v="1"/>
    <m/>
    <s v="5d9d74bc-e017-4b82-bef3-87e7be09f788"/>
    <d v="2026-05-27T00:00:00"/>
    <x v="0"/>
  </r>
  <r>
    <x v="48"/>
    <s v="evalber_dantas@hotmail.com"/>
    <n v="300265382"/>
    <n v="16272676"/>
    <x v="2"/>
    <x v="8"/>
    <n v="250"/>
    <s v="Quantidade insuficiente para terminar a ordem"/>
    <s v="NÃO"/>
    <s v="LINHA TITULO 36, COR 394"/>
    <s v="27/05/2026 14:38"/>
    <m/>
    <n v="285"/>
    <x v="1"/>
    <m/>
    <s v="2c56ce58-1061-4a9a-bcd3-8ff360a24a4a"/>
    <d v="2026-05-27T00:00:00"/>
    <x v="0"/>
  </r>
  <r>
    <x v="23"/>
    <s v="gruponobrejk@gmail.com"/>
    <n v="300259133"/>
    <n v="16450361"/>
    <x v="2"/>
    <x v="8"/>
    <s v="LINHA PARA 350 PEÇAS"/>
    <s v="Quantidade insuficiente para terminar a ordem"/>
    <s v="NÃO"/>
    <s v="CÓDIGO - 10000072683"/>
    <s v="27/05/2026 14:40"/>
    <m/>
    <n v="286"/>
    <x v="1"/>
    <m/>
    <s v="957ecfeb-faa8-4ad1-a20f-417b654762e8"/>
    <d v="2026-05-27T00:00:00"/>
    <x v="0"/>
  </r>
  <r>
    <x v="11"/>
    <s v="S.a.confeccoesind@gmail.com"/>
    <n v="300264792"/>
    <n v="15773949"/>
    <x v="2"/>
    <x v="45"/>
    <n v="699"/>
    <s v="Material diferente do especificado na ordem"/>
    <s v="NÃO"/>
    <s v="Aviamento enviado errado."/>
    <s v="27/05/2026 14:58"/>
    <m/>
    <n v="287"/>
    <x v="2"/>
    <m/>
    <s v="47789398-8b10-4838-ab15-b59a3ec55b95"/>
    <d v="2026-05-27T00:00:00"/>
    <x v="0"/>
  </r>
  <r>
    <x v="6"/>
    <s v="confeccoesgbdas@hotmail.com"/>
    <n v="300265376"/>
    <n v="16440617"/>
    <x v="2"/>
    <x v="5"/>
    <s v="5 ROLOS DE FILME PLASTICO"/>
    <s v="Quantidade insuficiente para terminar a ordem"/>
    <s v="NÃO"/>
    <s v="5 ROLOS DE FILME PLASTICO"/>
    <s v="27/05/2026 15:00"/>
    <m/>
    <n v="288"/>
    <x v="2"/>
    <m/>
    <s v="37f4c24f-a3e8-4afb-8045-d875abf80c27"/>
    <d v="2026-05-27T00:00:00"/>
    <x v="0"/>
  </r>
  <r>
    <x v="6"/>
    <s v="confeccoesgbdas@hotmail.com"/>
    <n v="300265376"/>
    <n v="16440617"/>
    <x v="2"/>
    <x v="10"/>
    <s v="1 ROLO DE PAPEL KRAFT"/>
    <s v="Quantidade insuficiente para terminar a ordem"/>
    <s v="NÃO"/>
    <m/>
    <s v="27/05/2026 15:01"/>
    <m/>
    <n v="289"/>
    <x v="2"/>
    <m/>
    <s v="b0ed6601-8059-4baf-aca7-0e5e7b775bb9"/>
    <d v="2026-05-27T00:00:00"/>
    <x v="0"/>
  </r>
  <r>
    <x v="41"/>
    <s v="faccao_sales2010@hotmail.com"/>
    <n v="300260245"/>
    <n v="16440960"/>
    <x v="3"/>
    <x v="2"/>
    <s v="pp-60"/>
    <s v="Erro operacional da oficina"/>
    <s v="NÃO"/>
    <m/>
    <s v="27/05/2026 15:04"/>
    <m/>
    <n v="290"/>
    <x v="1"/>
    <m/>
    <s v="12d56050-9329-4af6-b2d9-98ef01d8757d"/>
    <d v="2026-05-27T00:00:00"/>
    <x v="0"/>
  </r>
  <r>
    <x v="41"/>
    <s v="faccao_sales2010@hotmail.com"/>
    <n v="300260279"/>
    <n v="16223691"/>
    <x v="3"/>
    <x v="4"/>
    <s v="M-200"/>
    <s v="Quantidade insuficiente para terminar a ordem"/>
    <s v="NÃO"/>
    <m/>
    <s v="27/05/2026 15:05"/>
    <m/>
    <n v="291"/>
    <x v="1"/>
    <m/>
    <s v="b445090c-5eee-4620-b2c6-580185fc8b0b"/>
    <d v="2026-05-27T00:00:00"/>
    <x v="0"/>
  </r>
  <r>
    <x v="17"/>
    <s v="faccao_sales2010@hotmail.com"/>
    <n v="300248761"/>
    <n v="16247388"/>
    <x v="2"/>
    <x v="1"/>
    <n v="884"/>
    <s v="Material não enviado pela Guararapes"/>
    <s v="NÃO"/>
    <m/>
    <s v="27/05/2026 15:06"/>
    <m/>
    <n v="292"/>
    <x v="2"/>
    <m/>
    <s v="3f8304d8-536f-4b9b-afc6-65e631304a17"/>
    <d v="2026-05-27T00:00:00"/>
    <x v="0"/>
  </r>
  <r>
    <x v="17"/>
    <s v="faccao_sales2010@hotmail.com"/>
    <n v="300249483"/>
    <n v="15206637"/>
    <x v="3"/>
    <x v="4"/>
    <n v="210"/>
    <s v="Erro operacional da oficina"/>
    <s v="NÃO"/>
    <m/>
    <s v="27/05/2026 15:08"/>
    <m/>
    <n v="293"/>
    <x v="2"/>
    <m/>
    <s v="3575d03a-fec5-4398-b2a4-d345a6c7ca3f"/>
    <d v="2026-05-27T00:00:00"/>
    <x v="0"/>
  </r>
  <r>
    <x v="43"/>
    <s v="FACCAOELLO@HOTMAIL.COM"/>
    <n v="300261821"/>
    <n v="16416538"/>
    <x v="2"/>
    <x v="46"/>
    <n v="14"/>
    <s v="DEFEITO NO BORDADO"/>
    <s v="NÃO"/>
    <m/>
    <s v="27/05/2026 15:35"/>
    <m/>
    <n v="294"/>
    <x v="1"/>
    <m/>
    <s v="08a9fe6c-827f-47c7-9efc-5719544da91f"/>
    <d v="2026-05-27T00:00:00"/>
    <x v="0"/>
  </r>
  <r>
    <x v="21"/>
    <s v="potengitextil@outlook.com.br"/>
    <n v="300264442"/>
    <n v="13132547"/>
    <x v="1"/>
    <x v="30"/>
    <n v="28"/>
    <s v="Material extraviado"/>
    <s v="NÃO"/>
    <s v="28 pares de manga tamanho GG, virem com defeito. "/>
    <s v="27/05/2026 15:51"/>
    <m/>
    <n v="295"/>
    <x v="1"/>
    <m/>
    <s v="9a4ad6ae-498c-4d08-80b0-fa9fd392fb78"/>
    <d v="2026-05-27T00:00:00"/>
    <x v="0"/>
  </r>
  <r>
    <x v="21"/>
    <s v="potengitextil@outlook.com.br"/>
    <n v="300265106"/>
    <n v="15128288"/>
    <x v="1"/>
    <x v="27"/>
    <n v="840"/>
    <s v="Material não enviado pela Guararapes"/>
    <s v="NÃO"/>
    <s v="1680 botões, não veio na Op. "/>
    <s v="27/05/2026 15:52"/>
    <m/>
    <n v="296"/>
    <x v="2"/>
    <m/>
    <s v="0dd85438-cd14-4d76-8d94-aad218dd4eac"/>
    <d v="2026-05-27T00:00:00"/>
    <x v="0"/>
  </r>
  <r>
    <x v="21"/>
    <s v="potengitextil@outlook.com.br"/>
    <n v="300267147"/>
    <n v="15128288"/>
    <x v="1"/>
    <x v="27"/>
    <n v="870"/>
    <s v="Material não enviado pela Guararapes"/>
    <s v="NÃO"/>
    <s v="1740 botões, não veio na OP"/>
    <s v="27/05/2026 15:54"/>
    <m/>
    <n v="297"/>
    <x v="2"/>
    <m/>
    <s v="aa7b6bb1-6d2a-4929-8067-cbda7ede039f"/>
    <d v="2026-05-27T00:00:00"/>
    <x v="0"/>
  </r>
  <r>
    <x v="32"/>
    <s v="di3confec@gmail.com"/>
    <n v="300266476"/>
    <n v="16441656"/>
    <x v="3"/>
    <x v="9"/>
    <s v="3 CONES DE LINHA E 3 CONES DE FIO"/>
    <s v="Quantidade insuficiente para terminar a ordem"/>
    <s v="NÃO"/>
    <s v="Material insuficiente"/>
    <s v="27/05/2026 15:55"/>
    <m/>
    <n v="298"/>
    <x v="1"/>
    <m/>
    <s v="c456346c-6bdc-448d-ab9f-2ba9ef8ab86e"/>
    <d v="2026-05-27T00:00:00"/>
    <x v="0"/>
  </r>
  <r>
    <x v="12"/>
    <s v="potengitextil@outlook.com.br"/>
    <n v="300267146"/>
    <n v="15128288"/>
    <x v="1"/>
    <x v="27"/>
    <n v="371"/>
    <s v="Material não enviado pela Guararapes"/>
    <s v="NÃO"/>
    <s v="742 botões, não veio na op "/>
    <s v="27/05/2026 15:56"/>
    <m/>
    <n v="299"/>
    <x v="2"/>
    <m/>
    <s v="2d2069a5-8544-4152-8e33-59758b6141ec"/>
    <d v="2026-05-27T00:00:00"/>
    <x v="0"/>
  </r>
  <r>
    <x v="6"/>
    <s v="confeccoesgbdas@hotmail.com"/>
    <n v="300265376"/>
    <n v="16440617"/>
    <x v="2"/>
    <x v="47"/>
    <s v="100 LACRES"/>
    <s v="Quantidade insuficiente para terminar a ordem"/>
    <s v="NÃO"/>
    <s v="LACRE PARA EMBALAR ORDEM"/>
    <s v="27/05/2026 16:07"/>
    <m/>
    <n v="300"/>
    <x v="2"/>
    <m/>
    <s v="df618f05-043c-4eea-80f9-a8cb349e68ec"/>
    <d v="2026-05-27T00:00:00"/>
    <x v="0"/>
  </r>
  <r>
    <x v="6"/>
    <s v="confeccoesgbdas@hotmail.com"/>
    <n v="300263620"/>
    <n v="16450582"/>
    <x v="3"/>
    <x v="3"/>
    <n v="1824"/>
    <s v="Material não enviado pela Guararapes"/>
    <s v="NÃO"/>
    <m/>
    <s v="27/05/2026 16:09"/>
    <m/>
    <n v="301"/>
    <x v="2"/>
    <m/>
    <s v="4eaedd01-f749-4244-9325-7c6e99cb711e"/>
    <d v="2026-05-27T00:00:00"/>
    <x v="0"/>
  </r>
  <r>
    <x v="6"/>
    <s v="confeccoesgbdas@hotmail.com"/>
    <n v="300263609"/>
    <n v="16450582"/>
    <x v="3"/>
    <x v="3"/>
    <n v="1704"/>
    <s v="Material não enviado pela Guararapes"/>
    <s v="NÃO"/>
    <m/>
    <s v="27/05/2026 16:09"/>
    <m/>
    <n v="302"/>
    <x v="2"/>
    <m/>
    <s v="1af4d640-780b-485c-a341-9f41e2f2bb20"/>
    <d v="2026-05-27T00:00:00"/>
    <x v="0"/>
  </r>
  <r>
    <x v="32"/>
    <s v="di3confec@gmail.com"/>
    <n v="300266474"/>
    <n v="16441656"/>
    <x v="3"/>
    <x v="9"/>
    <s v="3 CONES DE LINHA E 3 CONES DE FIO"/>
    <s v="Quantidade insuficiente para terminar a ordem"/>
    <s v="NÃO"/>
    <s v="Material insuficiente"/>
    <s v="27/05/2026 16:13"/>
    <m/>
    <n v="303"/>
    <x v="1"/>
    <m/>
    <s v="9e117235-cfea-4ce7-8b79-2fdc440aec1c"/>
    <d v="2026-05-27T00:00:00"/>
    <x v="0"/>
  </r>
  <r>
    <x v="6"/>
    <s v="confeccoesgbdas@hotmail.com"/>
    <n v="300267336"/>
    <n v="16247799"/>
    <x v="2"/>
    <x v="3"/>
    <s v="5 ETIQUETAS DE CÓS TAM 9-10 // 5 ETIQUETAS DE CÓS TAM 11-12 // 5 ETIQUETAS DE CÓS TAM 13-14"/>
    <s v="Quantidade insuficiente para terminar a ordem"/>
    <s v="NÃO"/>
    <m/>
    <s v="27/05/2026 16:20"/>
    <m/>
    <n v="304"/>
    <x v="2"/>
    <m/>
    <s v="ba181006-232e-44a8-b7d2-5e72802fd9dd"/>
    <d v="2026-05-27T00:00:00"/>
    <x v="0"/>
  </r>
  <r>
    <x v="41"/>
    <s v="faccao_sales2010@hotmail.com"/>
    <n v="300260816"/>
    <n v="16223608"/>
    <x v="3"/>
    <x v="2"/>
    <s v="XG-16"/>
    <s v="Erro operacional da oficina"/>
    <s v="NÃO"/>
    <m/>
    <s v="27/05/2026 16:49"/>
    <m/>
    <n v="305"/>
    <x v="1"/>
    <m/>
    <s v="4aa264e6-032a-4149-aa7d-338b236340bd"/>
    <d v="2026-05-27T00:00:00"/>
    <x v="0"/>
  </r>
  <r>
    <x v="31"/>
    <s v="administrativo@zajaconfeccoes.com.br"/>
    <n v="300263332"/>
    <n v="16099605"/>
    <x v="3"/>
    <x v="12"/>
    <s v="m-24"/>
    <s v="Quantidade insuficiente para terminar a ordem"/>
    <s v="SILK"/>
    <m/>
    <s v="27/05/2026 16:58"/>
    <m/>
    <n v="306"/>
    <x v="1"/>
    <m/>
    <s v="f157025a-9cbb-4310-b7f3-e944f5c6c296"/>
    <d v="2026-05-27T00:00:00"/>
    <x v="0"/>
  </r>
  <r>
    <x v="63"/>
    <s v="acaritextil2801@gmail.com"/>
    <n v="300260144"/>
    <n v="16215176"/>
    <x v="2"/>
    <x v="8"/>
    <n v="700"/>
    <s v="Insuficiente para a quantidade de peças "/>
    <s v="NÃO"/>
    <s v="10000073272 - 9.LI001.036 / 10000073325 - 9.LI001.080 - 50.000 metros  cada linha "/>
    <s v="27/05/2026 17:06"/>
    <m/>
    <n v="307"/>
    <x v="1"/>
    <m/>
    <s v="eb68d84c-67a9-474a-bcdb-c87e61e24149"/>
    <d v="2026-05-27T00:00:00"/>
    <x v="0"/>
  </r>
  <r>
    <x v="14"/>
    <s v="asaequador@gmail.com"/>
    <n v="300265360"/>
    <n v="16474120"/>
    <x v="2"/>
    <x v="8"/>
    <s v="linha tit 80 s.650  não veio ,codigo 10000063106"/>
    <s v="Material não enviado pela Guararapes"/>
    <s v="NÃO"/>
    <s v="linha tit 80 s.650"/>
    <s v="27/05/2026 17:13"/>
    <m/>
    <n v="308"/>
    <x v="2"/>
    <m/>
    <s v="f58dd7da-72f5-4d2d-bafe-eea213bc6b98"/>
    <d v="2026-05-27T00:00:00"/>
    <x v="0"/>
  </r>
  <r>
    <x v="14"/>
    <s v="asaequador@gmail.com"/>
    <n v="300265360"/>
    <n v="16474120"/>
    <x v="2"/>
    <x v="13"/>
    <s v="22 ziper tamanho 15 cm codigo 100000211585"/>
    <s v="Quantidade insuficiente para terminar a ordem"/>
    <s v="NÃO"/>
    <s v="material insuficiente pra concluir ordem"/>
    <s v="27/05/2026 17:19"/>
    <m/>
    <n v="309"/>
    <x v="1"/>
    <m/>
    <s v="3bb070df-1c9d-4d94-a534-d2aa0241868f"/>
    <d v="2026-05-27T00:00:00"/>
    <x v="0"/>
  </r>
  <r>
    <x v="23"/>
    <s v="gruponobrejk@gmail.com"/>
    <n v="300259133"/>
    <n v="16450361"/>
    <x v="2"/>
    <x v="22"/>
    <n v="25"/>
    <s v="MATERIAL COM DEFEITO NO CORTE"/>
    <s v="NÃO"/>
    <s v="25 PARES FRENTE / TAMANHOS 13/14 ANOS"/>
    <s v="27/05/2026 17:30"/>
    <m/>
    <n v="310"/>
    <x v="1"/>
    <m/>
    <s v="028ade82-d0a0-4263-b41b-a9e6fa720957"/>
    <d v="2026-05-27T00:00:00"/>
    <x v="0"/>
  </r>
  <r>
    <x v="48"/>
    <s v="evalber_dantas@hotmail.com"/>
    <n v="300265382"/>
    <n v="16272676"/>
    <x v="2"/>
    <x v="8"/>
    <n v="250"/>
    <s v="Quantidade insuficiente para terminar a ordem"/>
    <s v="NÃO"/>
    <s v="LINHA 100%PES TÍT36 S.394 151213/-000000010000063328 - 9.LI001.036.151213/-LINHA PRO PESPONTO E CASEADO NA AGULHA - COR TÍT36 S.394 151213"/>
    <s v="27/05/2026 17:30"/>
    <m/>
    <n v="311"/>
    <x v="1"/>
    <m/>
    <s v="57394c96-1b0e-4e74-b02d-092306d4b8d0"/>
    <d v="2026-05-27T00:00:00"/>
    <x v="0"/>
  </r>
  <r>
    <x v="43"/>
    <s v="faccaoello@hotmail.com"/>
    <n v="300261835"/>
    <n v="16429959"/>
    <x v="2"/>
    <x v="7"/>
    <n v="1"/>
    <s v="ACABOU"/>
    <s v="NÃO"/>
    <m/>
    <s v="27/05/2026 17:30"/>
    <m/>
    <n v="312"/>
    <x v="2"/>
    <m/>
    <s v="8e13ad6f-a559-4ed8-afe0-3d4a9559e73d"/>
    <d v="2026-05-27T00:00:00"/>
    <x v="0"/>
  </r>
  <r>
    <x v="18"/>
    <s v="ebenezerindustriat@hotmail.com"/>
    <n v="300262877"/>
    <n v="16474228"/>
    <x v="3"/>
    <x v="7"/>
    <n v="1"/>
    <s v="ACABOU"/>
    <s v="NÃO"/>
    <m/>
    <s v="27/05/2026 17:32"/>
    <m/>
    <n v="313"/>
    <x v="2"/>
    <m/>
    <s v="2647714e-9058-415d-b9b2-8174414cd943"/>
    <d v="2026-05-27T00:00:00"/>
    <x v="0"/>
  </r>
  <r>
    <x v="73"/>
    <s v="fjdeazevedo@hotmail.com"/>
    <n v="300259994"/>
    <n v="15863387"/>
    <x v="2"/>
    <x v="12"/>
    <s v="-Quant.: 61, Traseira Esquerda de quem veste, Tam.: 42-Quant.: 01, Traseira Esquerda de quem veste, Tam.: 46-Quant.: 01"/>
    <s v="Material não enviado pela Guararapes"/>
    <s v="BOLSO AUTOMÁTICO"/>
    <s v="EU NÃO ENTENDI ISSO AQUI, MAS NA MANEIRA QUE ENVIEI O PEDIDO VOCES VÃO ENTENDER"/>
    <s v="27/05/2026 18:02"/>
    <m/>
    <n v="314"/>
    <x v="2"/>
    <m/>
    <s v="9de2ee16-1596-49e9-80a3-560e07ad074e"/>
    <d v="2026-05-27T00:00:00"/>
    <x v="0"/>
  </r>
  <r>
    <x v="73"/>
    <s v="fjdeazevedo@hotmail.com"/>
    <n v="300259994"/>
    <n v="15863387"/>
    <x v="2"/>
    <x v="12"/>
    <s v="Traseira Direita, Quant.: 120-Tam.: 44, Traseira esquerda, Quant.:59-Tam.: 44, Traseira direita, Quant.: 01-Tam.: 42, Traseira direita, Quant.: 01-Tam.: 46 "/>
    <s v="Material não enviado pela Guararapes"/>
    <s v="BOLSO AUTOMÁTICO"/>
    <s v="Por favor desconsiderar o pedido 314 feito anterior, houve um nas quantidades solicitadas"/>
    <s v="27/05/2026 18:14"/>
    <m/>
    <n v="315"/>
    <x v="1"/>
    <m/>
    <s v="7c06be28-4653-4b41-891c-a70038de092a"/>
    <d v="2026-05-27T00:00:00"/>
    <x v="0"/>
  </r>
  <r>
    <x v="26"/>
    <s v="cabugiconfeccoes.adm@gmail.com"/>
    <n v="300263211"/>
    <n v="16138473"/>
    <x v="2"/>
    <x v="38"/>
    <s v="371 PARES DE FORRO PARA O BOLSO FACA"/>
    <s v="Quantidade insuficiente para terminar a ordem"/>
    <s v="NÃO"/>
    <s v="40 pares de forro tamanho 'P' para o bolso faca / 139 pares de forro para bolso faca tamanho M / Faltou 137 pares de forro no tamanho G para o bolso faca / Tamanho XG: faltou 55 pares de forro"/>
    <s v="27/05/2026 19:39"/>
    <m/>
    <n v="316"/>
    <x v="1"/>
    <m/>
    <s v="ce66dffe-0eeb-4c22-9bdc-be843586d26f"/>
    <d v="2026-05-27T00:00:00"/>
    <x v="0"/>
  </r>
  <r>
    <x v="26"/>
    <s v="cabugiconfeccoes.adm@gmail.com"/>
    <n v="300263211"/>
    <n v="16138473"/>
    <x v="2"/>
    <x v="24"/>
    <s v="82 PARES DE VISTA"/>
    <s v="Quantidade insuficiente para terminar a ordem"/>
    <s v="NÃO"/>
    <s v="55 pares de vista tamanho M / 27 pares de vista no tamanho G"/>
    <s v="27/05/2026 19:43"/>
    <m/>
    <n v="317"/>
    <x v="1"/>
    <m/>
    <s v="8d01e75c-bbae-4567-b0ba-a097192dd794"/>
    <d v="2026-05-27T00:00:00"/>
    <x v="0"/>
  </r>
  <r>
    <x v="10"/>
    <s v="acauaconfeccoes@outlook.com"/>
    <n v="300255569"/>
    <n v="16223780"/>
    <x v="3"/>
    <x v="14"/>
    <n v="200"/>
    <s v="Quantidade insuficiente para terminar a ordem"/>
    <s v="NÃO"/>
    <s v="Faltou viés de gola pra 200 peças "/>
    <s v="28/05/2026 07:22"/>
    <m/>
    <n v="318"/>
    <x v="2"/>
    <m/>
    <s v="3201bb23-cb33-49cf-981e-342cb87ad9f6"/>
    <d v="2026-05-28T00:00:00"/>
    <x v="0"/>
  </r>
  <r>
    <x v="41"/>
    <s v="faccao_sales2010@hotmail.com"/>
    <n v="300260816"/>
    <n v="16223608"/>
    <x v="3"/>
    <x v="30"/>
    <n v="116"/>
    <s v="Quantidade insuficiente para terminar a ordem"/>
    <s v="NÃO"/>
    <s v="TAMANHO M-116 PEÇAS"/>
    <s v="28/05/2026 07:27"/>
    <m/>
    <n v="319"/>
    <x v="1"/>
    <m/>
    <s v="e02cfa59-b9e4-4288-ab57-31e71706bc22"/>
    <d v="2026-05-28T00:00:00"/>
    <x v="0"/>
  </r>
  <r>
    <x v="74"/>
    <s v="imdeoliveirasilva-me@hotmail.com"/>
    <n v="300264295"/>
    <n v="16508920"/>
    <x v="2"/>
    <x v="8"/>
    <n v="400"/>
    <s v="Material não enviado pela Guararapes"/>
    <s v="NÃO"/>
    <s v="FAVOR NOS ENVIAR LINHA 100% PES TIT36 S.343 171501 - CODIGO DO AVIAMENTO 10000073238"/>
    <s v="28/05/2026 07:46"/>
    <m/>
    <n v="320"/>
    <x v="1"/>
    <m/>
    <s v="743c5d52-6887-4a01-ae23-2766b2f38ce3"/>
    <d v="2026-05-28T00:00:00"/>
    <x v="0"/>
  </r>
  <r>
    <x v="41"/>
    <s v="faccao_sales2010@hotmail.com"/>
    <n v="300247381"/>
    <n v="16376129"/>
    <x v="2"/>
    <x v="16"/>
    <n v="532"/>
    <s v="Reprocesso (devolução para conserto na oficina)"/>
    <s v="NÃO"/>
    <m/>
    <s v="28/05/2026 07:56"/>
    <m/>
    <n v="321"/>
    <x v="2"/>
    <m/>
    <s v="8da861cb-bde8-409f-9da0-1c79785ae3e2"/>
    <d v="2026-05-28T00:00:00"/>
    <x v="0"/>
  </r>
  <r>
    <x v="41"/>
    <s v="faccao_sales2010@hotmail.com"/>
    <n v="300247382"/>
    <n v="16376129"/>
    <x v="2"/>
    <x v="16"/>
    <n v="608"/>
    <s v="Reprocesso (devolução para conserto na oficina)"/>
    <s v="NÃO"/>
    <m/>
    <s v="28/05/2026 07:59"/>
    <m/>
    <n v="322"/>
    <x v="2"/>
    <m/>
    <s v="41e40158-7063-414b-a7ad-3c4c7891f7b9"/>
    <d v="2026-05-28T00:00:00"/>
    <x v="0"/>
  </r>
  <r>
    <x v="73"/>
    <s v="fjdeazevedo@hotmail.com"/>
    <n v="300259994"/>
    <n v="15863387"/>
    <x v="2"/>
    <x v="12"/>
    <s v="Traseiras esquerda, -Tam.: 46-Quant.:  59 peças peças"/>
    <s v="A atado veio as 02 partes de um lado só,"/>
    <s v="BOLSO AUTOMÁTICO"/>
    <s v="veio o atado com as 02 partes de um lado só"/>
    <s v="28/05/2026 08:00"/>
    <m/>
    <n v="323"/>
    <x v="1"/>
    <m/>
    <s v="62d11c10-754b-42be-afb2-0e0fe1f5f52d"/>
    <d v="2026-05-28T00:00:00"/>
    <x v="0"/>
  </r>
  <r>
    <x v="75"/>
    <s v="maciel.dalison@hotmail.com"/>
    <n v="300262517"/>
    <n v="16292987"/>
    <x v="2"/>
    <x v="2"/>
    <n v="70"/>
    <s v="não veio"/>
    <s v="NÃO"/>
    <s v="70 etiquetas de composição tamanho 46"/>
    <s v="28/05/2026 08:18"/>
    <m/>
    <n v="324"/>
    <x v="1"/>
    <m/>
    <s v="a977fc77-00cd-4f66-9779-200c97a75462"/>
    <d v="2026-05-28T00:00:00"/>
    <x v="0"/>
  </r>
  <r>
    <x v="75"/>
    <s v="maciel.dalison@hotmail.com"/>
    <n v="300263692"/>
    <n v="16473965"/>
    <x v="2"/>
    <x v="24"/>
    <s v="44pares  tamanho 42 , 66 pares tamanho 40 e 44 pares tamanho 36"/>
    <s v="não veio "/>
    <s v="NÃO"/>
    <m/>
    <s v="28/05/2026 08:26"/>
    <m/>
    <n v="325"/>
    <x v="1"/>
    <m/>
    <s v="5011935d-99cf-4314-95a4-5135f65f34e2"/>
    <d v="2026-05-28T00:00:00"/>
    <x v="0"/>
  </r>
  <r>
    <x v="75"/>
    <s v="maciel.dalison@hotmail.com"/>
    <n v="300257636"/>
    <n v="16472217"/>
    <x v="2"/>
    <x v="8"/>
    <s v="15 cones de linha 50 cor 2257"/>
    <s v="não veio "/>
    <s v="NÃO"/>
    <m/>
    <s v="28/05/2026 08:31"/>
    <m/>
    <n v="326"/>
    <x v="1"/>
    <m/>
    <s v="e1278497-c717-4b4c-a4b5-4afd0a18678f"/>
    <d v="2026-05-28T00:00:00"/>
    <x v="0"/>
  </r>
  <r>
    <x v="21"/>
    <s v="potengitextil@outlook.com.br"/>
    <n v="300264397"/>
    <n v="16447603"/>
    <x v="2"/>
    <x v="5"/>
    <n v="1151"/>
    <s v="Material não enviado pela Guararapes"/>
    <s v="NÃO"/>
    <m/>
    <s v="28/05/2026 08:54"/>
    <m/>
    <n v="327"/>
    <x v="2"/>
    <m/>
    <s v="867fc9bb-1575-44e1-87b1-bfe409357f83"/>
    <d v="2026-05-28T00:00:00"/>
    <x v="0"/>
  </r>
  <r>
    <x v="21"/>
    <s v="potengitextil@outlook.com.br"/>
    <n v="300261831"/>
    <n v="16448642"/>
    <x v="2"/>
    <x v="5"/>
    <n v="1.2849999999999999"/>
    <s v="Material não enviado pela Guararapes"/>
    <s v="NÃO"/>
    <m/>
    <s v="28/05/2026 08:55"/>
    <m/>
    <n v="328"/>
    <x v="2"/>
    <m/>
    <s v="4a5b34d6-c530-4554-ba53-a5698a663be3"/>
    <d v="2026-05-28T00:00:00"/>
    <x v="0"/>
  </r>
  <r>
    <x v="21"/>
    <s v="potengitextil@outlook.com.br"/>
    <n v="300263681"/>
    <n v="16387414"/>
    <x v="2"/>
    <x v="5"/>
    <n v="475"/>
    <s v="Material não enviado pela Guararapes"/>
    <s v="NÃO"/>
    <m/>
    <s v="28/05/2026 08:56"/>
    <m/>
    <n v="329"/>
    <x v="2"/>
    <m/>
    <s v="cb41cb5f-8714-4e1f-8d50-057f8ba7765a"/>
    <d v="2026-05-28T00:00:00"/>
    <x v="0"/>
  </r>
  <r>
    <x v="31"/>
    <s v="administrativo@zajaconfeccoes.com.br"/>
    <n v="300263353"/>
    <n v="16099605"/>
    <x v="3"/>
    <x v="2"/>
    <s v="G-8"/>
    <s v="Quantidade insuficiente para terminar a ordem"/>
    <s v="NÃO"/>
    <m/>
    <s v="28/05/2026 09:15"/>
    <m/>
    <n v="330"/>
    <x v="1"/>
    <m/>
    <s v="0f98b2f5-6c7f-493d-9a4a-963446629fae"/>
    <d v="2026-05-28T00:00:00"/>
    <x v="0"/>
  </r>
  <r>
    <x v="52"/>
    <s v="ajgconfeccoes2021@gmail.com"/>
    <n v="300261936"/>
    <n v="16227336"/>
    <x v="3"/>
    <x v="2"/>
    <s v="155 TAMANHO 8-9"/>
    <s v="Material não enviado pela Guararapes"/>
    <s v="NÃO"/>
    <s v="FALTOU 155 ETIQUETAS TAMANHO 8-9"/>
    <s v="28/05/2026 09:33"/>
    <m/>
    <n v="331"/>
    <x v="1"/>
    <m/>
    <s v="cc4dfb3f-6d1a-49b3-bb6a-746c93ffa013"/>
    <d v="2026-05-28T00:00:00"/>
    <x v="0"/>
  </r>
  <r>
    <x v="68"/>
    <s v="mlucileidec@hotmail.com"/>
    <n v="300242504"/>
    <n v="16379390"/>
    <x v="2"/>
    <x v="48"/>
    <n v="910"/>
    <s v="Material não enviado pela Guararapes"/>
    <s v="NÃO"/>
    <s v="vieram somente a parte bordada. A parte inferior lisa esta faltando."/>
    <s v="28/05/2026 09:39"/>
    <m/>
    <n v="332"/>
    <x v="2"/>
    <m/>
    <s v="bc952008-cea9-4134-9fe8-d9e2293add3b"/>
    <d v="2026-05-28T00:00:00"/>
    <x v="0"/>
  </r>
  <r>
    <x v="49"/>
    <s v="s.ramosconfeccoes@gmail.com"/>
    <n v="300265765"/>
    <n v="16520076"/>
    <x v="2"/>
    <x v="5"/>
    <n v="944"/>
    <s v="Material não enviado pela Guararapes"/>
    <s v="NÃO"/>
    <s v="Estou precisando de filme plastico para passante, ja estou sem"/>
    <s v="28/05/2026 09:40"/>
    <m/>
    <n v="333"/>
    <x v="2"/>
    <m/>
    <s v="87f84908-e8bc-4c37-97e4-0f5a960d0053"/>
    <d v="2026-05-28T00:00:00"/>
    <x v="0"/>
  </r>
  <r>
    <x v="76"/>
    <s v="pn.fenix@gmail.com"/>
    <n v="300263682"/>
    <n v="0"/>
    <x v="2"/>
    <x v="7"/>
    <n v="0"/>
    <s v="Quantidade insuficiente para terminar a ordem"/>
    <s v="NÃO"/>
    <s v="lacres"/>
    <s v="28/05/2026 10:08"/>
    <m/>
    <n v="334"/>
    <x v="2"/>
    <m/>
    <s v="1c69869b-6515-41ed-85f7-a76903e112ef"/>
    <d v="2026-05-28T00:00:00"/>
    <x v="0"/>
  </r>
  <r>
    <x v="76"/>
    <s v="pn.fenix@gmail.com"/>
    <n v="300263682"/>
    <n v="0"/>
    <x v="2"/>
    <x v="10"/>
    <n v="0"/>
    <s v="Quantidade insuficiente para terminar a ordem"/>
    <s v="NÃO"/>
    <m/>
    <s v="28/05/2026 10:09"/>
    <m/>
    <n v="335"/>
    <x v="2"/>
    <m/>
    <s v="15d17913-5a7b-4a65-84e4-76a4f9cb6ff0"/>
    <d v="2026-05-28T00:00:00"/>
    <x v="0"/>
  </r>
  <r>
    <x v="54"/>
    <s v="deboraclothing.textil@gmail.com"/>
    <n v="300265953"/>
    <n v="16099605"/>
    <x v="3"/>
    <x v="2"/>
    <s v="TOTAL: 720. GG- 72 G-144 M- 216 P- 216 PP- 72"/>
    <s v="Quantidade insuficiente para terminar a ordem"/>
    <s v="NÃO"/>
    <s v="Falta de etiquetas do segundo e terceiro enfesto "/>
    <s v="28/05/2026 10:15"/>
    <m/>
    <n v="336"/>
    <x v="1"/>
    <m/>
    <s v="44e6bef1-c2d9-4796-adf8-d690ccfab2e7"/>
    <d v="2026-05-28T00:00:00"/>
    <x v="0"/>
  </r>
  <r>
    <x v="77"/>
    <s v="wag-almeida@hotmail.com"/>
    <n v="300261852"/>
    <n v="16523164"/>
    <x v="2"/>
    <x v="2"/>
    <s v="36-10; 40-5; 38-10"/>
    <s v="Quantidade insuficiente para terminar a ordem"/>
    <s v="NÃO"/>
    <s v="não enviado!"/>
    <s v="28/05/2026 10:33"/>
    <m/>
    <n v="337"/>
    <x v="1"/>
    <m/>
    <s v="8c1a9ce1-fb41-45d6-9efa-1fe36eec1d20"/>
    <d v="2026-05-28T00:00:00"/>
    <x v="0"/>
  </r>
  <r>
    <x v="23"/>
    <s v="gruponobrejk@gmail.com"/>
    <n v="300248836"/>
    <n v="16441443"/>
    <x v="2"/>
    <x v="3"/>
    <n v="216"/>
    <s v="Material não enviado pela Guararapes"/>
    <s v="NÃO"/>
    <s v="10000072128 - ETIQUETA BABY/KIDS"/>
    <s v="28/05/2026 10:37"/>
    <m/>
    <n v="338"/>
    <x v="2"/>
    <m/>
    <s v="79853aa0-c0dc-436b-8c24-c3e0a0798c8c"/>
    <d v="2026-05-28T00:00:00"/>
    <x v="0"/>
  </r>
  <r>
    <x v="23"/>
    <s v="gruponobrejk@gmail.com"/>
    <n v="300248836"/>
    <n v="16441443"/>
    <x v="2"/>
    <x v="22"/>
    <n v="25"/>
    <s v="Material não enviado pela Guararapes"/>
    <s v="NÃO"/>
    <s v="TAMANHO 1-3: 25 FRENTES COMPLETAS"/>
    <s v="28/05/2026 10:39"/>
    <m/>
    <n v="339"/>
    <x v="1"/>
    <m/>
    <s v="2e59ff60-6575-4ff8-856c-bcc959cc0ebe"/>
    <d v="2026-05-28T00:00:00"/>
    <x v="0"/>
  </r>
  <r>
    <x v="77"/>
    <s v="wag-almeida@hotmail.com"/>
    <n v="300259642"/>
    <n v="10114787"/>
    <x v="2"/>
    <x v="9"/>
    <n v="148"/>
    <s v="material não enviado pela guararapes, o material veio trocado."/>
    <s v="NÃO"/>
    <s v="códigos de av: TÍT:36 -10000073313/ TÍT: 80 - 10000072683"/>
    <s v="28/05/2026 10:44"/>
    <m/>
    <n v="340"/>
    <x v="2"/>
    <m/>
    <s v="7eaf40b4-02ed-415e-bfa6-2e99a171f69a"/>
    <d v="2026-05-28T00:00:00"/>
    <x v="0"/>
  </r>
  <r>
    <x v="77"/>
    <s v="wag-almeida@hotmail.com"/>
    <n v="300259642"/>
    <n v="10114787"/>
    <x v="2"/>
    <x v="49"/>
    <s v="38-16; 40-46; 42-46; 44-8; 46-8; 48-8; 50-8; 52-8"/>
    <s v="Material não enviado pela Guararapes"/>
    <s v="NÃO"/>
    <s v="CÓDIGO DE AV: 10000069278"/>
    <s v="28/05/2026 10:48"/>
    <m/>
    <n v="341"/>
    <x v="2"/>
    <m/>
    <s v="9cf25776-bc29-4d6e-9631-83c8cc79662b"/>
    <d v="2026-05-28T00:00:00"/>
    <x v="0"/>
  </r>
  <r>
    <x v="78"/>
    <s v="ocalves3@gmail.com"/>
    <n v="300261464"/>
    <n v="15711854"/>
    <x v="2"/>
    <x v="12"/>
    <n v="19"/>
    <s v="Material não enviado pela Guararapes"/>
    <s v="NÃO"/>
    <s v="não veio essas traseira "/>
    <s v="28/05/2026 13:06"/>
    <m/>
    <n v="342"/>
    <x v="1"/>
    <m/>
    <s v="be0b3d05-2893-4210-ae97-46c5cf882681"/>
    <d v="2026-05-28T00:00:00"/>
    <x v="0"/>
  </r>
  <r>
    <x v="63"/>
    <s v="acaritextil@gmail.com"/>
    <n v="300264801"/>
    <n v="15773949"/>
    <x v="2"/>
    <x v="13"/>
    <s v="21-13cm/42-14cm  =63 zipers"/>
    <s v="Quantidade insuficiente para terminar a ordem"/>
    <s v="NÃO"/>
    <s v="10000065697-9.Z0201.013 / 10000163169-9.Z0201.014 - ZIPER MET MEDIO FIXO "/>
    <s v="28/05/2026 13:34"/>
    <m/>
    <n v="343"/>
    <x v="1"/>
    <m/>
    <s v="14a933ac-74aa-43fc-8c39-fa1545fb850e"/>
    <d v="2026-05-28T00:00:00"/>
    <x v="0"/>
  </r>
  <r>
    <x v="63"/>
    <s v="acaritextil2801@gmail.com"/>
    <n v="300264801"/>
    <n v="15773949"/>
    <x v="2"/>
    <x v="13"/>
    <s v="21 - 13CM / 42 - 14CM = 63 "/>
    <s v="Quantidade insuficiente para terminar a ordem"/>
    <s v="NÃO"/>
    <s v="10000241454 - 9.Z0756.013 / 10000241455 - 9.Z0756.014 - ZÍPER MET FIXO"/>
    <s v="28/05/2026 13:38"/>
    <m/>
    <n v="344"/>
    <x v="1"/>
    <m/>
    <s v="a314b95f-a853-4d09-a31b-4d831a89074f"/>
    <d v="2026-05-28T00:00:00"/>
    <x v="0"/>
  </r>
  <r>
    <x v="6"/>
    <s v="confeccoesgbdas@hotmaio.com"/>
    <n v="300252306"/>
    <n v="15412326"/>
    <x v="3"/>
    <x v="4"/>
    <s v="M 158           G 273        GG 79        P 12      TOTAL 522"/>
    <s v="Material não enviado pela Guararapes"/>
    <s v="NÃO"/>
    <s v="PREÇO NÃO ENVIADO"/>
    <s v="28/05/2026 13:52"/>
    <m/>
    <n v="345"/>
    <x v="2"/>
    <m/>
    <s v="a272c73a-3d77-48b2-a6ec-c235e4f2f06f"/>
    <d v="2026-05-28T00:00:00"/>
    <x v="0"/>
  </r>
  <r>
    <x v="6"/>
    <s v="confeccoesgbdas@hotmail.com"/>
    <n v="300253306"/>
    <n v="15412326"/>
    <x v="3"/>
    <x v="2"/>
    <s v="M 158 G 273 GG 79 P 12    TOTAL 522"/>
    <s v="Material não enviado pela Guararapes"/>
    <s v="NÃO"/>
    <s v="A COMPOSIÇÃO NÃO VEIO "/>
    <s v="28/05/2026 13:55"/>
    <m/>
    <n v="346"/>
    <x v="2"/>
    <m/>
    <s v="182a831c-804b-48a1-8c66-5b406297db12"/>
    <d v="2026-05-28T00:00:00"/>
    <x v="0"/>
  </r>
  <r>
    <x v="6"/>
    <s v="confeccoesgbdas@hotmail.com"/>
    <n v="300253306"/>
    <n v="15412326"/>
    <x v="3"/>
    <x v="4"/>
    <s v="M 158 G 273 GG 79 P 12 TOTAL 522"/>
    <s v="Material não enviado pela Guararapes"/>
    <s v="NÃO"/>
    <s v="PREÇO NÃO VEIO "/>
    <s v="28/05/2026 13:58"/>
    <m/>
    <n v="347"/>
    <x v="2"/>
    <m/>
    <s v="483c85b9-9e7b-4a2a-809d-8693b861626e"/>
    <d v="2026-05-28T00:00:00"/>
    <x v="0"/>
  </r>
  <r>
    <x v="6"/>
    <s v="confeccoesgbdas@hotmail.com"/>
    <n v="300265376"/>
    <n v="16440617"/>
    <x v="2"/>
    <x v="21"/>
    <n v="1220"/>
    <s v="Material não enviado pela Guararapes"/>
    <s v="NÃO"/>
    <s v="ESTAMOS SEM ARTOK"/>
    <s v="28/05/2026 14:01"/>
    <m/>
    <n v="348"/>
    <x v="2"/>
    <m/>
    <s v="1dbc8098-e99e-4888-a30b-155803916a34"/>
    <d v="2026-05-28T00:00:00"/>
    <x v="0"/>
  </r>
  <r>
    <x v="23"/>
    <s v="gruponobrejk@gmail.com"/>
    <n v="300259133"/>
    <n v="16450361"/>
    <x v="2"/>
    <x v="50"/>
    <s v="TAMANHO 9/10: 30 UNIDADES"/>
    <s v="Material não enviado pela Guararapes"/>
    <s v="NÃO"/>
    <s v="TAMANHO 9/10: 30 UNIDADES"/>
    <s v="28/05/2026 14:07"/>
    <m/>
    <n v="349"/>
    <x v="1"/>
    <m/>
    <s v="cea1cabf-c790-48c3-aa10-12929a947c82"/>
    <d v="2026-05-28T00:00:00"/>
    <x v="0"/>
  </r>
  <r>
    <x v="41"/>
    <s v="faccao_sales2010@hotmail.com"/>
    <n v="300248729"/>
    <n v="16247388"/>
    <x v="2"/>
    <x v="13"/>
    <s v="6/7-170; 9/10-340"/>
    <s v="Erro de cadastro"/>
    <s v="NÃO"/>
    <m/>
    <s v="28/05/2026 14:10"/>
    <m/>
    <n v="350"/>
    <x v="1"/>
    <m/>
    <s v="f3dbfd45-2d1a-479c-af63-90cfae9e5671"/>
    <d v="2026-05-28T00:00:00"/>
    <x v="0"/>
  </r>
  <r>
    <x v="41"/>
    <s v="faccao_sales2010@hotmail.com"/>
    <n v="300248760"/>
    <n v="16247388"/>
    <x v="2"/>
    <x v="13"/>
    <s v="6/7-172; 9/10-357"/>
    <s v="Erro de cadastro"/>
    <s v="NÃO"/>
    <m/>
    <s v="28/05/2026 14:14"/>
    <m/>
    <n v="351"/>
    <x v="1"/>
    <m/>
    <s v="b6b48927-03dd-4fd4-b880-4caee685213b"/>
    <d v="2026-05-28T00:00:00"/>
    <x v="0"/>
  </r>
  <r>
    <x v="30"/>
    <s v="bensilvaconfeccoes@gmail.com"/>
    <n v="300266213"/>
    <n v="15187632"/>
    <x v="2"/>
    <x v="0"/>
    <s v="30 capas de artoks"/>
    <s v="Material não enviado pela Guararapes"/>
    <s v="NÃO"/>
    <s v="por favor, enviar as capas. Já fizemos a solicitação duas vezes e não veio "/>
    <s v="28/05/2026 14:16"/>
    <m/>
    <n v="352"/>
    <x v="2"/>
    <m/>
    <s v="75f8befc-2b17-4d66-b30c-8345a83a2814"/>
    <d v="2026-05-28T00:00:00"/>
    <x v="0"/>
  </r>
  <r>
    <x v="29"/>
    <s v="pea2015confeccoes@hotmail.com"/>
    <n v="300259644"/>
    <n v="10000144"/>
    <x v="2"/>
    <x v="1"/>
    <n v="19"/>
    <s v="Material não enviado pela Guararapes"/>
    <s v="NÃO"/>
    <s v="As bandeirolas do tamanho 52, na quantidade de 19 unidades não veio. Material da ordem: 10000114787, coloquei aqui o material, pois no local especificado não dava para digitar todos os números."/>
    <s v="28/05/2026 14:30"/>
    <m/>
    <n v="353"/>
    <x v="1"/>
    <m/>
    <s v="00ef01a2-245e-4a19-a92d-3ad9f3156985"/>
    <d v="2026-05-28T00:00:00"/>
    <x v="0"/>
  </r>
  <r>
    <x v="29"/>
    <s v="pea2015confeccoes@hotmail.com"/>
    <n v="300266217"/>
    <n v="15187632"/>
    <x v="2"/>
    <x v="26"/>
    <n v="42"/>
    <s v="Material não enviado pela Guararapes"/>
    <s v="NÃO"/>
    <s v="Necessito de 21 pares de pala traseira no tamanho: 40 e 21 pares de palas traseiras no tamanho: 38"/>
    <s v="28/05/2026 14:33"/>
    <m/>
    <n v="354"/>
    <x v="1"/>
    <m/>
    <s v="1f3940db-6ca9-422a-a48f-d336958cbced"/>
    <d v="2026-05-28T00:00:00"/>
    <x v="0"/>
  </r>
  <r>
    <x v="60"/>
    <s v="mkdeazevedomedeiros@gmail.com"/>
    <n v="300262455"/>
    <n v="16447603"/>
    <x v="2"/>
    <x v="8"/>
    <n v="400"/>
    <s v="Quantidade insuficiente para terminar a ordem"/>
    <s v="NÃO"/>
    <s v="LINHA TEX 80"/>
    <s v="28/05/2026 14:41"/>
    <m/>
    <n v="355"/>
    <x v="1"/>
    <m/>
    <s v="220543af-9099-4624-88e5-06a7be0f883e"/>
    <d v="2026-05-28T00:00:00"/>
    <x v="0"/>
  </r>
  <r>
    <x v="10"/>
    <s v="acauaconfeccoes@outlook.com"/>
    <n v="300265051"/>
    <n v="16433858"/>
    <x v="3"/>
    <x v="29"/>
    <n v="600"/>
    <s v="Quantidade insuficiente para terminar a ordem"/>
    <s v="NÃO"/>
    <s v="Verificamos que os viés não vai dá pra finalizar a ordem "/>
    <s v="28/05/2026 14:47"/>
    <m/>
    <n v="356"/>
    <x v="2"/>
    <m/>
    <s v="77abc2cc-3646-4e72-960e-3408ba5c1467"/>
    <d v="2026-05-28T00:00:00"/>
    <x v="0"/>
  </r>
  <r>
    <x v="55"/>
    <s v="faccao_sales2010@hotmail.com"/>
    <n v="300260830"/>
    <n v="16440978"/>
    <x v="3"/>
    <x v="30"/>
    <s v="XG-102"/>
    <s v="PROBLEMA DE CORTE NAS MANGAS"/>
    <s v="NÃO"/>
    <m/>
    <s v="28/05/2026 15:00"/>
    <m/>
    <n v="357"/>
    <x v="1"/>
    <m/>
    <s v="3bce0161-c324-441e-a07e-f2e59e880ac0"/>
    <d v="2026-05-28T00:00:00"/>
    <x v="0"/>
  </r>
  <r>
    <x v="79"/>
    <s v="artejeans23@gmail.com"/>
    <n v="300258186"/>
    <n v="16482611"/>
    <x v="2"/>
    <x v="17"/>
    <n v="50"/>
    <s v="Quantidade insuficiente para terminar a ordem"/>
    <s v="NÃO"/>
    <s v="Cós insuficiente"/>
    <s v="28/05/2026 15:27"/>
    <m/>
    <n v="358"/>
    <x v="1"/>
    <m/>
    <s v="86e22c9d-08be-4528-97ad-62507cb85e3a"/>
    <d v="2026-05-28T00:00:00"/>
    <x v="0"/>
  </r>
  <r>
    <x v="15"/>
    <s v="spauloazevedo@bol.com.br"/>
    <n v="300261110"/>
    <n v="16191005"/>
    <x v="2"/>
    <x v="10"/>
    <n v="1"/>
    <s v="Quantidade insuficiente para terminar a ordem"/>
    <s v="NÃO"/>
    <s v="O papelão esta acabando"/>
    <s v="28/05/2026 15:31"/>
    <m/>
    <n v="359"/>
    <x v="2"/>
    <m/>
    <s v="4d99d31f-004c-42d8-b58d-ace49db5e347"/>
    <d v="2026-05-28T00:00:00"/>
    <x v="0"/>
  </r>
  <r>
    <x v="63"/>
    <s v="acaritextil2801@gmail.com"/>
    <n v="300266267"/>
    <n v="16187415"/>
    <x v="2"/>
    <x v="17"/>
    <n v="80"/>
    <s v="Quantidade insuficiente para terminar a ordem"/>
    <s v="NÃO"/>
    <s v="tam 52-80 folha (entretelado)."/>
    <s v="28/05/2026 15:32"/>
    <m/>
    <n v="360"/>
    <x v="1"/>
    <m/>
    <s v="efa7c503-fd11-4446-9ab9-eb44b12f8e6c"/>
    <d v="2026-05-28T00:00:00"/>
    <x v="0"/>
  </r>
  <r>
    <x v="15"/>
    <s v="spauloazevedo@bol.com.br"/>
    <n v="300259107"/>
    <n v="16160959"/>
    <x v="2"/>
    <x v="7"/>
    <n v="200"/>
    <s v="Quantidade insuficiente para terminar a ordem"/>
    <s v="NÃO"/>
    <s v="Temos poucos lacres"/>
    <s v="28/05/2026 15:33"/>
    <m/>
    <n v="361"/>
    <x v="2"/>
    <m/>
    <s v="21ca3f23-9fa8-4e53-a4c3-5e81628e1fa3"/>
    <d v="2026-05-28T00:00:00"/>
    <x v="0"/>
  </r>
  <r>
    <x v="79"/>
    <s v="artejeans23@gmail.com"/>
    <n v="300261829"/>
    <n v="15411800"/>
    <x v="2"/>
    <x v="16"/>
    <n v="895"/>
    <s v="Quantidade insuficiente para terminar a ordem"/>
    <s v="NÃO"/>
    <s v="Passante para 895 peças"/>
    <s v="28/05/2026 15:33"/>
    <m/>
    <n v="362"/>
    <x v="2"/>
    <m/>
    <s v="294621c8-172d-4de1-a107-7f846d11e320"/>
    <d v="2026-05-28T00:00:00"/>
    <x v="0"/>
  </r>
  <r>
    <x v="63"/>
    <s v="acaritextil2801@gmail.com"/>
    <n v="300266267"/>
    <n v="16187415"/>
    <x v="2"/>
    <x v="13"/>
    <s v="10-13cm"/>
    <s v="Quantidade insuficiente para terminar a ordem"/>
    <s v="NÃO"/>
    <s v="10000065000-9.Z0127.013/ZIPER MT MEDIO NIQ FIXO"/>
    <s v="28/05/2026 15:37"/>
    <m/>
    <n v="363"/>
    <x v="1"/>
    <m/>
    <s v="e86246a1-0b38-4676-a2af-e39662f22068"/>
    <d v="2026-05-28T00:00:00"/>
    <x v="0"/>
  </r>
  <r>
    <x v="79"/>
    <s v="artejeans23@gmail.com"/>
    <n v="300261829"/>
    <n v="15411800"/>
    <x v="2"/>
    <x v="16"/>
    <n v="895"/>
    <s v="Erro operacional da oficina"/>
    <s v="NÃO"/>
    <s v="Passante para 895 peças (calças) devido a erro operacional"/>
    <s v="28/05/2026 16:07"/>
    <m/>
    <n v="364"/>
    <x v="2"/>
    <m/>
    <s v="85518b4d-d6d5-46e5-8377-c09f986f66eb"/>
    <d v="2026-05-28T00:00:00"/>
    <x v="0"/>
  </r>
  <r>
    <x v="37"/>
    <s v="felconfeccao@gmail.com"/>
    <n v="300262874"/>
    <n v="16474228"/>
    <x v="3"/>
    <x v="12"/>
    <s v="M-3"/>
    <s v="Quantidade insuficiente para terminar a ordem"/>
    <s v="NÃO"/>
    <m/>
    <s v="28/05/2026 16:26"/>
    <m/>
    <n v="365"/>
    <x v="1"/>
    <m/>
    <s v="fdafe3e4-4529-4f33-bc38-2118791c01bd"/>
    <d v="2026-05-28T00:00:00"/>
    <x v="0"/>
  </r>
  <r>
    <x v="37"/>
    <s v="felconfeccao@gmail.com"/>
    <n v="300262874"/>
    <n v="16474228"/>
    <x v="3"/>
    <x v="12"/>
    <s v="GG-2"/>
    <s v="Quantidade insuficiente para terminar a ordem"/>
    <s v="NÃO"/>
    <m/>
    <s v="28/05/2026 16:28"/>
    <m/>
    <n v="366"/>
    <x v="1"/>
    <m/>
    <s v="7c4f0dee-00aa-4080-a0ec-a94c67fde88e"/>
    <d v="2026-05-28T00:00:00"/>
    <x v="0"/>
  </r>
  <r>
    <x v="4"/>
    <s v="hiconfeccao@gmail.com"/>
    <n v="300263693"/>
    <n v="16473965"/>
    <x v="2"/>
    <x v="12"/>
    <s v="Traseiro para 34 peças. Tamanho 38."/>
    <s v="Material não enviado pela Guararapes"/>
    <s v="NÃO"/>
    <s v="Traseiro para 34 peças. Tamanho 38."/>
    <s v="28/05/2026 16:34"/>
    <m/>
    <n v="367"/>
    <x v="2"/>
    <m/>
    <s v="8e3b446f-7e47-4d20-8b62-e6152c132469"/>
    <d v="2026-05-28T00:00:00"/>
    <x v="0"/>
  </r>
  <r>
    <x v="68"/>
    <s v="mlucileidec@hotmail.com"/>
    <n v="300263216"/>
    <n v="16488393"/>
    <x v="2"/>
    <x v="2"/>
    <n v="20"/>
    <s v="Quantidade insuficiente para terminar a ordem"/>
    <s v="NÃO"/>
    <s v="etiqueta de composição tamanho 38"/>
    <s v="28/05/2026 16:35"/>
    <m/>
    <n v="368"/>
    <x v="1"/>
    <m/>
    <s v="b900c1f2-d876-4880-9482-f6cf1ab17bec"/>
    <d v="2026-05-28T00:00:00"/>
    <x v="0"/>
  </r>
  <r>
    <x v="4"/>
    <s v="hiconfeccao@gmail.com"/>
    <n v="300263693"/>
    <n v="16473965"/>
    <x v="2"/>
    <x v="26"/>
    <s v="Pedido de Pala para 34 peças. Tamanho 38."/>
    <s v="Material não enviado pela Guararapes"/>
    <s v="NÃO"/>
    <s v="Pedido de Pala para 34 peças. Tamanho 38."/>
    <s v="28/05/2026 16:38"/>
    <m/>
    <n v="369"/>
    <x v="2"/>
    <m/>
    <s v="414e29bb-8bb8-4c66-b688-b5b66bee903d"/>
    <d v="2026-05-28T00:00:00"/>
    <x v="0"/>
  </r>
  <r>
    <x v="4"/>
    <s v="hiconfeccao@gmail.com"/>
    <n v="300263693"/>
    <n v="16473965"/>
    <x v="2"/>
    <x v="51"/>
    <s v="Pedido de Bolos para 34 peças. Tamanho 38."/>
    <s v="Material não enviado pela Guararapes"/>
    <s v="NÃO"/>
    <s v="Pedido de Bolsos para 34 peças. Tamanho 38. (o motivo do pedido é porque só recebemos as frentes)."/>
    <s v="28/05/2026 16:43"/>
    <m/>
    <n v="370"/>
    <x v="2"/>
    <m/>
    <s v="b7e21a86-40d0-484b-9eb0-3bda88ab5e0e"/>
    <d v="2026-05-28T00:00:00"/>
    <x v="0"/>
  </r>
  <r>
    <x v="34"/>
    <s v="dantasepaulino@gmail.com"/>
    <n v="300264296"/>
    <n v="16508920"/>
    <x v="2"/>
    <x v="8"/>
    <n v="10"/>
    <s v="Quantidade insuficiente para terminar a ordem"/>
    <s v="NÃO"/>
    <s v="codigo 10000073278"/>
    <s v="28/05/2026 16:59"/>
    <m/>
    <n v="372"/>
    <x v="1"/>
    <m/>
    <s v="b98ffcc1-6e4e-4e00-a4f6-49bb76a2ec5a"/>
    <d v="2026-05-28T00:00:00"/>
    <x v="0"/>
  </r>
  <r>
    <x v="80"/>
    <s v="fernandoassu@gmail.com"/>
    <n v="300263241"/>
    <n v="15773469"/>
    <x v="2"/>
    <x v="10"/>
    <n v="1"/>
    <s v="Quantidade insuficiente para terminar a ordem"/>
    <s v="BOLSO AUTOMÁTICO"/>
    <m/>
    <s v="28/05/2026 17:03"/>
    <m/>
    <n v="373"/>
    <x v="2"/>
    <m/>
    <s v="9fae7077-7061-4c63-854b-ec069d1ce858"/>
    <d v="2026-05-28T00:00:00"/>
    <x v="0"/>
  </r>
  <r>
    <x v="18"/>
    <s v="ebenezerindustriat@hotmail.com"/>
    <n v="300262871"/>
    <n v="16474228"/>
    <x v="3"/>
    <x v="52"/>
    <n v="1"/>
    <s v="ACABOU"/>
    <s v="NÃO"/>
    <m/>
    <s v="29/05/2026 07:37"/>
    <m/>
    <n v="374"/>
    <x v="2"/>
    <m/>
    <s v="037bd77d-5068-43dc-8e9c-f8df7d42edba"/>
    <d v="2026-05-29T00:00:00"/>
    <x v="0"/>
  </r>
  <r>
    <x v="21"/>
    <s v="potengitextil@outlook.com.br"/>
    <n v="300262893"/>
    <n v="16474937"/>
    <x v="2"/>
    <x v="2"/>
    <n v="20"/>
    <s v="Quantidade insuficiente para terminar a ordem"/>
    <s v="NÃO"/>
    <s v="20 etiquetas tamanho PP"/>
    <s v="29/05/2026 07:43"/>
    <m/>
    <n v="375"/>
    <x v="1"/>
    <m/>
    <s v="2f87fbe6-5264-41fe-b22e-aa902d356d93"/>
    <d v="2026-05-29T00:00:00"/>
    <x v="0"/>
  </r>
  <r>
    <x v="20"/>
    <s v="CONFECCAOSAOSEBASTIAO@GMAIL.COM"/>
    <n v="300261481"/>
    <n v="15773477"/>
    <x v="2"/>
    <x v="2"/>
    <n v="25"/>
    <s v="Quantidade insuficiente para terminar a ordem"/>
    <s v="NÃO"/>
    <s v="25 etiquetas do tamanho  38."/>
    <s v="29/05/2026 08:16"/>
    <m/>
    <n v="376"/>
    <x v="1"/>
    <m/>
    <s v="cd077cd9-2e48-4fd6-ad08-298715aede11"/>
    <d v="2026-05-29T00:00:00"/>
    <x v="0"/>
  </r>
  <r>
    <x v="73"/>
    <s v="fjdeazevedo@hotmail.com"/>
    <n v="300259994"/>
    <n v="15863387"/>
    <x v="2"/>
    <x v="2"/>
    <n v="59"/>
    <s v="Material não enviado pela Guararapes"/>
    <s v="NÃO"/>
    <s v="Etiqueta de composição Tamanho 48-Quantidade 59 unidades"/>
    <s v="29/05/2026 08:33"/>
    <m/>
    <n v="377"/>
    <x v="1"/>
    <m/>
    <s v="2a28b414-9a3c-4034-a084-5896d779b7e2"/>
    <d v="2026-05-29T00:00:00"/>
    <x v="0"/>
  </r>
  <r>
    <x v="30"/>
    <s v="bensilvaconfeccoes@gmail.com"/>
    <n v="300265852"/>
    <n v="16523741"/>
    <x v="2"/>
    <x v="8"/>
    <n v="15"/>
    <s v="Quantidade insuficiente para terminar a ordem"/>
    <s v="NÃO"/>
    <s v="LINHA 100%PES TIT50 S.608 184029 "/>
    <s v="29/05/2026 08:42"/>
    <m/>
    <n v="378"/>
    <x v="1"/>
    <m/>
    <s v="7ff3ade4-acc0-4e4b-88b1-957f236a1693"/>
    <d v="2026-05-29T00:00:00"/>
    <x v="0"/>
  </r>
  <r>
    <x v="33"/>
    <s v="W.anny.k@hotmail.com"/>
    <n v="300262464"/>
    <n v="14487004"/>
    <x v="1"/>
    <x v="14"/>
    <n v="6"/>
    <s v="Quantidade insuficiente para terminar a ordem"/>
    <s v="NÃO"/>
    <m/>
    <s v="29/05/2026 10:04"/>
    <m/>
    <n v="380"/>
    <x v="1"/>
    <m/>
    <s v="63fd0e9a-eac2-435a-ae80-1a590a8699a9"/>
    <d v="2026-05-29T00:00:00"/>
    <x v="0"/>
  </r>
  <r>
    <x v="2"/>
    <s v="oficinasantos08@outlook.com"/>
    <n v="300261824"/>
    <n v="15411800"/>
    <x v="2"/>
    <x v="8"/>
    <n v="1.028"/>
    <s v="Erro operacional da oficina"/>
    <s v="NÃO"/>
    <s v="1 cone de linha cor 762, para etiquetas de marca e fit"/>
    <s v="29/05/2026 10:05"/>
    <m/>
    <n v="379"/>
    <x v="1"/>
    <m/>
    <s v="05150dca-3b77-4e93-88f8-db41202e1c70"/>
    <d v="2026-05-29T00:00:00"/>
    <x v="0"/>
  </r>
  <r>
    <x v="25"/>
    <s v="gruponobrejk@gmail.com"/>
    <n v="300260650"/>
    <n v="16448090"/>
    <x v="2"/>
    <x v="3"/>
    <n v="1"/>
    <s v="Material não enviado pela Guararapes"/>
    <s v="NÃO"/>
    <n v="10000216483"/>
    <s v="29/05/2026 10:39"/>
    <m/>
    <n v="381"/>
    <x v="1"/>
    <m/>
    <s v="30bda7aa-f374-4ce2-8984-6fb50a71dddc"/>
    <d v="2026-05-29T00:00:00"/>
    <x v="0"/>
  </r>
  <r>
    <x v="32"/>
    <s v="di3confec@gmail.com"/>
    <n v="300266476"/>
    <n v="16441656"/>
    <x v="3"/>
    <x v="22"/>
    <n v="5"/>
    <s v="Quantidade insuficiente para terminar a ordem"/>
    <s v="NÃO"/>
    <s v="Preciso de 5 partes da frente para finalizar a op"/>
    <s v="29/05/2026 10:52"/>
    <m/>
    <n v="382"/>
    <x v="1"/>
    <m/>
    <s v="3df1e292-a164-45f4-a570-4d1c95d47eff"/>
    <d v="2026-05-29T00:00:00"/>
    <x v="0"/>
  </r>
  <r>
    <x v="33"/>
    <s v="Wanny.k@hotmail.com"/>
    <n v="300265966"/>
    <n v="12438235"/>
    <x v="1"/>
    <x v="22"/>
    <n v="19"/>
    <s v="Material não enviado pela Guararapes"/>
    <s v="NÃO"/>
    <s v="VEIO FALTANDO NA 300265966 19 PECAS TAMANHO G"/>
    <s v="29/05/2026 11:08"/>
    <m/>
    <n v="383"/>
    <x v="1"/>
    <m/>
    <s v="d8ababd6-9e3c-4f9d-8acb-4552215390b4"/>
    <d v="2026-05-29T00:00:00"/>
    <x v="0"/>
  </r>
  <r>
    <x v="33"/>
    <s v="wanny.k@hotmail.com"/>
    <n v="300265966"/>
    <n v="12438235"/>
    <x v="1"/>
    <x v="30"/>
    <n v="324"/>
    <s v="Material não enviado pela Guararapes"/>
    <s v="NÃO"/>
    <s v="VEIO FALTANDO NA  ORDEM 300265966 AS MANGAS DO TAMANHO M-324"/>
    <s v="29/05/2026 11:13"/>
    <m/>
    <n v="384"/>
    <x v="1"/>
    <m/>
    <s v="a5cf7eb1-6318-4984-bbf8-9b1599e0667e"/>
    <d v="2026-05-29T00:00:00"/>
    <x v="0"/>
  </r>
  <r>
    <x v="33"/>
    <s v="w.anny.k@hotmail.com"/>
    <n v="300265966"/>
    <n v="12438235"/>
    <x v="1"/>
    <x v="22"/>
    <n v="19"/>
    <s v="Quantidade insuficiente para terminar a ordem"/>
    <s v="NÃO"/>
    <s v="PRECISO DE 19 FRENTE PARA A CAMISA DA POLO PRA O TAMANHO G"/>
    <s v="29/05/2026 11:17"/>
    <m/>
    <n v="385"/>
    <x v="1"/>
    <m/>
    <s v="d278b498-c603-4ad5-8a27-f6aef9231fd2"/>
    <d v="2026-05-29T00:00:00"/>
    <x v="0"/>
  </r>
  <r>
    <x v="33"/>
    <s v="w.anny.k@hotmail.com"/>
    <n v="300265966"/>
    <n v="12438235"/>
    <x v="1"/>
    <x v="30"/>
    <n v="324"/>
    <s v="Material não enviado pela Guararapes"/>
    <s v="NÃO"/>
    <s v="PRECISO DE 324 MANCHA DA CAMISA POLO DO TAMNHO M "/>
    <s v="29/05/2026 11:20"/>
    <m/>
    <n v="386"/>
    <x v="1"/>
    <m/>
    <s v="0430336c-9a3c-4520-b474-5e09d65035a3"/>
    <d v="2026-05-29T00:00:00"/>
    <x v="0"/>
  </r>
  <r>
    <x v="54"/>
    <s v="deboraclothing.textil@gmail.com"/>
    <n v="300241488"/>
    <n v="16227425"/>
    <x v="3"/>
    <x v="4"/>
    <n v="846"/>
    <s v="Material não enviado pela Guararapes"/>
    <s v="NÃO"/>
    <s v="FALTA TOTAL DE TODAS AS TAGS DE PREÇO. "/>
    <s v="29/05/2026 11:22"/>
    <m/>
    <n v="388"/>
    <x v="2"/>
    <m/>
    <s v="ecb7e2e7-96c1-4c32-946f-71c3919f417a"/>
    <d v="2026-05-29T00:00:00"/>
    <x v="0"/>
  </r>
  <r>
    <x v="33"/>
    <s v="w.anny.k@hotmail.com"/>
    <n v="300265966"/>
    <n v="12438235"/>
    <x v="1"/>
    <x v="19"/>
    <n v="7"/>
    <s v="Quantidade insuficiente para terminar a ordem"/>
    <s v="NÃO"/>
    <m/>
    <s v="29/05/2026 11:22"/>
    <m/>
    <n v="387"/>
    <x v="1"/>
    <m/>
    <s v="91101ee9-1644-499e-8e54-42f93a2e5bdf"/>
    <d v="2026-05-29T00:00:00"/>
    <x v="0"/>
  </r>
  <r>
    <x v="56"/>
    <s v="idealconfecltda@gmail.com"/>
    <n v="300263198"/>
    <n v="15215539"/>
    <x v="3"/>
    <x v="8"/>
    <n v="10"/>
    <s v="Quantidade insuficiente para terminar a ordem"/>
    <s v="NÃO"/>
    <s v="insuficiente para finalizar op"/>
    <s v="29/05/2026 12:52"/>
    <m/>
    <n v="389"/>
    <x v="1"/>
    <m/>
    <s v="a6f6dd8f-9fd6-4b23-8666-d91791c9953c"/>
    <d v="2026-05-29T00:00:00"/>
    <x v="0"/>
  </r>
  <r>
    <x v="56"/>
    <s v="idealconfecltda@gmail.com"/>
    <n v="300266687"/>
    <n v="16243340"/>
    <x v="2"/>
    <x v="5"/>
    <n v="10"/>
    <s v="Quantidade insuficiente para terminar a ordem"/>
    <s v="NÃO"/>
    <s v="insuficiente "/>
    <s v="29/05/2026 13:23"/>
    <m/>
    <n v="390"/>
    <x v="1"/>
    <m/>
    <s v="433b0ede-6209-4ef9-b06c-fe4408d5ecca"/>
    <d v="2026-05-29T00:00:00"/>
    <x v="0"/>
  </r>
  <r>
    <x v="21"/>
    <s v="potengitextil@outlook.com.br"/>
    <n v="300264843"/>
    <n v="16444620"/>
    <x v="2"/>
    <x v="18"/>
    <n v="945"/>
    <s v="Material não enviado pela Guararapes"/>
    <s v="NÃO"/>
    <s v="Não recebi os elásticos na ordem. Tamanhos: 1-108; 2-135; 3-162; 4-189; 5-189; 6-162."/>
    <s v="29/05/2026 13:28"/>
    <m/>
    <n v="391"/>
    <x v="2"/>
    <m/>
    <s v="a237a34e-aa1a-4b11-bbff-3b4a95ee5f24"/>
    <d v="2026-05-29T00:00:00"/>
    <x v="0"/>
  </r>
  <r>
    <x v="43"/>
    <s v="faccaoello@hotmail.com"/>
    <n v="300260620"/>
    <n v="16444876"/>
    <x v="2"/>
    <x v="17"/>
    <n v="152"/>
    <s v="Material não enviado pela Guararapes"/>
    <s v="NÃO"/>
    <s v="TAMANHO 1"/>
    <s v="29/05/2026 13:43"/>
    <m/>
    <n v="392"/>
    <x v="1"/>
    <m/>
    <s v="f4bf83c9-e699-4a35-9353-2fc06156283b"/>
    <d v="2026-05-29T00:00:00"/>
    <x v="0"/>
  </r>
  <r>
    <x v="5"/>
    <s v="tendenciaconfec@gmail.com"/>
    <n v="300263327"/>
    <n v="16500784"/>
    <x v="3"/>
    <x v="2"/>
    <n v="10"/>
    <s v="Quantidade insuficiente para terminar a ordem"/>
    <s v="NÃO"/>
    <s v="GG-10"/>
    <s v="29/05/2026 13:53"/>
    <m/>
    <n v="393"/>
    <x v="1"/>
    <m/>
    <s v="6e16fdde-ff4f-42d4-ad18-8e29660fca26"/>
    <d v="2026-05-29T00:00:00"/>
    <x v="0"/>
  </r>
  <r>
    <x v="52"/>
    <s v="ajgconfeccoes2021@gmail.com"/>
    <n v="300267103"/>
    <n v="16223608"/>
    <x v="3"/>
    <x v="12"/>
    <n v="22"/>
    <s v="Material não enviado pela Guararapes"/>
    <s v="NÃO"/>
    <s v="FALTOU 22 TRASEIRO TAMANHO XG"/>
    <s v="29/05/2026 13:59"/>
    <m/>
    <n v="394"/>
    <x v="1"/>
    <m/>
    <s v="db991e26-62ba-4a6a-b6d2-4ef601e4c9b2"/>
    <d v="2026-05-29T00:00:00"/>
    <x v="0"/>
  </r>
  <r>
    <x v="7"/>
    <s v="confeccaogenesisltda@gmail.com"/>
    <n v="300262245"/>
    <n v="16464591"/>
    <x v="3"/>
    <x v="4"/>
    <n v="80"/>
    <s v="Quantidade insuficiente para terminar a ordem"/>
    <s v="NÃO"/>
    <s v="G-80"/>
    <s v="29/05/2026 13:59"/>
    <m/>
    <n v="395"/>
    <x v="1"/>
    <m/>
    <s v="5196967d-51be-4baa-8f73-f4859f4bd8c6"/>
    <d v="2026-05-29T00:00:00"/>
    <x v="0"/>
  </r>
  <r>
    <x v="7"/>
    <s v="confeccaogenesisltda@gmail.com"/>
    <n v="300261310"/>
    <n v="16481690"/>
    <x v="3"/>
    <x v="9"/>
    <n v="10"/>
    <s v="Quantidade insuficiente para terminar a ordem"/>
    <s v="NÃO"/>
    <s v="10 LINHAS"/>
    <s v="29/05/2026 14:03"/>
    <m/>
    <n v="396"/>
    <x v="1"/>
    <m/>
    <s v="467565dd-ec11-46ae-a0cb-f5b447825522"/>
    <d v="2026-05-29T00:00:00"/>
    <x v="0"/>
  </r>
  <r>
    <x v="80"/>
    <s v="fernandoassu@gmail.com"/>
    <n v="300266999"/>
    <n v="16430271"/>
    <x v="2"/>
    <x v="7"/>
    <n v="2"/>
    <s v="Material não enviado pela Guararapes"/>
    <s v="NÃO"/>
    <m/>
    <s v="29/05/2026 14:08"/>
    <m/>
    <n v="397"/>
    <x v="2"/>
    <m/>
    <s v="010c0fbc-66ba-4c46-adfc-ad422ccf3067"/>
    <d v="2026-05-29T00:00:00"/>
    <x v="0"/>
  </r>
  <r>
    <x v="80"/>
    <s v="fernandoassu@gmail.com"/>
    <n v="300266999"/>
    <n v="16430271"/>
    <x v="2"/>
    <x v="16"/>
    <n v="1"/>
    <s v="Material não enviado pela Guararapes"/>
    <s v="NÃO"/>
    <m/>
    <s v="29/05/2026 14:10"/>
    <m/>
    <n v="398"/>
    <x v="2"/>
    <m/>
    <s v="a7d35892-4b28-4c1c-9d0c-7fdabddc0720"/>
    <d v="2026-05-29T00:00:00"/>
    <x v="0"/>
  </r>
  <r>
    <x v="32"/>
    <s v="di3confec@gmail.com"/>
    <n v="300267388"/>
    <n v="16217403"/>
    <x v="2"/>
    <x v="10"/>
    <n v="10"/>
    <s v="Quantidade insuficiente para terminar a ordem"/>
    <s v="NÃO"/>
    <s v="REPOSIÇÃO"/>
    <s v="29/05/2026 14:36"/>
    <m/>
    <n v="399"/>
    <x v="2"/>
    <m/>
    <s v="3adaba2e-c940-43ab-b8a5-d809a1ebe300"/>
    <d v="2026-05-29T00:00:00"/>
    <x v="0"/>
  </r>
  <r>
    <x v="14"/>
    <s v="asaequador@gmail.com"/>
    <n v="300265360"/>
    <n v="16474120"/>
    <x v="2"/>
    <x v="8"/>
    <n v="15"/>
    <s v="Material não enviado pela Guararapes"/>
    <s v="NÃO"/>
    <s v="15 cones de linha tit 80 s.650 , "/>
    <s v="29/05/2026 14:49"/>
    <m/>
    <n v="400"/>
    <x v="2"/>
    <m/>
    <s v="407e2701-1c78-4027-acb2-56ff66431993"/>
    <d v="2026-05-29T00:00:00"/>
    <x v="0"/>
  </r>
  <r>
    <x v="24"/>
    <s v="maxwelaaraujo7@gmail.com"/>
    <n v="300266419"/>
    <n v="15128288"/>
    <x v="1"/>
    <x v="27"/>
    <n v="1028"/>
    <s v="Material não enviado pela Guararapes"/>
    <s v="NÃO"/>
    <m/>
    <s v="29/05/2026 14:53"/>
    <m/>
    <n v="401"/>
    <x v="2"/>
    <m/>
    <s v="2e0c4077-a8c2-49d7-b13d-5f7bd7e2dd48"/>
    <d v="2026-05-29T00:00:00"/>
    <x v="0"/>
  </r>
  <r>
    <x v="24"/>
    <s v="maxwelaaraujo7@gmail.com"/>
    <n v="300266430"/>
    <n v="15128288"/>
    <x v="1"/>
    <x v="27"/>
    <n v="928"/>
    <s v="Material não enviado pela Guararapes"/>
    <s v="NÃO"/>
    <m/>
    <s v="29/05/2026 14:56"/>
    <m/>
    <n v="402"/>
    <x v="2"/>
    <m/>
    <s v="d303fa75-0771-47fe-b618-a0c623b29159"/>
    <d v="2026-05-29T00:00:00"/>
    <x v="0"/>
  </r>
  <r>
    <x v="24"/>
    <s v="maxwelaaraujo7@gmail.com"/>
    <n v="300266431"/>
    <n v="15128288"/>
    <x v="1"/>
    <x v="27"/>
    <n v="879"/>
    <s v="Material não enviado pela Guararapes"/>
    <s v="NÃO"/>
    <m/>
    <s v="29/05/2026 14:58"/>
    <m/>
    <n v="403"/>
    <x v="2"/>
    <m/>
    <s v="3d6ff8de-53e7-43af-b74e-f6c0562e4c0e"/>
    <d v="2026-05-29T00:00:00"/>
    <x v="0"/>
  </r>
  <r>
    <x v="80"/>
    <s v="fernandoassu@gmail.com"/>
    <n v="300266999"/>
    <n v="16430271"/>
    <x v="2"/>
    <x v="16"/>
    <n v="10"/>
    <s v="Material não enviado pela Guararapes"/>
    <s v="NÃO"/>
    <m/>
    <s v="29/05/2026 15:04"/>
    <m/>
    <n v="404"/>
    <x v="2"/>
    <m/>
    <s v="048a6b8a-89f7-44b3-8ae2-68cbe9a0382d"/>
    <d v="2026-05-29T00:00:00"/>
    <x v="0"/>
  </r>
  <r>
    <x v="26"/>
    <s v="cabugiconfeccoes.adm@gmail.com"/>
    <n v="300263211"/>
    <n v="16138473"/>
    <x v="2"/>
    <x v="24"/>
    <n v="82"/>
    <s v="Quantidade insuficiente para terminar a ordem"/>
    <s v="NÃO"/>
    <s v="82 PARES DE VISTA - 55 pares de vista tamanho M / 27 pares de vista no tamanho G"/>
    <s v="29/05/2026 15:30"/>
    <m/>
    <n v="405"/>
    <x v="2"/>
    <m/>
    <s v="f5ad9685-d3a5-47c1-a203-4b158eceb50d"/>
    <d v="2026-05-29T00:00:00"/>
    <x v="0"/>
  </r>
  <r>
    <x v="26"/>
    <s v="cabugiconfeccoes.adm@gmail.com"/>
    <n v="300263211"/>
    <n v="16138473"/>
    <x v="2"/>
    <x v="38"/>
    <n v="371"/>
    <s v="Quantidade insuficiente para terminar a ordem"/>
    <s v="NÃO"/>
    <s v="371 PARES DE FORRO PARA O BOLSO FACA - 40 pares de forro tamanho 'P' para o bolso faca / 139 pares de forro para bolso faca tamanho M / Faltou 137 pares de forro no tamanho G para o bolso faca / Tamanho XG: faltou 55 pares de forro"/>
    <s v="29/05/2026 15:34"/>
    <m/>
    <n v="406"/>
    <x v="1"/>
    <m/>
    <s v="8ac62013-13ac-4089-9d00-8c6d2cadead7"/>
    <d v="2026-05-29T00:00:00"/>
    <x v="0"/>
  </r>
  <r>
    <x v="25"/>
    <s v="gruponobrejk@gmail.com"/>
    <n v="300248836"/>
    <n v="16441443"/>
    <x v="2"/>
    <x v="3"/>
    <n v="10"/>
    <s v="Material não enviado pela Guararapes"/>
    <s v="NÃO"/>
    <s v="10000072129 - ETIQUETA 12-18."/>
    <s v="29/05/2026 15:35"/>
    <m/>
    <n v="407"/>
    <x v="1"/>
    <m/>
    <s v="9c6fe440-57a8-4a5d-95e9-9782e2588281"/>
    <d v="2026-05-29T00:00:00"/>
    <x v="0"/>
  </r>
  <r>
    <x v="73"/>
    <s v="fjdeazevedo@hotmail.com"/>
    <n v="300259994"/>
    <n v="15863387"/>
    <x v="2"/>
    <x v="8"/>
    <n v="506"/>
    <s v="Quantidade insuficiente para terminar a ordem"/>
    <s v="NÃO"/>
    <s v="10 cones de linha 80 Código: 10000063146"/>
    <s v="29/05/2026 15:52"/>
    <m/>
    <n v="408"/>
    <x v="1"/>
    <m/>
    <s v="7a24be50-ae91-4013-b410-a510a6e448ff"/>
    <d v="2026-05-29T00:00:00"/>
    <x v="0"/>
  </r>
  <r>
    <x v="23"/>
    <s v="gruponobrejk@gmail.com"/>
    <n v="300260651"/>
    <n v="16448090"/>
    <x v="2"/>
    <x v="8"/>
    <n v="1368"/>
    <s v="Material não enviado pela Guararapes"/>
    <s v="NÃO"/>
    <s v="10000073297 - LINHA PARA TODA A ORDEM"/>
    <s v="29/05/2026 15:54"/>
    <m/>
    <n v="409"/>
    <x v="2"/>
    <m/>
    <s v="85b971d2-5ebd-4992-968e-c2ef566b0dd1"/>
    <d v="2026-05-29T00:00:00"/>
    <x v="0"/>
  </r>
  <r>
    <x v="23"/>
    <s v="gruponobrejk@gmail.com"/>
    <n v="300260639"/>
    <n v="16448090"/>
    <x v="2"/>
    <x v="8"/>
    <n v="520"/>
    <s v="Material não enviado pela Guararapes"/>
    <s v="NÃO"/>
    <s v="100000073297 - LINHA PARA 520 PEÇAS"/>
    <s v="29/05/2026 15:55"/>
    <m/>
    <n v="410"/>
    <x v="2"/>
    <m/>
    <s v="e0730897-4403-4493-ac95-f84afa657ad9"/>
    <d v="2026-05-29T00:00:00"/>
    <x v="0"/>
  </r>
  <r>
    <x v="65"/>
    <s v="FORTETECNOLOGIATEXTIL@GMAIL.COM"/>
    <n v="300261208"/>
    <n v="16223608"/>
    <x v="3"/>
    <x v="4"/>
    <n v="130"/>
    <s v="XG-20; GG-20;G-20; M-50; P-20"/>
    <s v="NÃO"/>
    <s v="ERRO OPERACIONAL NA OFICINA."/>
    <s v="29/05/2026 15:58"/>
    <m/>
    <n v="411"/>
    <x v="1"/>
    <m/>
    <s v="e2f86ee2-ee4a-4fcf-828f-508e2a08bc50"/>
    <d v="2026-05-29T00:00:00"/>
    <x v="0"/>
  </r>
  <r>
    <x v="65"/>
    <s v="FORTETECNOLOGIATEXTIL@GMAIL.COM"/>
    <n v="300264452"/>
    <n v="16229215"/>
    <x v="3"/>
    <x v="2"/>
    <n v="68"/>
    <s v="Quantidade insuficiente para terminar a ordem"/>
    <s v="NÃO"/>
    <s v="ETIQUETAS PARA 1 LOTE DE PEÇAS TAMANHO 8-9"/>
    <s v="29/05/2026 16:01"/>
    <m/>
    <n v="412"/>
    <x v="1"/>
    <m/>
    <s v="ca0cb9a9-b8f7-4394-bcd7-94693c3f42c7"/>
    <d v="2026-05-29T00:00:00"/>
    <x v="0"/>
  </r>
  <r>
    <x v="30"/>
    <s v="bensilvaconfeccoes@gmail.com"/>
    <n v="300266213"/>
    <n v="15187632"/>
    <x v="2"/>
    <x v="13"/>
    <n v="20"/>
    <s v="Quantidade insuficiente para terminar a ordem"/>
    <s v="NÃO"/>
    <s v="ZIPER INOX METAL MEDIO AZUL 13CM "/>
    <s v="29/05/2026 16:26"/>
    <m/>
    <n v="413"/>
    <x v="1"/>
    <m/>
    <s v="94fef855-3610-471a-9e23-b008b5aebacb"/>
    <d v="2026-05-29T00:00:00"/>
    <x v="0"/>
  </r>
  <r>
    <x v="21"/>
    <s v="potengitextil@outlook.com.br"/>
    <n v="300267146"/>
    <n v="15128288"/>
    <x v="1"/>
    <x v="12"/>
    <n v="10"/>
    <s v="Material não enviado pela Guararapes"/>
    <s v="NÃO"/>
    <s v="1 lote de traseiro P e 1 lote de traseiro Gg ambos de 5 peças. "/>
    <s v="29/05/2026 16:39"/>
    <m/>
    <n v="414"/>
    <x v="1"/>
    <m/>
    <s v="7f17b468-39a4-4f1a-a9dd-ed4c23e49c37"/>
    <d v="2026-05-29T00:00:00"/>
    <x v="0"/>
  </r>
  <r>
    <x v="21"/>
    <s v="potengitextil@outloo.com.br"/>
    <n v="300267146"/>
    <n v="15128288"/>
    <x v="1"/>
    <x v="22"/>
    <n v="5"/>
    <s v="Material não enviado pela Guararapes"/>
    <s v="NÃO"/>
    <s v="1 lote de 5 peças tamanho P"/>
    <s v="29/05/2026 16:41"/>
    <m/>
    <n v="415"/>
    <x v="1"/>
    <m/>
    <s v="b71aa7cb-25d5-4af3-bc00-41ab9449440f"/>
    <d v="2026-05-29T00:00:00"/>
    <x v="0"/>
  </r>
  <r>
    <x v="63"/>
    <s v="acaritextil2801@gmail.com"/>
    <n v="300261054"/>
    <n v="15858766"/>
    <x v="2"/>
    <x v="38"/>
    <n v="1269"/>
    <s v="A ORDEM VEIO MOLHADA, OS FORROS ESTÃO MORFADOS"/>
    <s v="NÃO"/>
    <s v="FORROS DIANTEIROS  -  TODOS  - 50-47/ 48- 94/ 46-94/ 44-376/ 42-376/ 40-235/ 38-47"/>
    <d v="2026-06-01T07:49:00"/>
    <m/>
    <n v="416"/>
    <x v="2"/>
    <m/>
    <s v="fb473383-eaae-4355-a38c-21444da9c9a0"/>
    <d v="2026-06-01T00:00:00"/>
    <x v="0"/>
  </r>
  <r>
    <x v="21"/>
    <s v="potengitextil@outlook.com.br"/>
    <n v="300267384"/>
    <n v="16243005"/>
    <x v="2"/>
    <x v="18"/>
    <n v="1210"/>
    <s v="Material não enviado pela Guararapes"/>
    <s v="NÃO"/>
    <s v="Código 10000195709. Tamanhos e quantidades: 1-165; 2-165;3-220;4-220;5-220; 6-220"/>
    <d v="2026-06-01T07:54:00"/>
    <m/>
    <n v="417"/>
    <x v="2"/>
    <m/>
    <s v="13b8f64b-80da-4d9c-9991-6ac875dbcd58"/>
    <d v="2026-06-01T00:00:00"/>
    <x v="0"/>
  </r>
  <r>
    <x v="21"/>
    <s v="potengitextil@outlook.com.br"/>
    <n v="300267383"/>
    <n v="16243005"/>
    <x v="2"/>
    <x v="18"/>
    <n v="1386"/>
    <s v="Material não enviado pela Guararapes"/>
    <s v="NÃO"/>
    <s v="Código 10000195709/ tamanhos e quantidade: 1-189;2-189;3-252;4-252;5-252;6-252"/>
    <d v="2026-06-01T07:56:00"/>
    <m/>
    <n v="418"/>
    <x v="2"/>
    <m/>
    <s v="b740bc86-0634-46fa-9960-85abb45cae89"/>
    <d v="2026-06-01T00:00:00"/>
    <x v="0"/>
  </r>
  <r>
    <x v="41"/>
    <s v="faccao_sales2010@hotmail.com"/>
    <n v="300262451"/>
    <n v="16448405"/>
    <x v="2"/>
    <x v="9"/>
    <n v="500"/>
    <s v="Quantidade insuficiente para terminar a ordem"/>
    <s v="NÃO"/>
    <s v="9.LI001.080.132803 - LINHA TEX 80"/>
    <d v="2026-06-01T08:12:00"/>
    <m/>
    <n v="419"/>
    <x v="1"/>
    <m/>
    <s v="a7bbe35e-a1c1-40c9-8407-ede32fe9953b"/>
    <d v="2026-06-01T00:00:00"/>
    <x v="0"/>
  </r>
  <r>
    <x v="17"/>
    <s v="faccao_sales2010@hotmail.com"/>
    <n v="300262452"/>
    <n v="16448405"/>
    <x v="2"/>
    <x v="9"/>
    <n v="600"/>
    <s v="Quantidade insuficiente para terminar a ordem"/>
    <s v="NÃO"/>
    <s v="9.LI001.080.132803 - linha tex 80"/>
    <d v="2026-06-01T08:14:00"/>
    <m/>
    <n v="420"/>
    <x v="1"/>
    <m/>
    <s v="6f271abf-2588-4c6c-8975-b69c1261a0b5"/>
    <d v="2026-06-01T00:00:00"/>
    <x v="0"/>
  </r>
  <r>
    <x v="75"/>
    <s v="maciel.dalison@hotmail.com"/>
    <n v="300262517"/>
    <n v="16292987"/>
    <x v="2"/>
    <x v="2"/>
    <n v="60"/>
    <s v="não veio"/>
    <s v="NÃO"/>
    <s v="Já solicitei duas vezes e veio erado ao invés de de mandar o tamanho 46 mandaram tamanho 48"/>
    <d v="2026-06-01T08:59:08"/>
    <m/>
    <n v="421"/>
    <x v="1"/>
    <m/>
    <s v="6beae4af-cdfa-46bc-8c21-0d441d9e0f4d"/>
    <d v="2026-06-01T00:00:00"/>
    <x v="0"/>
  </r>
  <r>
    <x v="81"/>
    <s v="gsragazziconfeccoes@yahoo.com"/>
    <n v="300267115"/>
    <n v="16223608"/>
    <x v="3"/>
    <x v="12"/>
    <n v="39"/>
    <s v="Material não enviado pela Guararapes"/>
    <s v="SILK"/>
    <s v="Foi conferido a ordem e identificado a falta de um lote do tamanho P do segundo enfesto"/>
    <d v="2026-06-01T09:08:25"/>
    <m/>
    <n v="422"/>
    <x v="1"/>
    <m/>
    <s v="7d35f029-6d66-44af-90e7-7b526c3a4b1c"/>
    <d v="2026-06-01T00:00:00"/>
    <x v="0"/>
  </r>
  <r>
    <x v="15"/>
    <s v="spauloazevedo@bol.com.br"/>
    <n v="300269150"/>
    <n v="16545222"/>
    <x v="0"/>
    <x v="3"/>
    <n v="1711"/>
    <s v="Material não enviado pela Guararapes"/>
    <s v="NÃO"/>
    <s v="As etq de marca não esta cadastrada na nota fiscal"/>
    <d v="2026-06-01T09:10:58"/>
    <m/>
    <n v="423"/>
    <x v="2"/>
    <m/>
    <s v="745a47e3-854f-42a0-9df4-42654db08549"/>
    <d v="2026-06-01T00:00:00"/>
    <x v="0"/>
  </r>
  <r>
    <x v="23"/>
    <s v="gruponobrejk@gmail.com"/>
    <n v="300231420"/>
    <n v="16317840"/>
    <x v="2"/>
    <x v="53"/>
    <n v="1220"/>
    <s v="Material não enviado pela Guararapes"/>
    <s v="NÃO"/>
    <s v="O PEDIDO DE REPOSIÇÃO É PARA ENTRETELA PARA TODA A OP"/>
    <d v="2026-06-01T09:38:30"/>
    <m/>
    <n v="424"/>
    <x v="2"/>
    <m/>
    <s v="c8e46c1f-6dec-4e69-825a-892b34d3a546"/>
    <d v="2026-06-01T00:00:00"/>
    <x v="0"/>
  </r>
  <r>
    <x v="12"/>
    <s v="lctextil@outlook.com.br"/>
    <n v="300266181"/>
    <n v="16441656"/>
    <x v="3"/>
    <x v="6"/>
    <n v="93"/>
    <s v="Material não enviado pela Guararapes"/>
    <s v="NÃO"/>
    <s v="93 golas tamanho XG"/>
    <d v="2026-06-01T10:14:09"/>
    <m/>
    <n v="425"/>
    <x v="1"/>
    <m/>
    <s v="45a685f1-8a81-44e8-903a-71318e1c61dc"/>
    <d v="2026-06-01T00:00:00"/>
    <x v="0"/>
  </r>
  <r>
    <x v="20"/>
    <s v="CONFECCAOSAOSEBASTIAO@GMAIL.COM"/>
    <n v="300261481"/>
    <n v="15773477"/>
    <x v="2"/>
    <x v="0"/>
    <n v="1300"/>
    <s v="FALTANDO"/>
    <s v="NÃO"/>
    <s v="FALTANDO CAPÁS PARA ARTOK"/>
    <d v="2026-06-01T10:33:43"/>
    <m/>
    <n v="426"/>
    <x v="2"/>
    <m/>
    <s v="93a3176f-3ab7-423c-8b55-61b019a6413d"/>
    <d v="2026-06-01T00:00:00"/>
    <x v="0"/>
  </r>
  <r>
    <x v="20"/>
    <s v="CONFECCAOSAOSEBASTIAO@GMAIL.COM"/>
    <n v="300261052"/>
    <n v="16461010"/>
    <x v="2"/>
    <x v="21"/>
    <n v="3"/>
    <s v="Faltando artoks"/>
    <s v="NÃO"/>
    <s v="faltando artoks"/>
    <d v="2026-06-01T10:41:18"/>
    <m/>
    <n v="427"/>
    <x v="2"/>
    <m/>
    <s v="6f4c2771-d597-4bde-b025-b6c47f3b9624"/>
    <d v="2026-06-01T00:00:00"/>
    <x v="0"/>
  </r>
  <r>
    <x v="21"/>
    <s v="potengitextil@outlook.com.br"/>
    <n v="300264442"/>
    <n v="13132547"/>
    <x v="1"/>
    <x v="4"/>
    <n v="50"/>
    <s v="Quantidade insuficiente para terminar a ordem"/>
    <s v="NÃO"/>
    <s v="50 etiquetas tamanho G"/>
    <d v="2026-06-01T10:47:08"/>
    <m/>
    <n v="428"/>
    <x v="1"/>
    <m/>
    <s v="89d11a59-8367-44d1-a11e-01a0ac4cc211"/>
    <d v="2026-06-01T00:00:00"/>
    <x v="0"/>
  </r>
  <r>
    <x v="82"/>
    <s v="vitalizeconfeccoes@gmail.com"/>
    <n v="300265908"/>
    <n v="16230000"/>
    <x v="3"/>
    <x v="4"/>
    <n v="248"/>
    <s v="Quantidade insuficiente para terminar a ordem"/>
    <s v="NÃO"/>
    <s v="tamanho 6-7 "/>
    <d v="2026-06-01T10:47:14"/>
    <m/>
    <n v="429"/>
    <x v="1"/>
    <m/>
    <s v="1f49051a-2103-4bfe-a49f-85baa2942a9d"/>
    <d v="2026-06-01T00:00:00"/>
    <x v="0"/>
  </r>
  <r>
    <x v="63"/>
    <s v="acaritextil2801@gmail.com"/>
    <n v="300261054"/>
    <n v="15858766"/>
    <x v="2"/>
    <x v="38"/>
    <n v="1269"/>
    <s v="ORDEM VEIO MOLHADA, FORROS MANCHADOS E MORFADOS"/>
    <s v="NÃO"/>
    <s v="FORROS COM MAL CHEIRO E MOLHADOS "/>
    <d v="2026-06-01T10:47:19"/>
    <m/>
    <n v="430"/>
    <x v="2"/>
    <m/>
    <s v="9075cb4a-5e9c-4baf-9b4c-44e10964454d"/>
    <d v="2026-06-01T00:00:00"/>
    <x v="0"/>
  </r>
  <r>
    <x v="82"/>
    <s v="vitalizeconfeccoes@gmail.com"/>
    <n v="300265907"/>
    <n v="16230000"/>
    <x v="3"/>
    <x v="4"/>
    <n v="92"/>
    <s v="Quantidade insuficiente para terminar a ordem"/>
    <s v="NÃO"/>
    <s v="tamanho 6-7"/>
    <d v="2026-06-01T10:48:51"/>
    <m/>
    <n v="431"/>
    <x v="1"/>
    <m/>
    <s v="ffb8b893-5afd-4cd4-8c5f-77aacd512fcf"/>
    <d v="2026-06-01T00:00:00"/>
    <x v="0"/>
  </r>
  <r>
    <x v="23"/>
    <s v="gruponobrejk@gmail.com"/>
    <n v="300267376"/>
    <n v="16450272"/>
    <x v="2"/>
    <x v="18"/>
    <n v="1568"/>
    <s v="Material não enviado pela Guararapes"/>
    <s v="NÃO"/>
    <s v="ELÁSTICO PARA TODA A OP. CÓDIGO: 10000195709"/>
    <d v="2026-06-01T11:00:44"/>
    <m/>
    <n v="432"/>
    <x v="2"/>
    <m/>
    <s v="0d865504-9c4e-4b83-9e61-66602cf0b56a"/>
    <d v="2026-06-01T00:00:00"/>
    <x v="0"/>
  </r>
  <r>
    <x v="21"/>
    <s v="potengitextil@outlook.com.br"/>
    <n v="300267047"/>
    <n v="16242998"/>
    <x v="2"/>
    <x v="18"/>
    <n v="969"/>
    <s v="Material não enviado pela Guararapes"/>
    <s v="NÃO"/>
    <s v="Código 10000195709"/>
    <d v="2026-06-01T12:49:41"/>
    <m/>
    <n v="433"/>
    <x v="2"/>
    <m/>
    <s v="64a35e3e-6cab-48e2-9316-ecdf1826f48b"/>
    <d v="2026-06-01T00:00:00"/>
    <x v="0"/>
  </r>
  <r>
    <x v="44"/>
    <s v="teceuzl@hotmail.com"/>
    <n v="300265101"/>
    <n v="15128288"/>
    <x v="1"/>
    <x v="27"/>
    <n v="1808"/>
    <s v="Material não enviado pela Guararapes"/>
    <s v="NÃO"/>
    <m/>
    <d v="2026-06-01T13:06:56"/>
    <m/>
    <n v="434"/>
    <x v="2"/>
    <m/>
    <s v="0d3ba668-5c38-4846-96f7-14549f398088"/>
    <d v="2026-06-01T00:00:00"/>
    <x v="0"/>
  </r>
  <r>
    <x v="44"/>
    <s v="teceuzl@hotmail.com"/>
    <n v="300265103"/>
    <n v="15128288"/>
    <x v="1"/>
    <x v="27"/>
    <n v="1790"/>
    <s v="Material não enviado pela Guararapes"/>
    <s v="NÃO"/>
    <m/>
    <d v="2026-06-01T13:08:02"/>
    <m/>
    <n v="435"/>
    <x v="2"/>
    <m/>
    <s v="d0ac785b-f222-4439-84a9-48ab02466e69"/>
    <d v="2026-06-01T00:00:00"/>
    <x v="0"/>
  </r>
  <r>
    <x v="18"/>
    <s v="ebenezerindustriat@hotmail.com"/>
    <n v="300264560"/>
    <n v="16491920"/>
    <x v="3"/>
    <x v="29"/>
    <n v="1513"/>
    <s v="Material não enviado pela Guararapes"/>
    <s v="NÃO"/>
    <s v="PP-267; P-356; M-356; G-267; GG-267"/>
    <d v="2026-06-01T13:09:54"/>
    <m/>
    <n v="436"/>
    <x v="2"/>
    <m/>
    <s v="b3ca2c52-e06a-44ce-b51a-b5d0ab364d07"/>
    <d v="2026-06-01T00:00:00"/>
    <x v="0"/>
  </r>
  <r>
    <x v="65"/>
    <s v="FORTETECNOLOGIATEXTIL@GMAIL.COM"/>
    <n v="300267521"/>
    <n v="16223780"/>
    <x v="3"/>
    <x v="12"/>
    <n v="240"/>
    <s v="Quantidade insuficiente para terminar a ordem"/>
    <s v="TAMPOGRAFIA"/>
    <s v="ESSA ORDEM ESTÁ FALTANDO TODOS OS TRASEIROS DO INFESTO 003. XG-30;GG-60;G-90;M-60. "/>
    <d v="2026-06-01T14:02:41"/>
    <m/>
    <n v="437"/>
    <x v="1"/>
    <m/>
    <s v="4c84057b-ddda-4843-8f0c-4d84ae9ed998"/>
    <d v="2026-06-01T00:00:00"/>
    <x v="0"/>
  </r>
  <r>
    <x v="32"/>
    <s v="di3confec@gmail.com"/>
    <n v="300268567"/>
    <n v="16441630"/>
    <x v="3"/>
    <x v="8"/>
    <n v="2"/>
    <s v="Quantidade insuficiente para terminar a ordem"/>
    <s v="NÃO"/>
    <s v="Preciso de 2 cones de linha "/>
    <d v="2026-06-01T14:51:54"/>
    <m/>
    <n v="438"/>
    <x v="1"/>
    <m/>
    <s v="751457eb-6aa2-40f1-8066-fe93e7730943"/>
    <d v="2026-06-01T00:00:00"/>
    <x v="0"/>
  </r>
  <r>
    <x v="32"/>
    <s v="di3confec@gmail.com"/>
    <n v="300268567"/>
    <n v="16441630"/>
    <x v="3"/>
    <x v="19"/>
    <n v="2"/>
    <s v="Quantidade insuficiente para terminar a ordem"/>
    <s v="NÃO"/>
    <s v="Preciso de 2 cones de fio"/>
    <d v="2026-06-01T14:53:08"/>
    <m/>
    <n v="439"/>
    <x v="1"/>
    <m/>
    <s v="2c86416b-831c-497f-affc-24c93fa7c900"/>
    <d v="2026-06-01T00:00:00"/>
    <x v="0"/>
  </r>
  <r>
    <x v="32"/>
    <s v="di3confec@gmail.com"/>
    <n v="300268568"/>
    <n v="16441630"/>
    <x v="3"/>
    <x v="9"/>
    <n v="4"/>
    <s v="Quantidade insuficiente para terminar a ordem"/>
    <s v="NÃO"/>
    <s v="Preciso de 2 cones de linha e 2 cones de fio "/>
    <d v="2026-06-01T14:54:14"/>
    <m/>
    <n v="440"/>
    <x v="1"/>
    <m/>
    <s v="8c3bd2e0-a38e-4ee2-be7e-ed1ba741b029"/>
    <d v="2026-06-01T00:00:00"/>
    <x v="0"/>
  </r>
  <r>
    <x v="21"/>
    <s v="potengitextil@outlook.com.br"/>
    <n v="300267170"/>
    <n v="15359492"/>
    <x v="1"/>
    <x v="4"/>
    <n v="130"/>
    <s v="Quantidade insuficiente para terminar a ordem"/>
    <s v="NÃO"/>
    <s v="130 tamanho GG "/>
    <d v="2026-06-01T14:59:17"/>
    <m/>
    <n v="441"/>
    <x v="1"/>
    <m/>
    <s v="44d4e9bf-b585-4151-a38e-c857f1748fe8"/>
    <d v="2026-06-01T00:00:00"/>
    <x v="0"/>
  </r>
  <r>
    <x v="65"/>
    <s v="FORTETECNOLOGIATEXTIL@GMAIL.COM"/>
    <n v="300267521"/>
    <n v="16223780"/>
    <x v="3"/>
    <x v="7"/>
    <n v="100"/>
    <s v="ESTAMOS PRECISANDO URGENTE DE LACRES. "/>
    <s v="NÃO"/>
    <s v="LACRES URGENTE, JÁ ESTOU PEGANDO EMPRESTADOS EM OUTRA OFICINA "/>
    <d v="2026-06-01T15:09:56"/>
    <m/>
    <n v="442"/>
    <x v="2"/>
    <m/>
    <s v="8acafcd4-0f47-45b5-8a67-474ab1530775"/>
    <d v="2026-06-01T00:00:00"/>
    <x v="0"/>
  </r>
  <r>
    <x v="63"/>
    <s v="acaritextil2801@gmail.com"/>
    <n v="300261054"/>
    <n v="15858766"/>
    <x v="2"/>
    <x v="12"/>
    <n v="423"/>
    <s v="PEÇAS MANCHADAS PORQUE VIERAM MOLHADAS"/>
    <s v="NÃO"/>
    <s v="42 - 47 / 44- 376 - PARES "/>
    <d v="2026-06-01T15:11:26"/>
    <m/>
    <n v="443"/>
    <x v="2"/>
    <m/>
    <s v="75663fbe-e4e3-4e3c-908a-70cb45a05e33"/>
    <d v="2026-06-01T00:00:00"/>
    <x v="0"/>
  </r>
  <r>
    <x v="51"/>
    <s v="fc_faccao@yahoo.com.br"/>
    <n v="300261343"/>
    <n v="16491912"/>
    <x v="1"/>
    <x v="12"/>
    <n v="572"/>
    <s v="Material não enviado pela Guararapes"/>
    <s v="NÃO"/>
    <m/>
    <d v="2026-06-01T15:21:24"/>
    <m/>
    <n v="444"/>
    <x v="2"/>
    <m/>
    <s v="39a24f22-1674-4984-9041-f3767a8f8304"/>
    <d v="2026-06-01T00:00:00"/>
    <x v="0"/>
  </r>
  <r>
    <x v="51"/>
    <s v="fc_faccao@yahoo.com.br"/>
    <n v="300261343"/>
    <n v="16491912"/>
    <x v="1"/>
    <x v="33"/>
    <n v="572"/>
    <s v="Material não enviado pela Guararapes"/>
    <s v="NÃO"/>
    <m/>
    <d v="2026-06-01T15:23:21"/>
    <m/>
    <n v="445"/>
    <x v="2"/>
    <m/>
    <s v="9e1ec4dc-1444-47c4-9dd0-7ee1dd8b1de9"/>
    <d v="2026-06-01T00:00:00"/>
    <x v="0"/>
  </r>
  <r>
    <x v="51"/>
    <s v="fc_faccao@yahoo.com.br"/>
    <n v="300261343"/>
    <n v="16491912"/>
    <x v="1"/>
    <x v="27"/>
    <n v="572"/>
    <s v="Material não enviado pela Guararapes"/>
    <s v="NÃO"/>
    <m/>
    <d v="2026-06-01T15:24:56"/>
    <m/>
    <n v="446"/>
    <x v="2"/>
    <m/>
    <s v="367c79a5-f61a-4967-a59a-b4382d25ff59"/>
    <d v="2026-06-01T00:00:00"/>
    <x v="0"/>
  </r>
  <r>
    <x v="51"/>
    <s v="fc_faccao@yahoo.com.br"/>
    <n v="300261509"/>
    <n v="16491912"/>
    <x v="1"/>
    <x v="12"/>
    <n v="506"/>
    <s v="Material não enviado pela Guararapes"/>
    <s v="NÃO"/>
    <m/>
    <d v="2026-06-01T15:26:23"/>
    <m/>
    <n v="447"/>
    <x v="2"/>
    <m/>
    <s v="96d2efa7-ad8f-4eda-bf82-8510748082a3"/>
    <d v="2026-06-01T00:00:00"/>
    <x v="0"/>
  </r>
  <r>
    <x v="51"/>
    <s v="fc_faccao@yahoo.com.br"/>
    <n v="300261509"/>
    <n v="16491912"/>
    <x v="1"/>
    <x v="4"/>
    <n v="506"/>
    <s v="Material não enviado pela Guararapes"/>
    <s v="NÃO"/>
    <m/>
    <d v="2026-06-01T15:28:05"/>
    <m/>
    <n v="448"/>
    <x v="2"/>
    <m/>
    <s v="5a323920-c615-4bc3-b449-f2386bcbee02"/>
    <d v="2026-06-01T00:00:00"/>
    <x v="0"/>
  </r>
  <r>
    <x v="51"/>
    <s v="fc_faccao@yahoo.com.br"/>
    <n v="300261509"/>
    <n v="16491912"/>
    <x v="1"/>
    <x v="27"/>
    <n v="506"/>
    <s v="Material não enviado pela Guararapes"/>
    <s v="NÃO"/>
    <m/>
    <d v="2026-06-01T15:30:35"/>
    <m/>
    <n v="449"/>
    <x v="2"/>
    <m/>
    <s v="599c70a9-f011-49c1-81cd-cf2beea434dc"/>
    <d v="2026-06-01T00:00:00"/>
    <x v="0"/>
  </r>
  <r>
    <x v="51"/>
    <s v="fc_faccao@yahoo.com.br"/>
    <n v="300261509"/>
    <n v="16491912"/>
    <x v="1"/>
    <x v="9"/>
    <n v="506"/>
    <s v="Material não enviado pela Guararapes"/>
    <s v="NÃO"/>
    <m/>
    <d v="2026-06-01T15:32:58"/>
    <m/>
    <n v="450"/>
    <x v="2"/>
    <m/>
    <s v="085d49f3-cc86-4850-b2c6-19b15fa9b700"/>
    <d v="2026-06-01T00:00:00"/>
    <x v="0"/>
  </r>
  <r>
    <x v="51"/>
    <s v="fc_faccao@yahoo.com.br"/>
    <n v="300261509"/>
    <n v="16491912"/>
    <x v="1"/>
    <x v="20"/>
    <n v="506"/>
    <s v="Material não enviado pela Guararapes"/>
    <s v="NÃO"/>
    <m/>
    <d v="2026-06-01T15:34:22"/>
    <m/>
    <n v="451"/>
    <x v="2"/>
    <m/>
    <s v="1fc682fa-441e-4f28-9916-a3dd23a71a9d"/>
    <d v="2026-06-01T00:00:00"/>
    <x v="0"/>
  </r>
  <r>
    <x v="23"/>
    <s v="gruponobrejk@gmail.com"/>
    <n v="300267377"/>
    <n v="16450272"/>
    <x v="2"/>
    <x v="18"/>
    <n v="1512"/>
    <s v="Material não enviado pela Guararapes"/>
    <s v="NÃO"/>
    <s v="ELÁSTICO PARA TODA A OP. CÓDIGO: 10000195709"/>
    <d v="2026-06-01T16:37:20"/>
    <m/>
    <n v="452"/>
    <x v="2"/>
    <m/>
    <s v="8500bd4f-105c-4688-909c-4654ce58d5f4"/>
    <d v="2026-06-01T00:00:00"/>
    <x v="0"/>
  </r>
  <r>
    <x v="56"/>
    <s v="idealconfecltda@gmail.com"/>
    <n v="300268619"/>
    <n v="15773485"/>
    <x v="2"/>
    <x v="43"/>
    <n v="50"/>
    <s v="Quantidade insuficiente para terminar a ordem"/>
    <s v="NÃO"/>
    <s v="TAM 40=25 PEÇAS TAM 38=25 PEÇAS"/>
    <d v="2026-06-01T16:41:21"/>
    <m/>
    <n v="453"/>
    <x v="1"/>
    <m/>
    <s v="c9132037-cce3-4993-a08e-b8b4704998de"/>
    <d v="2026-06-01T00:00:00"/>
    <x v="0"/>
  </r>
  <r>
    <x v="25"/>
    <s v="gruponobrejk@gmail.com"/>
    <n v="300260650"/>
    <n v="16448090"/>
    <x v="2"/>
    <x v="53"/>
    <n v="1"/>
    <s v="Material não enviado pela Guararapes"/>
    <s v="NÃO"/>
    <m/>
    <d v="2026-06-01T16:41:26"/>
    <m/>
    <n v="454"/>
    <x v="2"/>
    <m/>
    <s v="f16d1a6d-2eac-41e7-97e9-1911058ac160"/>
    <d v="2026-06-01T00:00:00"/>
    <x v="0"/>
  </r>
  <r>
    <x v="2"/>
    <s v="oficinasantos08@outlook.com"/>
    <n v="300265839"/>
    <n v="16523741"/>
    <x v="2"/>
    <x v="29"/>
    <n v="439"/>
    <s v="Quantidade insuficiente para terminar a ordem"/>
    <s v="NÃO"/>
    <s v="São os reforços para passantes ( todas as peças dos tamanhos 36,38,40)"/>
    <d v="2026-06-01T16:42:32"/>
    <m/>
    <n v="455"/>
    <x v="1"/>
    <m/>
    <s v="1283dabe-2408-407b-ad39-38411766afde"/>
    <d v="2026-06-01T00:00:00"/>
    <x v="0"/>
  </r>
  <r>
    <x v="31"/>
    <s v="administrativo@zajaconfeccoes.com.br"/>
    <n v="300261803"/>
    <n v="16243994"/>
    <x v="2"/>
    <x v="10"/>
    <n v="0"/>
    <s v="Quantidade insuficiente para terminar a ordem"/>
    <s v="NÃO"/>
    <m/>
    <d v="2026-06-01T16:59:32"/>
    <m/>
    <n v="456"/>
    <x v="2"/>
    <m/>
    <s v="dfc1b1d8-8572-480a-8f09-01ad3e2b361e"/>
    <d v="2026-06-01T00:00:00"/>
    <x v="0"/>
  </r>
  <r>
    <x v="64"/>
    <s v="NEEMIAS.SC@HOTMAIL.COM"/>
    <n v="300252644"/>
    <n v="16444981"/>
    <x v="3"/>
    <x v="29"/>
    <n v="350"/>
    <s v="O VIÉS ESTA ESTOURANDO."/>
    <s v="NÃO"/>
    <s v="O viés esta com variações, ficando menor que o informado de 2,2 cm . Quando pregamos na peça acaba estourando."/>
    <d v="2026-06-01T16:59:38"/>
    <m/>
    <n v="457"/>
    <x v="1"/>
    <m/>
    <s v="5f08d5d0-27ca-4a9c-a43a-195f252e580d"/>
    <d v="2026-06-01T00:00:00"/>
    <x v="0"/>
  </r>
  <r>
    <x v="31"/>
    <s v="admistrativo@zajaconfeccoes.com.br"/>
    <n v="300269148"/>
    <n v="0"/>
    <x v="2"/>
    <x v="0"/>
    <n v="0"/>
    <s v="Quantidade insuficiente para terminar a ordem"/>
    <s v="NÃO"/>
    <m/>
    <d v="2026-06-01T17:03:35"/>
    <m/>
    <n v="458"/>
    <x v="2"/>
    <m/>
    <s v="49774a5e-21f3-45a7-a472-22386f6159d5"/>
    <d v="2026-06-01T00:00:00"/>
    <x v="0"/>
  </r>
  <r>
    <x v="7"/>
    <s v="confeccaogenesisltda@gmail.com"/>
    <n v="300255985"/>
    <n v="15497402"/>
    <x v="3"/>
    <x v="4"/>
    <n v="225"/>
    <s v="Quantidade insuficiente para terminar a ordem"/>
    <s v="NÃO"/>
    <s v="M-225"/>
    <d v="2026-06-01T17:21:29"/>
    <m/>
    <n v="459"/>
    <x v="1"/>
    <m/>
    <s v="ea098c98-284e-457a-a6d2-551b717ebb34"/>
    <d v="2026-06-01T00:00:00"/>
    <x v="0"/>
  </r>
  <r>
    <x v="6"/>
    <s v="confeccoesgbdas@hotmail.com"/>
    <n v="300263620"/>
    <n v="16450582"/>
    <x v="3"/>
    <x v="3"/>
    <n v="1824"/>
    <s v="Material não enviado pela Guararapes"/>
    <s v="NÃO"/>
    <s v="ETIQUETA DO DINOSSAURO COM 5 CM"/>
    <d v="2026-06-01T17:23:43"/>
    <m/>
    <n v="460"/>
    <x v="2"/>
    <m/>
    <s v="674e946c-64a8-48af-a30b-cb230bf0b8a1"/>
    <d v="2026-06-01T00:00:00"/>
    <x v="0"/>
  </r>
  <r>
    <x v="56"/>
    <s v="idealconfecltda@gmail.com"/>
    <n v="300261056"/>
    <n v="16244028"/>
    <x v="2"/>
    <x v="22"/>
    <n v="27"/>
    <s v="Quantidade insuficiente para terminar a ordem"/>
    <s v="NÃO"/>
    <s v="27 PEÇAS  TAM-5 "/>
    <d v="2026-06-01T17:42:07"/>
    <m/>
    <n v="461"/>
    <x v="1"/>
    <m/>
    <s v="03a39002-0032-4aec-8057-a344a700a753"/>
    <d v="2026-06-01T00:00:00"/>
    <x v="0"/>
  </r>
  <r>
    <x v="6"/>
    <s v="confeccoesgbdas@hotmail.com"/>
    <n v="300263609"/>
    <n v="16450582"/>
    <x v="3"/>
    <x v="3"/>
    <n v="1704"/>
    <s v="Material não enviado pela Guararapes"/>
    <s v="NÃO"/>
    <s v="ETIQUETA DO DINOSSAURO COM 5CM"/>
    <d v="2026-06-01T17:48:34"/>
    <m/>
    <n v="462"/>
    <x v="2"/>
    <m/>
    <s v="284636a6-a4f9-40f3-b3c6-78a384c1cdb4"/>
    <d v="2026-06-01T00:00:00"/>
    <x v="0"/>
  </r>
  <r>
    <x v="56"/>
    <s v="idealconfecltda@gmail.com"/>
    <n v="300268619"/>
    <n v="15773485"/>
    <x v="2"/>
    <x v="17"/>
    <n v="50"/>
    <s v="Quantidade insuficiente para terminar a ordem"/>
    <s v="NÃO"/>
    <s v="FALTOU CÓS TAM38=25;TAM 40=25,PERTINGAL 38=25 TAM40=25"/>
    <d v="2026-06-01T17:49:25"/>
    <m/>
    <n v="463"/>
    <x v="1"/>
    <m/>
    <s v="a00ef17c-7439-4df7-a0f4-b1f759bef7fc"/>
    <d v="2026-06-01T00:00:00"/>
    <x v="0"/>
  </r>
  <r>
    <x v="2"/>
    <s v="oficinasantos08@outlook.com"/>
    <n v="300268011"/>
    <n v="15252485"/>
    <x v="2"/>
    <x v="5"/>
    <n v="3"/>
    <s v="Quantidade insuficiente para terminar a ordem"/>
    <s v="NÃO"/>
    <s v="filme plástico para fusionar passantes está acabando"/>
    <d v="2026-06-02T07:40:39"/>
    <m/>
    <n v="464"/>
    <x v="1"/>
    <m/>
    <s v="643348d0-2ae9-4cb8-bb46-d12889e5f85a"/>
    <d v="2026-06-02T00:00:00"/>
    <x v="0"/>
  </r>
  <r>
    <x v="2"/>
    <s v="oficinasantos08@outlook.com"/>
    <n v="300268011"/>
    <n v="15252485"/>
    <x v="2"/>
    <x v="7"/>
    <n v="100"/>
    <s v="Quantidade insuficiente para terminar a ordem"/>
    <s v="NÃO"/>
    <s v="lacres estão acabando"/>
    <d v="2026-06-02T07:45:54"/>
    <m/>
    <n v="465"/>
    <x v="1"/>
    <m/>
    <s v="5bfed7a9-dc30-4e7c-a5ea-46a689a59afb"/>
    <d v="2026-06-02T00:00:00"/>
    <x v="0"/>
  </r>
  <r>
    <x v="35"/>
    <s v="lupercio-fnb@hotmail.com"/>
    <n v="300265090"/>
    <n v="15128288"/>
    <x v="1"/>
    <x v="27"/>
    <n v="840"/>
    <s v="Material não enviado pela Guararapes"/>
    <s v="NÃO"/>
    <s v="Faltando todos os botões das orddens, 300265090,300267144,300265094,300267145,300265091"/>
    <d v="2026-06-02T08:37:28"/>
    <m/>
    <n v="466"/>
    <x v="2"/>
    <m/>
    <s v="982309c6-fc3b-4d3c-aa01-e320ae06dc37"/>
    <d v="2026-06-02T00:00:00"/>
    <x v="0"/>
  </r>
  <r>
    <x v="6"/>
    <s v="confeccoesgbdas@hotmail.com"/>
    <n v="300238301"/>
    <n v="15929086"/>
    <x v="3"/>
    <x v="2"/>
    <n v="605"/>
    <s v="Reprocesso (devolução para conserto na oficina)"/>
    <s v="NÃO"/>
    <m/>
    <d v="2026-06-02T08:37:30"/>
    <m/>
    <n v="467"/>
    <x v="2"/>
    <m/>
    <s v="70fd9b95-3e98-4309-b5b3-81367645a985"/>
    <d v="2026-06-02T00:00:00"/>
    <x v="0"/>
  </r>
  <r>
    <x v="73"/>
    <s v="fjdeazevedo@hotmail.com"/>
    <n v="300259994"/>
    <n v="15863367"/>
    <x v="2"/>
    <x v="7"/>
    <n v="300"/>
    <s v="acabou na oficina"/>
    <s v="NÃO"/>
    <s v="300 lacres pra lacrar os sacos dentro dos artoks e papelão pra pregar gabarito, pois também acabou na oficina  "/>
    <d v="2026-06-02T08:41:01"/>
    <m/>
    <n v="468"/>
    <x v="2"/>
    <m/>
    <s v="ae1fb7f6-e8ac-4842-a77f-da589cdcd35d"/>
    <d v="2026-06-02T00:00:00"/>
    <x v="0"/>
  </r>
  <r>
    <x v="17"/>
    <s v="faccao_sales2010@hotmail.com"/>
    <n v="300259163"/>
    <n v="16183550"/>
    <x v="2"/>
    <x v="38"/>
    <n v="414"/>
    <s v="Material não enviado pela Guararapes"/>
    <s v="NÃO"/>
    <m/>
    <d v="2026-06-02T08:52:12"/>
    <m/>
    <n v="469"/>
    <x v="2"/>
    <m/>
    <s v="2def9a9a-e650-4f13-a2dd-2b28925a3bda"/>
    <d v="2026-06-02T00:00:00"/>
    <x v="0"/>
  </r>
  <r>
    <x v="32"/>
    <s v="di3confec@gmail.com"/>
    <n v="300267388"/>
    <n v="16217403"/>
    <x v="2"/>
    <x v="2"/>
    <n v="20"/>
    <s v="Quantidade insuficiente para terminar a ordem"/>
    <s v="NÃO"/>
    <s v="Preciso de 20 etiquetas tamanho 13-14"/>
    <d v="2026-06-02T08:58:52"/>
    <m/>
    <n v="470"/>
    <x v="1"/>
    <m/>
    <s v="79bf6bfa-15e5-4356-a8e4-6accdbcebb78"/>
    <d v="2026-06-02T00:00:00"/>
    <x v="0"/>
  </r>
  <r>
    <x v="32"/>
    <s v="di3confec@gmail.com"/>
    <n v="300267137"/>
    <n v="15724344"/>
    <x v="3"/>
    <x v="39"/>
    <n v="12"/>
    <s v="Quantidade insuficiente para terminar a ordem"/>
    <s v="TAMPOGRAFIA"/>
    <s v="Preciso de 12 partes para finalizara op. GG - 6 e G - 6"/>
    <d v="2026-06-02T09:02:40"/>
    <m/>
    <n v="471"/>
    <x v="1"/>
    <m/>
    <s v="02f35985-9ac8-4004-811c-7923f2578b08"/>
    <d v="2026-06-02T00:00:00"/>
    <x v="0"/>
  </r>
  <r>
    <x v="23"/>
    <s v="gruponobrejk@gmail.com"/>
    <n v="300000000"/>
    <n v="0"/>
    <x v="2"/>
    <x v="10"/>
    <n v="1"/>
    <s v="Quantidade insuficiente para terminar a ordem"/>
    <s v="NÃO"/>
    <m/>
    <d v="2026-06-02T09:05:11"/>
    <m/>
    <n v="472"/>
    <x v="2"/>
    <m/>
    <s v="583eb057-a72e-464a-8a38-23707efb8dd0"/>
    <d v="2026-06-02T00:00:00"/>
    <x v="0"/>
  </r>
  <r>
    <x v="25"/>
    <s v="gruponobrejk@gmail.com"/>
    <n v="300000000"/>
    <n v="0"/>
    <x v="2"/>
    <x v="10"/>
    <n v="1"/>
    <s v="Quantidade insuficiente para terminar a ordem"/>
    <s v="NÃO"/>
    <m/>
    <d v="2026-06-02T09:06:22"/>
    <m/>
    <n v="473"/>
    <x v="2"/>
    <m/>
    <s v="e269d1c7-143b-40a3-a593-c3d8a187d924"/>
    <d v="2026-06-02T00:00:00"/>
    <x v="0"/>
  </r>
  <r>
    <x v="31"/>
    <s v="administrativo@zajaconfeccoes.com.br"/>
    <n v="300261803"/>
    <n v="16243994"/>
    <x v="2"/>
    <x v="3"/>
    <n v="5"/>
    <s v="Quantidade insuficiente para terminar a ordem"/>
    <s v="NÃO"/>
    <s v="C[ÓDIGO: 10000216487; TAMANHO 9/10"/>
    <d v="2026-06-02T09:10:15"/>
    <m/>
    <n v="474"/>
    <x v="1"/>
    <m/>
    <s v="5f236e72-5672-45ad-8514-4e48c2c59198"/>
    <d v="2026-06-02T00:00:00"/>
    <x v="0"/>
  </r>
  <r>
    <x v="31"/>
    <s v="administrativo@zajaconfeccoes.com.br"/>
    <n v="300267378"/>
    <n v="16243153"/>
    <x v="2"/>
    <x v="54"/>
    <n v="30"/>
    <s v="Quantidade insuficiente para terminar a ordem"/>
    <s v="NÃO"/>
    <s v="30 ALÇAS TAMANHO 6"/>
    <d v="2026-06-02T09:39:27"/>
    <m/>
    <n v="475"/>
    <x v="1"/>
    <m/>
    <s v="96bdd01d-2c03-4bc4-80c7-1f01139883bc"/>
    <d v="2026-06-02T00:00:00"/>
    <x v="0"/>
  </r>
  <r>
    <x v="44"/>
    <s v="teceuzl@hotmail.com"/>
    <n v="300265103"/>
    <n v="15128288"/>
    <x v="1"/>
    <x v="22"/>
    <n v="41"/>
    <s v="Material não enviado pela Guararapes"/>
    <s v="NÃO"/>
    <s v="41 - FRENTES TAMANHO M"/>
    <d v="2026-06-02T09:57:47"/>
    <m/>
    <n v="476"/>
    <x v="1"/>
    <m/>
    <s v="c054af16-958a-469f-b413-3bf1eee60e41"/>
    <d v="2026-06-02T00:00:00"/>
    <x v="0"/>
  </r>
  <r>
    <x v="44"/>
    <s v="teceuzl@hotmail.com"/>
    <n v="300265103"/>
    <n v="15128288"/>
    <x v="1"/>
    <x v="19"/>
    <n v="10"/>
    <s v="Quantidade insuficiente para terminar a ordem"/>
    <s v="NÃO"/>
    <m/>
    <d v="2026-06-02T09:58:41"/>
    <m/>
    <n v="477"/>
    <x v="1"/>
    <m/>
    <s v="d9ddc1af-6578-4e9f-b303-6b9ab9989d7e"/>
    <d v="2026-06-02T00:00:00"/>
    <x v="0"/>
  </r>
  <r>
    <x v="44"/>
    <s v="teceuzl@hotmail.com"/>
    <n v="300265103"/>
    <n v="15128288"/>
    <x v="1"/>
    <x v="6"/>
    <n v="300"/>
    <s v="Quantidade insuficiente para terminar a ordem"/>
    <s v="NÃO"/>
    <s v="300 - GOLAS TAMANHO M/G"/>
    <d v="2026-06-02T10:00:04"/>
    <m/>
    <n v="478"/>
    <x v="1"/>
    <m/>
    <s v="7cdffe28-bf10-4936-8b3e-31541b6535bc"/>
    <d v="2026-06-02T00:00:00"/>
    <x v="0"/>
  </r>
  <r>
    <x v="5"/>
    <s v="tendenciaconfec@gmail.com"/>
    <n v="300267546"/>
    <n v="16226895"/>
    <x v="3"/>
    <x v="14"/>
    <n v="1032"/>
    <s v="Material não enviado pela Guararapes"/>
    <s v="NÃO"/>
    <s v="Viés de decote 5,2CM, por quantidade de peças 11-12: 172; 9-10: 258; 8-9: 344; 6-7: 258"/>
    <d v="2026-06-02T10:21:36"/>
    <m/>
    <n v="479"/>
    <x v="2"/>
    <m/>
    <s v="c172f03b-2425-4e15-93ee-c4a7f1bfd880"/>
    <d v="2026-06-02T00:00:00"/>
    <x v="0"/>
  </r>
  <r>
    <x v="13"/>
    <s v="administrativo@zajaconfeccoes.com.br"/>
    <n v="300268561"/>
    <n v="16462998"/>
    <x v="3"/>
    <x v="12"/>
    <n v="435"/>
    <s v="Material não enviado pela Guararapes"/>
    <s v="SILK"/>
    <s v="GG-174; G-174; P-87"/>
    <d v="2026-06-02T10:27:31"/>
    <m/>
    <n v="480"/>
    <x v="1"/>
    <m/>
    <s v="8c440ee6-f6c8-4d12-baa6-e79809390722"/>
    <d v="2026-06-02T00:00:00"/>
    <x v="0"/>
  </r>
  <r>
    <x v="31"/>
    <s v="administrativo@zajaconfeccoes.com.br"/>
    <n v="300268561"/>
    <n v="16462998"/>
    <x v="3"/>
    <x v="2"/>
    <n v="28"/>
    <s v="Quantidade insuficiente para terminar a ordem"/>
    <s v="NÃO"/>
    <s v="M-28"/>
    <d v="2026-06-02T10:28:36"/>
    <m/>
    <n v="481"/>
    <x v="1"/>
    <m/>
    <s v="835c1e07-3ae9-4305-9ee4-bc4d43ee9014"/>
    <d v="2026-06-02T00:00:00"/>
    <x v="0"/>
  </r>
  <r>
    <x v="31"/>
    <s v="administrativo@zajaconfeccoes.com.br"/>
    <n v="300268561"/>
    <n v="16462998"/>
    <x v="3"/>
    <x v="4"/>
    <n v="80"/>
    <s v="Quantidade insuficiente para terminar a ordem"/>
    <s v="NÃO"/>
    <s v="G-80"/>
    <d v="2026-06-02T10:30:04"/>
    <m/>
    <n v="482"/>
    <x v="1"/>
    <m/>
    <s v="ff1f58ce-3753-47db-8d98-e6287bcdb047"/>
    <d v="2026-06-02T00:00:00"/>
    <x v="0"/>
  </r>
  <r>
    <x v="23"/>
    <s v="gruponobrejk@gmail.com"/>
    <n v="300260131"/>
    <n v="16450361"/>
    <x v="2"/>
    <x v="27"/>
    <n v="500"/>
    <s v="Material não enviado pela Guararapes"/>
    <s v="NÃO"/>
    <m/>
    <d v="2026-06-02T10:48:47"/>
    <m/>
    <n v="483"/>
    <x v="2"/>
    <m/>
    <s v="3d9554ae-488f-4707-9f48-e7bdae5e62ee"/>
    <d v="2026-06-02T00:00:00"/>
    <x v="0"/>
  </r>
  <r>
    <x v="23"/>
    <s v="gruponobrejk@gmail.com"/>
    <n v="300266700"/>
    <n v="16387970"/>
    <x v="2"/>
    <x v="18"/>
    <n v="300"/>
    <s v="Quantidade insuficiente para terminar a ordem"/>
    <s v="NÃO"/>
    <s v="ELÁSTICO PARA 300 PEÇAS "/>
    <d v="2026-06-02T10:51:38"/>
    <m/>
    <n v="484"/>
    <x v="1"/>
    <m/>
    <s v="f2b22e66-3f24-46fb-abf3-f66696b14b3c"/>
    <d v="2026-06-02T00:00:00"/>
    <x v="0"/>
  </r>
  <r>
    <x v="0"/>
    <s v="freiresilvaconfeccoes@gmail.com"/>
    <n v="300266458"/>
    <n v="16537343"/>
    <x v="0"/>
    <x v="40"/>
    <n v="75"/>
    <s v="Quantidade insuficiente para terminar a ordem"/>
    <s v="NÃO"/>
    <s v="Tamanho PP 75 pares. "/>
    <d v="2026-06-02T11:03:03"/>
    <m/>
    <n v="485"/>
    <x v="1"/>
    <m/>
    <s v="a0f09972-cb0f-4d91-b48b-69c62de6a16a"/>
    <d v="2026-06-02T00:00:00"/>
    <x v="0"/>
  </r>
  <r>
    <x v="18"/>
    <s v="ebenezerindustriat@hotmail.com"/>
    <n v="300259842"/>
    <n v="16222362"/>
    <x v="3"/>
    <x v="4"/>
    <n v="306"/>
    <s v="Material não enviado pela Guararapes"/>
    <s v="NÃO"/>
    <s v="TAMANHO G- 210"/>
    <d v="2026-06-02T11:04:33"/>
    <m/>
    <n v="486"/>
    <x v="1"/>
    <m/>
    <s v="5798d565-3e36-4cc4-a7d4-9a9029b9beae"/>
    <d v="2026-06-02T00:00:00"/>
    <x v="0"/>
  </r>
  <r>
    <x v="47"/>
    <s v="kswconfeccoesltda@gmail.com"/>
    <n v="300261963"/>
    <n v="16223691"/>
    <x v="3"/>
    <x v="22"/>
    <n v="60"/>
    <s v="Material diferente do especificado na ordem"/>
    <s v="NÃO"/>
    <s v="Recebemos as frentes, mas elas chegaram no tamanho G e foi solicitado XG, a quantidade também difere do que foi pedido. Solicitamos 60, mas só chegaram 32."/>
    <d v="2026-06-02T11:57:08"/>
    <m/>
    <n v="487"/>
    <x v="2"/>
    <m/>
    <s v="fdd77a9b-5fea-48b3-9d5e-0cc3ff1245fb"/>
    <d v="2026-06-02T00:00:00"/>
    <x v="0"/>
  </r>
  <r>
    <x v="47"/>
    <s v="kswconfeccoesltda@gmail.com"/>
    <n v="300261963"/>
    <n v="16223691"/>
    <x v="3"/>
    <x v="12"/>
    <n v="60"/>
    <s v="Material não enviado pela Guararapes"/>
    <s v="NÃO"/>
    <s v="Só foram enviados 32 frentes de tamanho G, o que não corresponde ao valor ou tamanho solicitados anteriormente, são 60 traseiros de tamanho G."/>
    <d v="2026-06-02T13:17:57"/>
    <m/>
    <n v="488"/>
    <x v="2"/>
    <m/>
    <s v="5a76a1af-6e65-4bc7-a46a-d78de5654c9b"/>
    <d v="2026-06-02T00:00:00"/>
    <x v="0"/>
  </r>
  <r>
    <x v="57"/>
    <s v="jucurututextil@gmail.com"/>
    <n v="300266272"/>
    <n v="16293274"/>
    <x v="2"/>
    <x v="5"/>
    <n v="1254"/>
    <s v="TENHO POUCO FILME"/>
    <s v="NÃO"/>
    <s v="EU RECEBI 6 ROLOS SO QUE TIVE QUE DEVOLVER DOIS EM UMA OFICINA QUE ME EMPRESTOU AI FIQUEI COM 4 ROLOS MAIS JA VOU PRECISAR "/>
    <d v="2026-06-02T13:25:48"/>
    <m/>
    <n v="489"/>
    <x v="2"/>
    <m/>
    <s v="569056c0-5c36-479b-9741-156120d0d7d4"/>
    <d v="2026-06-02T00:00:00"/>
    <x v="0"/>
  </r>
  <r>
    <x v="24"/>
    <s v="maxwelaaraujo7@gmail.com"/>
    <n v="300266430"/>
    <n v="15128288"/>
    <x v="1"/>
    <x v="6"/>
    <n v="933"/>
    <s v="Material não enviado pela Guararapes"/>
    <s v="NÃO"/>
    <m/>
    <d v="2026-06-02T13:27:32"/>
    <m/>
    <n v="490"/>
    <x v="2"/>
    <m/>
    <s v="207fbd88-5953-4858-89e1-48e710f6a12c"/>
    <d v="2026-06-02T00:00:00"/>
    <x v="0"/>
  </r>
  <r>
    <x v="24"/>
    <s v="maxwelaaraujo7@gmail.com"/>
    <n v="300266430"/>
    <n v="15128288"/>
    <x v="1"/>
    <x v="20"/>
    <n v="933"/>
    <s v="Material não enviado pela Guararapes"/>
    <s v="NÃO"/>
    <m/>
    <d v="2026-06-02T13:29:00"/>
    <m/>
    <n v="491"/>
    <x v="2"/>
    <m/>
    <s v="c9778a90-43d7-4fdc-bf71-fa8b0b11f505"/>
    <d v="2026-06-02T00:00:00"/>
    <x v="0"/>
  </r>
  <r>
    <x v="24"/>
    <s v="maxwelaaraujo7@gmail.com"/>
    <n v="300266430"/>
    <n v="15128288"/>
    <x v="1"/>
    <x v="14"/>
    <n v="933"/>
    <s v="Material não enviado pela Guararapes"/>
    <s v="NÃO"/>
    <m/>
    <d v="2026-06-02T13:30:59"/>
    <m/>
    <n v="492"/>
    <x v="2"/>
    <m/>
    <s v="e1da665c-6700-422b-9cc7-60e33522b0c7"/>
    <d v="2026-06-02T00:00:00"/>
    <x v="0"/>
  </r>
  <r>
    <x v="6"/>
    <s v="confeccoesgbdas@hotmail.com"/>
    <n v="300265374"/>
    <n v="15950123"/>
    <x v="2"/>
    <x v="26"/>
    <n v="62"/>
    <s v="Material não enviado pela Guararapes"/>
    <s v="NÃO"/>
    <s v="ORDEM VEIO FALTANDO 2 LOTES DE 31 PEÇAS DE PALA (OS DOIS LADOS) TAMANHO 44 "/>
    <d v="2026-06-02T13:37:55"/>
    <m/>
    <n v="493"/>
    <x v="1"/>
    <m/>
    <s v="b0865c44-dcd6-4021-8553-ad02eee58e4b"/>
    <d v="2026-06-02T00:00:00"/>
    <x v="0"/>
  </r>
  <r>
    <x v="6"/>
    <s v="confeccoesgbdas@hotmail.com"/>
    <n v="300265374"/>
    <n v="15950123"/>
    <x v="2"/>
    <x v="24"/>
    <n v="62"/>
    <s v="Material não enviado pela Guararapes"/>
    <s v="NÃO"/>
    <s v="2 LOTES DE VISTA COM 31 PEÇAS (OS DOIS LADOS) TAMANHO 44 "/>
    <d v="2026-06-02T13:39:13"/>
    <m/>
    <n v="494"/>
    <x v="1"/>
    <m/>
    <s v="8e69321d-4ca7-4be4-9fb6-c968ed348a8e"/>
    <d v="2026-06-02T00:00:00"/>
    <x v="0"/>
  </r>
  <r>
    <x v="6"/>
    <s v="confeccoesgbdas@hotmail.com"/>
    <n v="300265374"/>
    <n v="15950123"/>
    <x v="2"/>
    <x v="50"/>
    <n v="31"/>
    <s v="Material não enviado pela Guararapes"/>
    <s v="NÃO"/>
    <s v="1 LOTE DE 31 PEÇAS DE PERDIGAL TAMANHO 44 "/>
    <d v="2026-06-02T13:40:22"/>
    <m/>
    <n v="495"/>
    <x v="1"/>
    <m/>
    <s v="7da6f33d-2767-439c-9a97-599127085a89"/>
    <d v="2026-06-02T00:00:00"/>
    <x v="0"/>
  </r>
  <r>
    <x v="6"/>
    <s v="confeccoesgbdas@hotmail.com"/>
    <n v="300265374"/>
    <n v="15950123"/>
    <x v="2"/>
    <x v="43"/>
    <n v="31"/>
    <s v="Material não enviado pela Guararapes"/>
    <s v="NÃO"/>
    <s v="1 LOTE DE BOLSO RELÓGIO COM 31 PEÇAS TAMANHO 44 "/>
    <d v="2026-06-02T13:41:15"/>
    <m/>
    <n v="496"/>
    <x v="1"/>
    <m/>
    <s v="72529768-43b4-4ed7-b8c5-115a82a5348e"/>
    <d v="2026-06-02T00:00:00"/>
    <x v="0"/>
  </r>
  <r>
    <x v="6"/>
    <s v="confeccoesgbdas@hotmail.com"/>
    <n v="300265374"/>
    <n v="15950123"/>
    <x v="2"/>
    <x v="17"/>
    <n v="62"/>
    <s v="Material não enviado pela Guararapes"/>
    <s v="NÃO"/>
    <s v="1 LOTE DE CÓS INTERNO E 1 LOTE DE CÓS EXTERNO COM 31 PEÇAS CADA"/>
    <d v="2026-06-02T13:42:31"/>
    <m/>
    <n v="497"/>
    <x v="1"/>
    <m/>
    <s v="94ab1134-3cb7-4aa5-a1b2-dc90960aaf7b"/>
    <d v="2026-06-02T00:00:00"/>
    <x v="0"/>
  </r>
  <r>
    <x v="6"/>
    <s v="confeccoesgbdas@hotmail.com"/>
    <n v="300265374"/>
    <n v="15950123"/>
    <x v="2"/>
    <x v="55"/>
    <n v="31"/>
    <s v="Material não enviado pela Guararapes"/>
    <s v="NÃO"/>
    <s v="1 LOTE DE BRAGUILHA COM 31 PEÇAS TAM 44 "/>
    <d v="2026-06-02T13:44:42"/>
    <m/>
    <n v="498"/>
    <x v="1"/>
    <m/>
    <s v="004d5590-f348-4fac-a943-cfb92ef19f11"/>
    <d v="2026-06-02T00:00:00"/>
    <x v="0"/>
  </r>
  <r>
    <x v="6"/>
    <s v="confeccoesgbdas@hotmail.com"/>
    <n v="300265374"/>
    <n v="15950123"/>
    <x v="2"/>
    <x v="38"/>
    <n v="62"/>
    <s v="Material não enviado pela Guararapes"/>
    <s v="NÃO"/>
    <s v="1 LOTE DE FORRO (OS 2 LADOS) 31 PEÇAS CADA TAMANHO 44 "/>
    <d v="2026-06-02T13:45:47"/>
    <m/>
    <n v="499"/>
    <x v="1"/>
    <m/>
    <s v="99a691ee-5a28-432a-8e86-54198483839c"/>
    <d v="2026-06-02T00:00:00"/>
    <x v="0"/>
  </r>
  <r>
    <x v="6"/>
    <s v="confeccoesgbdas@hotmail.com"/>
    <n v="300265374"/>
    <n v="15950123"/>
    <x v="2"/>
    <x v="44"/>
    <n v="62"/>
    <s v="Material não enviado pela Guararapes"/>
    <s v="NÃO"/>
    <s v="2 LOTES DE 31 PEÇAS DE  BOLSO TRASEIRO OS 2 LADOS TAMANHO 44 "/>
    <d v="2026-06-02T13:47:14"/>
    <m/>
    <n v="500"/>
    <x v="1"/>
    <m/>
    <s v="998885f0-3fb8-43b6-87f6-c3a64d2778bd"/>
    <d v="2026-06-02T00:00:00"/>
    <x v="0"/>
  </r>
  <r>
    <x v="6"/>
    <s v="confeccoesgbdas@hotmail.com"/>
    <n v="300265374"/>
    <n v="15950123"/>
    <x v="2"/>
    <x v="22"/>
    <n v="31"/>
    <s v="Material não enviado pela Guararapes"/>
    <s v="NÃO"/>
    <s v="1 LOTE DE FRENTE COM 31 PEÇAS TAMANHO 44 "/>
    <d v="2026-06-02T13:48:44"/>
    <m/>
    <n v="501"/>
    <x v="1"/>
    <m/>
    <s v="737e9f2c-0a77-47fa-b7c3-e7abda2dd748"/>
    <d v="2026-06-02T00:00:00"/>
    <x v="0"/>
  </r>
  <r>
    <x v="6"/>
    <s v="confeccoesgbdas@hotmail.com"/>
    <n v="300265374"/>
    <n v="15950123"/>
    <x v="2"/>
    <x v="12"/>
    <n v="31"/>
    <s v="Material não enviado pela Guararapes"/>
    <s v="NÃO"/>
    <s v="1 LOTE DE FRENTE COM 31 PEÇAS TAMANHO 44 "/>
    <d v="2026-06-02T13:49:50"/>
    <m/>
    <n v="502"/>
    <x v="1"/>
    <m/>
    <s v="2284d982-8671-4154-bdd0-70636d0800ab"/>
    <d v="2026-06-02T00:00:00"/>
    <x v="0"/>
  </r>
  <r>
    <x v="8"/>
    <s v="tlcserranatextil@gmail.com"/>
    <n v="300265098"/>
    <n v="15128288"/>
    <x v="1"/>
    <x v="27"/>
    <n v="800"/>
    <s v="Material não enviado pela Guararapes"/>
    <s v="NÃO"/>
    <m/>
    <d v="2026-06-02T13:59:54"/>
    <m/>
    <n v="503"/>
    <x v="2"/>
    <m/>
    <s v="aa6b3c90-c4fa-4255-a40d-558ab31a11ac"/>
    <d v="2026-06-02T00:00:00"/>
    <x v="0"/>
  </r>
  <r>
    <x v="8"/>
    <s v="tlcserranatextil@gmail.com"/>
    <n v="300265099"/>
    <n v="15128288"/>
    <x v="1"/>
    <x v="27"/>
    <n v="800"/>
    <s v="Material não enviado pela Guararapes"/>
    <s v="NÃO"/>
    <m/>
    <d v="2026-06-02T14:04:51"/>
    <m/>
    <n v="504"/>
    <x v="2"/>
    <m/>
    <s v="55cfc9e7-b2df-4d46-abb6-f8610fa6a94d"/>
    <d v="2026-06-02T00:00:00"/>
    <x v="0"/>
  </r>
  <r>
    <x v="31"/>
    <s v="administrativo@zajaconfeccoes.com.br"/>
    <n v="300261465"/>
    <n v="1511854"/>
    <x v="2"/>
    <x v="39"/>
    <n v="25"/>
    <s v="Quantidade insuficiente para terminar a ordem"/>
    <s v="NÃO"/>
    <s v="25 peças completas sendo 46-17; 42-8"/>
    <d v="2026-06-02T14:06:47"/>
    <m/>
    <n v="505"/>
    <x v="1"/>
    <m/>
    <s v="d985eccb-6715-4b2a-a7ad-d6d996a3ce9d"/>
    <d v="2026-06-02T00:00:00"/>
    <x v="0"/>
  </r>
  <r>
    <x v="19"/>
    <s v="falconconfeccoes@hotmail.com"/>
    <n v="300265345"/>
    <n v="16473388"/>
    <x v="2"/>
    <x v="10"/>
    <n v="1"/>
    <s v="ACABOU"/>
    <s v="NÃO"/>
    <m/>
    <d v="2026-06-02T14:16:26"/>
    <m/>
    <n v="506"/>
    <x v="2"/>
    <m/>
    <s v="2958981a-ddb6-42e5-af10-700f67d77acb"/>
    <d v="2026-06-02T00:00:00"/>
    <x v="0"/>
  </r>
  <r>
    <x v="10"/>
    <s v="acauaconfeccoes@outlook.com"/>
    <n v="300267139"/>
    <n v="15724344"/>
    <x v="3"/>
    <x v="12"/>
    <n v="58"/>
    <s v="Material não enviado pela Guararapes"/>
    <s v="NÃO"/>
    <s v="Faltando 58 Traseiros XG. Já verifiquei nas outras duas ordens desse mesmo material e não veio realmente!"/>
    <d v="2026-06-02T14:19:38"/>
    <m/>
    <n v="507"/>
    <x v="2"/>
    <m/>
    <s v="1e85914e-dba5-46f2-a7a0-8c5ca9a0015a"/>
    <d v="2026-06-02T00:00:00"/>
    <x v="0"/>
  </r>
  <r>
    <x v="83"/>
    <s v="auxiforte@hotmail.com"/>
    <n v="300262924"/>
    <n v="16451040"/>
    <x v="3"/>
    <x v="2"/>
    <n v="880"/>
    <s v="Material não enviado pela Guararapes"/>
    <s v="NÃO"/>
    <m/>
    <d v="2026-06-02T14:32:38"/>
    <m/>
    <n v="508"/>
    <x v="2"/>
    <m/>
    <s v="217d2059-6616-4635-9fe7-b86772a576be"/>
    <d v="2026-06-02T00:00:00"/>
    <x v="0"/>
  </r>
  <r>
    <x v="17"/>
    <s v="faccao_sales2010@hotmail.com"/>
    <n v="300248761"/>
    <n v="16247388"/>
    <x v="2"/>
    <x v="13"/>
    <n v="136"/>
    <s v="Material não enviado pela Guararapes"/>
    <s v="NÃO"/>
    <s v="TAMANHO 6/7-136 PEÇAS, ZIPER TAMANHO 8 CM, NÃO ENVIADO NA ULTIMA REPOSIÇÃO, RECEBIDO APENAS ZIPER DE 10 CM"/>
    <d v="2026-06-02T15:18:50"/>
    <m/>
    <n v="509"/>
    <x v="1"/>
    <m/>
    <s v="8672cccb-e0a3-40d3-9432-3e3e9b6e4cf8"/>
    <d v="2026-06-02T00:00:00"/>
    <x v="0"/>
  </r>
  <r>
    <x v="21"/>
    <s v="potengitextil@outlook.com.br"/>
    <n v="300267532"/>
    <n v="16440960"/>
    <x v="3"/>
    <x v="2"/>
    <n v="147"/>
    <s v="Quantidade insuficiente para terminar a ordem"/>
    <s v="NÃO"/>
    <s v="P 37;M 37;G 45;GG 8;XG 20"/>
    <d v="2026-06-02T15:19:22"/>
    <m/>
    <n v="510"/>
    <x v="1"/>
    <m/>
    <s v="2d44d670-e18b-4c86-ab0f-fa2769514087"/>
    <d v="2026-06-02T00:00:00"/>
    <x v="0"/>
  </r>
  <r>
    <x v="41"/>
    <s v="faccao_sales2010@hotmail.com"/>
    <n v="300248760"/>
    <n v="16247388"/>
    <x v="2"/>
    <x v="13"/>
    <n v="172"/>
    <s v="Material não enviado pela Guararapes"/>
    <s v="NÃO"/>
    <s v="TAMANHO 6/7-136 PEÇAS, ZIPER TAMANHO 8 CM, NÃO ENVIADO NA ULTIMA REPOSIÇÃO, RECEBIDO APENAS ZIPER DE 10 CM"/>
    <d v="2026-06-02T15:20:44"/>
    <m/>
    <n v="511"/>
    <x v="1"/>
    <m/>
    <s v="bf242784-721c-4ee2-9479-7676e2d778ab"/>
    <d v="2026-06-02T00:00:00"/>
    <x v="0"/>
  </r>
  <r>
    <x v="41"/>
    <s v="faccao_sales2010@hotmail.com"/>
    <n v="300248729"/>
    <n v="16247388"/>
    <x v="2"/>
    <x v="13"/>
    <n v="170"/>
    <s v="Material não enviado pela Guararapes"/>
    <s v="NÃO"/>
    <s v="TAMANHO 6/7-170 PEÇAS, ZIPER TAMANHO 8 CM, NÃO ENVIADO NA ULTIMA REPOSIÇÃO, RECEBIDO APENAS ZIPER DE 10 CM"/>
    <d v="2026-06-02T15:23:21"/>
    <m/>
    <n v="512"/>
    <x v="1"/>
    <m/>
    <s v="b40d298a-2b62-423b-b2b6-02feb2163002"/>
    <d v="2026-06-02T00:00:00"/>
    <x v="0"/>
  </r>
  <r>
    <x v="83"/>
    <s v="auxiforte@hotmail.com"/>
    <n v="300255982"/>
    <n v="16017315"/>
    <x v="3"/>
    <x v="12"/>
    <n v="5"/>
    <s v="Quantidade insuficiente para terminar a ordem"/>
    <s v="NÃO"/>
    <s v="ORDEM - 300255982; MATERIAL INSUFICIENTE PARA FINALIZAR OP;"/>
    <d v="2026-06-02T15:41:16"/>
    <m/>
    <n v="513"/>
    <x v="1"/>
    <m/>
    <s v="0ade0320-8af2-49c2-b530-4c6e04f5aa92"/>
    <d v="2026-06-02T00:00:00"/>
    <x v="0"/>
  </r>
  <r>
    <x v="83"/>
    <s v="auxiforte@hotmail.com"/>
    <n v="300255982"/>
    <n v="16017315"/>
    <x v="3"/>
    <x v="7"/>
    <n v="100"/>
    <s v="Quantidade insuficiente para terminar a ordem"/>
    <s v="NÃO"/>
    <m/>
    <d v="2026-06-02T15:42:18"/>
    <m/>
    <n v="514"/>
    <x v="2"/>
    <m/>
    <s v="389000a9-f21e-4b2a-8381-0216f290bea7"/>
    <d v="2026-06-02T00:00:00"/>
    <x v="0"/>
  </r>
  <r>
    <x v="83"/>
    <s v="auxiforte@hotmail.com"/>
    <n v="300268122"/>
    <n v="16453808"/>
    <x v="0"/>
    <x v="4"/>
    <n v="783"/>
    <s v="Material não enviado pela Guararapes"/>
    <s v="NÃO"/>
    <m/>
    <d v="2026-06-02T15:55:25"/>
    <m/>
    <n v="515"/>
    <x v="2"/>
    <m/>
    <s v="5352959f-9389-4e16-a757-25b0611d95c6"/>
    <d v="2026-06-02T00:00:00"/>
    <x v="0"/>
  </r>
  <r>
    <x v="24"/>
    <s v="maxwelaaraujo7@gmail.com"/>
    <n v="300266431"/>
    <n v="15128288"/>
    <x v="1"/>
    <x v="20"/>
    <n v="680"/>
    <s v="Material não enviado pela Guararapes"/>
    <s v="NÃO"/>
    <s v="PUNHO= P-96, M-254, G-254, XG-76"/>
    <d v="2026-06-02T16:07:00"/>
    <m/>
    <n v="516"/>
    <x v="1"/>
    <m/>
    <s v="f30e0325-b37b-48db-9ad0-eeac273a3aec"/>
    <d v="2026-06-02T00:00:00"/>
    <x v="0"/>
  </r>
  <r>
    <x v="24"/>
    <s v="maxwelaaraujo7@gmail.com"/>
    <n v="300266431"/>
    <n v="15128288"/>
    <x v="1"/>
    <x v="6"/>
    <n v="385"/>
    <s v="Material não enviado pela Guararapes"/>
    <s v="NÃO"/>
    <s v="GOLA= XG-100, G-254, M-254"/>
    <d v="2026-06-02T16:10:17"/>
    <m/>
    <n v="517"/>
    <x v="1"/>
    <m/>
    <s v="a369fa02-65e2-44cf-8286-e4bc8b561f1a"/>
    <d v="2026-06-02T00:00:00"/>
    <x v="0"/>
  </r>
  <r>
    <x v="82"/>
    <s v="vitalizeconfeccoes@gmail.com"/>
    <n v="300265455"/>
    <n v="16465164"/>
    <x v="3"/>
    <x v="9"/>
    <n v="1000"/>
    <s v="Quantidade insuficiente para terminar a ordem"/>
    <s v="NÃO"/>
    <s v="BOA TARDE! ESSA ORDEM VEIO SEM LINHA E FIO, RECEBI OUTRA ORDEM IGUAL A ELA MAS NAO TEM SUFICIENTE PARA FINALIZA ESSA AQUI "/>
    <d v="2026-06-02T16:14:52"/>
    <m/>
    <n v="518"/>
    <x v="2"/>
    <m/>
    <s v="c69bc748-a6af-47da-936c-4c59482ff704"/>
    <d v="2026-06-02T00:00:00"/>
    <x v="0"/>
  </r>
  <r>
    <x v="73"/>
    <s v="fjdeazevedo@hotmail.com"/>
    <n v="300259994"/>
    <n v="15863387"/>
    <x v="2"/>
    <x v="12"/>
    <n v="59"/>
    <s v="Material não enviado pela Guararapes"/>
    <s v="BOLSO AUTOMÁTICO"/>
    <s v="traseiro esquerdo- tamanho: 46- Quant.; 59 peças"/>
    <d v="2026-06-02T16:47:56"/>
    <m/>
    <n v="519"/>
    <x v="1"/>
    <m/>
    <s v="6551951a-65b4-43e8-a6bf-8f0d35641939"/>
    <d v="2026-06-02T00:00:00"/>
    <x v="0"/>
  </r>
  <r>
    <x v="36"/>
    <s v="solisconfeccoes@gmail.com"/>
    <n v="300263844"/>
    <n v="15893650"/>
    <x v="3"/>
    <x v="2"/>
    <n v="69"/>
    <s v="Material não enviado pela Guararapes"/>
    <s v="NÃO"/>
    <s v="AS ETIQUETAS NÃO FOI ENVIADAS PELA GUARARAPES"/>
    <d v="2026-06-02T17:33:47"/>
    <m/>
    <n v="520"/>
    <x v="2"/>
    <m/>
    <s v="41033489-163b-44e4-84da-9cabd0ce1b13"/>
    <d v="2026-06-02T00:00:00"/>
    <x v="0"/>
  </r>
  <r>
    <x v="44"/>
    <s v="teceuzl@hotmail.com"/>
    <n v="300265101"/>
    <n v="15128288"/>
    <x v="1"/>
    <x v="6"/>
    <n v="100"/>
    <s v="Quantidade insuficiente para terminar a ordem"/>
    <s v="NÃO"/>
    <s v="100 GOLAS - TAMANHO P"/>
    <d v="2026-06-02T19:56:28"/>
    <m/>
    <n v="521"/>
    <x v="1"/>
    <m/>
    <s v="b4a5628b-3ccd-4000-9b4d-a2f1536904b9"/>
    <d v="2026-06-02T00:00:00"/>
    <x v="0"/>
  </r>
  <r>
    <x v="21"/>
    <s v="potengitextil@outlook.com.br"/>
    <n v="300267149"/>
    <n v="15128288"/>
    <x v="1"/>
    <x v="27"/>
    <n v="352"/>
    <s v="Material não enviado pela Guararapes"/>
    <s v="NÃO"/>
    <s v="704 botões "/>
    <d v="2026-06-03T06:45:34"/>
    <m/>
    <n v="522"/>
    <x v="2"/>
    <m/>
    <s v="94b29f47-e79d-43d7-a712-84bfc9dbda4d"/>
    <d v="2026-06-03T00:00:00"/>
    <x v="0"/>
  </r>
  <r>
    <x v="21"/>
    <s v="potengitextil@outlook.com.br"/>
    <n v="300267149"/>
    <n v="15128288"/>
    <x v="1"/>
    <x v="22"/>
    <n v="44"/>
    <s v="Material não enviado pela Guararapes"/>
    <s v="NÃO"/>
    <s v="1 lote frente tamanho GG com 44 peças. "/>
    <d v="2026-06-03T06:47:03"/>
    <m/>
    <n v="523"/>
    <x v="1"/>
    <m/>
    <s v="26553e8f-265d-46d4-83dd-9aad44f2d170"/>
    <d v="2026-06-03T00:00:00"/>
    <x v="0"/>
  </r>
  <r>
    <x v="7"/>
    <s v="confeccaogenesisltda@gmail.com"/>
    <n v="300266589"/>
    <n v="16526112"/>
    <x v="3"/>
    <x v="4"/>
    <n v="170"/>
    <s v="Quantidade insuficiente para terminar a ordem"/>
    <s v="NÃO"/>
    <s v="G-80; GG-90"/>
    <d v="2026-06-03T07:11:57"/>
    <m/>
    <n v="524"/>
    <x v="2"/>
    <m/>
    <s v="8ed1e1f9-39f9-46bf-b9dd-c9e7cc99c343"/>
    <d v="2026-06-03T00:00:00"/>
    <x v="0"/>
  </r>
  <r>
    <x v="43"/>
    <s v="faccaoello@hotmail.com"/>
    <n v="300264891"/>
    <n v="16448430"/>
    <x v="2"/>
    <x v="2"/>
    <n v="11"/>
    <s v="Material não enviado pela Guararapes"/>
    <s v="NÃO"/>
    <s v="TAMANHO 5"/>
    <d v="2026-06-03T07:21:37"/>
    <m/>
    <n v="525"/>
    <x v="1"/>
    <m/>
    <s v="3a9e3500-8c22-40c9-bac7-3dd2dde4ed5e"/>
    <d v="2026-06-03T00:00:00"/>
    <x v="0"/>
  </r>
  <r>
    <x v="64"/>
    <s v="neemias.sc@hotmail.com"/>
    <n v="300252644"/>
    <n v="16444981"/>
    <x v="3"/>
    <x v="4"/>
    <n v="810"/>
    <s v="Material não enviado pela Guararapes"/>
    <s v="NÃO"/>
    <s v="A tag de preço não veio com a remessa."/>
    <d v="2026-06-03T07:22:42"/>
    <m/>
    <n v="526"/>
    <x v="2"/>
    <m/>
    <s v="d1b838ee-4230-421c-b29a-eee1310be10d"/>
    <d v="2026-06-03T00:00:00"/>
    <x v="0"/>
  </r>
  <r>
    <x v="13"/>
    <s v="administrativo@zajaconfeccoes.com.br"/>
    <n v="300252448"/>
    <n v="16368150"/>
    <x v="3"/>
    <x v="6"/>
    <n v="154"/>
    <s v="Material não enviado pela Guararapes"/>
    <s v="TAMPOGRAFIA"/>
    <s v="GG-28; G-28; M-42; P-28; PP-28"/>
    <d v="2026-06-03T07:27:22"/>
    <m/>
    <n v="527"/>
    <x v="2"/>
    <m/>
    <s v="ba0f864c-a3c7-4a1a-94b9-9d0153a3e4f4"/>
    <d v="2026-06-03T00:00:00"/>
    <x v="0"/>
  </r>
  <r>
    <x v="75"/>
    <s v="maciel.dalison@hotmail.com"/>
    <n v="300267636"/>
    <n v="16472217"/>
    <x v="2"/>
    <x v="13"/>
    <n v="240"/>
    <s v="FOP pede ziper numero 15 e foi enviado  n°17"/>
    <s v="NÃO"/>
    <s v="240 ziper n°15"/>
    <d v="2026-06-03T07:29:34"/>
    <m/>
    <n v="528"/>
    <x v="1"/>
    <m/>
    <s v="5ab628a7-4a6a-455f-812f-4662dc86b746"/>
    <d v="2026-06-03T00:00:00"/>
    <x v="0"/>
  </r>
  <r>
    <x v="27"/>
    <s v="ffconfeccoesobrn@hotmail.com"/>
    <n v="300267375"/>
    <n v="16460642"/>
    <x v="2"/>
    <x v="5"/>
    <n v="2"/>
    <s v="Quantidade insuficiente para terminar a ordem"/>
    <s v="NÃO"/>
    <s v="ESTAMOS FINALIZANDO O ÚLTIMO QUE TEM"/>
    <d v="2026-06-03T08:30:55"/>
    <m/>
    <n v="529"/>
    <x v="2"/>
    <m/>
    <s v="ca02a840-1fe7-4e1c-918f-c0de3942e538"/>
    <d v="2026-06-03T00:00:00"/>
    <x v="0"/>
  </r>
  <r>
    <x v="48"/>
    <s v="evalber_dantas@hotmail.com"/>
    <n v="300266629"/>
    <n v="16522885"/>
    <x v="2"/>
    <x v="5"/>
    <n v="1452"/>
    <s v="Material não enviado pela Guararapes"/>
    <s v="NÃO"/>
    <s v="BOM DIA, A ORDEM: 300266629, MATERIAL: 16522885, NÃO ENVIARAM O PLÁSTICO FILME REFERENTE A ORDEM CITADA, DESDE JÁ AGRADEÇO."/>
    <d v="2026-06-03T08:52:47"/>
    <m/>
    <n v="530"/>
    <x v="2"/>
    <m/>
    <s v="de2e2eee-1e11-4cb2-b23d-afa28d174287"/>
    <d v="2026-06-03T00:00:00"/>
    <x v="0"/>
  </r>
  <r>
    <x v="23"/>
    <s v="reposicoesjkmodas@gmail.com"/>
    <n v="300000000"/>
    <n v="0"/>
    <x v="2"/>
    <x v="21"/>
    <n v="5"/>
    <s v="Quantidade insuficiente para terminar a ordem"/>
    <s v="NÃO"/>
    <m/>
    <d v="2026-06-03T08:54:31"/>
    <m/>
    <n v="531"/>
    <x v="2"/>
    <m/>
    <s v="32536d03-734b-4819-886b-df109121e6c1"/>
    <d v="2026-06-03T00:00:00"/>
    <x v="0"/>
  </r>
  <r>
    <x v="23"/>
    <s v="reposicoesjkmodas@gmail.com"/>
    <n v="300000000"/>
    <n v="0"/>
    <x v="2"/>
    <x v="0"/>
    <n v="20"/>
    <s v="Quantidade insuficiente para terminar a ordem"/>
    <s v="NÃO"/>
    <m/>
    <d v="2026-06-03T08:55:25"/>
    <m/>
    <n v="532"/>
    <x v="2"/>
    <m/>
    <s v="1cce81ed-24eb-495f-a26d-7a4d56283e19"/>
    <d v="2026-06-03T00:00:00"/>
    <x v="0"/>
  </r>
  <r>
    <x v="25"/>
    <s v="reposicoesjkmodas@gmail.com"/>
    <n v="300000000"/>
    <n v="0"/>
    <x v="2"/>
    <x v="21"/>
    <n v="5"/>
    <s v="Quantidade insuficiente para terminar a ordem"/>
    <s v="NÃO"/>
    <m/>
    <d v="2026-06-03T08:58:37"/>
    <m/>
    <n v="533"/>
    <x v="2"/>
    <m/>
    <s v="8e8b363c-750c-4e79-a8ac-170fe2ff8994"/>
    <d v="2026-06-03T00:00:00"/>
    <x v="0"/>
  </r>
  <r>
    <x v="25"/>
    <s v="reposicoesjkmodas@gmail.com"/>
    <n v="300000000"/>
    <n v="0"/>
    <x v="2"/>
    <x v="0"/>
    <n v="20"/>
    <s v="Quantidade insuficiente para terminar a ordem"/>
    <s v="NÃO"/>
    <m/>
    <d v="2026-06-03T08:59:43"/>
    <m/>
    <n v="534"/>
    <x v="2"/>
    <m/>
    <s v="f71ad409-cc9f-463e-a6eb-2bcc5b261e85"/>
    <d v="2026-06-03T00:00:00"/>
    <x v="0"/>
  </r>
  <r>
    <x v="76"/>
    <s v="pn.fenix@gmail.com"/>
    <n v="300268069"/>
    <n v="16508190"/>
    <x v="2"/>
    <x v="0"/>
    <n v="0"/>
    <s v="Quantidade insuficiente para terminar a ordem"/>
    <s v="NÃO"/>
    <s v="sacos vazios para enviar as ordens."/>
    <d v="2026-06-03T09:00:29"/>
    <m/>
    <n v="535"/>
    <x v="2"/>
    <m/>
    <s v="78e30cac-1d3e-449c-8b2b-2b7a7da98b1c"/>
    <d v="2026-06-03T00:00:00"/>
    <x v="0"/>
  </r>
  <r>
    <x v="77"/>
    <s v="wag-almeida@hotmail.com"/>
    <n v="300268034"/>
    <n v="15773868"/>
    <x v="2"/>
    <x v="2"/>
    <n v="40"/>
    <s v="Quantidade insuficiente para terminar a ordem"/>
    <s v="NÃO"/>
    <s v=" 38-5; 40-5; 42-5; 44-5; 46-5; 48-5; 50-5; 52-5"/>
    <d v="2026-06-03T09:23:36"/>
    <m/>
    <n v="536"/>
    <x v="1"/>
    <m/>
    <s v="0d81aece-078f-4bb1-af38-f043c08bc333"/>
    <d v="2026-06-03T00:00:00"/>
    <x v="0"/>
  </r>
  <r>
    <x v="32"/>
    <s v="di3confec@gmail.com"/>
    <n v="300267138"/>
    <n v="15724344"/>
    <x v="3"/>
    <x v="39"/>
    <n v="6"/>
    <s v="Quantidade insuficiente para terminar a ordem"/>
    <s v="TAMPOGRAFIA"/>
    <s v="Preciso de 6 partes para finalizar a op. G - 3 e M -3"/>
    <d v="2026-06-03T09:37:59"/>
    <m/>
    <n v="537"/>
    <x v="1"/>
    <m/>
    <s v="2a8bc969-7fad-4d4e-b525-eb182a56517b"/>
    <d v="2026-06-03T00:00:00"/>
    <x v="0"/>
  </r>
  <r>
    <x v="25"/>
    <s v="reposicoesjkmodas@gmail.com"/>
    <n v="300260651"/>
    <n v="16448090"/>
    <x v="2"/>
    <x v="27"/>
    <n v="1368"/>
    <s v="Material não enviado pela Guararapes"/>
    <s v="NÃO"/>
    <s v="CÓDIGO: 10000068573 - BOTÃO USADO NA VISTA - SÃO 5x - TOTAL DE  DE 6.840 BOTÕES"/>
    <d v="2026-06-03T09:39:37"/>
    <m/>
    <n v="538"/>
    <x v="2"/>
    <m/>
    <s v="dfdb952e-bb53-4fef-865c-4e9288893908"/>
    <d v="2026-06-03T00:00:00"/>
    <x v="0"/>
  </r>
  <r>
    <x v="25"/>
    <s v="reposicoesjkmodas@gmail.com"/>
    <n v="300260651"/>
    <n v="16448090"/>
    <x v="2"/>
    <x v="27"/>
    <n v="1368"/>
    <s v="Material não enviado pela Guararapes"/>
    <s v="NÃO"/>
    <s v="CÓDIGO: 10000068569 - BOTÕES DA GOLA - 1X"/>
    <d v="2026-06-03T09:41:34"/>
    <m/>
    <n v="539"/>
    <x v="2"/>
    <m/>
    <s v="8de7a0dd-1885-4cc1-b334-b008803165ed"/>
    <d v="2026-06-03T00:00:00"/>
    <x v="0"/>
  </r>
  <r>
    <x v="25"/>
    <s v="reposicoesjkmodas@gmail.com"/>
    <n v="300260651"/>
    <n v="16448090"/>
    <x v="2"/>
    <x v="53"/>
    <n v="1368"/>
    <s v="Material não enviado pela Guararapes"/>
    <s v="NÃO"/>
    <s v="ESSE PEDIDO NÃO É PRA PEÇA PILTO - É PARA ENTRETELA PARA COLOCAR NA VISTA"/>
    <d v="2026-06-03T09:44:39"/>
    <m/>
    <n v="540"/>
    <x v="2"/>
    <m/>
    <s v="7dc7436f-9952-4b50-9bab-b5b80a0024bc"/>
    <d v="2026-06-03T00:00:00"/>
    <x v="0"/>
  </r>
  <r>
    <x v="36"/>
    <s v="solisconfeccoes@gmail.com"/>
    <n v="300266753"/>
    <n v="16462980"/>
    <x v="3"/>
    <x v="12"/>
    <n v="44"/>
    <s v="Quantidade insuficiente para terminar a ordem"/>
    <s v="NÃO"/>
    <s v="M=24 TRASEIRO/G=24 TRASEIRO"/>
    <d v="2026-06-03T09:49:30"/>
    <m/>
    <n v="541"/>
    <x v="1"/>
    <m/>
    <s v="2ab8e747-8dac-48da-9d34-9e88d94f370a"/>
    <d v="2026-06-03T00:00:00"/>
    <x v="0"/>
  </r>
  <r>
    <x v="25"/>
    <s v="reposicoesjkmodas@gmail.com"/>
    <n v="300260650"/>
    <n v="16448090"/>
    <x v="2"/>
    <x v="27"/>
    <n v="712"/>
    <s v="Material não enviado pela Guararapes"/>
    <s v="NÃO"/>
    <s v="CÓDIGO: 10000068573 - BOTÃO USADO NA VISTA - SÃO 5x - TOTAL DE DE 3.560 BOTÕES"/>
    <d v="2026-06-03T10:10:49"/>
    <m/>
    <n v="542"/>
    <x v="2"/>
    <m/>
    <s v="52a704f2-4b70-4c12-a703-3e09acdda073"/>
    <d v="2026-06-03T00:00:00"/>
    <x v="0"/>
  </r>
  <r>
    <x v="15"/>
    <s v="spauloazevedo@bol.com.br"/>
    <n v="300269108"/>
    <n v="16488059"/>
    <x v="0"/>
    <x v="56"/>
    <n v="1524"/>
    <s v="Material não enviado pela Guararapes"/>
    <s v="NÃO"/>
    <s v="A ordem veio sem todos os insumos ( só veio as etq de composição ) o restante não veio nada de insumos"/>
    <d v="2026-06-03T10:12:12"/>
    <m/>
    <n v="543"/>
    <x v="2"/>
    <m/>
    <s v="88c9eefa-6e91-493b-9fa6-921740b94339"/>
    <d v="2026-06-03T00:00:00"/>
    <x v="0"/>
  </r>
  <r>
    <x v="25"/>
    <s v="reposicoesjkmodas@gmail.com"/>
    <n v="300260650"/>
    <n v="16448090"/>
    <x v="2"/>
    <x v="27"/>
    <n v="712"/>
    <s v="Material não enviado pela Guararapes"/>
    <s v="NÃO"/>
    <s v="CÓDIGO: 10000068569 - BOTÕES DA GOLA - 1X"/>
    <d v="2026-06-03T10:14:25"/>
    <m/>
    <n v="544"/>
    <x v="2"/>
    <m/>
    <s v="536b50d6-23cb-4a0b-bcb9-e4059decd440"/>
    <d v="2026-06-03T00:00:00"/>
    <x v="0"/>
  </r>
  <r>
    <x v="25"/>
    <s v="reposicoesjkmodas@gmail.com"/>
    <n v="300260650"/>
    <n v="16448090"/>
    <x v="2"/>
    <x v="53"/>
    <n v="712"/>
    <s v="Material não enviado pela Guararapes"/>
    <s v="NÃO"/>
    <s v="ESSE PEDIDO NÃO É PRA PEÇA PILOTO - É PARA ENTRETELA PARA COLOCAR NA VISTA"/>
    <d v="2026-06-03T10:16:10"/>
    <m/>
    <n v="545"/>
    <x v="2"/>
    <m/>
    <s v="b5b32b75-b931-45bb-ad60-6649bbf90003"/>
    <d v="2026-06-03T00:00:00"/>
    <x v="0"/>
  </r>
  <r>
    <x v="23"/>
    <s v="reposicoesjkmodas@gmail.com"/>
    <n v="300260639"/>
    <n v="16448090"/>
    <x v="2"/>
    <x v="27"/>
    <n v="520"/>
    <s v="Material não enviado pela Guararapes"/>
    <s v="NÃO"/>
    <s v="CÓDIGO: 10000068573 - BOTÃO USADO NA VISTA - SÃO 5x - TOTAL DE DE 2.600 BOTÕES"/>
    <d v="2026-06-03T10:20:16"/>
    <m/>
    <n v="546"/>
    <x v="2"/>
    <m/>
    <s v="a7347224-4562-40ef-9b67-4eea198d9a63"/>
    <d v="2026-06-03T00:00:00"/>
    <x v="0"/>
  </r>
  <r>
    <x v="25"/>
    <s v="reposicoesjkmodas@gmail.com"/>
    <n v="300260639"/>
    <n v="16448090"/>
    <x v="2"/>
    <x v="27"/>
    <n v="520"/>
    <s v="Material não enviado pela Guararapes"/>
    <s v="NÃO"/>
    <s v="CÓDIGO: 10000068569 - BOTÕES DA GOLA - 1X"/>
    <d v="2026-06-03T10:21:53"/>
    <m/>
    <n v="547"/>
    <x v="2"/>
    <m/>
    <s v="334f8a12-6f24-4693-a419-f3436f64a096"/>
    <d v="2026-06-03T00:00:00"/>
    <x v="0"/>
  </r>
  <r>
    <x v="56"/>
    <s v="idealconfecltda@gmail.com"/>
    <n v="300266687"/>
    <n v="16243340"/>
    <x v="2"/>
    <x v="10"/>
    <n v="1"/>
    <s v="Quantidade insuficiente para terminar a ordem"/>
    <s v="NÃO"/>
    <s v="INSUFICIENTE PARA FAZER GABARITOS DA PROCIMA ORDEM"/>
    <d v="2026-06-03T10:23:11"/>
    <m/>
    <n v="548"/>
    <x v="1"/>
    <m/>
    <s v="ff0ea8e0-ac15-419c-9109-21bcf9a3bd4d"/>
    <d v="2026-06-03T00:00:00"/>
    <x v="0"/>
  </r>
  <r>
    <x v="25"/>
    <s v="reposicoesjkmodas@gmail.com"/>
    <n v="300260639"/>
    <n v="16448090"/>
    <x v="2"/>
    <x v="53"/>
    <n v="520"/>
    <s v="Material não enviado pela Guararapes"/>
    <s v="NÃO"/>
    <s v=" ESSE PEDIDO NÃO É PRA PEÇA PILOTO - É PARA ENTRETELA PARA COLOCAR NA VISTA"/>
    <d v="2026-06-03T10:23:22"/>
    <m/>
    <n v="549"/>
    <x v="2"/>
    <m/>
    <s v="61740d97-5568-4d9a-bb01-e2a9abe69c95"/>
    <d v="2026-06-03T00:00:00"/>
    <x v="0"/>
  </r>
  <r>
    <x v="11"/>
    <s v="S.a.confeccoesind@gmail.com"/>
    <n v="300264800"/>
    <n v="15773949"/>
    <x v="2"/>
    <x v="2"/>
    <n v="15"/>
    <s v="Quantidade insuficiente para terminar a ordem"/>
    <s v="NÃO"/>
    <s v="15 Etiquetas de composição tamanho 38"/>
    <d v="2026-06-03T10:26:25"/>
    <m/>
    <n v="550"/>
    <x v="1"/>
    <m/>
    <s v="ae739f3a-cbff-4ceb-b02e-164910c31c01"/>
    <d v="2026-06-03T00:00:00"/>
    <x v="0"/>
  </r>
  <r>
    <x v="44"/>
    <s v="teceuzl@hotmail.com"/>
    <n v="300265101"/>
    <n v="15128288"/>
    <x v="1"/>
    <x v="22"/>
    <n v="41"/>
    <s v="Material não enviado pela Guararapes"/>
    <s v="NÃO"/>
    <s v="41 FRENTE - TAMANHO GG"/>
    <d v="2026-06-03T10:37:26"/>
    <m/>
    <n v="551"/>
    <x v="1"/>
    <m/>
    <s v="9d33226f-cdbf-496c-8405-2d32f2dff639"/>
    <d v="2026-06-03T00:00:00"/>
    <x v="0"/>
  </r>
  <r>
    <x v="15"/>
    <s v="spauloazevedo@bol.com.br"/>
    <n v="300261802"/>
    <n v="16285328"/>
    <x v="2"/>
    <x v="3"/>
    <n v="22"/>
    <s v="Quantidade insuficiente para terminar a ordem"/>
    <s v="NÃO"/>
    <s v="vou colocar aqui a quantidade por tamanho tamanho P= 4 etq      M= 4 etq      g= 6 etq     GG= 5 etq       XG= 4 etq"/>
    <d v="2026-06-03T11:00:51"/>
    <m/>
    <n v="552"/>
    <x v="1"/>
    <m/>
    <s v="72d9111b-0503-4c5d-9a35-f2375d0b6747"/>
    <d v="2026-06-03T00:00:00"/>
    <x v="0"/>
  </r>
  <r>
    <x v="21"/>
    <s v="potengitextil@outlook.com.br"/>
    <n v="300267170"/>
    <n v="15359492"/>
    <x v="1"/>
    <x v="11"/>
    <n v="980"/>
    <s v="Material extraviado"/>
    <s v="NÃO"/>
    <m/>
    <d v="2026-06-03T13:07:41"/>
    <m/>
    <n v="553"/>
    <x v="2"/>
    <m/>
    <s v="066fd34e-bd9e-4652-a881-40fef3854a58"/>
    <d v="2026-06-03T00:00:00"/>
    <x v="0"/>
  </r>
  <r>
    <x v="7"/>
    <s v="confeccaogenesisltda@gmail.com"/>
    <n v="300268223"/>
    <n v="16440978"/>
    <x v="3"/>
    <x v="2"/>
    <n v="40"/>
    <s v="Material não enviado pela Guararapes"/>
    <s v="NÃO"/>
    <s v="PP-4;P-4;M-6;G-6;GG-10;XG-10"/>
    <d v="2026-06-03T13:09:19"/>
    <m/>
    <n v="554"/>
    <x v="1"/>
    <m/>
    <s v="4c181ae2-cbca-4dcb-846b-69e8a440eefc"/>
    <d v="2026-06-03T00:00:00"/>
    <x v="0"/>
  </r>
  <r>
    <x v="7"/>
    <s v="confeccaogenesisltda@gmail.com"/>
    <n v="300266589"/>
    <n v="16526112"/>
    <x v="0"/>
    <x v="9"/>
    <n v="10"/>
    <s v="Quantidade insuficiente para terminar a ordem"/>
    <s v="NÃO"/>
    <s v="LINHAS-10"/>
    <d v="2026-06-03T13:11:13"/>
    <m/>
    <n v="555"/>
    <x v="1"/>
    <m/>
    <s v="b8556638-8e91-40a0-aa24-dca5d7b26de1"/>
    <d v="2026-06-03T00:00:00"/>
    <x v="0"/>
  </r>
  <r>
    <x v="3"/>
    <s v="qualidade@solybrasil.com"/>
    <n v="300262226"/>
    <n v="16473337"/>
    <x v="3"/>
    <x v="14"/>
    <n v="60"/>
    <s v="Quantidade insuficiente para terminar a ordem"/>
    <s v="NÃO"/>
    <s v="Não foi possivel finalizar a op, faltou para 60 golas!!"/>
    <d v="2026-06-03T13:13:44"/>
    <m/>
    <n v="556"/>
    <x v="1"/>
    <m/>
    <s v="cfd2d1bd-a0bc-479e-acae-41a3d0a19d58"/>
    <d v="2026-06-03T00:00:00"/>
    <x v="0"/>
  </r>
  <r>
    <x v="7"/>
    <s v="confeccaogenesisltda@gmail.com"/>
    <n v="300266589"/>
    <n v="16526112"/>
    <x v="0"/>
    <x v="11"/>
    <n v="4"/>
    <s v="Quantidade insuficiente para terminar a ordem"/>
    <s v="NÃO"/>
    <s v="PRCISO DE 4 AGULHA PARA PISTOLA"/>
    <d v="2026-06-03T13:15:09"/>
    <m/>
    <n v="557"/>
    <x v="1"/>
    <m/>
    <s v="4194701c-53d6-4c6d-a5b0-2fac50713e4b"/>
    <d v="2026-06-03T00:00:00"/>
    <x v="0"/>
  </r>
  <r>
    <x v="12"/>
    <s v="lctextil@outlook.com.br"/>
    <n v="300267222"/>
    <n v="16457196"/>
    <x v="3"/>
    <x v="11"/>
    <n v="983"/>
    <s v="Material extraviado"/>
    <s v="NÃO"/>
    <s v="Pistola com defeito"/>
    <d v="2026-06-03T13:16:32"/>
    <m/>
    <n v="558"/>
    <x v="2"/>
    <m/>
    <s v="90a350b8-9148-405b-9fc6-15069cec9443"/>
    <d v="2026-06-03T00:00:00"/>
    <x v="0"/>
  </r>
  <r>
    <x v="12"/>
    <s v="lctextil@outlook.com.br"/>
    <n v="300267173"/>
    <n v="16457218"/>
    <x v="3"/>
    <x v="11"/>
    <n v="894"/>
    <s v="Material extraviado"/>
    <s v="NÃO"/>
    <m/>
    <d v="2026-06-03T13:17:36"/>
    <m/>
    <n v="559"/>
    <x v="2"/>
    <m/>
    <s v="892ec5cc-a9f1-4296-9e90-4f3277f1dbbb"/>
    <d v="2026-06-03T00:00:00"/>
    <x v="0"/>
  </r>
  <r>
    <x v="13"/>
    <s v="administrativo@zajaconfeccoes.com.br"/>
    <n v="300269148"/>
    <n v="16545222"/>
    <x v="0"/>
    <x v="3"/>
    <n v="1.6060000000000001"/>
    <s v="Material não enviado pela Guararapes"/>
    <s v="NÃO"/>
    <s v="GG-303; G-503; M-400; P-200; P-200"/>
    <d v="2026-06-03T13:18:35"/>
    <m/>
    <n v="560"/>
    <x v="2"/>
    <m/>
    <s v="ca967705-050c-4759-b7ca-7e8c44a04b0b"/>
    <d v="2026-06-03T00:00:00"/>
    <x v="0"/>
  </r>
  <r>
    <x v="21"/>
    <s v="potengitextil@outlook.com.br"/>
    <n v="300265389"/>
    <n v="16473434"/>
    <x v="3"/>
    <x v="11"/>
    <n v="1350"/>
    <s v="Material extraviado"/>
    <s v="NÃO"/>
    <m/>
    <d v="2026-06-03T13:24:05"/>
    <m/>
    <n v="561"/>
    <x v="2"/>
    <m/>
    <s v="6134fd6b-3a91-4255-b0e9-749e2e88e53b"/>
    <d v="2026-06-03T00:00:00"/>
    <x v="0"/>
  </r>
  <r>
    <x v="12"/>
    <s v="lctextil@outlook.com.br"/>
    <n v="300267538"/>
    <n v="1324"/>
    <x v="3"/>
    <x v="52"/>
    <n v="1324"/>
    <s v="Material não enviado pela Guararapes"/>
    <s v="NÃO"/>
    <m/>
    <d v="2026-06-03T13:41:43"/>
    <m/>
    <n v="562"/>
    <x v="2"/>
    <m/>
    <s v="299cefd9-fb70-41f3-a21d-7637c1654c0b"/>
    <d v="2026-06-03T00:00:00"/>
    <x v="0"/>
  </r>
  <r>
    <x v="12"/>
    <s v="lctextil@outlook.com.br"/>
    <n v="300267173"/>
    <n v="16457218"/>
    <x v="3"/>
    <x v="52"/>
    <n v="894"/>
    <s v="Material não enviado pela Guararapes"/>
    <s v="NÃO"/>
    <m/>
    <d v="2026-06-03T13:42:48"/>
    <m/>
    <n v="563"/>
    <x v="2"/>
    <m/>
    <s v="dd11d9c2-51f0-4fc9-84ac-0d879783dfac"/>
    <d v="2026-06-03T00:00:00"/>
    <x v="0"/>
  </r>
  <r>
    <x v="12"/>
    <s v="lctextil@outlook.com.br"/>
    <n v="300267172"/>
    <n v="16457218"/>
    <x v="3"/>
    <x v="52"/>
    <n v="602"/>
    <s v="Material não enviado pela Guararapes"/>
    <s v="NÃO"/>
    <m/>
    <d v="2026-06-03T13:43:52"/>
    <m/>
    <n v="564"/>
    <x v="2"/>
    <m/>
    <s v="ef1b4eff-50c7-4578-9b3c-f7828d15174b"/>
    <d v="2026-06-03T00:00:00"/>
    <x v="0"/>
  </r>
  <r>
    <x v="12"/>
    <s v="lctextil@outlook.com.br"/>
    <n v="300267179"/>
    <n v="16457196"/>
    <x v="3"/>
    <x v="52"/>
    <n v="220"/>
    <s v="Material não enviado pela Guararapes"/>
    <s v="NÃO"/>
    <m/>
    <d v="2026-06-03T13:45:05"/>
    <m/>
    <n v="565"/>
    <x v="2"/>
    <m/>
    <s v="2d30a502-4b7c-4a11-98e0-4d5c77e69c72"/>
    <d v="2026-06-03T00:00:00"/>
    <x v="0"/>
  </r>
  <r>
    <x v="12"/>
    <s v="lctextil@outlook.com.br"/>
    <n v="300267220"/>
    <n v="16457196"/>
    <x v="3"/>
    <x v="52"/>
    <n v="297"/>
    <s v="Material não enviado pela Guararapes"/>
    <s v="NÃO"/>
    <m/>
    <d v="2026-06-03T13:46:01"/>
    <m/>
    <n v="566"/>
    <x v="2"/>
    <m/>
    <s v="68dae346-2916-4f38-9943-09a92a259ed9"/>
    <d v="2026-06-03T00:00:00"/>
    <x v="0"/>
  </r>
  <r>
    <x v="12"/>
    <s v="lctextil@outlook.com.br"/>
    <n v="300267222"/>
    <n v="16457196"/>
    <x v="3"/>
    <x v="52"/>
    <n v="983"/>
    <s v="Material não enviado pela Guararapes"/>
    <s v="NÃO"/>
    <m/>
    <d v="2026-06-03T13:47:10"/>
    <m/>
    <n v="567"/>
    <x v="2"/>
    <m/>
    <s v="9d1cba7b-70c3-4178-aa5a-a7e1bb28499d"/>
    <d v="2026-06-03T00:00:00"/>
    <x v="0"/>
  </r>
  <r>
    <x v="12"/>
    <s v="lctextil@outlook.com.br"/>
    <n v="300266481"/>
    <n v="16441655"/>
    <x v="3"/>
    <x v="52"/>
    <n v="828"/>
    <s v="Material não enviado pela Guararapes"/>
    <s v="NÃO"/>
    <m/>
    <d v="2026-06-03T13:48:27"/>
    <m/>
    <n v="568"/>
    <x v="2"/>
    <m/>
    <s v="55a23c63-9f7a-440c-aa3a-2bb5933a4d8d"/>
    <d v="2026-06-03T00:00:00"/>
    <x v="0"/>
  </r>
  <r>
    <x v="23"/>
    <s v="reposicoesjkmodas@gmail.com"/>
    <n v="300231420"/>
    <n v="16317840"/>
    <x v="2"/>
    <x v="14"/>
    <n v="1220"/>
    <s v="Material não enviado pela Guararapes"/>
    <s v="NÃO"/>
    <s v="VIÉS DE 3.5cm - VIÉS PARA FAZER GOLA E CAVA. "/>
    <d v="2026-06-03T14:51:22"/>
    <m/>
    <n v="569"/>
    <x v="2"/>
    <m/>
    <s v="be6f9c62-2d78-4ea4-806c-c5cfada1e2dc"/>
    <d v="2026-06-03T00:00:00"/>
    <x v="0"/>
  </r>
  <r>
    <x v="44"/>
    <s v="teceuzl@hotmail.com"/>
    <n v="300265101"/>
    <n v="15128288"/>
    <x v="1"/>
    <x v="30"/>
    <n v="160"/>
    <s v="Material não enviado pela Guararapes"/>
    <s v="NÃO"/>
    <s v="160 MANGAS - TAMANHO XG"/>
    <d v="2026-06-03T15:46:39"/>
    <m/>
    <n v="570"/>
    <x v="1"/>
    <m/>
    <s v="7b4ff5ed-26d6-4d89-85c5-764537ee7f6e"/>
    <d v="2026-06-03T00:00:00"/>
    <x v="0"/>
  </r>
  <r>
    <x v="79"/>
    <s v="artejeans23@gmail.com"/>
    <n v="300266271"/>
    <n v="16293274"/>
    <x v="2"/>
    <x v="13"/>
    <n v="100"/>
    <s v="Quantidade insuficiente para terminar a ordem"/>
    <s v="NÃO"/>
    <s v="Código do aviamento: 0000211585  --  Tamanho: 15 cm  --  Quantidade: 100"/>
    <d v="2026-06-03T16:00:59"/>
    <m/>
    <n v="571"/>
    <x v="1"/>
    <m/>
    <s v="97875313-ac51-4494-88c0-15543c755103"/>
    <d v="2026-06-03T00:00:00"/>
    <x v="0"/>
  </r>
  <r>
    <x v="20"/>
    <s v="CONFECCAOSAOSEBASTIAO@GMAIL.COM"/>
    <n v="300268036"/>
    <n v="16508203"/>
    <x v="2"/>
    <x v="29"/>
    <n v="1205"/>
    <s v="O VIES DE  BOLSO FRENTE VEIO NA COR CRU, SENDO QUE A REMERSA E  PRETA. ALDEIZA NOTIFICOU ´PARA PEDIR REPOSIÇÃO."/>
    <s v="NÃO"/>
    <s v="O VIES DE  BOLSO FRENTE VEIO NA COR CRU, SENDO QUE A REMERSA E  PRETA. ALDEIZA NOTIFICOU ´PARA PEDIR REPOSIÇÃO."/>
    <d v="2026-06-03T16:14:41"/>
    <m/>
    <n v="572"/>
    <x v="2"/>
    <m/>
    <s v="6beb6215-b779-4be6-a713-2fa26c726e0c"/>
    <d v="2026-06-03T00:00:00"/>
    <x v="0"/>
  </r>
  <r>
    <x v="60"/>
    <s v="acauaconfeccoes@outlook.com"/>
    <n v="300248728"/>
    <n v="16247388"/>
    <x v="2"/>
    <x v="13"/>
    <n v="110"/>
    <s v="Material não enviado pela Guararapes"/>
    <s v="NÃO"/>
    <s v="Faltando 66 Zíper do Tamanho 12. Faltando 44 Zíper do Tamanho 08"/>
    <d v="2026-06-03T16:38:48"/>
    <m/>
    <n v="573"/>
    <x v="2"/>
    <m/>
    <s v="185f1d41-181c-4ec7-80e2-f6b00d36f417"/>
    <d v="2026-06-03T00:00:00"/>
    <x v="0"/>
  </r>
  <r>
    <x v="17"/>
    <s v="faccao_sales2010@hotmail.com"/>
    <n v="300000000"/>
    <n v="0"/>
    <x v="2"/>
    <x v="7"/>
    <n v="1"/>
    <s v="Quantidade insuficiente para terminar a ordem"/>
    <s v="NÃO"/>
    <m/>
    <d v="2026-06-03T16:39:24"/>
    <m/>
    <n v="574"/>
    <x v="1"/>
    <m/>
    <s v="fa777381-de48-411f-aaff-d7eda27298b2"/>
    <d v="2026-06-03T00:00:00"/>
    <x v="0"/>
  </r>
  <r>
    <x v="17"/>
    <s v="faccao_sales2010@hotmail.com"/>
    <n v="300000000"/>
    <n v="0"/>
    <x v="2"/>
    <x v="10"/>
    <n v="1"/>
    <s v="Quantidade insuficiente para terminar a ordem"/>
    <s v="NÃO"/>
    <m/>
    <d v="2026-06-03T16:40:13"/>
    <m/>
    <n v="575"/>
    <x v="2"/>
    <m/>
    <s v="5a21893e-0207-4632-a648-f9c122f144ed"/>
    <d v="2026-06-03T00:00:00"/>
    <x v="0"/>
  </r>
  <r>
    <x v="41"/>
    <s v="faccao_sales2010@hotmail.com"/>
    <n v="300000000"/>
    <n v="0"/>
    <x v="3"/>
    <x v="11"/>
    <n v="1"/>
    <s v="Quantidade insuficiente para terminar a ordem"/>
    <s v="NÃO"/>
    <s v="danificou a pistola"/>
    <d v="2026-06-03T16:41:37"/>
    <m/>
    <n v="576"/>
    <x v="2"/>
    <m/>
    <s v="81f7401a-2c0a-482b-a6c7-75906c56e2a9"/>
    <d v="2026-06-03T00:00:00"/>
    <x v="0"/>
  </r>
  <r>
    <x v="10"/>
    <s v="acauaconfeccoes@outlook.com"/>
    <n v="300248762"/>
    <n v="16247388"/>
    <x v="2"/>
    <x v="13"/>
    <n v="375"/>
    <s v="Material não enviado pela Guararapes"/>
    <s v="NÃO"/>
    <s v="Faltando 225 Zíper do tamanho 12. Faltando 150 zíper do tamanho 08."/>
    <d v="2026-06-03T16:41:41"/>
    <m/>
    <n v="577"/>
    <x v="2"/>
    <m/>
    <s v="61c1eec5-081a-4ace-9fcc-038f9c74a461"/>
    <d v="2026-06-03T00:00:00"/>
    <x v="0"/>
  </r>
  <r>
    <x v="56"/>
    <s v="idealconfecltda@gmail.com"/>
    <n v="300263199"/>
    <n v="15215539"/>
    <x v="1"/>
    <x v="11"/>
    <n v="1"/>
    <s v="NÃO TEMOS AGULHA  PARA PISTOLA"/>
    <s v="NÃO"/>
    <s v="não temos agulha para a pistola"/>
    <d v="2026-06-03T16:48:45"/>
    <m/>
    <n v="578"/>
    <x v="1"/>
    <m/>
    <s v="2599b962-5766-410f-aeb2-d1517e4ced00"/>
    <d v="2026-06-03T00:00:00"/>
    <x v="0"/>
  </r>
  <r>
    <x v="8"/>
    <s v="tlcserranatextil@gmail.com"/>
    <n v="300265099"/>
    <n v="15128288"/>
    <x v="1"/>
    <x v="30"/>
    <n v="190"/>
    <s v="Quantidade insuficiente para terminar a ordem"/>
    <s v="NÃO"/>
    <m/>
    <d v="2026-06-03T18:03:58"/>
    <m/>
    <n v="579"/>
    <x v="1"/>
    <m/>
    <s v="96ed0dce-aecc-44d1-a274-0c9b376062c0"/>
    <d v="2026-06-03T00:00:00"/>
    <x v="0"/>
  </r>
  <r>
    <x v="44"/>
    <s v="teceuzl@hotmail.com"/>
    <n v="300268617"/>
    <n v="16226852"/>
    <x v="1"/>
    <x v="19"/>
    <n v="10"/>
    <s v="Quantidade insuficiente para terminar a ordem"/>
    <s v="NÃO"/>
    <m/>
    <d v="2026-06-03T19:25:55"/>
    <m/>
    <n v="580"/>
    <x v="1"/>
    <m/>
    <s v="37d15377-258a-4aa9-88f6-29247cbdb58e"/>
    <d v="2026-06-03T00:00:00"/>
    <x v="0"/>
  </r>
  <r>
    <x v="36"/>
    <s v="solisconfeccoes@gmail.com"/>
    <n v="300263352"/>
    <n v="16099605"/>
    <x v="3"/>
    <x v="57"/>
    <n v="22"/>
    <s v="QUANDO A OP FINALIZOU FALTOU 22 PEÇAS DE TAMANHO DIFERENTE/ENTÃO PRECISO DE PEÇAS COMPLETA PRA FINALIZAR A OP GG=2/G=4 M=6 /P=6/PP=4"/>
    <s v="NÃO"/>
    <s v="JA TINHA SIDO FEITO O PEDIDO ANTES MAIS VEIO BRANCO A OP É PRETA"/>
    <d v="2026-06-04T07:28:03"/>
    <m/>
    <n v="581"/>
    <x v="1"/>
    <m/>
    <s v="89b153d6-966f-44e6-af7c-41609b205532"/>
    <d v="2026-06-04T00:00:00"/>
    <x v="0"/>
  </r>
  <r>
    <x v="18"/>
    <s v="ebenezerindustriat@hotmail.com"/>
    <n v="300262633"/>
    <n v="16320034"/>
    <x v="3"/>
    <x v="52"/>
    <n v="10"/>
    <s v="ACABOU"/>
    <s v="NÃO"/>
    <m/>
    <d v="2026-06-04T07:43:25"/>
    <m/>
    <n v="582"/>
    <x v="2"/>
    <m/>
    <s v="dd360886-f125-4244-aff5-62b46f28301c"/>
    <d v="2026-06-04T00:00:00"/>
    <x v="0"/>
  </r>
  <r>
    <x v="18"/>
    <s v="ebenezerindustriat@hotmail.com"/>
    <n v="300262633"/>
    <n v="16320034"/>
    <x v="3"/>
    <x v="52"/>
    <n v="10"/>
    <s v="ACABOU"/>
    <s v="NÃO"/>
    <m/>
    <d v="2026-06-04T07:44:31"/>
    <m/>
    <n v="583"/>
    <x v="2"/>
    <m/>
    <s v="b48bf527-981d-4823-8a4b-b7ea9dabdd4b"/>
    <d v="2026-06-04T00:00:00"/>
    <x v="0"/>
  </r>
  <r>
    <x v="32"/>
    <s v="di3confec@gmail.com"/>
    <n v="300268567"/>
    <n v="16441630"/>
    <x v="3"/>
    <x v="11"/>
    <n v="2"/>
    <s v="Erro operacional da oficina"/>
    <s v="NÃO"/>
    <s v="As duas pistolas enviadas inicialmente estão quebradas"/>
    <d v="2026-06-04T07:44:37"/>
    <m/>
    <n v="584"/>
    <x v="1"/>
    <m/>
    <s v="705c036b-e8d9-4330-af19-0a876e7026f5"/>
    <d v="2026-06-04T00:00:00"/>
    <x v="0"/>
  </r>
  <r>
    <x v="43"/>
    <s v="faccaoello@hotmail.com"/>
    <n v="300261053"/>
    <n v="16492285"/>
    <x v="2"/>
    <x v="23"/>
    <n v="576"/>
    <s v="Material não enviado pela Guararapes"/>
    <s v="NÃO"/>
    <s v="NÃO VEIO NNEHUM CADARÇO JUNTO A ORDEM. 6-7: 72; 8-9: 144; 9-10: 108; 11-12: 144; 13-14: 108"/>
    <d v="2026-06-04T07:54:13"/>
    <m/>
    <n v="585"/>
    <x v="2"/>
    <m/>
    <s v="22a10596-1bf1-47af-9595-611f67207aa9"/>
    <d v="2026-06-04T00:00:00"/>
    <x v="0"/>
  </r>
  <r>
    <x v="18"/>
    <s v="ebenezerindustriat@hotmail.com"/>
    <n v="300262633"/>
    <n v="16320034"/>
    <x v="3"/>
    <x v="52"/>
    <n v="5"/>
    <s v="Material não enviado pela Guararapes"/>
    <s v="NÃO"/>
    <m/>
    <d v="2026-06-04T07:55:26"/>
    <m/>
    <n v="586"/>
    <x v="2"/>
    <m/>
    <s v="7211cb42-be57-4df6-bd6c-dbc3e7adcbc2"/>
    <d v="2026-06-04T00:00:00"/>
    <x v="0"/>
  </r>
  <r>
    <x v="16"/>
    <s v="arconfec-oes@hotmail.com"/>
    <n v="300267465"/>
    <n v="15252434"/>
    <x v="2"/>
    <x v="5"/>
    <n v="900"/>
    <s v="Quantidade insuficiente para terminar a ordem"/>
    <s v="NÃO"/>
    <s v="FITA PARA FAZER PASSANTES"/>
    <d v="2026-06-04T07:59:41"/>
    <m/>
    <n v="587"/>
    <x v="2"/>
    <m/>
    <s v="434f3f45-9401-4405-ad92-c847960f068f"/>
    <d v="2026-06-04T00:00:00"/>
    <x v="0"/>
  </r>
  <r>
    <x v="64"/>
    <s v="neemias.sc@hotmail.com"/>
    <n v="300266688"/>
    <n v="16243951"/>
    <x v="2"/>
    <x v="10"/>
    <n v="756"/>
    <s v="Quantidade insuficiente para terminar a ordem"/>
    <s v="NÃO"/>
    <s v="PAPEL KRAFT"/>
    <d v="2026-06-04T09:26:24"/>
    <m/>
    <n v="588"/>
    <x v="2"/>
    <m/>
    <s v="ddc469bd-2765-45d9-a348-927aa8bad6c6"/>
    <d v="2026-06-04T00:00:00"/>
    <x v="0"/>
  </r>
  <r>
    <x v="55"/>
    <s v="faccao_sales2010@hotmail.com"/>
    <n v="300248760"/>
    <n v="16247388"/>
    <x v="2"/>
    <x v="9"/>
    <n v="400"/>
    <s v="Quantidade insuficiente para terminar a ordem"/>
    <s v="NÃO"/>
    <s v="9.LI001.036.171500 -LINHA 100%PES TÍT36 S.321 171500"/>
    <d v="2026-06-04T09:26:46"/>
    <m/>
    <n v="589"/>
    <x v="1"/>
    <m/>
    <s v="434106cf-3d68-4f26-a572-16ddae30f89f"/>
    <d v="2026-06-04T00:00:00"/>
    <x v="0"/>
  </r>
  <r>
    <x v="64"/>
    <s v="NEEMIAS.SC@HOTMAIL.COM"/>
    <n v="300266688"/>
    <n v="16243951"/>
    <x v="2"/>
    <x v="53"/>
    <n v="756"/>
    <s v="Material não enviado pela Guararapes"/>
    <s v="NÃO"/>
    <s v="SOLICITO O ENVIO DO GABARITO / NINHO DA ORDEM"/>
    <d v="2026-06-04T09:29:38"/>
    <m/>
    <n v="590"/>
    <x v="2"/>
    <m/>
    <s v="d98a2b0a-12c9-4cbf-b48a-fed0ec1b82e3"/>
    <d v="2026-06-04T00:00:00"/>
    <x v="0"/>
  </r>
  <r>
    <x v="66"/>
    <s v="EMPORIODAMODAMOSSORO@GMAIL.COM"/>
    <n v="300265333"/>
    <n v="16299213"/>
    <x v="2"/>
    <x v="10"/>
    <n v="2000"/>
    <s v="Quantidade insuficiente para terminar a ordem"/>
    <s v="NÃO"/>
    <m/>
    <d v="2026-06-04T09:34:55"/>
    <m/>
    <n v="591"/>
    <x v="2"/>
    <m/>
    <s v="0b5f4633-92bb-4bd2-aed8-b38a84eedb03"/>
    <d v="2026-06-04T00:00:00"/>
    <x v="0"/>
  </r>
  <r>
    <x v="64"/>
    <s v="Neemias.sc@hotmail.com"/>
    <n v="300265942"/>
    <n v="16473370"/>
    <x v="3"/>
    <x v="11"/>
    <n v="1120"/>
    <s v="Quantidade insuficiente para terminar a ordem"/>
    <s v="NÃO"/>
    <m/>
    <d v="2026-06-04T09:35:47"/>
    <m/>
    <n v="592"/>
    <x v="2"/>
    <m/>
    <s v="faaa2881-648f-467d-8fc3-da58fd704efd"/>
    <d v="2026-06-04T00:00:00"/>
    <x v="0"/>
  </r>
  <r>
    <x v="68"/>
    <s v="mlucileidec@hotmail.com"/>
    <n v="300265331"/>
    <n v="16299213"/>
    <x v="2"/>
    <x v="5"/>
    <n v="1000"/>
    <s v="Quantidade insuficiente para terminar a ordem"/>
    <s v="NÃO"/>
    <m/>
    <d v="2026-06-04T09:47:31"/>
    <m/>
    <n v="593"/>
    <x v="2"/>
    <m/>
    <s v="fc7d127c-847d-4609-9ed3-513691edfbad"/>
    <d v="2026-06-04T00:00:00"/>
    <x v="0"/>
  </r>
  <r>
    <x v="66"/>
    <s v="EMPORIODAMODAMOSSORO@GMAIL.COM"/>
    <n v="300265333"/>
    <n v="16299213"/>
    <x v="2"/>
    <x v="5"/>
    <n v="2000"/>
    <s v="Quantidade insuficiente para terminar a ordem"/>
    <s v="NÃO"/>
    <s v="plastico filme para passante"/>
    <d v="2026-06-04T09:50:08"/>
    <m/>
    <n v="594"/>
    <x v="2"/>
    <m/>
    <s v="73528fdc-0686-42f8-9451-54bb3aea4927"/>
    <d v="2026-06-04T00:00:00"/>
    <x v="0"/>
  </r>
  <r>
    <x v="35"/>
    <s v="lupercio-fnb@hotmail.com"/>
    <n v="300265823"/>
    <n v="16482395"/>
    <x v="2"/>
    <x v="10"/>
    <n v="0"/>
    <s v="Material não enviado pela Guararapes"/>
    <s v="NÃO"/>
    <s v="Papelão para gabarito"/>
    <d v="2026-06-04T10:13:16"/>
    <m/>
    <n v="595"/>
    <x v="2"/>
    <m/>
    <s v="f2944653-dd5e-4eb7-a835-239755e199cc"/>
    <d v="2026-06-04T00:00:00"/>
    <x v="0"/>
  </r>
  <r>
    <x v="64"/>
    <s v="neemias.sc@hotmail.com"/>
    <n v="300265942"/>
    <n v="16473370"/>
    <x v="3"/>
    <x v="4"/>
    <n v="1.1200000000000001"/>
    <s v="Material não enviado pela Guararapes"/>
    <s v="NÃO"/>
    <m/>
    <d v="2026-06-04T10:13:22"/>
    <m/>
    <n v="596"/>
    <x v="2"/>
    <m/>
    <s v="dc582419-86aa-49de-831c-5bba39c43077"/>
    <d v="2026-06-04T00:00:00"/>
    <x v="0"/>
  </r>
  <r>
    <x v="60"/>
    <s v="acauaconfeccoes@outlook.com"/>
    <n v="300248762"/>
    <n v="16247388"/>
    <x v="2"/>
    <x v="13"/>
    <n v="300"/>
    <s v="Material não enviado pela Guararapes"/>
    <s v="NÃO"/>
    <s v="Faltando 300 Zíper do tamanho 10"/>
    <d v="2026-06-04T10:32:53"/>
    <m/>
    <n v="597"/>
    <x v="2"/>
    <m/>
    <s v="893f2aac-87de-4250-a189-46e852d485e9"/>
    <d v="2026-06-04T00:00:00"/>
    <x v="0"/>
  </r>
  <r>
    <x v="60"/>
    <s v="acauaconfeccoes@outlook.com"/>
    <n v="300248762"/>
    <n v="16247388"/>
    <x v="2"/>
    <x v="13"/>
    <n v="375"/>
    <s v="Material não enviado pela Guararapes"/>
    <s v="NÃO"/>
    <s v="Faltando 225 zíper do tamanho 12.  Faltando 150 zíper do tamanho 08."/>
    <d v="2026-06-04T10:37:25"/>
    <m/>
    <n v="598"/>
    <x v="2"/>
    <m/>
    <s v="8d52829e-9471-4d22-a6fa-a5dedb835cae"/>
    <d v="2026-06-04T00:00:00"/>
    <x v="0"/>
  </r>
  <r>
    <x v="23"/>
    <s v="reposicoesjkmodas@gmail.com"/>
    <n v="300267376"/>
    <n v="16450272"/>
    <x v="2"/>
    <x v="48"/>
    <n v="56"/>
    <s v="Erro operacional da oficina"/>
    <s v="NÃO"/>
    <s v="O CINTO ESTÁ ESCAPANDO NA COSTURA E PERDEMOS ALGUNS POR ERRO NA OPERAÇÃO."/>
    <d v="2026-06-04T10:41:10"/>
    <m/>
    <n v="599"/>
    <x v="1"/>
    <m/>
    <s v="31554dad-f01a-4c59-8631-bf3d1e1644c7"/>
    <d v="2026-06-04T00:00:00"/>
    <x v="0"/>
  </r>
  <r>
    <x v="65"/>
    <s v="fortetecnologiatextil@gmail.com"/>
    <n v="300267524"/>
    <n v="16223780"/>
    <x v="3"/>
    <x v="12"/>
    <n v="392"/>
    <s v="Material não enviado pela Guararapes"/>
    <s v="TAMPOGRAFIA"/>
    <s v="APENAS TRASEIRO QUE FALTARAM. XG - 114; GG 100; PP 64 E P "/>
    <d v="2026-06-04T10:59:31"/>
    <m/>
    <n v="600"/>
    <x v="1"/>
    <m/>
    <s v="3874b732-cb5a-4916-af22-bfc220f3157c"/>
    <d v="2026-06-04T00:00:00"/>
    <x v="0"/>
  </r>
  <r>
    <x v="17"/>
    <s v="faccao_sales2010@hotmail.com"/>
    <n v="300248449"/>
    <n v="16323491"/>
    <x v="3"/>
    <x v="14"/>
    <n v="300"/>
    <s v="Erro operacional da oficina"/>
    <s v="NÃO"/>
    <s v="VIÉS DE CAVA "/>
    <d v="2026-06-04T11:03:15"/>
    <m/>
    <n v="601"/>
    <x v="1"/>
    <m/>
    <s v="96f77e26-4c34-4cb5-948d-51535aa40102"/>
    <d v="2026-06-04T00:00:00"/>
    <x v="0"/>
  </r>
  <r>
    <x v="14"/>
    <s v="asaequador@gmail.com"/>
    <n v="300265360"/>
    <n v="16474120"/>
    <x v="2"/>
    <x v="12"/>
    <n v="16"/>
    <s v="peças com falha de tecido e umas faltando."/>
    <s v="NÃO"/>
    <s v="PRECISAMOS DE 10 TRASEIRO 36, UM 38, QUATRO 46 E UM 44,"/>
    <d v="2026-06-04T11:36:46"/>
    <m/>
    <n v="602"/>
    <x v="1"/>
    <m/>
    <s v="bb19a094-4e9e-4946-89c7-2f9248c1312d"/>
    <d v="2026-06-04T00:00:00"/>
    <x v="0"/>
  </r>
  <r>
    <x v="61"/>
    <s v="noelpazevedo@gmail.com"/>
    <n v="300264839"/>
    <n v="16444620"/>
    <x v="2"/>
    <x v="18"/>
    <n v="1120"/>
    <s v="Material não enviado pela Guararapes"/>
    <s v="NÃO"/>
    <s v="Material não veio junto com a ordem "/>
    <d v="2026-06-04T11:39:02"/>
    <m/>
    <n v="603"/>
    <x v="2"/>
    <m/>
    <s v="c3b0ee1b-7c9c-4728-9780-f2591414fb6e"/>
    <d v="2026-06-04T00:00:00"/>
    <x v="0"/>
  </r>
  <r>
    <x v="21"/>
    <s v="potengitextil@outlook.com.br"/>
    <n v="300267149"/>
    <n v="15128288"/>
    <x v="1"/>
    <x v="27"/>
    <n v="352"/>
    <s v="Quantidade insuficiente para terminar a ordem"/>
    <s v="NÃO"/>
    <s v="Pedi 704 botões ao veio 352 unidades( e a op são 2 botões por peça)"/>
    <d v="2026-06-04T12:38:08"/>
    <m/>
    <n v="604"/>
    <x v="2"/>
    <m/>
    <s v="b9fb2279-c609-4d6e-aed2-a6e6a7db2866"/>
    <d v="2026-06-04T00:00:00"/>
    <x v="0"/>
  </r>
  <r>
    <x v="56"/>
    <s v="idealconfecltda@gmail.com"/>
    <n v="300268619"/>
    <n v="15773485"/>
    <x v="2"/>
    <x v="2"/>
    <n v="80"/>
    <s v="Quantidade insuficiente para terminar a ordem"/>
    <s v="NÃO"/>
    <s v="Preciso de 10 und de etiqueta de composição de cada tamanho"/>
    <d v="2026-06-04T12:49:38"/>
    <m/>
    <n v="605"/>
    <x v="1"/>
    <m/>
    <s v="dd8b1069-9a4b-4520-93d4-67b466911902"/>
    <d v="2026-06-04T00:00:00"/>
    <x v="0"/>
  </r>
  <r>
    <x v="14"/>
    <s v="asaequador@gmail.com"/>
    <n v="300268035"/>
    <n v="16508203"/>
    <x v="2"/>
    <x v="38"/>
    <n v="1.139"/>
    <s v="Material diferente do especificado na ordem"/>
    <s v="NÃO"/>
    <s v="recebemos os forro desta ordem preto, e na foto mostra cru , porem o vies veio cru , por isso que tô pedindo a reposição fiquei com duvida se pode usar?"/>
    <d v="2026-06-04T13:03:18"/>
    <m/>
    <n v="606"/>
    <x v="2"/>
    <m/>
    <s v="805d0988-62ac-4479-ab03-bd7411786ce7"/>
    <d v="2026-06-04T00:00:00"/>
    <x v="0"/>
  </r>
  <r>
    <x v="37"/>
    <s v="felconfeccao@gmail.com"/>
    <n v="300266450"/>
    <n v="16099605"/>
    <x v="3"/>
    <x v="6"/>
    <n v="50"/>
    <s v="Quantidade insuficiente para terminar a ordem"/>
    <s v="NÃO"/>
    <s v="PP-10; P-10; M-10; G-10; GG-10"/>
    <d v="2026-06-04T13:35:29"/>
    <m/>
    <n v="607"/>
    <x v="1"/>
    <m/>
    <s v="56b6f5c1-3ed5-432c-a354-c2d33e1fb289"/>
    <d v="2026-06-04T00:00:00"/>
    <x v="0"/>
  </r>
  <r>
    <x v="37"/>
    <s v="felconfeccao@gmail.com"/>
    <n v="300267510"/>
    <n v="16290798"/>
    <x v="3"/>
    <x v="14"/>
    <n v="500"/>
    <s v="Quantidade insuficiente para terminar a ordem"/>
    <s v="NÃO"/>
    <m/>
    <d v="2026-06-04T13:37:03"/>
    <m/>
    <n v="608"/>
    <x v="1"/>
    <m/>
    <s v="99e38d9d-56c7-480d-a467-a00629df1741"/>
    <d v="2026-06-04T00:00:00"/>
    <x v="0"/>
  </r>
  <r>
    <x v="6"/>
    <s v="confeccoesgbdas@hotmail.com"/>
    <n v="300254531"/>
    <n v="15412326"/>
    <x v="3"/>
    <x v="58"/>
    <n v="148"/>
    <s v="Quantidade insuficiente para terminar a ordem"/>
    <s v="NÃO"/>
    <s v="74 PAR DE BOLSO FRENTE TAMANHO P"/>
    <d v="2026-06-04T14:11:34"/>
    <m/>
    <n v="609"/>
    <x v="1"/>
    <m/>
    <s v="e6fbcff8-1984-40f9-b10f-f32972e43c8b"/>
    <d v="2026-06-04T00:00:00"/>
    <x v="0"/>
  </r>
  <r>
    <x v="51"/>
    <s v="fc_faccao@yahoo.com.br"/>
    <n v="300268132"/>
    <n v="16443004"/>
    <x v="1"/>
    <x v="14"/>
    <n v="942"/>
    <s v="Material não enviado pela Guararapes"/>
    <s v="NÃO"/>
    <m/>
    <d v="2026-06-04T14:25:55"/>
    <m/>
    <n v="610"/>
    <x v="2"/>
    <m/>
    <s v="4a4acbc6-29fe-4b89-a99c-3f9458b30989"/>
    <d v="2026-06-04T00:00:00"/>
    <x v="0"/>
  </r>
  <r>
    <x v="51"/>
    <s v="fc_faccao@yahoo.com.br"/>
    <n v="300270687"/>
    <n v="15215539"/>
    <x v="1"/>
    <x v="33"/>
    <n v="1096"/>
    <s v="Material não enviado pela Guararapes"/>
    <s v="NÃO"/>
    <m/>
    <d v="2026-06-04T14:27:32"/>
    <m/>
    <n v="611"/>
    <x v="2"/>
    <m/>
    <s v="4116d199-aab7-4990-8074-5da398c36d89"/>
    <d v="2026-06-04T00:00:00"/>
    <x v="0"/>
  </r>
  <r>
    <x v="7"/>
    <s v="confeccaogenesisltda@gmail.com"/>
    <n v="300262896"/>
    <n v="15497402"/>
    <x v="3"/>
    <x v="14"/>
    <n v="400"/>
    <s v="Quantidade insuficiente para terminar a ordem"/>
    <s v="NÃO"/>
    <s v="O MATERIAL CHEGOU EM CONDIÇÕES INADEQUADAS PARA USO, CAUSANDO DESPERDÍCIO"/>
    <d v="2026-06-04T14:47:58"/>
    <m/>
    <n v="612"/>
    <x v="1"/>
    <m/>
    <s v="87a5732d-96e9-43b3-9e53-c99c33070ae1"/>
    <d v="2026-06-04T00:00:00"/>
    <x v="0"/>
  </r>
  <r>
    <x v="78"/>
    <s v="ocalves3@gamil.com"/>
    <n v="300267245"/>
    <n v="16508971"/>
    <x v="2"/>
    <x v="38"/>
    <n v="856"/>
    <s v="AS PEÇAS CHEGARAM MOLHADAS E MOFADAS"/>
    <s v="NÃO"/>
    <s v="OS FOROS VIERAM MOLHDOS E MOFADOS "/>
    <d v="2026-06-04T15:26:45"/>
    <m/>
    <n v="613"/>
    <x v="2"/>
    <m/>
    <s v="7c3a32ce-4f48-49ab-8a4e-bf8c2cc8af1a"/>
    <d v="2026-06-04T00:00:00"/>
    <x v="0"/>
  </r>
  <r>
    <x v="56"/>
    <s v="idealconfecltda@gmail.com"/>
    <n v="300263199"/>
    <n v="15215539"/>
    <x v="1"/>
    <x v="14"/>
    <n v="5"/>
    <s v="Quantidade insuficiente para terminar a ordem"/>
    <s v="NÃO"/>
    <s v="INSUFICIENTE PARA FINALIZAR OP"/>
    <d v="2026-06-04T15:38:09"/>
    <m/>
    <n v="614"/>
    <x v="1"/>
    <m/>
    <s v="75bf4299-9275-4ebd-81ad-d150a8e88cb8"/>
    <d v="2026-06-04T00:00:00"/>
    <x v="0"/>
  </r>
  <r>
    <x v="56"/>
    <s v="idealconfecltda@gmail.com"/>
    <n v="300263199"/>
    <n v="15215539"/>
    <x v="1"/>
    <x v="19"/>
    <n v="10"/>
    <s v="Quantidade insuficiente para terminar a ordem"/>
    <s v="NÃO"/>
    <s v="FIO  CODIGO AVIAMENTO 1000072036"/>
    <d v="2026-06-04T15:41:44"/>
    <m/>
    <n v="615"/>
    <x v="1"/>
    <m/>
    <s v="19cfe61a-e708-47c5-a125-24418304eed2"/>
    <d v="2026-06-04T00:00:00"/>
    <x v="0"/>
  </r>
  <r>
    <x v="6"/>
    <s v="confeccoesgbdas@hotmail.com"/>
    <n v="300261560"/>
    <n v="16450582"/>
    <x v="3"/>
    <x v="11"/>
    <n v="2"/>
    <s v="Quantidade insuficiente para terminar a ordem"/>
    <s v="NÃO"/>
    <s v="PISTOLA APRESENTANDO DEFEITO"/>
    <d v="2026-06-04T15:50:48"/>
    <m/>
    <n v="616"/>
    <x v="1"/>
    <m/>
    <s v="84831c14-9fb7-482c-85d8-c64424c62f3f"/>
    <d v="2026-06-04T00:00:00"/>
    <x v="0"/>
  </r>
  <r>
    <x v="56"/>
    <s v="idealconfecltda@gmail.com"/>
    <n v="300263199"/>
    <n v="15215539"/>
    <x v="1"/>
    <x v="14"/>
    <n v="10"/>
    <s v="Quantidade insuficiente para terminar a ordem"/>
    <s v="NÃO"/>
    <s v="TINHA PEÇO VIES DE GOLA EM OUTRO PEDIDO,MAS NÃO FOI SUFICIENTE"/>
    <d v="2026-06-04T15:53:03"/>
    <m/>
    <n v="617"/>
    <x v="1"/>
    <m/>
    <s v="b99bff3f-0526-471e-b0b9-5e63e6eabca2"/>
    <d v="2026-06-04T00:00:00"/>
    <x v="0"/>
  </r>
  <r>
    <x v="6"/>
    <s v="confeccoesgbdas@hotmail.com"/>
    <n v="300261560"/>
    <n v="16450582"/>
    <x v="3"/>
    <x v="11"/>
    <n v="10"/>
    <s v="Quantidade insuficiente para terminar a ordem"/>
    <s v="NÃO"/>
    <s v="AGULHA PARA PISTOLA"/>
    <d v="2026-06-04T15:54:03"/>
    <m/>
    <n v="618"/>
    <x v="1"/>
    <m/>
    <s v="a6c34cef-2f9c-405f-9eda-1d4681cbd8a5"/>
    <d v="2026-06-04T00:00:00"/>
    <x v="0"/>
  </r>
  <r>
    <x v="56"/>
    <s v="idealconfecltda@gmail.com"/>
    <n v="300263199"/>
    <n v="15215539"/>
    <x v="1"/>
    <x v="12"/>
    <n v="20"/>
    <s v="Quantidade insuficiente para terminar a ordem"/>
    <s v="NÃO"/>
    <s v="TRASEIRO TAM-G=20 UND"/>
    <d v="2026-06-04T15:58:40"/>
    <m/>
    <n v="619"/>
    <x v="1"/>
    <m/>
    <s v="cfd63914-5b37-43a6-bc3d-c5dddc1f8b0c"/>
    <d v="2026-06-04T00:00:00"/>
    <x v="0"/>
  </r>
  <r>
    <x v="74"/>
    <s v="idealconfecltda@gmail.com"/>
    <n v="300265330"/>
    <n v="16299213"/>
    <x v="1"/>
    <x v="10"/>
    <n v="1"/>
    <s v="Quantidade insuficiente para terminar a ordem"/>
    <s v="NÃO"/>
    <s v="NÃO TEMOS MAIS"/>
    <d v="2026-06-04T16:02:58"/>
    <m/>
    <n v="620"/>
    <x v="1"/>
    <m/>
    <s v="003abfb2-3d9d-4f09-a864-76329d41b62b"/>
    <d v="2026-06-04T00:00:00"/>
    <x v="0"/>
  </r>
  <r>
    <x v="56"/>
    <s v="idealconfecltda@gmail.com"/>
    <n v="300265330"/>
    <n v="16299213"/>
    <x v="2"/>
    <x v="5"/>
    <n v="10"/>
    <s v="Quantidade insuficiente para terminar a ordem"/>
    <s v="NÃO"/>
    <s v="INSUFICIENTE PARA PROXIMA OP"/>
    <d v="2026-06-04T16:04:44"/>
    <m/>
    <n v="621"/>
    <x v="1"/>
    <m/>
    <s v="ee88cc57-4854-4a47-bcc1-63e1290fdea4"/>
    <d v="2026-06-04T00:00:00"/>
    <x v="0"/>
  </r>
  <r>
    <x v="43"/>
    <s v="faccaoello@hotmail.com"/>
    <n v="300261446"/>
    <n v="16447590"/>
    <x v="2"/>
    <x v="22"/>
    <n v="4"/>
    <s v="MATERIAL COM DEFEITO"/>
    <s v="NÃO"/>
    <s v="LADO DIREITO: 5-2; 4-1; 3-1"/>
    <d v="2026-06-04T16:46:19"/>
    <m/>
    <n v="622"/>
    <x v="1"/>
    <m/>
    <s v="5e165da1-f3f0-42ca-b3e3-9a5effbebbf2"/>
    <d v="2026-06-04T00:00:00"/>
    <x v="0"/>
  </r>
  <r>
    <x v="43"/>
    <s v="faccaoello@hotmail.com"/>
    <n v="300261446"/>
    <n v="16447590"/>
    <x v="2"/>
    <x v="22"/>
    <n v="4"/>
    <s v="MATERIAL COM DEFEITO"/>
    <s v="NÃO"/>
    <s v="FRENTES LADO ESQUERDO- 5-2; 3-2"/>
    <d v="2026-06-04T16:47:54"/>
    <m/>
    <n v="623"/>
    <x v="1"/>
    <m/>
    <s v="89e5e173-816d-422d-9623-401474d5ae22"/>
    <d v="2026-06-04T00:00:00"/>
    <x v="0"/>
  </r>
  <r>
    <x v="16"/>
    <s v="arconfec-oes@hotmail.com"/>
    <n v="300263238"/>
    <n v="15773469"/>
    <x v="2"/>
    <x v="12"/>
    <n v="88"/>
    <s v="Quantidade insuficiente para terminar a ordem"/>
    <s v="NÃO"/>
    <s v="FALTANDO UM LOTE DO TRASEIRO DO TAMANHO 50"/>
    <d v="2026-06-04T16:56:15"/>
    <m/>
    <n v="624"/>
    <x v="1"/>
    <m/>
    <s v="ae3705ed-4a92-4c65-9cdf-25d51485d0be"/>
    <d v="2026-06-04T00:00:00"/>
    <x v="0"/>
  </r>
  <r>
    <x v="83"/>
    <s v="auxiforte@hotmail.com"/>
    <n v="300266759"/>
    <n v="16463951"/>
    <x v="3"/>
    <x v="12"/>
    <n v="5"/>
    <s v="Quantidade insuficiente para terminar a ordem"/>
    <s v="NÃO"/>
    <s v="ORDEM - 300266759; MATERIAL INSUFICIENTE PARA FINALIZAR OP;"/>
    <d v="2026-06-04T17:45:42"/>
    <m/>
    <n v="625"/>
    <x v="1"/>
    <m/>
    <s v="131fd264-40dd-4a5a-b36d-ac1784be459d"/>
    <d v="2026-06-04T00:00:00"/>
    <x v="0"/>
  </r>
  <r>
    <x v="30"/>
    <s v="bensilvaconfeccoes@gmail.com"/>
    <n v="300269339"/>
    <n v="15773477"/>
    <x v="2"/>
    <x v="0"/>
    <n v="30"/>
    <s v="Quantidade insuficiente para terminar a ordem"/>
    <s v="NÃO"/>
    <s v="Bom dia, estou solicitando pela 3ª vez essas capas de artoks. Ela não chegou em nenhuma das solicitações feitas, por favor enviar no próximo caminhão, estamos precisando. "/>
    <d v="2026-06-05T07:18:41"/>
    <m/>
    <n v="626"/>
    <x v="2"/>
    <m/>
    <s v="f77abcda-6c86-4198-abc9-deed2b9d4dec"/>
    <d v="2026-06-05T00:00:00"/>
    <x v="0"/>
  </r>
  <r>
    <x v="15"/>
    <s v="spauloazevedo@bol.com.br"/>
    <n v="300269952"/>
    <n v="16487494"/>
    <x v="0"/>
    <x v="2"/>
    <n v="12"/>
    <s v="Material não enviado pela Guararapes"/>
    <s v="NÃO"/>
    <s v="12 etq de composição tamanho G"/>
    <d v="2026-06-05T07:56:13"/>
    <m/>
    <n v="627"/>
    <x v="1"/>
    <m/>
    <s v="fb1b5665-c0c7-455e-a8cf-5f45e9f37b47"/>
    <d v="2026-06-05T00:00:00"/>
    <x v="0"/>
  </r>
  <r>
    <x v="53"/>
    <s v="g4confeccao@gmail.com"/>
    <n v="300262514"/>
    <n v="16292987"/>
    <x v="2"/>
    <x v="26"/>
    <n v="54"/>
    <s v="Quantidade insuficiente para terminar a ordem"/>
    <s v="NÃO"/>
    <s v="18 pala tamanho 36, 18 pala tamanho 40 e 18 pala tamanho 42"/>
    <d v="2026-06-05T08:02:06"/>
    <m/>
    <n v="628"/>
    <x v="1"/>
    <m/>
    <s v="54f9646a-af36-49bd-a85a-2b1a9bd63c43"/>
    <d v="2026-06-05T00:00:00"/>
    <x v="0"/>
  </r>
  <r>
    <x v="32"/>
    <s v="di3confec@gmail.com"/>
    <n v="300268567"/>
    <n v="16441630"/>
    <x v="3"/>
    <x v="0"/>
    <n v="30"/>
    <s v="REPOSIÇÃO"/>
    <s v="NÃO"/>
    <s v="Preciso de 30 sacos para embalar as ordens"/>
    <d v="2026-06-05T08:58:20"/>
    <m/>
    <n v="629"/>
    <x v="1"/>
    <m/>
    <s v="3cf17f82-6b6b-49bb-ac9b-6dc90855810d"/>
    <d v="2026-06-05T00:00:00"/>
    <x v="0"/>
  </r>
  <r>
    <x v="32"/>
    <s v="di3confec@gmail.com"/>
    <n v="300264802"/>
    <n v="15773949"/>
    <x v="2"/>
    <x v="12"/>
    <n v="5"/>
    <s v="Quantidade insuficiente para terminar a ordem"/>
    <s v="NÃO"/>
    <s v="Preciso de 5 partes do traseiro para finalizar a ordem. 42 - 2; 48 - 3"/>
    <d v="2026-06-05T09:08:16"/>
    <m/>
    <n v="630"/>
    <x v="1"/>
    <m/>
    <s v="36a18f1c-b40d-4fff-ad41-07cf47619bb4"/>
    <d v="2026-06-05T00:00:00"/>
    <x v="0"/>
  </r>
  <r>
    <x v="3"/>
    <s v="qualidade@solybrasil.com.br"/>
    <n v="300262226"/>
    <n v="16473337"/>
    <x v="3"/>
    <x v="14"/>
    <n v="60"/>
    <s v="Quantidade insuficiente para terminar a ordem"/>
    <s v="NÃO"/>
    <s v="faltou vies de gola para 60 peças "/>
    <d v="2026-06-05T09:24:30"/>
    <m/>
    <n v="631"/>
    <x v="1"/>
    <m/>
    <s v="18364969-456f-4a64-b992-51702206bcc7"/>
    <d v="2026-06-05T00:00:00"/>
    <x v="0"/>
  </r>
  <r>
    <x v="82"/>
    <s v="vitalizeconfeccoes@gmail.com"/>
    <n v="300268562"/>
    <n v="16474228"/>
    <x v="3"/>
    <x v="12"/>
    <n v="150"/>
    <s v="Material não enviado pela Guararapes"/>
    <s v="NÃO"/>
    <s v="TAMANHOS: GG=75; P=75."/>
    <d v="2026-06-05T09:47:21"/>
    <m/>
    <n v="632"/>
    <x v="1"/>
    <m/>
    <s v="90c02315-8d78-46bf-ac32-7287346965cb"/>
    <d v="2026-06-05T00:00:00"/>
    <x v="0"/>
  </r>
  <r>
    <x v="10"/>
    <s v="acauaconfeccoes@outlook.com"/>
    <n v="300270798"/>
    <n v="16441354"/>
    <x v="3"/>
    <x v="8"/>
    <n v="1300"/>
    <s v="Quantidade insuficiente para terminar a ordem"/>
    <s v="NÃO"/>
    <s v="Estamos precisando de linhas pra poder iniciar a ordem "/>
    <d v="2026-06-05T10:41:17"/>
    <m/>
    <n v="633"/>
    <x v="2"/>
    <m/>
    <s v="0f114cf8-2394-4a2e-b592-ff5202c48e5b"/>
    <d v="2026-06-05T00:00:00"/>
    <x v="0"/>
  </r>
  <r>
    <x v="10"/>
    <s v="acauaconfeccoes@outlook.com"/>
    <n v="300270798"/>
    <n v="16441354"/>
    <x v="3"/>
    <x v="19"/>
    <n v="1300"/>
    <s v="Quantidade insuficiente para terminar a ordem"/>
    <s v="NÃO"/>
    <s v="Estamos precisando de fios pra poder iniciar a ordem "/>
    <d v="2026-06-05T10:42:27"/>
    <m/>
    <n v="634"/>
    <x v="2"/>
    <m/>
    <s v="45f8b2cb-697e-48e9-93dd-b2da0d6ac1ec"/>
    <d v="2026-06-05T00:00:00"/>
    <x v="0"/>
  </r>
  <r>
    <x v="13"/>
    <s v="administrativo@zajaconfeccoes.com.br"/>
    <n v="300266585"/>
    <n v="16526112"/>
    <x v="0"/>
    <x v="59"/>
    <n v="150"/>
    <s v="Quantidade insuficiente para terminar a ordem"/>
    <s v="NÃO"/>
    <s v="SILICONE PARA 150 PEÇAS "/>
    <d v="2026-06-05T10:45:30"/>
    <m/>
    <n v="635"/>
    <x v="1"/>
    <m/>
    <s v="7f145609-a0f8-4771-9817-eb236e7a9ff6"/>
    <d v="2026-06-05T00:00:00"/>
    <x v="0"/>
  </r>
  <r>
    <x v="14"/>
    <s v="asaequador@gmail.com"/>
    <n v="300268035"/>
    <n v="16508203"/>
    <x v="2"/>
    <x v="29"/>
    <n v="1.139"/>
    <s v="Material diferente do especificado na ordem"/>
    <s v="NÃO"/>
    <s v="vies da boca do bolso na cor preta ,pois veio na cor cru , falei com Rejane mandou perdi reposição. "/>
    <d v="2026-06-05T10:55:23"/>
    <m/>
    <n v="636"/>
    <x v="2"/>
    <m/>
    <s v="0a1635ce-3b2a-4c88-a4b9-16706ca8a47a"/>
    <d v="2026-06-05T00:00:00"/>
    <x v="0"/>
  </r>
  <r>
    <x v="13"/>
    <s v="administrativo@zajaconfeccoes.com.br"/>
    <n v="300264562"/>
    <n v="16477588"/>
    <x v="3"/>
    <x v="19"/>
    <n v="6"/>
    <s v="Quantidade insuficiente para terminar a ordem"/>
    <s v="NÃO"/>
    <s v="CÓDIGO: 10000071987"/>
    <d v="2026-06-05T12:09:24"/>
    <m/>
    <n v="637"/>
    <x v="1"/>
    <m/>
    <s v="3105d07b-2b00-4513-8751-74af146c75d0"/>
    <d v="2026-06-05T00:00:00"/>
    <x v="0"/>
  </r>
  <r>
    <x v="1"/>
    <s v="felconfeccao@gmail.com"/>
    <n v="300267372"/>
    <n v="16448424"/>
    <x v="2"/>
    <x v="17"/>
    <n v="45"/>
    <s v="Erro operacional da oficina"/>
    <s v="NÃO"/>
    <m/>
    <d v="2026-06-05T12:50:14"/>
    <m/>
    <n v="638"/>
    <x v="1"/>
    <m/>
    <s v="cd4de47b-12f1-4fce-9eca-ec6c574bd9a0"/>
    <d v="2026-06-05T00:00:00"/>
    <x v="0"/>
  </r>
  <r>
    <x v="83"/>
    <s v="auxiforte@hotmail.com"/>
    <n v="300266768"/>
    <n v="16461649"/>
    <x v="3"/>
    <x v="12"/>
    <n v="5"/>
    <s v="Quantidade insuficiente para terminar a ordem"/>
    <s v="NÃO"/>
    <s v="ORDEM - 300266768; MATERIAL INSUFICIENTE PARA FINALIZAR OP;"/>
    <d v="2026-06-05T13:23:51"/>
    <m/>
    <n v="639"/>
    <x v="1"/>
    <m/>
    <s v="8bc261de-a575-4737-8698-431ddad4b3fc"/>
    <d v="2026-06-05T00:00:00"/>
    <x v="0"/>
  </r>
  <r>
    <x v="6"/>
    <s v="confeccoesgbdas@hotmail.com"/>
    <n v="300268649"/>
    <n v="16217799"/>
    <x v="2"/>
    <x v="2"/>
    <n v="24"/>
    <s v="Erro operacional da oficina"/>
    <s v="NÃO"/>
    <s v="12 ETIQUETAS DE COMPOSIÇÃO TAM 13-14 // 12 ETIQUETAS DE COMPOSIÇÃO TAM 8-9"/>
    <d v="2026-06-05T13:36:17"/>
    <m/>
    <n v="640"/>
    <x v="1"/>
    <m/>
    <s v="ac7e27a4-1e2a-4187-b93e-53302905b3cd"/>
    <d v="2026-06-05T00:00:00"/>
    <x v="0"/>
  </r>
  <r>
    <x v="56"/>
    <s v="idealconfecltda@gmail.com"/>
    <n v="300262467"/>
    <n v="14487004"/>
    <x v="1"/>
    <x v="8"/>
    <n v="15"/>
    <s v="Quantidade insuficiente para terminar a ordem"/>
    <s v="NÃO"/>
    <s v="LINHA CODIGO 10000072592"/>
    <d v="2026-06-05T13:37:12"/>
    <m/>
    <n v="641"/>
    <x v="1"/>
    <m/>
    <s v="dd6944e0-88db-42fd-8ece-11faf93615dd"/>
    <d v="2026-06-05T00:00:00"/>
    <x v="0"/>
  </r>
  <r>
    <x v="56"/>
    <s v="idealconfecltda@gmail.com"/>
    <n v="300262467"/>
    <n v="14487004"/>
    <x v="1"/>
    <x v="19"/>
    <n v="15"/>
    <s v="Quantidade insuficiente para terminar a ordem"/>
    <s v="NÃO"/>
    <s v="FIO CODIGO10000072018"/>
    <d v="2026-06-05T13:38:47"/>
    <m/>
    <n v="642"/>
    <x v="1"/>
    <m/>
    <s v="871dbd2d-a2d1-475d-872d-d8791f91951b"/>
    <d v="2026-06-05T00:00:00"/>
    <x v="0"/>
  </r>
  <r>
    <x v="56"/>
    <s v="idealconfecltda@gmail.com"/>
    <n v="300262467"/>
    <n v="14487004"/>
    <x v="1"/>
    <x v="7"/>
    <n v="100"/>
    <s v="Quantidade insuficiente para terminar a ordem"/>
    <s v="NÃO"/>
    <s v="FALTANDO"/>
    <d v="2026-06-05T13:40:38"/>
    <m/>
    <n v="643"/>
    <x v="1"/>
    <m/>
    <s v="3892b625-0a0b-417d-ae8e-2cc610d8f924"/>
    <d v="2026-06-05T00:00:00"/>
    <x v="0"/>
  </r>
  <r>
    <x v="56"/>
    <s v="idealconfecltda@gmail.com"/>
    <n v="300265330"/>
    <n v="16299213"/>
    <x v="2"/>
    <x v="10"/>
    <n v="1"/>
    <s v="Quantidade insuficiente para terminar a ordem"/>
    <s v="NÃO"/>
    <s v="INSUFICIENTE"/>
    <d v="2026-06-05T13:42:42"/>
    <m/>
    <n v="644"/>
    <x v="1"/>
    <m/>
    <s v="0f3d75c1-4787-4e4d-bebb-0a49db58ea14"/>
    <d v="2026-06-05T00:00:00"/>
    <x v="0"/>
  </r>
  <r>
    <x v="20"/>
    <s v="CONFECCAOSAOSEBASTIAO@GMAIL.COM"/>
    <n v="300268036"/>
    <n v="16508203"/>
    <x v="2"/>
    <x v="2"/>
    <n v="30"/>
    <s v="Quantidade insuficiente para terminar a ordem"/>
    <s v="NÃO"/>
    <s v="Etiqueta de composição , tamanho 42, para 30 peças."/>
    <d v="2026-06-05T14:13:53"/>
    <m/>
    <n v="645"/>
    <x v="1"/>
    <m/>
    <s v="b163272f-29a6-42a9-9a47-04c002c56dec"/>
    <d v="2026-06-05T00:00:00"/>
    <x v="0"/>
  </r>
  <r>
    <x v="84"/>
    <s v="recanto.confeccoesjs@gmail.com"/>
    <n v="300266626"/>
    <n v="16474090"/>
    <x v="2"/>
    <x v="12"/>
    <n v="64"/>
    <s v="Lotes veio com entrada de faca "/>
    <s v="NÃO"/>
    <s v="2 lotes de traseiro tamanho 42 com entrada de faca "/>
    <d v="2026-06-05T14:35:41"/>
    <m/>
    <n v="646"/>
    <x v="1"/>
    <m/>
    <s v="a111c640-5bde-40ae-8554-bff7e66f847c"/>
    <d v="2026-06-05T00:00:00"/>
    <x v="0"/>
  </r>
  <r>
    <x v="84"/>
    <s v="recanto.confeccoesjs@gmail.com"/>
    <n v="300266626"/>
    <n v="16474090"/>
    <x v="2"/>
    <x v="5"/>
    <n v="1000"/>
    <s v="Quantidade insuficiente para terminar a ordem"/>
    <s v="NÃO"/>
    <m/>
    <d v="2026-06-05T14:36:53"/>
    <m/>
    <n v="647"/>
    <x v="2"/>
    <m/>
    <s v="ba30d2fd-ac8d-4936-b236-7429912ff4ec"/>
    <d v="2026-06-05T00:00:00"/>
    <x v="0"/>
  </r>
  <r>
    <x v="24"/>
    <s v="maxwelaaraujo7@gmail.com"/>
    <n v="300266430"/>
    <n v="15128288"/>
    <x v="1"/>
    <x v="7"/>
    <n v="500"/>
    <s v="MATERIAL PARA PROXIMAS PRODUÇÕES"/>
    <s v="NÃO"/>
    <m/>
    <d v="2026-06-05T15:36:48"/>
    <m/>
    <n v="648"/>
    <x v="2"/>
    <m/>
    <s v="6399885d-b3c8-4fea-8b00-e5703786bc47"/>
    <d v="2026-06-05T00:00:00"/>
    <x v="0"/>
  </r>
  <r>
    <x v="56"/>
    <s v="idealconfecltda@gmail.com"/>
    <n v="300266979"/>
    <n v="15773167"/>
    <x v="2"/>
    <x v="26"/>
    <n v="74"/>
    <s v="Quantidade insuficiente para terminar a ordem"/>
    <s v="NÃO"/>
    <s v="faltou um lote de palas tamanho 36"/>
    <d v="2026-06-05T15:40:27"/>
    <m/>
    <n v="649"/>
    <x v="1"/>
    <m/>
    <s v="e77f1744-3ab1-4eb0-ad12-1943eb064670"/>
    <d v="2026-06-05T00:00:00"/>
    <x v="0"/>
  </r>
  <r>
    <x v="14"/>
    <s v="asaequador@gmail.com"/>
    <n v="300268014"/>
    <n v="15252485"/>
    <x v="2"/>
    <x v="2"/>
    <n v="32"/>
    <s v="Quantidade insuficiente para terminar a ordem"/>
    <s v="NÃO"/>
    <s v="ESTAMOS PRECISANDO PRA CONCLUIR A ORDEM 48-2 , 46-5 , 44-5 ,42 -5 , 40-5, 38-5 , 36-5."/>
    <d v="2026-06-05T15:42:59"/>
    <m/>
    <n v="650"/>
    <x v="1"/>
    <m/>
    <s v="0997ea8c-4584-45fc-9019-237fbef48186"/>
    <d v="2026-06-05T00:00:00"/>
    <x v="0"/>
  </r>
  <r>
    <x v="15"/>
    <s v="spauloazevedo@bol.com.br"/>
    <n v="300253709"/>
    <n v="16373570"/>
    <x v="2"/>
    <x v="22"/>
    <n v="36"/>
    <s v="Material não enviado pela Guararapes"/>
    <s v="BORDADO"/>
    <s v="essa reposição é só o lado esquerdo da frente ( bordado ) tam 6-7= 14 pçs        tam 8-9= 4 pçs        tam= 9-10= 9pçs        tam= 11-12= 9pçs"/>
    <d v="2026-06-05T15:49:24"/>
    <m/>
    <n v="651"/>
    <x v="1"/>
    <m/>
    <s v="815f1ff2-5455-437b-9c40-4d669a9dc766"/>
    <d v="2026-06-05T00:00:00"/>
    <x v="0"/>
  </r>
  <r>
    <x v="31"/>
    <s v="administrativo@zajaconfeccoes.com.br"/>
    <n v="300268561"/>
    <n v="16462998"/>
    <x v="3"/>
    <x v="30"/>
    <n v="44"/>
    <s v="Quantidade insuficiente para terminar a ordem"/>
    <s v="NÃO"/>
    <s v="GG-44"/>
    <d v="2026-06-05T16:00:26"/>
    <m/>
    <n v="652"/>
    <x v="1"/>
    <m/>
    <s v="4da5756d-b09f-496a-9d9d-86ce93298ec8"/>
    <d v="2026-06-05T00:00:00"/>
    <x v="0"/>
  </r>
  <r>
    <x v="83"/>
    <s v="auxiforte@hotmail.com"/>
    <n v="300268122"/>
    <n v="16453808"/>
    <x v="0"/>
    <x v="12"/>
    <n v="4"/>
    <s v="Quantidade insuficiente para terminar a ordem"/>
    <s v="NÃO"/>
    <s v="ORDEM - 300268122; MATERIAL INSUFICIENTE PARA FINALIZAR OP;"/>
    <d v="2026-06-05T17:02:03"/>
    <m/>
    <n v="653"/>
    <x v="1"/>
    <m/>
    <s v="d7d535b4-9df0-498b-abd6-a7881ca1d091"/>
    <d v="2026-06-05T00:00:00"/>
    <x v="0"/>
  </r>
  <r>
    <x v="44"/>
    <s v="teceuzl@hotmail.com"/>
    <n v="300269834"/>
    <n v="0"/>
    <x v="1"/>
    <x v="9"/>
    <n v="950"/>
    <s v="Quantidade insuficiente para terminar a ordem"/>
    <s v="NÃO"/>
    <s v="10 CONES DE LINHA E 5 CONES DE FIOS "/>
    <d v="2026-06-05T17:35:44"/>
    <m/>
    <n v="654"/>
    <x v="1"/>
    <m/>
    <s v="d29773db-8c8c-4f19-b5d6-0ce3ee6434f8"/>
    <d v="2026-06-05T00:00:00"/>
    <x v="0"/>
  </r>
  <r>
    <x v="50"/>
    <s v="mkdeazevedomedeiros@gmail.com"/>
    <n v="300268012"/>
    <n v="15252485"/>
    <x v="2"/>
    <x v="13"/>
    <n v="550"/>
    <s v="Quantidade insuficiente para terminar a ordem"/>
    <s v="NÃO"/>
    <s v="ziper 17 cm: 350; ziper 15 cm 200"/>
    <d v="2026-06-05T17:44:02"/>
    <m/>
    <n v="655"/>
    <x v="1"/>
    <m/>
    <s v="8a8f9d1b-c8d8-4771-83cf-6796667e9be9"/>
    <d v="2026-06-05T00:00:00"/>
    <x v="0"/>
  </r>
  <r>
    <x v="41"/>
    <s v="faccao_sales2010@hotmail.com"/>
    <n v="300248729"/>
    <n v="16247388"/>
    <x v="2"/>
    <x v="44"/>
    <n v="100"/>
    <s v="Quantidade insuficiente para terminar a ordem"/>
    <s v="NÃO"/>
    <s v="TAMANHO 9/10"/>
    <d v="2026-06-05T17:51:17"/>
    <m/>
    <n v="656"/>
    <x v="1"/>
    <m/>
    <s v="ad642080-e8f2-4027-90e6-2fcbaa675aea"/>
    <d v="2026-06-05T00:00:00"/>
    <x v="0"/>
  </r>
  <r>
    <x v="56"/>
    <s v="idealconfecltda@gmail.com"/>
    <n v="300268961"/>
    <s v="PAPELAO"/>
    <x v="2"/>
    <x v="10"/>
    <n v="1"/>
    <s v="REPOSIÇÃO"/>
    <s v="NÃO"/>
    <m/>
    <d v="2026-06-05T18:29:53"/>
    <m/>
    <n v="657"/>
    <x v="1"/>
    <m/>
    <s v="cbd59c1f-1656-4a05-ad2a-92454c6bd34e"/>
    <d v="2026-06-05T00:00:00"/>
    <x v="0"/>
  </r>
  <r>
    <x v="83"/>
    <s v="auxiforte@hotmail.com"/>
    <n v="300265940"/>
    <n v="16310950"/>
    <x v="0"/>
    <x v="22"/>
    <n v="5"/>
    <s v="Quantidade insuficiente para terminar a ordem"/>
    <s v="NÃO"/>
    <s v="ORDEM - 30026594; MATERIAL INSUFICIENTE PARA FINALIZAR OP;"/>
    <d v="2026-06-06T07:44:45"/>
    <m/>
    <n v="658"/>
    <x v="1"/>
    <m/>
    <s v="c7fa9e9e-19d3-40c4-b74e-0e32e3452fd0"/>
    <d v="2026-06-06T00:00:00"/>
    <x v="0"/>
  </r>
  <r>
    <x v="33"/>
    <s v="w.anny.k@hotmail.com"/>
    <n v="300269756"/>
    <n v="15864448"/>
    <x v="2"/>
    <x v="3"/>
    <n v="30"/>
    <s v="Quantidade insuficiente para terminar a ordem"/>
    <s v="NÃO"/>
    <s v="PRECISO DE 30 ETIQUETA CASUAL MENSWEAR ALL SEASON PRA FINALIZAR A ORDEM 300269756"/>
    <d v="2026-06-08T07:09:02"/>
    <m/>
    <n v="659"/>
    <x v="2"/>
    <m/>
    <s v="05b72862-9e76-48f6-af89-6c2ebef63722"/>
    <d v="2026-06-08T00:00:00"/>
    <x v="0"/>
  </r>
  <r>
    <x v="21"/>
    <s v="potengitextil@outlook.com.br"/>
    <n v="300257148"/>
    <n v="15128288"/>
    <x v="1"/>
    <x v="27"/>
    <n v="768"/>
    <s v="Material não enviado pela Guararapes"/>
    <s v="NÃO"/>
    <s v="768 botões "/>
    <d v="2026-06-08T07:11:50"/>
    <m/>
    <n v="660"/>
    <x v="2"/>
    <m/>
    <s v="6b30113a-611b-49ec-9527-be1c8e8c3c21"/>
    <d v="2026-06-08T00:00:00"/>
    <x v="0"/>
  </r>
  <r>
    <x v="33"/>
    <s v="w.anny.k@hotmail.com"/>
    <n v="300263220"/>
    <n v="15215539"/>
    <x v="1"/>
    <x v="14"/>
    <n v="5"/>
    <s v="Quantidade insuficiente para terminar a ordem"/>
    <s v="NÃO"/>
    <s v="PRECISO DE 5 VIES DA GOLA PRA FINALIZAR A ORDEM 300263220"/>
    <d v="2026-06-08T07:12:49"/>
    <m/>
    <n v="661"/>
    <x v="2"/>
    <m/>
    <s v="2c666f7e-bda3-447d-885f-510bc9b5b740"/>
    <d v="2026-06-08T00:00:00"/>
    <x v="0"/>
  </r>
  <r>
    <x v="21"/>
    <s v="potengitextil@outlook.com.br"/>
    <n v="300267148"/>
    <n v="15128288"/>
    <x v="1"/>
    <x v="20"/>
    <n v="48"/>
    <s v="Material não enviado pela Guararapes"/>
    <s v="NÃO"/>
    <s v="48 pares de punho tamanho P/PP"/>
    <d v="2026-06-08T07:13:34"/>
    <m/>
    <n v="662"/>
    <x v="1"/>
    <m/>
    <s v="99a376a3-0cbf-4305-ad4e-8f673a415fa7"/>
    <d v="2026-06-08T00:00:00"/>
    <x v="0"/>
  </r>
  <r>
    <x v="4"/>
    <s v="hiconfeccao@gmail.com"/>
    <n v="300268059"/>
    <n v="16473604"/>
    <x v="2"/>
    <x v="2"/>
    <n v="608"/>
    <s v="Material não enviado pela Guararapes"/>
    <s v="NÃO"/>
    <s v="Pedido de Etiquetas de Composição para todos os tamanhos, ou seja, para OP completa.   Tamanho 34: pedido de 64 etiquetas de composição. Tamanho 36: pedido de 128 etiquetas de composição. Tamanho 38: pedido de 160 etiquetas de composição. Tamanho 40: pedido de 128 etiquetas de composição. Tamanho 42: pedido de 64 etiquetas de composição. Tamanho 44: pedido de 64 etiquetas de composição."/>
    <d v="2026-06-08T07:40:26"/>
    <m/>
    <n v="663"/>
    <x v="2"/>
    <m/>
    <s v="6c487a86-cf3f-4420-bfb3-3eda014693cd"/>
    <d v="2026-06-08T00:00:00"/>
    <x v="0"/>
  </r>
  <r>
    <x v="67"/>
    <s v="samuelmedeiros074@hotmail.com"/>
    <n v="300269765"/>
    <n v="15775496"/>
    <x v="2"/>
    <x v="37"/>
    <n v="932"/>
    <s v="ENTRETELA PREGADO NO LADO ERRADO"/>
    <s v="NÃO"/>
    <s v="932 PEÇAS COM A ENTRETELA PREGADO NO LADO ERRADO"/>
    <d v="2026-06-08T08:15:35"/>
    <m/>
    <n v="664"/>
    <x v="2"/>
    <m/>
    <s v="2e1fe20f-1195-4fa3-a524-cebe58b38b3d"/>
    <d v="2026-06-08T00:00:00"/>
    <x v="0"/>
  </r>
  <r>
    <x v="82"/>
    <s v="vitalizeconfeccoes@gmail.com"/>
    <n v="300265455"/>
    <n v="16465164"/>
    <x v="3"/>
    <x v="4"/>
    <n v="1.4850000000000001"/>
    <s v="Material não enviado pela Guararapes"/>
    <s v="NÃO"/>
    <s v="A ORDEM VEIO SEM ETIQUETA DE PREÇO "/>
    <d v="2026-06-08T08:20:17"/>
    <m/>
    <n v="665"/>
    <x v="2"/>
    <m/>
    <s v="8ceadb7a-9731-4b56-8f12-53a17bba3783"/>
    <d v="2026-06-08T00:00:00"/>
    <x v="0"/>
  </r>
  <r>
    <x v="82"/>
    <s v="vitalizeconfeccoes@gmail.com"/>
    <n v="300265453"/>
    <n v="16465164"/>
    <x v="3"/>
    <x v="4"/>
    <n v="8"/>
    <s v="Quantidade insuficiente para terminar a ordem"/>
    <s v="NÃO"/>
    <m/>
    <d v="2026-06-08T08:22:47"/>
    <m/>
    <n v="666"/>
    <x v="1"/>
    <m/>
    <s v="7c6dfc70-3a98-4cf1-9a15-dac0325ce259"/>
    <d v="2026-06-08T00:00:00"/>
    <x v="0"/>
  </r>
  <r>
    <x v="23"/>
    <s v="reposicoesjkmodas@gmail.com"/>
    <n v="300269812"/>
    <n v="16373685"/>
    <x v="2"/>
    <x v="18"/>
    <n v="1606"/>
    <s v="Material não enviado pela Guararapes"/>
    <s v="NÃO"/>
    <s v="10000195771 - ELASTICO GENOVA 50MM CRU. PARA TODA A OP"/>
    <d v="2026-06-08T09:05:27"/>
    <m/>
    <n v="667"/>
    <x v="2"/>
    <m/>
    <s v="74251c16-f7b7-4602-a989-7fd84e361b0f"/>
    <d v="2026-06-08T00:00:00"/>
    <x v="0"/>
  </r>
  <r>
    <x v="23"/>
    <s v="reposicoesjkmodas@gmail.com"/>
    <n v="300269812"/>
    <n v="16373685"/>
    <x v="2"/>
    <x v="8"/>
    <n v="1606"/>
    <s v="Material não enviado pela Guararapes"/>
    <s v="NÃO"/>
    <s v="LINHA 10000062975 - LINHA PARA TODA A OP. "/>
    <d v="2026-06-08T09:07:58"/>
    <m/>
    <n v="668"/>
    <x v="2"/>
    <m/>
    <s v="82a1e219-ed61-4e63-a901-32bd98f50020"/>
    <d v="2026-06-08T00:00:00"/>
    <x v="0"/>
  </r>
  <r>
    <x v="76"/>
    <s v="pn.fenix@gmail.com"/>
    <n v="300269350"/>
    <n v="15773477"/>
    <x v="2"/>
    <x v="10"/>
    <n v="0"/>
    <s v="Quantidade insuficiente para terminar a ordem"/>
    <s v="NÃO"/>
    <s v="Papelão para gabarito"/>
    <d v="2026-06-08T09:27:17"/>
    <m/>
    <n v="669"/>
    <x v="2"/>
    <m/>
    <s v="1986ba28-896e-4259-ac46-a33284588142"/>
    <d v="2026-06-08T00:00:00"/>
    <x v="0"/>
  </r>
  <r>
    <x v="21"/>
    <s v="potengitextil@outlook.com.br"/>
    <n v="300264027"/>
    <n v="16447549"/>
    <x v="2"/>
    <x v="2"/>
    <n v="902"/>
    <s v="Material não enviado pela Guararapes"/>
    <s v="NÃO"/>
    <s v="1-82; 2-164; 3-164; 4-164; 5-164; 6-164"/>
    <d v="2026-06-08T09:35:39"/>
    <m/>
    <n v="670"/>
    <x v="2"/>
    <m/>
    <s v="9faeec37-bc0f-4f45-bc4f-fee5ae49457f"/>
    <d v="2026-06-08T00:00:00"/>
    <x v="0"/>
  </r>
  <r>
    <x v="21"/>
    <s v="potengitextil@outlook.com.br"/>
    <n v="300264027"/>
    <n v="16447549"/>
    <x v="2"/>
    <x v="3"/>
    <n v="5"/>
    <s v="Quantidade insuficiente para terminar a ordem"/>
    <s v="NÃO"/>
    <s v="5 etiquetas tamanho 5"/>
    <d v="2026-06-08T09:37:23"/>
    <m/>
    <n v="671"/>
    <x v="1"/>
    <m/>
    <s v="ae1ad640-d94c-423d-a6fe-32b6054ce2c8"/>
    <d v="2026-06-08T00:00:00"/>
    <x v="0"/>
  </r>
  <r>
    <x v="44"/>
    <s v="teceuzl@hotmail.com"/>
    <n v="300269834"/>
    <n v="16442660"/>
    <x v="1"/>
    <x v="6"/>
    <n v="30"/>
    <s v="Material não enviado pela Guararapes"/>
    <s v="NÃO"/>
    <s v="TAMANHO M/G - 25; TAMANHO PP/P - 5"/>
    <d v="2026-06-08T09:38:46"/>
    <m/>
    <n v="672"/>
    <x v="1"/>
    <m/>
    <s v="9bf1eca8-c430-4066-abaf-09c904555481"/>
    <d v="2026-06-08T00:00:00"/>
    <x v="0"/>
  </r>
  <r>
    <x v="65"/>
    <s v="FORTETECNOLOGIATEXTIL@GMAIL.COM"/>
    <n v="300267524"/>
    <n v="16223780"/>
    <x v="3"/>
    <x v="11"/>
    <n v="1924"/>
    <s v="GOSTARIA DE REPOSIÇÃO DE 01 PISTOLA E 2 KIT DE AGULHAS, PARA DEIXAR DE USO INDIVIDUAL, COMO FOI ORIENTADO NO TREINAMENTO."/>
    <s v="NÃO"/>
    <s v="REPOSIÇÃO DE 01 POSTOLA E 2 KIT DE AGULHAS PARA PISTOLA."/>
    <d v="2026-06-08T09:39:13"/>
    <m/>
    <n v="673"/>
    <x v="2"/>
    <m/>
    <s v="4bff7285-a39a-4138-ba36-075218b448f7"/>
    <d v="2026-06-08T00:00:00"/>
    <x v="0"/>
  </r>
  <r>
    <x v="44"/>
    <s v="teceuzl@hotmail.com"/>
    <n v="300269834"/>
    <n v="16442660"/>
    <x v="1"/>
    <x v="20"/>
    <n v="150"/>
    <s v="Material não enviado pela Guararapes"/>
    <s v="NÃO"/>
    <s v="PUNHO - TAMANHO M/G - 100; TAMANHO PP/P - 50"/>
    <d v="2026-06-08T09:40:15"/>
    <m/>
    <n v="674"/>
    <x v="1"/>
    <m/>
    <s v="cc947c24-325b-4fa3-99df-3bf989976590"/>
    <d v="2026-06-08T00:00:00"/>
    <x v="0"/>
  </r>
  <r>
    <x v="84"/>
    <s v="recanto.confeccoesjs@gmail.com"/>
    <n v="300266626"/>
    <n v="16474090"/>
    <x v="2"/>
    <x v="22"/>
    <n v="32"/>
    <s v="Peças vieram com entrada de faca "/>
    <s v="NÃO"/>
    <m/>
    <d v="2026-06-08T09:41:14"/>
    <m/>
    <n v="675"/>
    <x v="2"/>
    <m/>
    <s v="313ab76d-b605-4ae8-8944-ee5fceeb62ee"/>
    <d v="2026-06-08T00:00:00"/>
    <x v="0"/>
  </r>
  <r>
    <x v="34"/>
    <s v="dantasepaulino@gmail.com"/>
    <n v="300261843"/>
    <n v="15773167"/>
    <x v="2"/>
    <x v="2"/>
    <n v="12"/>
    <s v="Quantidade insuficiente para terminar a ordem"/>
    <s v="NÃO"/>
    <m/>
    <d v="2026-06-08T09:42:42"/>
    <m/>
    <n v="676"/>
    <x v="1"/>
    <m/>
    <s v="c38bf002-485b-47b0-a632-bb0c1d64fd0d"/>
    <d v="2026-06-08T00:00:00"/>
    <x v="0"/>
  </r>
  <r>
    <x v="84"/>
    <s v="recanto.confeccoesjs@gmail.com"/>
    <n v="300266626"/>
    <n v="16474090"/>
    <x v="2"/>
    <x v="22"/>
    <n v="32"/>
    <s v="Peça com entrada de faca "/>
    <s v="NÃO"/>
    <s v="Tam 44-32 peças "/>
    <d v="2026-06-08T09:43:52"/>
    <m/>
    <n v="677"/>
    <x v="2"/>
    <m/>
    <s v="7d8a9694-8056-4cae-b618-158a1e318e6e"/>
    <d v="2026-06-08T00:00:00"/>
    <x v="0"/>
  </r>
  <r>
    <x v="78"/>
    <s v="ocalves3@gmail.com"/>
    <n v="300267245"/>
    <n v="16508971"/>
    <x v="2"/>
    <x v="13"/>
    <n v="250"/>
    <s v="os ziper  vinheram torado, godigo do ziper: 10000065058"/>
    <s v="NÃO"/>
    <s v="os ziper vinheram com defeito"/>
    <d v="2026-06-08T10:03:28"/>
    <m/>
    <n v="678"/>
    <x v="1"/>
    <m/>
    <s v="0248b792-c150-4b47-925f-dd485dca5a57"/>
    <d v="2026-06-08T00:00:00"/>
    <x v="0"/>
  </r>
  <r>
    <x v="7"/>
    <s v="confeccaogenesisltda@gmail.com"/>
    <n v="300266589"/>
    <n v="16526112"/>
    <x v="0"/>
    <x v="60"/>
    <n v="4"/>
    <s v="Quantidade insuficiente para terminar a ordem"/>
    <s v="NÃO"/>
    <s v="agulha para pistola de pregar tag"/>
    <d v="2026-06-08T14:04:05"/>
    <m/>
    <n v="679"/>
    <x v="1"/>
    <m/>
    <s v="633ab73e-1198-41d8-a3bb-2f026ab2a7e5"/>
    <d v="2026-06-08T00:00:00"/>
    <x v="0"/>
  </r>
  <r>
    <x v="19"/>
    <s v="falconconfeccoes@hotmail.com"/>
    <n v="300268647"/>
    <n v="15775623"/>
    <x v="2"/>
    <x v="8"/>
    <n v="1"/>
    <s v="Material não enviado pela Guararapes"/>
    <s v="NÃO"/>
    <s v="Não recebi os aviamentos: Linhas ,zíperes e as etiquetas de cós."/>
    <d v="2026-06-08T14:18:06"/>
    <m/>
    <n v="680"/>
    <x v="2"/>
    <m/>
    <s v="864466f4-c6d7-475c-8bd0-ec6df1429538"/>
    <d v="2026-06-08T00:00:00"/>
    <x v="0"/>
  </r>
  <r>
    <x v="85"/>
    <s v="alvesemedeirosoficina@gmail.com"/>
    <n v="300267386"/>
    <n v="16027213"/>
    <x v="2"/>
    <x v="18"/>
    <n v="1514"/>
    <s v="Material não enviado pela Guararapes"/>
    <s v="NÃO"/>
    <m/>
    <d v="2026-06-08T14:44:34"/>
    <m/>
    <n v="681"/>
    <x v="2"/>
    <m/>
    <s v="4bd09448-1d77-40bd-a958-850efdddd971"/>
    <d v="2026-06-08T00:00:00"/>
    <x v="0"/>
  </r>
  <r>
    <x v="3"/>
    <s v="qualidade@solybrasil.com.br"/>
    <n v="300266766"/>
    <n v="16461649"/>
    <x v="3"/>
    <x v="6"/>
    <n v="106"/>
    <s v="Material não enviado pela Guararapes"/>
    <s v="NÃO"/>
    <s v="faltou 106 golas para o tamanho 3 ANOS  "/>
    <d v="2026-06-08T14:58:46"/>
    <m/>
    <n v="682"/>
    <x v="1"/>
    <m/>
    <s v="0961a8d6-8456-4a19-86c5-e29b291f4265"/>
    <d v="2026-06-08T00:00:00"/>
    <x v="0"/>
  </r>
  <r>
    <x v="56"/>
    <s v="idealconfecltda@gmail.com"/>
    <n v="300263199"/>
    <n v="15215539"/>
    <x v="1"/>
    <x v="12"/>
    <n v="69"/>
    <s v="Material não enviado pela Guararapes"/>
    <s v="SILK"/>
    <s v="TAM G-20; TAM M-34; TAM P-15;"/>
    <d v="2026-06-08T15:02:14"/>
    <m/>
    <n v="683"/>
    <x v="1"/>
    <m/>
    <s v="f205f2a6-69db-42ba-ba5c-53eb4109947d"/>
    <d v="2026-06-08T00:00:00"/>
    <x v="0"/>
  </r>
  <r>
    <x v="84"/>
    <s v="recanto.confeccoesjs@gmail.com"/>
    <n v="300266626"/>
    <n v="16474090"/>
    <x v="2"/>
    <x v="22"/>
    <n v="32"/>
    <s v="Peças vieram com entrada de faca "/>
    <s v="NÃO"/>
    <s v="Tam 38- 32 peças "/>
    <d v="2026-06-08T15:22:28"/>
    <m/>
    <n v="684"/>
    <x v="2"/>
    <m/>
    <s v="77be09b3-5402-479f-9b03-c594fb78fb12"/>
    <d v="2026-06-08T00:00:00"/>
    <x v="0"/>
  </r>
  <r>
    <x v="17"/>
    <s v="faccao_sales2010@hotmail.com"/>
    <n v="300269797"/>
    <n v="16373685"/>
    <x v="2"/>
    <x v="18"/>
    <n v="1140"/>
    <s v="Material não enviado pela Guararapes"/>
    <s v="NÃO"/>
    <m/>
    <d v="2026-06-08T15:29:53"/>
    <m/>
    <n v="685"/>
    <x v="2"/>
    <m/>
    <s v="336e611b-a539-4a82-b4cd-80494d1fcb83"/>
    <d v="2026-06-08T00:00:00"/>
    <x v="0"/>
  </r>
  <r>
    <x v="31"/>
    <s v="administrativo@zajaconfeccoes.com.br"/>
    <n v="300262458"/>
    <n v="16243668"/>
    <x v="2"/>
    <x v="22"/>
    <n v="25"/>
    <s v="Quantidade insuficiente para terminar a ordem"/>
    <s v="BORDADO"/>
    <s v="9/10-7; 11/12-12; 8/9-2; 13/14-4"/>
    <d v="2026-06-08T15:31:54"/>
    <m/>
    <n v="686"/>
    <x v="1"/>
    <m/>
    <s v="5cfa1695-d8d8-4c58-99e2-c8c40755643a"/>
    <d v="2026-06-08T00:00:00"/>
    <x v="0"/>
  </r>
  <r>
    <x v="80"/>
    <s v="fernandoassu@gmail.com"/>
    <n v="300269337"/>
    <n v="15773477"/>
    <x v="2"/>
    <x v="16"/>
    <n v="2"/>
    <s v="Material não enviado pela Guararapes"/>
    <s v="NÃO"/>
    <m/>
    <d v="2026-06-08T15:47:38"/>
    <m/>
    <n v="687"/>
    <x v="2"/>
    <m/>
    <s v="78b954f0-1c30-4279-a53e-869efd3afb78"/>
    <d v="2026-06-08T00:00:00"/>
    <x v="0"/>
  </r>
  <r>
    <x v="80"/>
    <s v="fernandoassu@gmail.com"/>
    <n v="300269337"/>
    <n v="15773477"/>
    <x v="2"/>
    <x v="2"/>
    <n v="50"/>
    <s v="Material não enviado pela Guararapes"/>
    <s v="NÃO"/>
    <s v="Tamanho 50,50 unidades"/>
    <d v="2026-06-08T15:49:24"/>
    <m/>
    <n v="688"/>
    <x v="1"/>
    <m/>
    <s v="347ec2f5-915c-4170-892e-934ddf569492"/>
    <d v="2026-06-08T00:00:00"/>
    <x v="0"/>
  </r>
  <r>
    <x v="48"/>
    <s v="evalber_dantas@hotmail.com"/>
    <n v="300268635"/>
    <n v="15773485"/>
    <x v="2"/>
    <x v="5"/>
    <n v="1.167"/>
    <s v="Material não enviado pela Guararapes"/>
    <s v="NÃO"/>
    <s v="Boa tarde! Gostaria de solicitar a reposição do plástico filme para a Ordem nº 300268635, pois o item não foi enviado. Desde já, agradeço pela atenção."/>
    <d v="2026-06-08T15:54:00"/>
    <m/>
    <n v="689"/>
    <x v="2"/>
    <m/>
    <s v="533db164-84e9-4720-8191-cdee6fb21125"/>
    <d v="2026-06-08T00:00:00"/>
    <x v="0"/>
  </r>
  <r>
    <x v="48"/>
    <s v="evalber_dantas@hotmail.com"/>
    <n v="300268635"/>
    <n v="15773485"/>
    <x v="2"/>
    <x v="7"/>
    <n v="1167"/>
    <s v="Material não enviado pela Guararapes"/>
    <s v="NÃO"/>
    <s v="Boa tarde, por favor nos enviar LACRES. Desde já agradecemos."/>
    <d v="2026-06-08T15:57:25"/>
    <m/>
    <n v="690"/>
    <x v="2"/>
    <m/>
    <s v="e9ba701e-2b9e-4479-8afb-c96d7ec80ae4"/>
    <d v="2026-06-08T00:00:00"/>
    <x v="0"/>
  </r>
  <r>
    <x v="33"/>
    <s v="w.anny.k@hotmail.com"/>
    <n v="300265966"/>
    <n v="12438235"/>
    <x v="1"/>
    <x v="14"/>
    <n v="1186"/>
    <s v="Material não enviado pela Guararapes"/>
    <s v="NÃO"/>
    <s v="PRECISAMOS DO VIES DA GOLA DA POLO POIS NAO VEIO NA ORDEM MESTRE 300265966"/>
    <d v="2026-06-08T16:12:28"/>
    <m/>
    <n v="691"/>
    <x v="2"/>
    <m/>
    <s v="80b11175-e742-40e8-9c22-20082ca436b0"/>
    <d v="2026-06-08T00:00:00"/>
    <x v="0"/>
  </r>
  <r>
    <x v="13"/>
    <s v="administrativo@zajaconfeccoes.com.br"/>
    <n v="300263967"/>
    <n v="16289870"/>
    <x v="3"/>
    <x v="22"/>
    <n v="13"/>
    <s v="Quantidade insuficiente para terminar a ordem"/>
    <s v="NÃO"/>
    <s v="M-13"/>
    <d v="2026-06-08T16:17:28"/>
    <m/>
    <n v="692"/>
    <x v="1"/>
    <m/>
    <s v="388e440d-6c78-442b-93b2-804b7169a7f4"/>
    <d v="2026-06-08T00:00:00"/>
    <x v="0"/>
  </r>
  <r>
    <x v="3"/>
    <s v="qualidade@solybrasil.com.br"/>
    <n v="300000000"/>
    <n v="30000000"/>
    <x v="3"/>
    <x v="7"/>
    <n v="100"/>
    <s v="Material não enviado pela Guararapes"/>
    <s v="NÃO"/>
    <m/>
    <d v="2026-06-08T16:31:19"/>
    <m/>
    <n v="693"/>
    <x v="2"/>
    <m/>
    <s v="b961f4d4-2f78-4bd5-adc3-38c606f32a04"/>
    <d v="2026-06-08T00:00:00"/>
    <x v="0"/>
  </r>
  <r>
    <x v="32"/>
    <s v="di3confec@gmail.com"/>
    <n v="300269753"/>
    <n v="16864448"/>
    <x v="2"/>
    <x v="8"/>
    <n v="7"/>
    <s v="Quantidade insuficiente para terminar a ordem"/>
    <s v="NÃO"/>
    <s v="Preciso de 7 cones de linha cod. 10000073296"/>
    <d v="2026-06-08T16:48:45"/>
    <m/>
    <n v="694"/>
    <x v="1"/>
    <m/>
    <s v="d254e5e0-90ff-41d0-a28d-f8429d74af13"/>
    <d v="2026-06-08T00:00:00"/>
    <x v="0"/>
  </r>
  <r>
    <x v="32"/>
    <s v="di3confec@gmail.com"/>
    <n v="300269753"/>
    <n v="15864448"/>
    <x v="2"/>
    <x v="8"/>
    <n v="3"/>
    <s v="Quantidade insuficiente para terminar a ordem"/>
    <s v="NÃO"/>
    <s v="Preciso de 3 cones de linha cod 10000073241"/>
    <d v="2026-06-08T16:49:38"/>
    <m/>
    <n v="695"/>
    <x v="1"/>
    <m/>
    <s v="8ee57865-beb0-446d-9e4d-4ea2fb09aac1"/>
    <d v="2026-06-08T00:00:00"/>
    <x v="0"/>
  </r>
  <r>
    <x v="18"/>
    <s v="ebenezerindustriat@hotmail.com"/>
    <n v="300267092"/>
    <n v="16432924"/>
    <x v="3"/>
    <x v="22"/>
    <n v="69"/>
    <s v="Material não enviado pela Guararapes"/>
    <s v="NÃO"/>
    <s v="TAMANHO G"/>
    <d v="2026-06-08T16:58:17"/>
    <m/>
    <n v="696"/>
    <x v="1"/>
    <m/>
    <s v="84eed60e-af3a-4543-ad7c-6293d8460a11"/>
    <d v="2026-06-08T00:00:00"/>
    <x v="0"/>
  </r>
  <r>
    <x v="78"/>
    <s v="ocalves3@gmail.com"/>
    <n v="300267245"/>
    <n v="16508971"/>
    <x v="2"/>
    <x v="37"/>
    <n v="856"/>
    <s v="os vivos intertelados vinheram todos pelo avesso"/>
    <s v="NÃO"/>
    <s v="os vivos estao todos avesso"/>
    <d v="2026-06-08T16:58:22"/>
    <m/>
    <n v="697"/>
    <x v="2"/>
    <m/>
    <s v="2dc6262e-b7a6-41e9-9d1c-963f80124a75"/>
    <d v="2026-06-08T00:00:00"/>
    <x v="0"/>
  </r>
  <r>
    <x v="18"/>
    <s v="ebenezerindustriat@hotmail.com"/>
    <n v="300267090"/>
    <n v="16432924"/>
    <x v="3"/>
    <x v="59"/>
    <n v="660"/>
    <s v="Material não enviado pela Guararapes"/>
    <s v="NÃO"/>
    <s v="REPOSIÇÃO DE SILICONE, POIS NÃO TEM A OPÇÃO DE MARCAR E É PARA A ORDEM TODA"/>
    <d v="2026-06-08T17:01:20"/>
    <m/>
    <n v="698"/>
    <x v="2"/>
    <m/>
    <s v="4f08384c-ecbe-4f5c-828a-735a9f71e491"/>
    <d v="2026-06-08T00:00:00"/>
    <x v="0"/>
  </r>
  <r>
    <x v="18"/>
    <s v="ebenezerindustriat@hotmail.com"/>
    <n v="300267092"/>
    <n v="16432924"/>
    <x v="3"/>
    <x v="59"/>
    <n v="690"/>
    <s v="Material não enviado pela Guararapes"/>
    <s v="NÃO"/>
    <s v="REPOSIÇÃO DE SILICONE, POIS NÃO TEM A OPÇÃO DE MARCAR E É PARA A ORDEM TODA"/>
    <d v="2026-06-08T17:02:33"/>
    <m/>
    <n v="699"/>
    <x v="2"/>
    <m/>
    <s v="1b846a7e-0f1b-4bde-aa20-67aebf8dfa04"/>
    <d v="2026-06-08T00:00:00"/>
    <x v="0"/>
  </r>
  <r>
    <x v="18"/>
    <s v="ebenezerindustriat@hotmail.com"/>
    <n v="300267089"/>
    <n v="16432924"/>
    <x v="3"/>
    <x v="59"/>
    <n v="680"/>
    <s v="Material não enviado pela Guararapes"/>
    <s v="NÃO"/>
    <s v="REPOSIÇÃO DE SILICONE, POIS NÃO TEM A OPÇÃO DE MARCAR E É PARA A ORDEM TODA"/>
    <d v="2026-06-08T17:03:35"/>
    <m/>
    <n v="700"/>
    <x v="2"/>
    <m/>
    <s v="84eeb9d4-8f22-4771-9338-2308771448a3"/>
    <d v="2026-06-08T00:00:00"/>
    <x v="0"/>
  </r>
  <r>
    <x v="21"/>
    <s v="potengitextil@outlook.com.br"/>
    <n v="300267513"/>
    <n v="16356780"/>
    <x v="3"/>
    <x v="29"/>
    <n v="100"/>
    <s v="Quantidade insuficiente para terminar a ordem"/>
    <s v="NÃO"/>
    <s v="100 peças tamanho PP para alça e pentilho "/>
    <d v="2026-06-08T17:43:01"/>
    <m/>
    <n v="701"/>
    <x v="1"/>
    <m/>
    <s v="3a07fb16-bbfe-4b28-9d41-c15471657e39"/>
    <d v="2026-06-08T00:00:00"/>
    <x v="0"/>
  </r>
  <r>
    <x v="56"/>
    <s v="idealconfecltda@gmail.com"/>
    <n v="300269326"/>
    <n v="16518730"/>
    <x v="2"/>
    <x v="2"/>
    <n v="60"/>
    <s v="Quantidade insuficiente para terminar a ordem"/>
    <s v="NÃO"/>
    <s v="ETIQUETA DE COMPOSIÇÃO 10 UNIDADES DE CADA TAMANHO"/>
    <d v="2026-06-08T17:55:28"/>
    <m/>
    <n v="702"/>
    <x v="1"/>
    <m/>
    <s v="a512335d-20ca-48b6-b4c3-ab52abc36c42"/>
    <d v="2026-06-08T00:00:00"/>
    <x v="0"/>
  </r>
  <r>
    <x v="32"/>
    <s v="di3confec@gmail.com"/>
    <n v="300264794"/>
    <n v="15773949"/>
    <x v="2"/>
    <x v="22"/>
    <n v="3"/>
    <s v="Quantidade insuficiente para terminar a ordem"/>
    <s v="NÃO"/>
    <s v="Preciso de 3 partes da frente para finalizar a op tamanho 46"/>
    <d v="2026-06-08T18:31:10"/>
    <m/>
    <n v="703"/>
    <x v="1"/>
    <m/>
    <s v="14099d74-fc17-4a27-a221-e9dda9eb864f"/>
    <d v="2026-06-08T00:00:00"/>
    <x v="0"/>
  </r>
  <r>
    <x v="86"/>
    <s v="dantasepaulino@gmail.com"/>
    <n v="300265791"/>
    <n v="16520076"/>
    <x v="2"/>
    <x v="61"/>
    <n v="142"/>
    <s v="faltou do tamanho 42 todo "/>
    <m/>
    <m/>
    <d v="2026-06-09T11:46:39"/>
    <m/>
    <n v="3"/>
    <x v="1"/>
    <m/>
    <s v="14c37a55-e3c2-4198-adb9-665e077c76f4"/>
    <d v="2026-06-09T00:00:00"/>
    <x v="0"/>
  </r>
  <r>
    <x v="87"/>
    <s v="bensilvaconfeccoes@gmail.com"/>
    <n v="300269351"/>
    <n v="15773477"/>
    <x v="2"/>
    <x v="62"/>
    <n v="25"/>
    <s v="FALTOU "/>
    <m/>
    <s v="ZIPER INOX METAL MEDIO PRETO 15 CM  - 25 ZÍPER "/>
    <d v="2026-06-09T12:34:32"/>
    <m/>
    <n v="4"/>
    <x v="1"/>
    <m/>
    <s v="a838d592-530a-4921-91d0-f8f3fe64f9ea"/>
    <d v="2026-06-09T00:00:00"/>
    <x v="0"/>
  </r>
  <r>
    <x v="87"/>
    <s v="bensilvaconfeccoes@gmail.com"/>
    <n v="300269351"/>
    <n v="15773477"/>
    <x v="2"/>
    <x v="63"/>
    <n v="40"/>
    <s v="FALTOU "/>
    <m/>
    <s v="ETQ MODEL POOL 52 SLIM 60X10 BR - 40 ETIQUETA "/>
    <d v="2026-06-09T12:36:31"/>
    <m/>
    <n v="5"/>
    <x v="1"/>
    <m/>
    <s v="ea7519fe-be57-4c32-9f89-eb242933b556"/>
    <d v="2026-06-09T00:00:00"/>
    <x v="0"/>
  </r>
  <r>
    <x v="88"/>
    <s v="bensilvaconfeccoes@gmail.com"/>
    <n v="300269351"/>
    <n v="15773477"/>
    <x v="2"/>
    <x v="64"/>
    <n v="14"/>
    <s v="FALTOU"/>
    <m/>
    <s v="1 PACOTE COM 14 PALAS DA NUMERAÇÃO 40 DO 3 ENFESTO"/>
    <d v="2026-06-09T12:44:27"/>
    <m/>
    <n v="6"/>
    <x v="1"/>
    <m/>
    <s v="a7f8af9a-5c89-4ec1-bef2-a1cffa26e4ad"/>
    <d v="2026-06-09T00:00:00"/>
    <x v="0"/>
  </r>
  <r>
    <x v="87"/>
    <s v="bensilvaconfeccoes@gmail.com"/>
    <n v="300269351"/>
    <n v="15773477"/>
    <x v="2"/>
    <x v="65"/>
    <n v="36"/>
    <s v="FALTOU "/>
    <m/>
    <s v="36 PERDIGAL DA NUMERAÇÃO 38 DO 2 ENFESTO "/>
    <d v="2026-06-09T12:47:10"/>
    <m/>
    <n v="7"/>
    <x v="1"/>
    <m/>
    <s v="472b28b7-a66d-4648-bff3-d3ef25e52ddd"/>
    <d v="2026-06-09T00:00:00"/>
    <x v="0"/>
  </r>
  <r>
    <x v="89"/>
    <s v="asaequador@gmail.com"/>
    <n v="300269380"/>
    <n v="16482751"/>
    <x v="2"/>
    <x v="66"/>
    <s v="1.097 pçs"/>
    <s v="veio de outra ordem"/>
    <m/>
    <s v="os passantes veio de outra ordem"/>
    <d v="2026-06-09T13:00:33"/>
    <m/>
    <n v="8"/>
    <x v="2"/>
    <m/>
    <s v="a796564d-38f3-49b8-81bf-78d5bce6c728"/>
    <d v="2026-06-09T00:00:00"/>
    <x v="0"/>
  </r>
  <r>
    <x v="90"/>
    <s v="fernandoassu@gmail.com"/>
    <n v="300269337"/>
    <n v="15773477"/>
    <x v="2"/>
    <x v="61"/>
    <s v="tamanho 50;50 unidades, enfesto2. tamanho 44, 50 unidades, enfesto 2. tamanho 48, 30 unidades, enfesto 2. tamanho 38, 30 unidades, enfesto 2."/>
    <s v="Veio faltando várias etiquetas "/>
    <m/>
    <m/>
    <d v="2026-06-09T13:03:52"/>
    <m/>
    <n v="9"/>
    <x v="1"/>
    <m/>
    <s v="93651234-eb0d-4960-94fa-debebecc0ab4"/>
    <d v="2026-06-09T00:00:00"/>
    <x v="0"/>
  </r>
  <r>
    <x v="90"/>
    <s v="fernandoassu@gmail.com"/>
    <n v="300269337"/>
    <n v="15773477"/>
    <x v="2"/>
    <x v="16"/>
    <n v="10"/>
    <s v="Material não enviado "/>
    <m/>
    <m/>
    <d v="2026-06-09T13:05:26"/>
    <m/>
    <n v="10"/>
    <x v="2"/>
    <m/>
    <s v="1aa1fb24-8392-446e-b27e-b01af3c7ed45"/>
    <d v="2026-06-09T00:00:00"/>
    <x v="0"/>
  </r>
  <r>
    <x v="89"/>
    <s v="asaequador@gmail.com"/>
    <n v="300269380"/>
    <n v="16482751"/>
    <x v="2"/>
    <x v="67"/>
    <s v="pra toda ordem"/>
    <s v="não veio"/>
    <m/>
    <s v="não veio o vies  do bolso."/>
    <d v="2026-06-09T13:05:53"/>
    <m/>
    <n v="11"/>
    <x v="2"/>
    <m/>
    <s v="17932110-a635-4691-bc9c-87e574444f32"/>
    <d v="2026-06-09T00:00:00"/>
    <x v="0"/>
  </r>
  <r>
    <x v="8"/>
    <s v="tlcserranatextil@gmail.com"/>
    <n v="300268639"/>
    <n v="16442520"/>
    <x v="1"/>
    <x v="27"/>
    <s v="816 botões (408 peças)"/>
    <s v="Quantidade insuficiente"/>
    <m/>
    <s v="9.B1629.011.193908"/>
    <d v="2026-06-09T13:18:50"/>
    <m/>
    <n v="12"/>
    <x v="1"/>
    <m/>
    <s v="9387f482-99a3-4862-8880-a8a7683fd08f"/>
    <d v="2026-06-09T00:00:00"/>
    <x v="0"/>
  </r>
  <r>
    <x v="91"/>
    <s v="pea2015confeccoes@hotmail.com"/>
    <n v="300268633"/>
    <n v="15773485"/>
    <x v="2"/>
    <x v="17"/>
    <s v="31 pares"/>
    <s v="Não enviado pela guararapes."/>
    <m/>
    <s v="Faltou um lote de 31 peças de cós, no tamanho 40."/>
    <d v="2026-06-09T13:34:26"/>
    <m/>
    <n v="13"/>
    <x v="1"/>
    <m/>
    <s v="923c3f8d-8440-4522-a29b-a4e74e73cc75"/>
    <d v="2026-06-09T00:00:00"/>
    <x v="0"/>
  </r>
  <r>
    <x v="92"/>
    <s v="acaritextil2801@gmail.com"/>
    <n v="300269760"/>
    <n v="15864448"/>
    <x v="2"/>
    <x v="68"/>
    <n v="32"/>
    <s v="Não enviado"/>
    <m/>
    <s v="ZIPER MET MEDIO FIXO "/>
    <d v="2026-06-09T13:35:06"/>
    <m/>
    <n v="14"/>
    <x v="1"/>
    <m/>
    <s v="a44e1de4-b556-43a7-aecd-603ce25fe587"/>
    <d v="2026-06-09T00:00:00"/>
    <x v="0"/>
  </r>
  <r>
    <x v="89"/>
    <s v="asaequador@gmail.com"/>
    <n v="300269380"/>
    <n v="16482751"/>
    <x v="2"/>
    <x v="69"/>
    <s v="pra toda ordem "/>
    <s v="não enviada pela guararapes"/>
    <m/>
    <s v="esta ordem não veio linha tit 50 s.321, falei com Rejane ,me mandou solicita reposição."/>
    <d v="2026-06-09T13:56:39"/>
    <m/>
    <n v="15"/>
    <x v="2"/>
    <m/>
    <s v="cce0759a-12ee-400c-af29-bacdfdce81bb"/>
    <d v="2026-06-09T00:00:00"/>
    <x v="0"/>
  </r>
  <r>
    <x v="93"/>
    <s v="alfaequador@gmail.com"/>
    <n v="300266280"/>
    <n v="16472233"/>
    <x v="2"/>
    <x v="70"/>
    <s v="5 ROLOS"/>
    <s v="MATERIAL EM FALTA "/>
    <m/>
    <m/>
    <d v="2026-06-09T13:59:12"/>
    <m/>
    <n v="16"/>
    <x v="2"/>
    <m/>
    <s v="5d12e3b8-cd9a-4dc5-bb96-524c3335b0b5"/>
    <d v="2026-06-09T00:00:00"/>
    <x v="0"/>
  </r>
  <r>
    <x v="94"/>
    <s v="vitalizeconfeccoes@gmail.com"/>
    <n v="300265453"/>
    <n v="16465164"/>
    <x v="3"/>
    <x v="71"/>
    <n v="36"/>
    <s v="NAO ENVIADO PELA GUARARAPES "/>
    <m/>
    <s v="A ORDEM VEIO SEM ETIQUETA, A CAIXA QUE VEIO A OP ESTAVA UM POUCO RASGADA E PROVAVELMENTE PODE TE CAIDO FORA DA CAIXA E TE SE PERDIDO ! "/>
    <d v="2026-06-09T14:04:01"/>
    <m/>
    <n v="17"/>
    <x v="2"/>
    <m/>
    <s v="7ecdc507-239b-400d-9b6e-7072e59e8818"/>
    <d v="2026-06-09T00:00:00"/>
    <x v="0"/>
  </r>
  <r>
    <x v="93"/>
    <s v="alfaequador@gmail.com"/>
    <n v="300266686"/>
    <n v="16243340"/>
    <x v="2"/>
    <x v="72"/>
    <n v="15"/>
    <s v="MATERIAL INSUFICIENTE "/>
    <m/>
    <m/>
    <d v="2026-06-09T14:25:16"/>
    <m/>
    <n v="18"/>
    <x v="1"/>
    <m/>
    <s v="f6a9837b-c06d-482c-8a4b-2f0ee96cf27b"/>
    <d v="2026-06-09T00:00:00"/>
    <x v="0"/>
  </r>
  <r>
    <x v="95"/>
    <s v="limaconfeccoes78@gmail.com"/>
    <n v="300268637"/>
    <n v="15773442"/>
    <x v="2"/>
    <x v="73"/>
    <n v="300"/>
    <s v="Insuficiente para concluir a ordem"/>
    <m/>
    <s v="A Etiqueta fit veio faltando 300 unidades"/>
    <d v="2026-06-09T14:43:06"/>
    <m/>
    <n v="19"/>
    <x v="1"/>
    <m/>
    <s v="514c4f3a-df44-4923-bb4b-cda3706c134e"/>
    <d v="2026-06-09T00:00:00"/>
    <x v="0"/>
  </r>
  <r>
    <x v="96"/>
    <s v="emporiodamodamossoro@gmail.com"/>
    <n v="300267464"/>
    <n v="15252434"/>
    <x v="2"/>
    <x v="74"/>
    <n v="315"/>
    <s v="não enviado"/>
    <m/>
    <m/>
    <d v="2026-06-09T14:57:57"/>
    <m/>
    <n v="20"/>
    <x v="1"/>
    <m/>
    <s v="dc42cf3c-caf8-48d1-91d6-9eaf3c124580"/>
    <d v="2026-06-09T00:00:00"/>
    <x v="0"/>
  </r>
  <r>
    <x v="96"/>
    <s v="EMPORIODAMODAMOSSORO@GMAIL.COM"/>
    <n v="300267464"/>
    <n v="15252434"/>
    <x v="2"/>
    <x v="72"/>
    <n v="270"/>
    <s v="incompleto"/>
    <m/>
    <m/>
    <d v="2026-06-09T15:03:32"/>
    <m/>
    <n v="23"/>
    <x v="1"/>
    <m/>
    <s v="0a0a3bc6-b350-4304-a9bb-287b388c2288"/>
    <d v="2026-06-09T00:00:00"/>
    <x v="0"/>
  </r>
  <r>
    <x v="23"/>
    <s v="reposicoesjkmodas@gmail.com"/>
    <n v="300267376"/>
    <n v="16450272"/>
    <x v="2"/>
    <x v="8"/>
    <n v="10"/>
    <s v="INSUFICIENTE PARA FINALIZAR ORDEM"/>
    <m/>
    <m/>
    <d v="2026-06-09T15:03:41"/>
    <m/>
    <n v="24"/>
    <x v="1"/>
    <m/>
    <s v="708d2971-1533-4760-932f-ff07378f330d"/>
    <d v="2026-06-09T00:00:00"/>
    <x v="0"/>
  </r>
  <r>
    <x v="23"/>
    <s v="reposicoesjkmodas@gmail.com"/>
    <n v="300269812"/>
    <n v="16373685"/>
    <x v="2"/>
    <x v="8"/>
    <n v="10"/>
    <s v="MATERIAL INSUFICIENTE PARA FINALIZAR OP"/>
    <m/>
    <m/>
    <d v="2026-06-09T15:05:15"/>
    <m/>
    <n v="25"/>
    <x v="1"/>
    <m/>
    <s v="6bb0e03e-b323-4857-b500-c0021c8eac5a"/>
    <d v="2026-06-09T00:00:00"/>
    <x v="0"/>
  </r>
  <r>
    <x v="96"/>
    <s v="emporiodamodamossoro@gmail.com"/>
    <n v="300267464"/>
    <n v="15252434"/>
    <x v="2"/>
    <x v="75"/>
    <n v="200"/>
    <s v="não enviaa"/>
    <m/>
    <m/>
    <d v="2026-06-09T15:05:19"/>
    <m/>
    <n v="22"/>
    <x v="1"/>
    <m/>
    <s v="1e4630b2-6f5b-48f6-b7b7-acb5b6e81b43"/>
    <d v="2026-06-09T00:00:00"/>
    <x v="0"/>
  </r>
  <r>
    <x v="97"/>
    <s v="ebenezerindustriat@hotmail.com"/>
    <n v="300267090"/>
    <n v="16432924"/>
    <x v="3"/>
    <x v="52"/>
    <n v="5"/>
    <s v="ACABOU"/>
    <m/>
    <m/>
    <d v="2026-06-09T15:10:38"/>
    <m/>
    <n v="26"/>
    <x v="2"/>
    <m/>
    <s v="da9df165-6444-4975-a07f-9c834e329526"/>
    <d v="2026-06-09T00:00:00"/>
    <x v="0"/>
  </r>
  <r>
    <x v="98"/>
    <s v="faccao_sales2010@hotmail.com"/>
    <n v="300248729"/>
    <n v="16247388"/>
    <x v="2"/>
    <x v="1"/>
    <n v="53"/>
    <s v="INSUFICIENTE PRA TERMINAR A OP"/>
    <m/>
    <s v="10000219954, 10000220031, 10000220032, 10000220033, 10000220034"/>
    <d v="2026-06-09T15:16:29"/>
    <m/>
    <n v="27"/>
    <x v="1"/>
    <m/>
    <s v="497ede32-7d28-4fc2-963c-890d4c458ede"/>
    <d v="2026-06-09T00:00:00"/>
    <x v="0"/>
  </r>
  <r>
    <x v="99"/>
    <s v="maxwelaaraujo7@gmail.com"/>
    <n v="300263962"/>
    <n v="13044826"/>
    <x v="1"/>
    <x v="76"/>
    <n v="10"/>
    <s v="MATERIAL INSULFICIENTE PARA FINALIZA OP"/>
    <m/>
    <m/>
    <d v="2026-06-09T15:19:57"/>
    <m/>
    <n v="28"/>
    <x v="1"/>
    <m/>
    <s v="dbb72190-8cd8-4a80-aca0-7ea8006b81b6"/>
    <d v="2026-06-09T00:00:00"/>
    <x v="0"/>
  </r>
  <r>
    <x v="100"/>
    <s v="maxwelaaraujo7@gmail.com"/>
    <n v="300263962"/>
    <n v="13044826"/>
    <x v="1"/>
    <x v="8"/>
    <n v="10"/>
    <s v="MATERIAL INSULFICIENTE PARA FINALIZAR OP"/>
    <m/>
    <m/>
    <d v="2026-06-09T15:21:53"/>
    <m/>
    <n v="29"/>
    <x v="1"/>
    <m/>
    <s v="06eb31cc-ddef-4ae4-a2a1-fa75530bab68"/>
    <d v="2026-06-09T00:00:00"/>
    <x v="0"/>
  </r>
  <r>
    <x v="101"/>
    <s v="felconfeccao@gmail.com"/>
    <n v="300270508"/>
    <n v="15789640"/>
    <x v="3"/>
    <x v="56"/>
    <n v="130"/>
    <s v="FALTOU PARA FINALIZAR A OP"/>
    <m/>
    <m/>
    <d v="2026-06-09T15:24:24"/>
    <m/>
    <n v="30"/>
    <x v="1"/>
    <m/>
    <s v="8405f99c-7ff6-43ea-9454-3b2b2280b3b9"/>
    <d v="2026-06-09T00:00:00"/>
    <x v="0"/>
  </r>
  <r>
    <x v="98"/>
    <s v="faccao_sales2010@hotmail.com"/>
    <n v="300262451"/>
    <n v="16448405"/>
    <x v="2"/>
    <x v="8"/>
    <n v="300"/>
    <s v="INSUFICIENTE PRA TERMINAR A ORDEM"/>
    <m/>
    <s v="LINHA 80 TA SENDO INSUFICIENTE, VINDO MUITO POUCA LINHA"/>
    <d v="2026-06-09T15:27:34"/>
    <m/>
    <n v="31"/>
    <x v="1"/>
    <m/>
    <s v="32c50908-ce0c-483f-8993-4a84446f667b"/>
    <d v="2026-06-09T00:00:00"/>
    <x v="0"/>
  </r>
  <r>
    <x v="102"/>
    <s v="confeccaogenesisltda@gmail.com"/>
    <n v="300266587"/>
    <n v="16526112"/>
    <x v="0"/>
    <x v="4"/>
    <n v="1001"/>
    <s v="NÃO VEIO NA ORDEM"/>
    <m/>
    <s v="NAÕ FOI ENVIADO PELA GUARARAPES"/>
    <d v="2026-06-09T15:27:50"/>
    <m/>
    <n v="32"/>
    <x v="1"/>
    <m/>
    <s v="2dbc0bbb-e0bb-47d6-a4a4-5c93f0d9bc60"/>
    <d v="2026-06-09T00:00:00"/>
    <x v="0"/>
  </r>
  <r>
    <x v="102"/>
    <s v="confeccaogenesisltda@gmail.com"/>
    <n v="300266587"/>
    <n v="16526112"/>
    <x v="0"/>
    <x v="77"/>
    <n v="15"/>
    <s v="INSUFICIENTE PARA FINALIZAR A ORDEM"/>
    <m/>
    <s v="INSUFICIENTE"/>
    <d v="2026-06-09T15:32:48"/>
    <m/>
    <n v="33"/>
    <x v="1"/>
    <m/>
    <s v="ef2e5f07-1b41-4a96-bc6a-770f63570661"/>
    <d v="2026-06-09T00:00:00"/>
    <x v="0"/>
  </r>
  <r>
    <x v="8"/>
    <s v="tlcserranatextil@gmail.com"/>
    <n v="300268639"/>
    <n v="16442520"/>
    <x v="1"/>
    <x v="78"/>
    <s v="748 peças"/>
    <s v="Faltou para completar a ordem"/>
    <m/>
    <m/>
    <d v="2026-06-09T15:34:55"/>
    <m/>
    <n v="34"/>
    <x v="1"/>
    <m/>
    <s v="f836033e-6b40-4b30-982f-f87d0ae47742"/>
    <d v="2026-06-09T00:00:00"/>
    <x v="0"/>
  </r>
  <r>
    <x v="103"/>
    <s v="dantasepaulino@gmail.com"/>
    <n v="300265791"/>
    <n v="16520076"/>
    <x v="2"/>
    <x v="79"/>
    <n v="104"/>
    <s v="não enviado "/>
    <m/>
    <m/>
    <d v="2026-06-09T15:34:59"/>
    <m/>
    <n v="35"/>
    <x v="1"/>
    <m/>
    <s v="1329d7b6-7232-4cdd-84a7-0d5e922aeeb2"/>
    <d v="2026-06-09T00:00:00"/>
    <x v="0"/>
  </r>
  <r>
    <x v="104"/>
    <s v="ajgconfeccoes2021@gmail.com"/>
    <n v="300263684"/>
    <n v="16474090"/>
    <x v="2"/>
    <x v="80"/>
    <n v="164"/>
    <s v="Não enviado "/>
    <m/>
    <s v="Faltou as frentes e vistas "/>
    <d v="2026-06-09T15:44:17"/>
    <m/>
    <n v="36"/>
    <x v="1"/>
    <m/>
    <s v="fd490a04-db4e-4a8e-b0ba-7e95bd767dd8"/>
    <d v="2026-06-09T00:00:00"/>
    <x v="0"/>
  </r>
  <r>
    <x v="105"/>
    <s v="idealconfecltda@gmail.com"/>
    <n v="300270840"/>
    <n v="16442679"/>
    <x v="1"/>
    <x v="76"/>
    <s v="quantidade Insuficiente "/>
    <s v="quantidade insuficiente"/>
    <m/>
    <m/>
    <d v="2026-06-09T15:45:01"/>
    <m/>
    <n v="37"/>
    <x v="1"/>
    <m/>
    <s v="ecbecc4e-a065-4921-95ff-978c623417b0"/>
    <d v="2026-06-09T00:00:00"/>
    <x v="0"/>
  </r>
  <r>
    <x v="87"/>
    <s v="bensilvaconfeccoes@gmail.com"/>
    <n v="300269351"/>
    <n v="15773477"/>
    <x v="2"/>
    <x v="81"/>
    <n v="1"/>
    <s v="VEIO FALTANDO "/>
    <m/>
    <s v="1 ETIQUETA DE COMPOSIÇÃO NUMERAÇÃO 52"/>
    <d v="2026-06-09T16:02:18"/>
    <m/>
    <n v="38"/>
    <x v="1"/>
    <m/>
    <s v="fb2a367f-c9bc-4635-bb9a-3bab5563b9f5"/>
    <d v="2026-06-09T00:00:00"/>
    <x v="0"/>
  </r>
  <r>
    <x v="106"/>
    <s v="solisconfeccoes@gmail.com"/>
    <n v="300268551"/>
    <n v="16441370"/>
    <x v="3"/>
    <x v="52"/>
    <n v="100"/>
    <s v="F"/>
    <m/>
    <m/>
    <d v="2026-06-09T16:07:58"/>
    <m/>
    <n v="39"/>
    <x v="2"/>
    <m/>
    <s v="60369b70-7356-455e-b2be-7dfc647e5a5f"/>
    <d v="2026-06-09T00:00:00"/>
    <x v="0"/>
  </r>
  <r>
    <x v="23"/>
    <s v="reposicoesjkmodas@gmail.com"/>
    <n v="300267377"/>
    <n v="16450272"/>
    <x v="2"/>
    <x v="74"/>
    <n v="10"/>
    <s v="NÃO ENVIADO"/>
    <m/>
    <m/>
    <d v="2026-06-09T16:44:52"/>
    <m/>
    <n v="40"/>
    <x v="1"/>
    <m/>
    <s v="6b69a533-9443-4d3e-8d56-82b10745d8d4"/>
    <d v="2026-06-09T00:00:00"/>
    <x v="0"/>
  </r>
  <r>
    <x v="23"/>
    <s v="reposicoesjkmodas@gmail.com"/>
    <n v="300267377"/>
    <n v="16450272"/>
    <x v="2"/>
    <x v="74"/>
    <n v="10"/>
    <s v="NÃO ENVIADA"/>
    <m/>
    <m/>
    <d v="2026-06-09T16:46:17"/>
    <m/>
    <n v="41"/>
    <x v="1"/>
    <m/>
    <s v="d219ab1c-5385-45b2-9cb3-c7f082d4c020"/>
    <d v="2026-06-09T00:00:00"/>
    <x v="0"/>
  </r>
  <r>
    <x v="23"/>
    <s v="reposicoesjkmodas@gmail.com"/>
    <n v="300267377"/>
    <n v="16450272"/>
    <x v="2"/>
    <x v="74"/>
    <n v="10"/>
    <s v="NÃO ENVIADO"/>
    <m/>
    <m/>
    <d v="2026-06-09T16:48:46"/>
    <m/>
    <n v="42"/>
    <x v="1"/>
    <m/>
    <s v="3ce2a872-e3de-4cce-a99f-2fcd703ffe31"/>
    <d v="2026-06-09T00:00:00"/>
    <x v="0"/>
  </r>
  <r>
    <x v="107"/>
    <s v="bensilvaconfeccoes@gmail.com"/>
    <n v="300269351"/>
    <n v="15773477"/>
    <x v="2"/>
    <x v="82"/>
    <n v="5"/>
    <s v="FALTOU "/>
    <m/>
    <s v="VIES DE BOCA - QUANTIDADE 5 "/>
    <d v="2026-06-09T16:49:10"/>
    <m/>
    <n v="43"/>
    <x v="1"/>
    <m/>
    <s v="e8cdf889-5937-4d50-be54-8f4737c44721"/>
    <d v="2026-06-09T00:00:00"/>
    <x v="0"/>
  </r>
  <r>
    <x v="105"/>
    <s v="idealconfecltda@gmail.com"/>
    <n v="300270840"/>
    <n v="16442679"/>
    <x v="1"/>
    <x v="8"/>
    <n v="43200"/>
    <s v="insuficiente para o processo"/>
    <m/>
    <m/>
    <d v="2026-06-09T17:10:08"/>
    <m/>
    <n v="44"/>
    <x v="1"/>
    <m/>
    <s v="195d8773-8fdc-483a-b328-e8200f975bc1"/>
    <d v="2026-06-09T00:00:00"/>
    <x v="0"/>
  </r>
  <r>
    <x v="108"/>
    <s v="potengitextil@outlook.com.br"/>
    <n v="300269799"/>
    <n v="16218230"/>
    <x v="2"/>
    <x v="83"/>
    <n v="1078"/>
    <s v="Não veio na ordem"/>
    <m/>
    <s v="O elástico não veio na ordem. "/>
    <d v="2026-06-09T17:10:19"/>
    <m/>
    <n v="45"/>
    <x v="2"/>
    <m/>
    <s v="1d342c7f-3a1f-48fb-854e-46ac6fed0d67"/>
    <d v="2026-06-09T00:00:00"/>
    <x v="0"/>
  </r>
  <r>
    <x v="87"/>
    <s v="bensilvaconfeccoes@gmail.com"/>
    <n v="300269351"/>
    <n v="15773477"/>
    <x v="2"/>
    <x v="84"/>
    <n v="30"/>
    <s v="N TEMOS "/>
    <m/>
    <s v="JA PEDIMOS VARIAS VEZES E NÃO CHEGOU NA OFICINA. "/>
    <d v="2026-06-09T17:19:58"/>
    <m/>
    <n v="46"/>
    <x v="2"/>
    <m/>
    <s v="222bcb0e-77fc-4d7a-8212-6095b08c30d3"/>
    <d v="2026-06-09T00:00:00"/>
    <x v="0"/>
  </r>
  <r>
    <x v="109"/>
    <s v="confeccoesgbdas@hotmail.com"/>
    <n v="300268930"/>
    <n v="16273311"/>
    <x v="2"/>
    <x v="61"/>
    <n v="30"/>
    <s v="FALTOU COMPOSIÇÃO"/>
    <m/>
    <s v="NÃO TEMOS O CÓDIGO DE AVIAMENTO DA ETIQUETA DE COMPOSIÇÃO "/>
    <d v="2026-06-09T17:22:42"/>
    <m/>
    <n v="47"/>
    <x v="1"/>
    <m/>
    <s v="e002a5da-64c5-42a8-80f5-6e5506ebcdf6"/>
    <d v="2026-06-09T00:00:00"/>
    <x v="0"/>
  </r>
  <r>
    <x v="110"/>
    <s v="evalber_dantas@hotmail.com"/>
    <n v="300269338"/>
    <n v="15773477"/>
    <x v="2"/>
    <x v="85"/>
    <n v="800"/>
    <s v="INSUFICIENTE"/>
    <m/>
    <s v="Boa tarde, não está vindo o plástico filme suficiente para as peças. Fico no aguardo do retorno. Desde já agradeço."/>
    <d v="2026-06-09T17:23:50"/>
    <m/>
    <n v="48"/>
    <x v="1"/>
    <m/>
    <s v="652f30b8-7814-42f8-b5f5-eb7e4472e31f"/>
    <d v="2026-06-09T00:00:00"/>
    <x v="0"/>
  </r>
  <r>
    <x v="110"/>
    <s v="evalber_dantas@hotmail.com"/>
    <n v="300269338"/>
    <n v="15773477"/>
    <x v="2"/>
    <x v="86"/>
    <n v="100"/>
    <s v="INSUFICIENTE"/>
    <m/>
    <s v="Boa tarde, ontem fiz pedido de reposição de lacres e não obtive respostas. Desde já agradeço."/>
    <d v="2026-06-09T17:26:54"/>
    <m/>
    <n v="49"/>
    <x v="2"/>
    <m/>
    <s v="9aceeb51-7529-4a40-a712-1c2ee94993a8"/>
    <d v="2026-06-09T00:00:00"/>
    <x v="0"/>
  </r>
  <r>
    <x v="111"/>
    <s v="confeccoesgbdas@hotmail.com"/>
    <n v="300270722"/>
    <n v="16217802"/>
    <x v="2"/>
    <x v="17"/>
    <n v="35"/>
    <s v="NÃO ENVIADO PELA GUARARAPES"/>
    <m/>
    <m/>
    <d v="2026-06-09T17:42:16"/>
    <m/>
    <n v="50"/>
    <x v="1"/>
    <m/>
    <s v="c5da8379-80ee-4c1d-8c11-48fe3d919cb3"/>
    <d v="2026-06-09T00:00:00"/>
    <x v="0"/>
  </r>
  <r>
    <x v="112"/>
    <s v="js.silva6815@gmail.com"/>
    <n v="300267046"/>
    <n v="16242998"/>
    <x v="2"/>
    <x v="87"/>
    <n v="880"/>
    <s v="elastico não vieram na OP"/>
    <m/>
    <m/>
    <d v="2026-06-09T18:56:28"/>
    <m/>
    <n v="51"/>
    <x v="2"/>
    <m/>
    <s v="eba1b610-62a5-4f46-a416-b2231b6fb338"/>
    <d v="2026-06-09T00:00:00"/>
    <x v="0"/>
  </r>
  <r>
    <x v="108"/>
    <s v="potengitextil@outlook.com.br"/>
    <n v="300270778"/>
    <n v="16218299"/>
    <x v="2"/>
    <x v="88"/>
    <n v="1272"/>
    <s v="Não veio na ordem "/>
    <m/>
    <s v="Filme plástico de passante, mandar a mais pois está zerado aqui na fábrica."/>
    <d v="2026-06-09T21:21:29"/>
    <m/>
    <n v="52"/>
    <x v="2"/>
    <m/>
    <s v="0567522d-6bcf-4599-b0fd-0092b77e3675"/>
    <d v="2026-06-09T00:00:00"/>
    <x v="0"/>
  </r>
  <r>
    <x v="113"/>
    <s v="freiresilvaconfeccoes@gmail.com"/>
    <n v="300270454"/>
    <n v="16546512"/>
    <x v="0"/>
    <x v="89"/>
    <n v="1000"/>
    <s v="Não enviado pra Guararapes "/>
    <m/>
    <s v="REPOSIÇÃO URGENTE, já está no processo. "/>
    <d v="2026-06-10T06:31:29"/>
    <m/>
    <n v="53"/>
    <x v="2"/>
    <m/>
    <s v="3a6792fa-0daf-401c-8f1c-eb897ef63453"/>
    <d v="2026-06-10T00:00:00"/>
    <x v="0"/>
  </r>
  <r>
    <x v="114"/>
    <s v="jucurututextil@gmail.com"/>
    <n v="300264026"/>
    <n v="16472217"/>
    <x v="2"/>
    <x v="12"/>
    <s v="468 PARES COMPLETOS E 21 LADO DIREITO DE QUEM VESTE "/>
    <s v="não veio"/>
    <m/>
    <s v="Todos  os bolsos chapados"/>
    <d v="2026-06-10T07:10:08"/>
    <m/>
    <n v="54"/>
    <x v="1"/>
    <m/>
    <s v="47473b12-af19-46b6-b275-4e2af681d600"/>
    <d v="2026-06-10T00:00:00"/>
    <x v="0"/>
  </r>
  <r>
    <x v="115"/>
    <s v="idealconfecltda@gmail.com"/>
    <n v="300266979"/>
    <n v="15773167"/>
    <x v="2"/>
    <x v="90"/>
    <s v="30 UND "/>
    <s v="INSUFICIENTE PARA FINALIZAR OP"/>
    <m/>
    <s v="ESTAMOS TERMINANDO A ORDEM POR FAVOR ENCAMINHAR O MAIS RAPIDO QUE PODER,OBRIGADA "/>
    <d v="2026-06-10T07:25:28"/>
    <m/>
    <n v="55"/>
    <x v="1"/>
    <m/>
    <s v="fab71fa6-d9ad-4df0-b572-12a11f512c12"/>
    <d v="2026-06-10T00:00:00"/>
    <x v="0"/>
  </r>
  <r>
    <x v="113"/>
    <s v="freiresilvaconfeccoes@gmail.com"/>
    <n v="300270455"/>
    <n v="16546512"/>
    <x v="0"/>
    <x v="91"/>
    <n v="973"/>
    <s v="Não enviado pela Guararapes "/>
    <m/>
    <s v="Reposição urgente. "/>
    <d v="2026-06-10T07:39:07"/>
    <m/>
    <n v="56"/>
    <x v="2"/>
    <m/>
    <s v="ebba3808-b2a2-4537-a2d7-982e32548655"/>
    <d v="2026-06-10T00:00:00"/>
    <x v="0"/>
  </r>
  <r>
    <x v="116"/>
    <s v="administrativo@zajaconfeccoes.com.br"/>
    <n v="300269321"/>
    <n v="16452267"/>
    <x v="2"/>
    <x v="92"/>
    <n v="8"/>
    <s v="INSUFICIENTE"/>
    <m/>
    <m/>
    <d v="2026-06-10T08:03:53"/>
    <m/>
    <n v="57"/>
    <x v="1"/>
    <m/>
    <s v="451f81a1-16a4-40ee-a0a8-6c89cd21ff86"/>
    <d v="2026-06-10T00:00:00"/>
    <x v="0"/>
  </r>
  <r>
    <x v="117"/>
    <s v="administrativo@zajaconfeccoes.com.br"/>
    <n v="300269321"/>
    <n v="16452267"/>
    <x v="2"/>
    <x v="93"/>
    <n v="3"/>
    <s v="INSUFICIENTE "/>
    <m/>
    <m/>
    <d v="2026-06-10T08:06:07"/>
    <m/>
    <n v="58"/>
    <x v="1"/>
    <m/>
    <s v="fe087b7d-f68e-4efa-9ade-e44ac31d0a17"/>
    <d v="2026-06-10T00:00:00"/>
    <x v="0"/>
  </r>
  <r>
    <x v="117"/>
    <s v="administrativo@zajaconfeccoes.com.br"/>
    <n v="300269321"/>
    <n v="16452267"/>
    <x v="2"/>
    <x v="94"/>
    <n v="2"/>
    <s v="INSUFIECIENTE "/>
    <m/>
    <m/>
    <d v="2026-06-10T08:07:24"/>
    <m/>
    <n v="59"/>
    <x v="1"/>
    <m/>
    <s v="0126b2d4-7884-4994-9cdf-3720c37d3236"/>
    <d v="2026-06-10T00:00:00"/>
    <x v="0"/>
  </r>
  <r>
    <x v="118"/>
    <s v="fjdeazevedo@hotmail.com"/>
    <n v="300259607"/>
    <n v="16186656"/>
    <x v="2"/>
    <x v="72"/>
    <n v="20"/>
    <s v="Faltou as quantidades solicitadas"/>
    <m/>
    <s v="são 03 tamanhos de ziper e lá na aba do código, só aceita um código"/>
    <d v="2026-06-10T08:40:50"/>
    <m/>
    <n v="60"/>
    <x v="1"/>
    <m/>
    <s v="acc65314-1739-44cc-85df-c454639ec457"/>
    <d v="2026-06-10T00:00:00"/>
    <x v="0"/>
  </r>
  <r>
    <x v="106"/>
    <s v="solisconfeccoes@gmail.com"/>
    <n v="300250060"/>
    <n v="0"/>
    <x v="3"/>
    <x v="95"/>
    <n v="5"/>
    <s v="F"/>
    <m/>
    <s v="AGULHA PRA PISTOLA DE PREÇO"/>
    <d v="2026-06-10T08:44:18"/>
    <m/>
    <n v="61"/>
    <x v="2"/>
    <m/>
    <s v="da93c293-6143-42c9-aa9c-e063aa53a116"/>
    <d v="2026-06-10T00:00:00"/>
    <x v="0"/>
  </r>
  <r>
    <x v="119"/>
    <s v="NEEMIAS.SC@HOTMAIL.COM"/>
    <n v="300266688"/>
    <n v="16243951"/>
    <x v="2"/>
    <x v="96"/>
    <n v="7"/>
    <s v="QUANTIDADE NÃO ENVIADA "/>
    <m/>
    <s v="APENAS 7 UNIDADES DE ETIQUETA DE COMPOSIÇÃO ESTÃO FALTANDO"/>
    <d v="2026-06-10T08:49:40"/>
    <m/>
    <n v="62"/>
    <x v="1"/>
    <m/>
    <s v="c827244d-cac9-4d22-83de-ccf7be7a1dc5"/>
    <d v="2026-06-10T00:00:00"/>
    <x v="0"/>
  </r>
  <r>
    <x v="120"/>
    <s v="hiconfeccao@gmail.com"/>
    <n v="300265825"/>
    <n v="16482395"/>
    <x v="2"/>
    <x v="97"/>
    <n v="10"/>
    <s v="Não veio."/>
    <m/>
    <s v="Solicitação de reposição traseiros completo (pala, bolso), segue abaixo.   TAMANHOS:  TAM: 40= 5 traseiros   TAM: 38=1 traseiro  TAM:36=4 traseiros  TOTAL: 10 traseiros"/>
    <d v="2026-06-10T09:06:11"/>
    <m/>
    <n v="63"/>
    <x v="2"/>
    <m/>
    <s v="9f808c0e-33d1-4bc3-80c6-86c390a5634f"/>
    <d v="2026-06-10T00:00:00"/>
    <x v="0"/>
  </r>
  <r>
    <x v="106"/>
    <s v="solisconfeccoes@gmail.com"/>
    <n v="300256000"/>
    <n v="12554210"/>
    <x v="3"/>
    <x v="98"/>
    <n v="5"/>
    <s v="FALTANDO"/>
    <m/>
    <s v="AGULHA PRA PISTOLA DE ETIQUETAS"/>
    <d v="2026-06-10T09:19:16"/>
    <m/>
    <n v="64"/>
    <x v="2"/>
    <m/>
    <s v="4dd479fd-b655-4a81-8ed8-76d20c9ee717"/>
    <d v="2026-06-10T00:00:00"/>
    <x v="0"/>
  </r>
  <r>
    <x v="121"/>
    <s v="tlcserranatextil@gmail.com"/>
    <n v="300268639"/>
    <n v="16442520"/>
    <x v="1"/>
    <x v="4"/>
    <s v="340 etiquetas"/>
    <s v="não veio"/>
    <m/>
    <m/>
    <d v="2026-06-10T09:28:49"/>
    <m/>
    <n v="65"/>
    <x v="1"/>
    <m/>
    <s v="adb13f2f-61b4-47bd-9228-12c6b0b37a90"/>
    <d v="2026-06-10T00:00:00"/>
    <x v="0"/>
  </r>
  <r>
    <x v="122"/>
    <s v="g4confecção@gmail.com"/>
    <n v="300264365"/>
    <n v="16217845"/>
    <x v="2"/>
    <x v="99"/>
    <n v="14"/>
    <s v="nao veio na om"/>
    <m/>
    <s v="A om nao veio os vies preto visto no ato da conferencia"/>
    <d v="2026-06-10T09:31:44"/>
    <m/>
    <n v="67"/>
    <x v="2"/>
    <m/>
    <s v="ad5218bd-0b9f-4226-bad0-677108a725e0"/>
    <d v="2026-06-10T00:00:00"/>
    <x v="0"/>
  </r>
  <r>
    <x v="121"/>
    <s v="tlcserranatextil@gmail.com"/>
    <n v="300268639"/>
    <n v="16442520"/>
    <x v="1"/>
    <x v="61"/>
    <n v="40"/>
    <s v="Quantidade que veio foi insuficiente"/>
    <m/>
    <m/>
    <d v="2026-06-10T09:31:45"/>
    <m/>
    <n v="66"/>
    <x v="1"/>
    <m/>
    <s v="1fc350ee-c80c-4df1-b222-5243afe2ebb6"/>
    <d v="2026-06-10T00:00:00"/>
    <x v="0"/>
  </r>
  <r>
    <x v="96"/>
    <s v="emporiodamodamossoro@gmail.com"/>
    <n v="300267464"/>
    <n v="15252434"/>
    <x v="2"/>
    <x v="8"/>
    <s v="10 cones"/>
    <s v="insuficiente para iniciar a ordem"/>
    <m/>
    <s v="quantidades de cones insuficientes para terminar a ordem"/>
    <d v="2026-06-10T09:40:54"/>
    <m/>
    <n v="68"/>
    <x v="1"/>
    <m/>
    <s v="511e77e8-b5a5-4dff-8c34-8d2eedf54436"/>
    <d v="2026-06-10T00:00:00"/>
    <x v="0"/>
  </r>
  <r>
    <x v="123"/>
    <s v="S.a.confeccoesind@gmail.com"/>
    <n v="300267387"/>
    <n v="16217403"/>
    <x v="2"/>
    <x v="49"/>
    <n v="25"/>
    <s v="material insuficiente para finalizar op"/>
    <m/>
    <s v="Etiqueta esta com o código errado no PLM. a etiqueta correta é uma branca com os tamanhos escritos 11-12 e 13-14"/>
    <d v="2026-06-10T09:57:02"/>
    <m/>
    <n v="69"/>
    <x v="1"/>
    <m/>
    <s v="4a1a7d4a-a8c4-4463-9ba9-0aa2021c35c4"/>
    <d v="2026-06-10T00:00:00"/>
    <x v="0"/>
  </r>
  <r>
    <x v="124"/>
    <s v="DEBORACLOTHING.TEXTIL@GMAIL.COM"/>
    <n v="300269052"/>
    <n v="14700328"/>
    <x v="3"/>
    <x v="81"/>
    <n v="25"/>
    <s v="INSUFICIENTE PARA FINALIZAR ORDEM "/>
    <m/>
    <m/>
    <d v="2026-06-10T10:02:48"/>
    <m/>
    <n v="70"/>
    <x v="1"/>
    <m/>
    <s v="f09b47ee-cf70-4aa3-b734-4b70d367e2d4"/>
    <d v="2026-06-10T00:00:00"/>
    <x v="0"/>
  </r>
  <r>
    <x v="125"/>
    <s v="bensilvaconfeccoes@gmail.com"/>
    <n v="300270291"/>
    <n v="16548612"/>
    <x v="2"/>
    <x v="100"/>
    <s v="8 ROLOS "/>
    <s v="não veio"/>
    <m/>
    <s v="VIES DA BOCA BOLSO - CRU - 8 ROLOS "/>
    <d v="2026-06-10T10:12:53"/>
    <m/>
    <n v="71"/>
    <x v="2"/>
    <m/>
    <s v="384e8c29-7332-4005-9ca3-487f2ab55dd7"/>
    <d v="2026-06-10T00:00:00"/>
    <x v="0"/>
  </r>
  <r>
    <x v="126"/>
    <s v="di3confec@gmail.com"/>
    <n v="300269753"/>
    <n v="15864448"/>
    <x v="2"/>
    <x v="81"/>
    <n v="70"/>
    <s v="Material insuficiente "/>
    <m/>
    <s v="Material insuficiente "/>
    <d v="2026-06-10T10:34:36"/>
    <m/>
    <n v="72"/>
    <x v="1"/>
    <m/>
    <s v="9dedb357-4def-4355-9647-9a70da1309a2"/>
    <d v="2026-06-10T00:00:00"/>
    <x v="0"/>
  </r>
  <r>
    <x v="127"/>
    <s v="fernandoassu@gmail.com"/>
    <n v="300269337"/>
    <n v="15773477"/>
    <x v="2"/>
    <x v="101"/>
    <n v="3"/>
    <s v="não enviado pela guararapes"/>
    <m/>
    <m/>
    <d v="2026-06-10T12:44:03"/>
    <m/>
    <n v="73"/>
    <x v="2"/>
    <m/>
    <s v="97268307-5b4b-4e09-8738-96e425ea9d93"/>
    <d v="2026-06-10T00:00:00"/>
    <x v="0"/>
  </r>
  <r>
    <x v="128"/>
    <s v="administrativo@zajaconfeccoes.com.br"/>
    <n v="300268561"/>
    <n v="16462998"/>
    <x v="3"/>
    <x v="102"/>
    <n v="80"/>
    <s v="INSUFICIENTE "/>
    <m/>
    <m/>
    <d v="2026-06-10T13:11:06"/>
    <m/>
    <n v="74"/>
    <x v="1"/>
    <m/>
    <s v="843b73cb-95e3-4a31-87ab-f4065f3616b6"/>
    <d v="2026-06-10T00:00:00"/>
    <x v="0"/>
  </r>
  <r>
    <x v="102"/>
    <s v="confeccaogenesisltda@gmail.com"/>
    <n v="300270432"/>
    <n v="15497313"/>
    <x v="3"/>
    <x v="92"/>
    <n v="45"/>
    <s v="VEIO FALTANDO"/>
    <m/>
    <m/>
    <d v="2026-06-10T13:27:08"/>
    <m/>
    <n v="75"/>
    <x v="1"/>
    <n v="10000208279"/>
    <s v="416abf37-1fc5-4fd1-bb9f-2ed3db6ead86"/>
    <d v="2026-06-10T00:00:00"/>
    <x v="0"/>
  </r>
  <r>
    <x v="96"/>
    <s v="EMPORIODAMODAMOSSORO@GMAIL.COM"/>
    <n v="300267464"/>
    <n v="15252434"/>
    <x v="2"/>
    <x v="72"/>
    <n v="344"/>
    <s v="quantidade insuficiente"/>
    <m/>
    <s v="material não enviado"/>
    <d v="2026-06-10T14:03:48"/>
    <m/>
    <n v="76"/>
    <x v="1"/>
    <n v="10000120068"/>
    <s v="7269f0b9-41c3-474e-8ed7-b4ec99227188"/>
    <d v="2026-06-10T00:00:00"/>
    <x v="0"/>
  </r>
  <r>
    <x v="96"/>
    <s v="EMPORIODAMODAMOSSORO@GMAIL.COM"/>
    <n v="300267464"/>
    <n v="15252434"/>
    <x v="2"/>
    <x v="103"/>
    <n v="559"/>
    <s v="material incompleto"/>
    <m/>
    <m/>
    <d v="2026-06-10T14:14:00"/>
    <m/>
    <n v="77"/>
    <x v="2"/>
    <n v="10000120068"/>
    <s v="72361e42-206c-46ce-8217-c07d7044728e"/>
    <d v="2026-06-10T00:00:00"/>
    <x v="0"/>
  </r>
  <r>
    <x v="96"/>
    <s v="EMPORIODAMODAMOSSORO@GMAIL.COM"/>
    <n v="300267464"/>
    <n v="15252434"/>
    <x v="2"/>
    <x v="104"/>
    <n v="390"/>
    <s v="quantidade insuficiente"/>
    <m/>
    <m/>
    <d v="2026-06-10T14:16:00"/>
    <m/>
    <n v="78"/>
    <x v="1"/>
    <n v="10000065700"/>
    <s v="a4cb406d-ee02-418f-832b-01966a947cdd"/>
    <d v="2026-06-10T00:00:00"/>
    <x v="0"/>
  </r>
  <r>
    <x v="129"/>
    <s v="felconfeccao@gmail.com"/>
    <n v="300267373"/>
    <n v="16448421"/>
    <x v="2"/>
    <x v="17"/>
    <n v="4"/>
    <s v="material insuficiente para terminar a ordem"/>
    <m/>
    <m/>
    <d v="2026-06-10T14:44:18"/>
    <m/>
    <n v="79"/>
    <x v="1"/>
    <n v="1000121981"/>
    <s v="b72a23b3-43bf-435a-a87f-8307a4978067"/>
    <d v="2026-06-10T00:00:00"/>
    <x v="0"/>
  </r>
  <r>
    <x v="130"/>
    <s v="teceuzl@hotmail.com"/>
    <n v="300263646"/>
    <n v="13044826"/>
    <x v="1"/>
    <x v="6"/>
    <n v="552"/>
    <s v="NÃO ENVIADO PELA GUARARAPES"/>
    <m/>
    <m/>
    <d v="2026-06-10T14:45:18"/>
    <m/>
    <n v="80"/>
    <x v="2"/>
    <n v="0"/>
    <s v="3b963ac2-11ce-4448-9a06-1fc14ffb72aa"/>
    <d v="2026-06-10T00:00:00"/>
    <x v="0"/>
  </r>
  <r>
    <x v="130"/>
    <s v="teceuzl@hotmail.com"/>
    <n v="300269833"/>
    <n v="16442660"/>
    <x v="1"/>
    <x v="20"/>
    <n v="200"/>
    <s v="NÃO ENVIADO PELA GUARARAPES"/>
    <m/>
    <m/>
    <d v="2026-06-10T14:48:59"/>
    <m/>
    <n v="81"/>
    <x v="1"/>
    <n v="0"/>
    <s v="67e1a676-6343-49cc-acb5-648a2b0f7d42"/>
    <d v="2026-06-10T00:00:00"/>
    <x v="0"/>
  </r>
  <r>
    <x v="131"/>
    <s v="S.a.confeccoesind@gmail.com"/>
    <n v="300269761"/>
    <n v="15864448"/>
    <x v="2"/>
    <x v="105"/>
    <n v="100000"/>
    <s v="insulficiente para finalizar op"/>
    <m/>
    <s v="Plástico de fusionar passante"/>
    <d v="2026-06-10T15:06:21"/>
    <m/>
    <n v="82"/>
    <x v="1"/>
    <n v="0"/>
    <s v="9af31983-4b48-478d-b185-4deed7de1c4f"/>
    <d v="2026-06-10T00:00:00"/>
    <x v="0"/>
  </r>
  <r>
    <x v="132"/>
    <s v="lupercio-fnb@hotmail.com"/>
    <n v="300263208"/>
    <n v="15215539"/>
    <x v="1"/>
    <x v="106"/>
    <n v="230"/>
    <s v="Não foi enviado pela guararapes"/>
    <m/>
    <s v="Não enviado pela guararapes"/>
    <d v="2026-06-10T15:37:40"/>
    <m/>
    <n v="83"/>
    <x v="2"/>
    <n v="0"/>
    <s v="0246a5fd-6b69-4d90-85d5-935aa524d9c2"/>
    <d v="2026-06-10T00:00:00"/>
    <x v="0"/>
  </r>
  <r>
    <x v="132"/>
    <s v="lupercio-fnb@hotmail.com"/>
    <n v="300263209"/>
    <n v="15215539"/>
    <x v="1"/>
    <x v="107"/>
    <n v="870"/>
    <s v="Não enviado"/>
    <m/>
    <s v="Não enviado"/>
    <d v="2026-06-10T15:40:15"/>
    <m/>
    <n v="84"/>
    <x v="2"/>
    <n v="0"/>
    <s v="967f69f3-282d-49bc-88a9-a4338c50a74e"/>
    <d v="2026-06-10T00:00:00"/>
    <x v="0"/>
  </r>
  <r>
    <x v="133"/>
    <s v="ajgconfeccoes2021@gmail.com"/>
    <n v="300268013"/>
    <n v="15252485"/>
    <x v="2"/>
    <x v="108"/>
    <n v="14"/>
    <s v="Faltou 14 tamanho 36"/>
    <m/>
    <s v="Faltou 14 etiquetas tamanho 36"/>
    <d v="2026-06-10T15:42:59"/>
    <m/>
    <n v="85"/>
    <x v="1"/>
    <n v="185"/>
    <s v="8e098fce-d062-4267-9904-f14ab039bb3b"/>
    <d v="2026-06-10T00:00:00"/>
    <x v="0"/>
  </r>
  <r>
    <x v="110"/>
    <s v="evalber_dantas@hotmail.com"/>
    <n v="300269338"/>
    <n v="15773477"/>
    <x v="2"/>
    <x v="85"/>
    <s v="800 PEÇAS"/>
    <s v="NÃO FOI ENVIADO PELA GUARARAPES"/>
    <m/>
    <s v="Boa tarde, estamos refazendo o pedido de reposição do plástico filme,  Desde já agradecemos."/>
    <d v="2026-06-10T15:51:05"/>
    <m/>
    <n v="86"/>
    <x v="1"/>
    <n v="0"/>
    <s v="886d5ddb-d66d-4ce2-a33f-3f10a8a00a6f"/>
    <d v="2026-06-10T00:00:00"/>
    <x v="0"/>
  </r>
  <r>
    <x v="134"/>
    <s v="acaritextil2801@gmail.com"/>
    <n v="300269766"/>
    <n v="15775496"/>
    <x v="2"/>
    <x v="109"/>
    <n v="350"/>
    <s v="NÃO ENVIADO"/>
    <m/>
    <m/>
    <d v="2026-06-10T16:03:17"/>
    <m/>
    <n v="87"/>
    <x v="1"/>
    <n v="0"/>
    <s v="6f14720e-ecf0-4369-a97b-2c55036a829b"/>
    <d v="2026-06-10T00:00:00"/>
    <x v="0"/>
  </r>
  <r>
    <x v="117"/>
    <s v="administrativo@zajaconfeccoes.com.br"/>
    <n v="300253185"/>
    <n v="16368045"/>
    <x v="3"/>
    <x v="81"/>
    <n v="1.21"/>
    <s v="NÃO ENVIADO "/>
    <m/>
    <m/>
    <d v="2026-06-10T16:22:06"/>
    <m/>
    <n v="88"/>
    <x v="2"/>
    <n v="0"/>
    <s v="6721bcc1-c762-45ed-91fc-8bf40ec2b1f3"/>
    <d v="2026-06-10T00:00:00"/>
    <x v="0"/>
  </r>
  <r>
    <x v="128"/>
    <s v="administrativo@zajaconfeccoes.com.br"/>
    <n v="300267378"/>
    <n v="16243153"/>
    <x v="2"/>
    <x v="110"/>
    <n v="0"/>
    <s v="FALTA "/>
    <m/>
    <m/>
    <d v="2026-06-10T16:30:04"/>
    <m/>
    <n v="89"/>
    <x v="2"/>
    <n v="0"/>
    <s v="41c53ce8-0bd8-4765-99b4-ff5bd8dc9cf6"/>
    <d v="2026-06-10T00:00:00"/>
    <x v="0"/>
  </r>
  <r>
    <x v="128"/>
    <s v="administrativo@zajaconfeccoes.com.br"/>
    <n v="300267378"/>
    <n v="16243153"/>
    <x v="2"/>
    <x v="111"/>
    <n v="0"/>
    <s v="FALTA"/>
    <m/>
    <m/>
    <d v="2026-06-10T16:33:16"/>
    <m/>
    <n v="90"/>
    <x v="2"/>
    <n v="0"/>
    <s v="8d29ef94-55d3-491d-b06d-e8b4d3339f50"/>
    <d v="2026-06-10T00:00:00"/>
    <x v="0"/>
  </r>
  <r>
    <x v="85"/>
    <s v="alvesemedeirosoficina@gmail.com"/>
    <n v="300000000"/>
    <n v="0"/>
    <x v="2"/>
    <x v="10"/>
    <n v="0"/>
    <s v="estamos sem "/>
    <m/>
    <m/>
    <d v="2026-06-10T16:55:08"/>
    <m/>
    <n v="91"/>
    <x v="2"/>
    <n v="0"/>
    <s v="1230fb75-730f-47f3-99c8-08d38a09d659"/>
    <d v="2026-06-10T00:00:00"/>
    <x v="0"/>
  </r>
  <r>
    <x v="108"/>
    <s v="potengitextil@outlook.com.br"/>
    <n v="300269892"/>
    <n v="16262646"/>
    <x v="3"/>
    <x v="112"/>
    <n v="150"/>
    <s v="Não dá pra finalizar a ordem "/>
    <m/>
    <s v="Insuficiente para finalizar ordem "/>
    <d v="2026-06-10T17:01:00"/>
    <m/>
    <n v="92"/>
    <x v="1"/>
    <n v="0"/>
    <s v="8b3178ee-1809-4d4e-a5de-d27646de2014"/>
    <d v="2026-06-10T00:00:00"/>
    <x v="0"/>
  </r>
  <r>
    <x v="101"/>
    <s v="felconfeccao@gmail.com"/>
    <n v="300262239"/>
    <n v="16459849"/>
    <x v="3"/>
    <x v="61"/>
    <n v="45"/>
    <s v="FALTOU PARA FINALIZAR OP"/>
    <m/>
    <m/>
    <d v="2026-06-10T17:04:18"/>
    <m/>
    <n v="93"/>
    <x v="1"/>
    <n v="0"/>
    <s v="28099c6d-b97e-4cc3-8301-6a56b24de9ef"/>
    <d v="2026-06-10T00:00:00"/>
    <x v="0"/>
  </r>
  <r>
    <x v="102"/>
    <s v="confeccaogenesisltda@gmail.com"/>
    <n v="300271999"/>
    <n v="16547942"/>
    <x v="0"/>
    <x v="113"/>
    <n v="5352"/>
    <s v="NÃO ENVIADO PELA GUARARAPES"/>
    <m/>
    <s v="cada peça utiliza 4 palas"/>
    <d v="2026-06-10T17:23:18"/>
    <m/>
    <n v="94"/>
    <x v="2"/>
    <n v="0"/>
    <s v="a0555c49-111c-4250-9736-2c5aa4bac7a0"/>
    <d v="2026-06-10T00:00:00"/>
    <x v="0"/>
  </r>
  <r>
    <x v="101"/>
    <s v="felconfeccao@gmail.com"/>
    <n v="300262239"/>
    <n v="16459849"/>
    <x v="3"/>
    <x v="61"/>
    <n v="10"/>
    <s v="FALTOU PARA FINALIZAR"/>
    <m/>
    <m/>
    <d v="2026-06-10T17:23:41"/>
    <m/>
    <n v="95"/>
    <x v="1"/>
    <n v="0"/>
    <s v="8e37170e-250e-4c6a-8fb9-9b38839a1cd3"/>
    <d v="2026-06-10T00:00:00"/>
    <x v="0"/>
  </r>
  <r>
    <x v="102"/>
    <s v="confeccaogenesisltda@gmail.com"/>
    <n v="300272000"/>
    <n v="16547942"/>
    <x v="0"/>
    <x v="114"/>
    <n v="5352"/>
    <s v="não enviado pela guararapes"/>
    <m/>
    <s v="cada peça utiliza 4 pala"/>
    <d v="2026-06-10T17:25:58"/>
    <m/>
    <n v="96"/>
    <x v="2"/>
    <n v="0"/>
    <s v="36148fdd-967c-4f6c-b7e3-c10d3e37f878"/>
    <d v="2026-06-10T00:00:00"/>
    <x v="0"/>
  </r>
  <r>
    <x v="102"/>
    <s v="confeccaogenesisltda@gmail.com"/>
    <n v="300271999"/>
    <n v="16547942"/>
    <x v="0"/>
    <x v="113"/>
    <n v="1752"/>
    <s v="não enviado pela guararapes"/>
    <m/>
    <s v="cada peça utiliza 4 palas"/>
    <d v="2026-06-10T17:28:03"/>
    <m/>
    <n v="97"/>
    <x v="2"/>
    <n v="0"/>
    <s v="85f36194-5073-49eb-a9f8-b69fec17d6e4"/>
    <d v="2026-06-10T00:00:00"/>
    <x v="0"/>
  </r>
  <r>
    <x v="100"/>
    <s v="maxwelaaraujo7@gmail.com"/>
    <n v="300268101"/>
    <n v="16442709"/>
    <x v="1"/>
    <x v="115"/>
    <n v="10"/>
    <s v="MATERIAL PRA FINALIZAR ORDEM CITADA E PRODUZIR ORDEM 300268100"/>
    <m/>
    <m/>
    <d v="2026-06-10T20:22:16"/>
    <m/>
    <n v="98"/>
    <x v="1"/>
    <n v="10000071710"/>
    <s v="5c27ad8b-0c74-4afa-8e58-d767b31fa6a6"/>
    <d v="2026-06-10T00:00:00"/>
    <x v="0"/>
  </r>
  <r>
    <x v="100"/>
    <s v="maxwelaaraujo7@gmail.com"/>
    <n v="300268101"/>
    <n v="16442709"/>
    <x v="1"/>
    <x v="8"/>
    <n v="10"/>
    <s v="MATERIAL PRA FINALIZAR OP CITADA E PRODUZIR ORDEM 300268100"/>
    <m/>
    <m/>
    <d v="2026-06-10T20:24:03"/>
    <m/>
    <n v="99"/>
    <x v="1"/>
    <n v="10000062842"/>
    <s v="412018f2-2598-4161-8ac9-89d7d681865b"/>
    <d v="2026-06-10T00:00:00"/>
    <x v="0"/>
  </r>
  <r>
    <x v="100"/>
    <s v="maxwelaaraujo7@gmail.com"/>
    <n v="300268953"/>
    <n v="16443268"/>
    <x v="1"/>
    <x v="116"/>
    <n v="1.0389999999999999"/>
    <s v="Material não enviado pela Guararapes"/>
    <m/>
    <m/>
    <d v="2026-06-10T20:30:33"/>
    <m/>
    <n v="100"/>
    <x v="2"/>
    <n v="1.00000716951E+21"/>
    <s v="b45dd653-cfad-4d1c-b5fc-1ebeadb35358"/>
    <d v="2026-06-10T00:00:00"/>
    <x v="0"/>
  </r>
  <r>
    <x v="135"/>
    <s v="arconfec-oes@hotmamil.com"/>
    <n v="300270287"/>
    <n v="16548612"/>
    <x v="2"/>
    <x v="117"/>
    <n v="10"/>
    <s v="INSUFICIENTE PARA FINALIZAR A OP"/>
    <m/>
    <m/>
    <d v="2026-06-11T08:19:32"/>
    <m/>
    <n v="101"/>
    <x v="2"/>
    <n v="0"/>
    <s v="76280d10-8da0-4a2e-8880-a0251740cf14"/>
    <d v="2026-06-11T00:00:00"/>
    <x v="0"/>
  </r>
  <r>
    <x v="60"/>
    <s v="mkdeazevedomedeiros@gmail.com"/>
    <n v="300248762"/>
    <n v="16247388"/>
    <x v="2"/>
    <x v="1"/>
    <n v="30"/>
    <s v="INSUFICIENTE PARA FINALIZAR A OP"/>
    <m/>
    <s v="8/9 - 10000220031"/>
    <d v="2026-06-11T09:41:33"/>
    <m/>
    <n v="102"/>
    <x v="1"/>
    <n v="10000220032"/>
    <s v="d3cfa4cb-3c8d-41cd-a8df-bf4d9736caaa"/>
    <d v="2026-06-11T00:00:00"/>
    <x v="0"/>
  </r>
  <r>
    <x v="136"/>
    <s v="sjarlandia@hotmail.com"/>
    <n v="300264863"/>
    <n v="16370635"/>
    <x v="2"/>
    <x v="118"/>
    <n v="9"/>
    <s v="FALTANDO"/>
    <m/>
    <s v="não enviado"/>
    <d v="2026-06-11T09:59:16"/>
    <m/>
    <n v="103"/>
    <x v="1"/>
    <n v="10000183946"/>
    <s v="1bed56a9-4400-4ea8-bad9-6c8c8377e873"/>
    <d v="2026-06-11T00:00:00"/>
    <x v="0"/>
  </r>
  <r>
    <x v="137"/>
    <s v="sjarlandia@hotmail.com"/>
    <n v="300271095"/>
    <n v="16218159"/>
    <x v="2"/>
    <x v="119"/>
    <n v="3"/>
    <s v="faltando "/>
    <m/>
    <m/>
    <d v="2026-06-11T10:00:42"/>
    <m/>
    <n v="104"/>
    <x v="2"/>
    <n v="0"/>
    <s v="3cf36d81-1127-48ab-afeb-91503c1a5ef4"/>
    <d v="2026-06-11T00:00:00"/>
    <x v="0"/>
  </r>
  <r>
    <x v="132"/>
    <s v="lupercio-fnb@hotmail.com"/>
    <n v="300267144"/>
    <n v="15128288"/>
    <x v="1"/>
    <x v="22"/>
    <n v="40"/>
    <s v="FALTANDO"/>
    <m/>
    <s v="Faltando"/>
    <d v="2026-06-11T10:02:31"/>
    <m/>
    <n v="105"/>
    <x v="2"/>
    <n v="0"/>
    <s v="13f2ceb6-e1bf-4d57-aef7-28854fe920d7"/>
    <d v="2026-06-11T00:00:00"/>
    <x v="0"/>
  </r>
  <r>
    <x v="138"/>
    <s v="di3confec@gmail.com"/>
    <n v="300270483"/>
    <n v="16266943"/>
    <x v="3"/>
    <x v="12"/>
    <n v="5"/>
    <s v="Material insuficiente "/>
    <m/>
    <m/>
    <d v="2026-06-11T10:12:18"/>
    <m/>
    <n v="106"/>
    <x v="1"/>
    <n v="0"/>
    <s v="b8d1b608-a342-4527-9314-f7f9af23464f"/>
    <d v="2026-06-11T00:00:00"/>
    <x v="0"/>
  </r>
  <r>
    <x v="23"/>
    <s v="reposicoesjkmodas@gmail.com"/>
    <n v="300231420"/>
    <n v="16317840"/>
    <x v="2"/>
    <x v="120"/>
    <s v="1.220 PEÇAS"/>
    <s v="INSUFICIENTE PARA FINALIZAR OP"/>
    <m/>
    <m/>
    <d v="2026-06-11T10:22:28"/>
    <m/>
    <n v="107"/>
    <x v="2"/>
    <n v="150"/>
    <s v="364d6405-72c8-403e-9e43-5eea4e7bd385"/>
    <d v="2026-06-11T00:00:00"/>
    <x v="0"/>
  </r>
  <r>
    <x v="139"/>
    <s v="w.anny.k@hotmail.com"/>
    <n v="300269763"/>
    <n v="15775496"/>
    <x v="2"/>
    <x v="121"/>
    <n v="10"/>
    <s v="ESTAMOS PRECISANDO PARA AS ORDENS"/>
    <m/>
    <m/>
    <d v="2026-06-11T10:44:04"/>
    <m/>
    <n v="108"/>
    <x v="2"/>
    <n v="0"/>
    <s v="ec49c6d4-cbf9-4160-b954-af7533303faa"/>
    <d v="2026-06-11T00:00:00"/>
    <x v="0"/>
  </r>
  <r>
    <x v="139"/>
    <s v="w.anny.k@hotmail.com"/>
    <n v="300269763"/>
    <n v="15775496"/>
    <x v="2"/>
    <x v="7"/>
    <n v="1"/>
    <s v="ESTAMOS PRECISANDO PARA AS ORDENS"/>
    <m/>
    <m/>
    <d v="2026-06-11T10:46:17"/>
    <m/>
    <n v="109"/>
    <x v="2"/>
    <n v="0"/>
    <s v="ba0350ab-81d9-4bbb-8ea1-c8340923d04f"/>
    <d v="2026-06-11T00:00:00"/>
    <x v="0"/>
  </r>
  <r>
    <x v="140"/>
    <s v="w.anny.k@hotmail.com"/>
    <n v="300269152"/>
    <n v="15359492"/>
    <x v="1"/>
    <x v="122"/>
    <n v="9"/>
    <s v="VEIO FALTANDO NA ORDEM "/>
    <m/>
    <m/>
    <d v="2026-06-11T11:12:30"/>
    <m/>
    <n v="110"/>
    <x v="1"/>
    <n v="0"/>
    <s v="85e35cd5-e464-46af-a5b8-8021f2971ae5"/>
    <d v="2026-06-11T00:00:00"/>
    <x v="0"/>
  </r>
  <r>
    <x v="140"/>
    <s v="w.anny.k@hotmail.com"/>
    <n v="300269152"/>
    <n v="15359492"/>
    <x v="1"/>
    <x v="123"/>
    <s v="3 CONES DE LINHAS "/>
    <s v="VEIO FALTANDO NA ORDEM "/>
    <m/>
    <m/>
    <d v="2026-06-11T11:14:58"/>
    <m/>
    <n v="111"/>
    <x v="1"/>
    <n v="0"/>
    <s v="f0ba2434-b37f-4c81-bb8f-35f6f85af57c"/>
    <d v="2026-06-11T00:00:00"/>
    <x v="0"/>
  </r>
  <r>
    <x v="141"/>
    <s v="idealconfecltda@gmail.com"/>
    <n v="300270729"/>
    <n v="16243145"/>
    <x v="2"/>
    <x v="2"/>
    <n v="50"/>
    <s v="INSUFICIENTE PARA FINALIZAR OP"/>
    <m/>
    <s v="INSUFICIENTE PARA FINALIZAR OP"/>
    <d v="2026-06-11T13:00:34"/>
    <m/>
    <n v="112"/>
    <x v="1"/>
    <n v="0"/>
    <s v="58187c8f-3728-4bea-af1b-edbb96c77a9e"/>
    <d v="2026-06-11T00:00:00"/>
    <x v="0"/>
  </r>
  <r>
    <x v="142"/>
    <s v="pn.fenix@gmail.com"/>
    <n v="300269350"/>
    <n v="15773477"/>
    <x v="2"/>
    <x v="124"/>
    <n v="0"/>
    <s v="MATERIAL INSUFICIENTE PARA FINALIZAR OP"/>
    <m/>
    <m/>
    <d v="2026-06-11T13:27:36"/>
    <m/>
    <n v="113"/>
    <x v="1"/>
    <n v="0"/>
    <s v="ba36b3d1-d986-44d5-97ef-30f14b0cbb0f"/>
    <d v="2026-06-11T00:00:00"/>
    <x v="0"/>
  </r>
  <r>
    <x v="2"/>
    <s v="oficinasantos08@outlook.com"/>
    <n v="300268037"/>
    <n v="16508203"/>
    <x v="2"/>
    <x v="24"/>
    <n v="40"/>
    <s v="material insuficiente para finalizar a ordem"/>
    <m/>
    <s v="lado esquerdo de quem veste"/>
    <d v="2026-06-11T14:01:56"/>
    <m/>
    <n v="114"/>
    <x v="1"/>
    <n v="0"/>
    <s v="44b81793-8db4-43df-8982-d03ece6faf63"/>
    <d v="2026-06-11T00:00:00"/>
    <x v="0"/>
  </r>
  <r>
    <x v="81"/>
    <s v="gsragazziconfeccoes@yahoo.com"/>
    <n v="300270677"/>
    <n v="16224116"/>
    <x v="3"/>
    <x v="125"/>
    <n v="54"/>
    <s v="nao enviado "/>
    <m/>
    <s v="aldeiza nos orientou a enviar uma peça pra teste de tonalidade, a ordem veio faltando 54 traseiros g"/>
    <d v="2026-06-11T14:06:49"/>
    <m/>
    <n v="115"/>
    <x v="1"/>
    <n v="0"/>
    <s v="24ea06e3-bb23-4de8-8484-aa78293d93b2"/>
    <d v="2026-06-11T00:00:00"/>
    <x v="0"/>
  </r>
  <r>
    <x v="143"/>
    <s v="gsragazziconfeccoes@yahoo.com"/>
    <n v="300270678"/>
    <n v="16224116"/>
    <x v="3"/>
    <x v="126"/>
    <s v="32 frente G : 32 traseiras M"/>
    <s v="material nao enviado pela guararapes"/>
    <m/>
    <s v="FALTOU 32 frente G : 32 traseiras M . ja mandamos a peça para teste de tonalidade coforme audeiza pediu"/>
    <d v="2026-06-11T14:11:16"/>
    <m/>
    <n v="116"/>
    <x v="1"/>
    <n v="0"/>
    <s v="99301c48-3c3f-4fa9-b3f2-de421e9afee1"/>
    <d v="2026-06-11T00:00:00"/>
    <x v="0"/>
  </r>
  <r>
    <x v="144"/>
    <s v="fiosdosertao01@gmail.com"/>
    <n v="300264381"/>
    <n v="16482611"/>
    <x v="2"/>
    <x v="127"/>
    <n v="20"/>
    <s v="material insuficiente para finalizar a op "/>
    <m/>
    <s v="enviar peãs suficiente para as duas oficinas "/>
    <d v="2026-06-11T14:16:22"/>
    <m/>
    <n v="117"/>
    <x v="2"/>
    <n v="0"/>
    <s v="2334f6a0-6a48-4668-8729-c4a8eda1286b"/>
    <d v="2026-06-11T00:00:00"/>
    <x v="0"/>
  </r>
  <r>
    <x v="144"/>
    <s v="fiosdosertao01@gmail.com"/>
    <n v="300264381"/>
    <n v="16482611"/>
    <x v="2"/>
    <x v="10"/>
    <n v="10"/>
    <s v="material insuficiente para finalizar a op"/>
    <m/>
    <s v="mandar suficiente para as duas fabricas, matriz e filial "/>
    <d v="2026-06-11T14:22:26"/>
    <m/>
    <n v="118"/>
    <x v="2"/>
    <n v="0"/>
    <s v="fe9fccd3-a508-45ab-9dc0-74def0a78fc8"/>
    <d v="2026-06-11T00:00:00"/>
    <x v="0"/>
  </r>
  <r>
    <x v="120"/>
    <s v="hiconfeccao@gmail.com"/>
    <n v="300269359"/>
    <n v="16507657"/>
    <x v="2"/>
    <x v="128"/>
    <n v="300"/>
    <s v="ACABOU"/>
    <m/>
    <s v="Pedido de envio de Lacres."/>
    <d v="2026-06-11T14:25:12"/>
    <m/>
    <n v="119"/>
    <x v="2"/>
    <n v="300269359"/>
    <s v="e1e5fe1d-f59d-41b2-8da2-a321cdb692e6"/>
    <d v="2026-06-11T00:00:00"/>
    <x v="0"/>
  </r>
  <r>
    <x v="138"/>
    <s v="di3confec@gmail.com"/>
    <n v="300270482"/>
    <n v="16266943"/>
    <x v="3"/>
    <x v="61"/>
    <n v="20"/>
    <s v="MATERIAL INSUFICIENTE"/>
    <m/>
    <m/>
    <d v="2026-06-11T14:27:23"/>
    <m/>
    <n v="120"/>
    <x v="1"/>
    <n v="0"/>
    <s v="ae06d352-2086-4d15-98fc-01f4d9e690b4"/>
    <d v="2026-06-11T00:00:00"/>
    <x v="0"/>
  </r>
  <r>
    <x v="145"/>
    <s v="acauaconfeccoes@outlook.com"/>
    <n v="300271686"/>
    <n v="16441370"/>
    <x v="3"/>
    <x v="129"/>
    <n v="1000"/>
    <s v="Insuficiente pra fazer a ordem "/>
    <m/>
    <s v="Preciso de reposição de linhas e fio e o código do fio é esse 10000071686"/>
    <d v="2026-06-11T14:37:38"/>
    <m/>
    <n v="121"/>
    <x v="2"/>
    <n v="10000072658"/>
    <s v="06a959f6-e071-415c-8ebd-057b6f7808be"/>
    <d v="2026-06-11T00:00:00"/>
    <x v="0"/>
  </r>
  <r>
    <x v="146"/>
    <s v="lctextil@outlook.com.br"/>
    <n v="300266481"/>
    <n v="16441656"/>
    <x v="3"/>
    <x v="130"/>
    <n v="93"/>
    <s v="Veio faltando, repôs e veio com tonalidade. "/>
    <m/>
    <s v="Estou enviando a peça para tonalidade vim certa, pede a reposição e tonalidade veio errada. "/>
    <d v="2026-06-11T14:38:49"/>
    <m/>
    <n v="122"/>
    <x v="1"/>
    <n v="0"/>
    <s v="7b6f614f-1230-45f6-abf6-09bc9c8174cf"/>
    <d v="2026-06-11T00:00:00"/>
    <x v="0"/>
  </r>
  <r>
    <x v="138"/>
    <s v="di3confec@gmail.com"/>
    <n v="300270482"/>
    <n v="16266943"/>
    <x v="3"/>
    <x v="39"/>
    <n v="10"/>
    <s v="MATERIAL INSUFICIENTE E MUITOS PEDAÇOS SEM UTILIDADE"/>
    <m/>
    <m/>
    <d v="2026-06-11T15:34:49"/>
    <m/>
    <n v="123"/>
    <x v="1"/>
    <n v="0"/>
    <s v="0996ca6b-74d6-4172-834c-9e7bc26f5d13"/>
    <d v="2026-06-11T00:00:00"/>
    <x v="0"/>
  </r>
  <r>
    <x v="102"/>
    <s v="confeccaogenesisltda@gmail.com"/>
    <n v="300270427"/>
    <n v="15497313"/>
    <x v="3"/>
    <x v="61"/>
    <n v="1028"/>
    <s v="Material não enviado pela Guararapes"/>
    <m/>
    <m/>
    <d v="2026-06-11T15:38:01"/>
    <m/>
    <n v="124"/>
    <x v="2"/>
    <n v="0"/>
    <s v="fa038a79-665f-4084-9f6f-4c364cc27db1"/>
    <d v="2026-06-11T00:00:00"/>
    <x v="0"/>
  </r>
  <r>
    <x v="102"/>
    <s v="confeccaogenesisltda@gmail.com"/>
    <n v="300270427"/>
    <n v="15497313"/>
    <x v="3"/>
    <x v="131"/>
    <n v="10"/>
    <s v="NÃO ENVIADO"/>
    <m/>
    <m/>
    <d v="2026-06-11T15:39:59"/>
    <m/>
    <n v="125"/>
    <x v="1"/>
    <n v="0"/>
    <s v="c627844a-3152-4c22-9d15-cea4722a2fba"/>
    <d v="2026-06-11T00:00:00"/>
    <x v="0"/>
  </r>
  <r>
    <x v="102"/>
    <s v="confeccaogenesisltda@gmail.com"/>
    <n v="300270427"/>
    <n v="15497313"/>
    <x v="3"/>
    <x v="92"/>
    <n v="10"/>
    <s v="NÃO ENVIADO PELA GUARARAPES"/>
    <m/>
    <m/>
    <d v="2026-06-11T15:42:03"/>
    <m/>
    <n v="126"/>
    <x v="1"/>
    <n v="0"/>
    <s v="4c2aa0e2-75c1-49ec-a955-0ed879626bb7"/>
    <d v="2026-06-11T00:00:00"/>
    <x v="0"/>
  </r>
  <r>
    <x v="147"/>
    <s v="ldinizconfeccoes@hotmail.com"/>
    <n v="300267966"/>
    <n v="16523741"/>
    <x v="2"/>
    <x v="74"/>
    <n v="30"/>
    <s v="falta"/>
    <m/>
    <s v="estou com uma op que veio passando uma frente de cada numeração. porem não veio as etiquetas passando, o que faço? solicito as traseiras com as etiquetas? ou posso devolver? "/>
    <d v="2026-06-11T15:59:08"/>
    <m/>
    <n v="127"/>
    <x v="1"/>
    <n v="10000214517"/>
    <s v="798797dd-d451-4082-8bc2-73e376b51ecc"/>
    <d v="2026-06-11T00:00:00"/>
    <x v="0"/>
  </r>
  <r>
    <x v="148"/>
    <s v="auxiforte@hotmail.com"/>
    <n v="300269057"/>
    <n v="14700328"/>
    <x v="3"/>
    <x v="61"/>
    <n v="300"/>
    <s v="Quantidade insuficiente de etiquetas. Vieram faltando."/>
    <m/>
    <s v="ORDEM - 300269057; MATERIAL INSUFICIENTE PARA FINALIZAR OP;"/>
    <d v="2026-06-11T16:15:48"/>
    <m/>
    <n v="128"/>
    <x v="1"/>
    <n v="1.0000070395911801E+25"/>
    <s v="92213a08-a9e7-4167-9f17-2dce707a920a"/>
    <d v="2026-06-11T00:00:00"/>
    <x v="0"/>
  </r>
  <r>
    <x v="149"/>
    <s v="noelpazevedo@gmail.com"/>
    <n v="300270772"/>
    <n v="16318249"/>
    <x v="2"/>
    <x v="81"/>
    <n v="120"/>
    <s v="Veio faltando "/>
    <m/>
    <s v="Veio faltando "/>
    <d v="2026-06-11T16:19:44"/>
    <m/>
    <n v="129"/>
    <x v="1"/>
    <n v="32"/>
    <s v="c9e48385-a54f-4eba-8286-95707550809a"/>
    <d v="2026-06-11T00:00:00"/>
    <x v="0"/>
  </r>
  <r>
    <x v="149"/>
    <s v="noelpazevedo@gmail.com"/>
    <n v="300270772"/>
    <n v="16319249"/>
    <x v="2"/>
    <x v="132"/>
    <n v="65"/>
    <s v="Veio faltando "/>
    <m/>
    <s v="Veio faltando "/>
    <d v="2026-06-11T16:22:47"/>
    <m/>
    <n v="130"/>
    <x v="1"/>
    <n v="10000216488"/>
    <s v="e002d9c0-9024-4518-86f1-4898b263e8c5"/>
    <d v="2026-06-11T00:00:00"/>
    <x v="0"/>
  </r>
  <r>
    <x v="117"/>
    <s v="administrativo@zajaconfeccoes.com.br"/>
    <n v="300263767"/>
    <n v="16289870"/>
    <x v="3"/>
    <x v="133"/>
    <n v="13"/>
    <s v="insuficiente  "/>
    <m/>
    <m/>
    <d v="2026-06-11T16:40:26"/>
    <m/>
    <n v="131"/>
    <x v="1"/>
    <n v="0"/>
    <s v="d8022a1d-3233-44fd-86e9-53052ed8fcd4"/>
    <d v="2026-06-11T00:00:00"/>
    <x v="0"/>
  </r>
  <r>
    <x v="150"/>
    <s v="spauloazevedo@bol.com.br"/>
    <n v="300268957"/>
    <n v="16218299"/>
    <x v="2"/>
    <x v="134"/>
    <n v="14"/>
    <s v="veio faltando"/>
    <m/>
    <s v="Veio faltando na ordem"/>
    <d v="2026-06-11T16:58:42"/>
    <m/>
    <n v="132"/>
    <x v="1"/>
    <n v="10000216483"/>
    <s v="cb4ce193-c41e-4aa3-a328-08d32f561df9"/>
    <d v="2026-06-11T00:00:00"/>
    <x v="0"/>
  </r>
  <r>
    <x v="150"/>
    <s v="spauloazevedo@bol.com.br"/>
    <n v="300268957"/>
    <n v="16218299"/>
    <x v="2"/>
    <x v="87"/>
    <s v="8 rolos"/>
    <s v="Não deu pra conclui a ordem"/>
    <m/>
    <s v="os elásticos que veio não deu pra conclui a ordem"/>
    <d v="2026-06-11T17:10:21"/>
    <m/>
    <n v="133"/>
    <x v="1"/>
    <n v="10000195771"/>
    <s v="615fbe4c-8cb3-4ded-b61b-7bef2a1f99d3"/>
    <d v="2026-06-11T00:00:00"/>
    <x v="0"/>
  </r>
  <r>
    <x v="130"/>
    <s v="teceuzl@hotmail.com"/>
    <n v="300269833"/>
    <n v="16442660"/>
    <x v="1"/>
    <x v="135"/>
    <s v="O SUFICIENTE PARA ORDEM TODA"/>
    <s v="NÃO ENVIADO PELA GUARARAPES"/>
    <m/>
    <m/>
    <d v="2026-06-11T19:10:26"/>
    <m/>
    <n v="134"/>
    <x v="2"/>
    <n v="0"/>
    <s v="469895c7-d99a-43a3-8335-653473662b0d"/>
    <d v="2026-06-11T00:00:00"/>
    <x v="0"/>
  </r>
  <r>
    <x v="108"/>
    <s v="potengitextil@outlook.com.br"/>
    <n v="300267513"/>
    <n v="16356780"/>
    <x v="3"/>
    <x v="136"/>
    <n v="100"/>
    <s v="Insuficiente para finalizar a ordem. "/>
    <m/>
    <m/>
    <d v="2026-06-12T06:45:13"/>
    <m/>
    <n v="135"/>
    <x v="1"/>
    <n v="0"/>
    <s v="6a5f2d6f-abdc-4be7-9b98-638287eb3e39"/>
    <d v="2026-06-12T00:00:00"/>
    <x v="0"/>
  </r>
  <r>
    <x v="67"/>
    <s v="samuelmedeiros074@hotmail.com"/>
    <n v="300269770"/>
    <n v="15775496"/>
    <x v="2"/>
    <x v="37"/>
    <n v="763"/>
    <s v="OS VIVOS VEIO COM A ENTRETELA COLADA NO LADO ERRADO"/>
    <m/>
    <m/>
    <d v="2026-06-12T07:16:24"/>
    <m/>
    <n v="136"/>
    <x v="2"/>
    <n v="1"/>
    <s v="5798dceb-3b23-4097-b9e7-4ba7fcf84fb9"/>
    <d v="2026-06-12T00:00:00"/>
    <x v="0"/>
  </r>
  <r>
    <x v="151"/>
    <s v="lctextil@outlook.com.br"/>
    <n v="300268119"/>
    <n v="16334680"/>
    <x v="3"/>
    <x v="61"/>
    <n v="12"/>
    <s v="insuficiente para finalizar op "/>
    <m/>
    <m/>
    <d v="2026-06-12T07:35:09"/>
    <m/>
    <n v="137"/>
    <x v="1"/>
    <n v="0"/>
    <s v="0cb4aad1-b50a-4951-a807-66aa22fa3322"/>
    <d v="2026-06-12T00:00:00"/>
    <x v="0"/>
  </r>
  <r>
    <x v="152"/>
    <s v="CONFECCAOSAOSEBASTIAO@GMAIL.COM"/>
    <n v="300269328"/>
    <n v="16520025"/>
    <x v="2"/>
    <x v="137"/>
    <n v="216"/>
    <s v="NÃO ENVIADO"/>
    <m/>
    <s v="FALTAND0 216 ZIPER TAMNHO 17CM, PARA MONTAGEM DAS PEÇAS TAMANHO 44."/>
    <d v="2026-06-12T08:28:08"/>
    <m/>
    <n v="138"/>
    <x v="1"/>
    <n v="10000064323"/>
    <s v="aa509686-350a-4237-b023-db64fbd40409"/>
    <d v="2026-06-12T00:00:00"/>
    <x v="0"/>
  </r>
  <r>
    <x v="131"/>
    <s v="S.a.confeccoesind@gmail.com"/>
    <n v="300268899"/>
    <n v="15774104"/>
    <x v="2"/>
    <x v="138"/>
    <n v="5"/>
    <s v="Material insuficiente para finalizar a OP"/>
    <m/>
    <s v="Etiqueta de composição tamanho 38"/>
    <d v="2026-06-12T09:15:32"/>
    <m/>
    <n v="139"/>
    <x v="1"/>
    <n v="0"/>
    <s v="9c015d4b-6fb8-4fec-9be2-0cd4afa3255d"/>
    <d v="2026-06-12T00:00:00"/>
    <x v="0"/>
  </r>
  <r>
    <x v="132"/>
    <s v="lupercio-fnb@hotmail.com"/>
    <n v="300265824"/>
    <n v="16482395"/>
    <x v="2"/>
    <x v="17"/>
    <n v="44"/>
    <s v="FALTANDO"/>
    <m/>
    <s v="Faltando."/>
    <d v="2026-06-12T09:18:06"/>
    <m/>
    <n v="140"/>
    <x v="2"/>
    <n v="0"/>
    <s v="5b124a53-3247-4ed8-be1a-0cb0ef2c3e1d"/>
    <d v="2026-06-12T00:00:00"/>
    <x v="0"/>
  </r>
  <r>
    <x v="134"/>
    <s v="acaritextil2801@gmail.com"/>
    <n v="300000000"/>
    <n v="0"/>
    <x v="2"/>
    <x v="139"/>
    <n v="10"/>
    <s v="INSUFICIENTE "/>
    <m/>
    <s v="FILME PARA FUSIONAR "/>
    <d v="2026-06-12T09:20:59"/>
    <m/>
    <n v="141"/>
    <x v="2"/>
    <n v="0"/>
    <s v="d6d69606-37e6-4522-9dcf-62dcae2b3392"/>
    <d v="2026-06-12T00:00:00"/>
    <x v="0"/>
  </r>
  <r>
    <x v="92"/>
    <s v="acaritextil2801@gmail.com"/>
    <n v="310000000"/>
    <n v="0"/>
    <x v="2"/>
    <x v="86"/>
    <n v="0"/>
    <s v="INSUFICIENTES"/>
    <m/>
    <m/>
    <d v="2026-06-12T09:22:13"/>
    <m/>
    <n v="142"/>
    <x v="2"/>
    <n v="0"/>
    <s v="e0f43dc9-5ca7-4808-b0e5-b2e0edcc7c31"/>
    <d v="2026-06-12T00:00:00"/>
    <x v="0"/>
  </r>
  <r>
    <x v="153"/>
    <s v="administrativo@zajaconfeccoes.com.br"/>
    <n v="300266586"/>
    <n v="16526112"/>
    <x v="0"/>
    <x v="102"/>
    <n v="257"/>
    <s v="INSUFICIENTE "/>
    <m/>
    <m/>
    <d v="2026-06-12T09:26:54"/>
    <m/>
    <n v="143"/>
    <x v="1"/>
    <n v="0"/>
    <s v="0139fd41-8e08-4975-9375-1d859e13a20e"/>
    <d v="2026-06-12T00:00:00"/>
    <x v="0"/>
  </r>
  <r>
    <x v="148"/>
    <s v="auxiforte@hotmail.com"/>
    <n v="300268566"/>
    <n v="16441630"/>
    <x v="3"/>
    <x v="22"/>
    <n v="5"/>
    <s v="ORDEM - 300268566; MATERIAL INSUFICIENTE PARA FINALIZAR OP;"/>
    <m/>
    <s v="ORDEM - 300268566; MATERIAL INSUFICIENTE PARA FINALIZAR OP;"/>
    <d v="2026-06-12T09:36:25"/>
    <m/>
    <n v="144"/>
    <x v="1"/>
    <n v="0"/>
    <s v="e3989631-468b-4220-bf5c-b56e5083c441"/>
    <d v="2026-06-12T00:00:00"/>
    <x v="0"/>
  </r>
  <r>
    <x v="97"/>
    <s v="ebenezerindustriat@hotmail.com"/>
    <n v="300268560"/>
    <n v="16441656"/>
    <x v="3"/>
    <x v="52"/>
    <n v="10"/>
    <s v="ACABOU"/>
    <m/>
    <m/>
    <d v="2026-06-12T09:40:46"/>
    <m/>
    <n v="145"/>
    <x v="2"/>
    <n v="0"/>
    <s v="20d03e04-fe5e-4e96-ba89-e9eca054a462"/>
    <d v="2026-06-12T00:00:00"/>
    <x v="0"/>
  </r>
  <r>
    <x v="154"/>
    <s v="faccaoello@hotmail.com"/>
    <n v="300262599"/>
    <n v="16444876"/>
    <x v="2"/>
    <x v="111"/>
    <n v="1"/>
    <s v="ACABOU"/>
    <m/>
    <m/>
    <d v="2026-06-12T09:41:42"/>
    <m/>
    <n v="146"/>
    <x v="2"/>
    <n v="0"/>
    <s v="6ac96731-9234-444c-aee8-6e5cbb19d22b"/>
    <d v="2026-06-12T00:00:00"/>
    <x v="0"/>
  </r>
  <r>
    <x v="148"/>
    <s v="auxiforte@hotmail.com"/>
    <n v="300269951"/>
    <n v="16487494"/>
    <x v="0"/>
    <x v="12"/>
    <n v="5"/>
    <s v="ORDEM - 300269951; MATERIAL INSUFICIENTE PARA FINALIZAR OP;"/>
    <m/>
    <s v="ORDEM - 300269951; MATERIAL INSUFICIENTE PARA FINALIZAR OP;"/>
    <d v="2026-06-12T09:42:47"/>
    <m/>
    <n v="147"/>
    <x v="1"/>
    <n v="0"/>
    <s v="c23478a8-e28c-4deb-a00e-cd3fb0b19015"/>
    <d v="2026-06-12T00:00:00"/>
    <x v="0"/>
  </r>
  <r>
    <x v="111"/>
    <s v="confeccoesgbdas@hotmail.com"/>
    <n v="300270722"/>
    <n v="16217802"/>
    <x v="2"/>
    <x v="96"/>
    <n v="20"/>
    <s v="FALTARAM ETIQUETAS"/>
    <m/>
    <m/>
    <d v="2026-06-12T10:48:32"/>
    <m/>
    <n v="148"/>
    <x v="1"/>
    <n v="16217802"/>
    <s v="9e9aeef0-962d-4b42-bf00-a42a23af404f"/>
    <d v="2026-06-12T00:00:00"/>
    <x v="0"/>
  </r>
  <r>
    <x v="111"/>
    <s v="confeccoesgbdas@hotmail.com"/>
    <n v="300261931"/>
    <n v="16311809"/>
    <x v="2"/>
    <x v="140"/>
    <n v="53"/>
    <s v="NÃO ENVIADO PELA GUARARAPES"/>
    <m/>
    <s v="LADO DO SILK, LADO ESQUERDO DE QUEM VESTE"/>
    <d v="2026-06-12T10:50:30"/>
    <m/>
    <n v="149"/>
    <x v="1"/>
    <n v="16311809"/>
    <s v="0ae77008-9a8c-43c0-85bf-1f4a7f531ffc"/>
    <d v="2026-06-12T00:00:00"/>
    <x v="0"/>
  </r>
  <r>
    <x v="111"/>
    <s v="confeccoesgbdas@hotmail.com"/>
    <n v="300271093"/>
    <n v="16292898"/>
    <x v="2"/>
    <x v="141"/>
    <n v="168"/>
    <s v="NÃO ENVIADOS PELA GUARARAPES"/>
    <m/>
    <s v="O PEDIDO É COM LOTES DE CÓS INTERNO E EXTERNO!"/>
    <d v="2026-06-12T11:04:42"/>
    <m/>
    <n v="150"/>
    <x v="1"/>
    <n v="16292898"/>
    <s v="835f2710-3e47-4fe7-9d7e-3ddeb3ec351e"/>
    <d v="2026-06-12T00:00:00"/>
    <x v="0"/>
  </r>
  <r>
    <x v="128"/>
    <s v="administrativo@zajaconfeccoes.com.br"/>
    <n v="300271110"/>
    <n v="16243161"/>
    <x v="2"/>
    <x v="142"/>
    <s v="20 cones "/>
    <s v="insufiente"/>
    <m/>
    <m/>
    <d v="2026-06-12T11:16:44"/>
    <m/>
    <n v="151"/>
    <x v="1"/>
    <n v="10000191916"/>
    <s v="0f4dc221-c792-4c8b-b026-1ccd344400e6"/>
    <d v="2026-06-12T00:00:00"/>
    <x v="0"/>
  </r>
  <r>
    <x v="117"/>
    <s v="administrativo@zajaconfeccoes.com.br"/>
    <n v="300252448"/>
    <n v="16368150"/>
    <x v="3"/>
    <x v="6"/>
    <n v="57"/>
    <s v="INSUFICIENTE"/>
    <m/>
    <m/>
    <d v="2026-06-12T11:18:14"/>
    <m/>
    <n v="152"/>
    <x v="1"/>
    <n v="0"/>
    <s v="dcdf10ff-eb6d-4afd-946c-5aa134b315af"/>
    <d v="2026-06-12T00:00:00"/>
    <x v="0"/>
  </r>
  <r>
    <x v="111"/>
    <s v="confeccoesgbdas@hotmail.com"/>
    <n v="300271093"/>
    <n v="16292898"/>
    <x v="2"/>
    <x v="43"/>
    <n v="84"/>
    <s v="NÃO ENVIADO PELA GUARARAPES"/>
    <m/>
    <m/>
    <d v="2026-06-12T11:18:57"/>
    <m/>
    <n v="153"/>
    <x v="1"/>
    <n v="16292898"/>
    <s v="8140548b-1a1e-4592-94ae-d4fe2c6c1083"/>
    <d v="2026-06-12T00:00:00"/>
    <x v="0"/>
  </r>
  <r>
    <x v="111"/>
    <s v="confeccoesgbdas@hotmail.com"/>
    <n v="300271093"/>
    <n v="16292898"/>
    <x v="2"/>
    <x v="143"/>
    <n v="42"/>
    <s v="NÃO ENVIADO PELA GUARARAPES"/>
    <m/>
    <m/>
    <d v="2026-06-12T11:22:27"/>
    <m/>
    <n v="154"/>
    <x v="1"/>
    <n v="16292898"/>
    <s v="f4253d36-cd1b-4858-b22d-b7dc1c2866b2"/>
    <d v="2026-06-12T00:00:00"/>
    <x v="0"/>
  </r>
  <r>
    <x v="111"/>
    <s v="confeccoesgbdas@hotmail.com"/>
    <n v="300271093"/>
    <n v="16292898"/>
    <x v="2"/>
    <x v="47"/>
    <n v="100"/>
    <s v="ESTÁ ACABANDO"/>
    <m/>
    <s v="LACRE PARA EMBALAR ORDEM"/>
    <d v="2026-06-12T11:23:54"/>
    <m/>
    <n v="155"/>
    <x v="1"/>
    <n v="16292898"/>
    <s v="65077a7e-df93-4342-b0b4-49b99dbc5919"/>
    <d v="2026-06-12T00:00:00"/>
    <x v="0"/>
  </r>
  <r>
    <x v="117"/>
    <s v="administrativo@zajaconfeccoes.com.br"/>
    <n v="300266586"/>
    <n v="16526112"/>
    <x v="0"/>
    <x v="77"/>
    <s v="PARA 770 PEÇAS "/>
    <s v="INSUFICIENTE "/>
    <m/>
    <m/>
    <d v="2026-06-12T11:37:50"/>
    <m/>
    <n v="156"/>
    <x v="2"/>
    <n v="0"/>
    <s v="fec6739e-f2f4-4439-af9a-7686d844b861"/>
    <d v="2026-06-12T00:00:00"/>
    <x v="0"/>
  </r>
  <r>
    <x v="102"/>
    <s v="confeccaogenesisltda@gmail.com"/>
    <n v="300270509"/>
    <n v="15789640"/>
    <x v="3"/>
    <x v="31"/>
    <n v="798"/>
    <s v="VEIO FALTANDO"/>
    <m/>
    <m/>
    <d v="2026-06-12T11:38:47"/>
    <m/>
    <n v="157"/>
    <x v="1"/>
    <n v="0"/>
    <s v="6a4e4a2c-05ed-49af-b580-92b0db3d0d75"/>
    <d v="2026-06-12T00:00:00"/>
    <x v="0"/>
  </r>
  <r>
    <x v="102"/>
    <s v="confeccaogenesisltda@gmail.com"/>
    <n v="300266587"/>
    <n v="16526112"/>
    <x v="0"/>
    <x v="31"/>
    <n v="59"/>
    <s v="PEDIDMOS REPOSIÇÃO E AINDA VEIO FALTANDO"/>
    <m/>
    <m/>
    <d v="2026-06-12T11:43:19"/>
    <m/>
    <n v="158"/>
    <x v="1"/>
    <n v="0"/>
    <s v="f2fd27f7-37c9-4d89-a523-092824a2f77d"/>
    <d v="2026-06-12T00:00:00"/>
    <x v="0"/>
  </r>
  <r>
    <x v="155"/>
    <s v="a.sempreendimentostextil@gmail.com"/>
    <n v="300268951"/>
    <n v="16518730"/>
    <x v="2"/>
    <x v="144"/>
    <n v="10"/>
    <s v="ACABOU"/>
    <m/>
    <s v="acabou o filme de fusionar passante"/>
    <d v="2026-06-12T13:38:55"/>
    <m/>
    <n v="159"/>
    <x v="1"/>
    <n v="0"/>
    <s v="ffd46b4f-3ca0-42f8-918a-9fa287628f3f"/>
    <d v="2026-06-12T00:00:00"/>
    <x v="0"/>
  </r>
  <r>
    <x v="132"/>
    <s v="lupercio-fnb@hotmail.com"/>
    <n v="300271535"/>
    <n v="16243161"/>
    <x v="2"/>
    <x v="8"/>
    <s v="10 cones"/>
    <s v="Insuficiente"/>
    <m/>
    <s v="Faltando - Cor:650"/>
    <d v="2026-06-12T14:24:42"/>
    <m/>
    <n v="160"/>
    <x v="1"/>
    <n v="10000191916"/>
    <s v="bcfae669-7320-4442-97aa-cf204b0ddaca"/>
    <d v="2026-06-12T00:00:00"/>
    <x v="0"/>
  </r>
  <r>
    <x v="132"/>
    <s v="lupercio-fnb@hotmail.com"/>
    <n v="300271535"/>
    <n v="16243161"/>
    <x v="2"/>
    <x v="8"/>
    <s v="10 cones"/>
    <s v="Insuficiente"/>
    <m/>
    <s v="Faltando cor:343"/>
    <d v="2026-06-12T14:27:09"/>
    <m/>
    <n v="161"/>
    <x v="1"/>
    <n v="10000073238"/>
    <s v="1f95d292-9712-4e20-b7ad-e9727b807afa"/>
    <d v="2026-06-12T00:00:00"/>
    <x v="0"/>
  </r>
  <r>
    <x v="156"/>
    <s v="administrativo@zajaconfeccoes.com.br"/>
    <n v="300253184"/>
    <n v="16368045"/>
    <x v="3"/>
    <x v="102"/>
    <n v="429"/>
    <s v="NÃO ENVIADO"/>
    <m/>
    <m/>
    <d v="2026-06-12T15:25:57"/>
    <m/>
    <n v="162"/>
    <x v="2"/>
    <n v="0"/>
    <s v="2475bd89-1bda-4717-a48c-5650d6b9a2b6"/>
    <d v="2026-06-12T00:00:00"/>
    <x v="0"/>
  </r>
  <r>
    <x v="157"/>
    <s v="tendenciaconfec@gmail.com"/>
    <n v="300269773"/>
    <n v="15775496"/>
    <x v="2"/>
    <x v="145"/>
    <n v="10"/>
    <s v="Faltou na OP"/>
    <m/>
    <s v="000000010000245278 - 9.Z0756.014.AZUL00; ZÍPER INOX METAL MEDIO AZUL 14CM"/>
    <d v="2026-06-12T15:29:15"/>
    <m/>
    <n v="164"/>
    <x v="1"/>
    <n v="10000245278"/>
    <s v="24e20500-8076-4ae9-96de-729027cb694d"/>
    <d v="2026-06-12T00:00:00"/>
    <x v="0"/>
  </r>
  <r>
    <x v="96"/>
    <s v="EMPORIODAMODAMOSSORO@GMAIL.COM"/>
    <n v="300270706"/>
    <n v="16217942"/>
    <x v="2"/>
    <x v="146"/>
    <n v="5"/>
    <s v="insuficiente "/>
    <m/>
    <m/>
    <d v="2026-06-12T15:36:31"/>
    <m/>
    <n v="165"/>
    <x v="1"/>
    <n v="90756012000"/>
    <s v="a90ea7f6-63dc-432a-a972-313d42ad251e"/>
    <d v="2026-06-12T00:00:00"/>
    <x v="0"/>
  </r>
  <r>
    <x v="108"/>
    <s v="potengitextil@outlook.com.br"/>
    <n v="300268599"/>
    <n v="16226852"/>
    <x v="1"/>
    <x v="20"/>
    <n v="400"/>
    <s v="Veio errado"/>
    <m/>
    <s v="São a quantidade dos tamanhos em pares, a ordem é preta e veio azul marinho. "/>
    <d v="2026-06-12T15:59:30"/>
    <m/>
    <n v="166"/>
    <x v="1"/>
    <n v="0"/>
    <s v="87dc3e32-fb07-469c-8418-1ef6d690f022"/>
    <d v="2026-06-12T00:00:00"/>
    <x v="0"/>
  </r>
  <r>
    <x v="124"/>
    <s v="deboraclothing.textil@gmail.com"/>
    <n v="300270796"/>
    <n v="16441354"/>
    <x v="3"/>
    <x v="147"/>
    <n v="65"/>
    <s v="INSUFICIENTE PARA FINALIZAR ORDEM "/>
    <m/>
    <s v="ORDEM PRONTA FALTANDO APENAS ESSAS TAGS DE PREÇO "/>
    <d v="2026-06-12T16:07:45"/>
    <m/>
    <n v="167"/>
    <x v="1"/>
    <n v="0"/>
    <s v="2348b47f-1e1b-4182-9b62-b234ba5e9995"/>
    <d v="2026-06-12T00:00:00"/>
    <x v="0"/>
  </r>
  <r>
    <x v="158"/>
    <s v="porengitextil@outlook.com.br"/>
    <n v="300267081"/>
    <n v="16457340"/>
    <x v="3"/>
    <x v="148"/>
    <n v="12"/>
    <s v="Insuficiente para finalizar op"/>
    <m/>
    <m/>
    <d v="2026-06-12T16:09:27"/>
    <m/>
    <n v="168"/>
    <x v="1"/>
    <n v="0"/>
    <s v="e6f63aef-6b78-4592-b5ee-c723359f75f5"/>
    <d v="2026-06-12T00:00:00"/>
    <x v="0"/>
  </r>
  <r>
    <x v="108"/>
    <s v="potengitextil@outlook.com.br"/>
    <n v="300267081"/>
    <n v="16457340"/>
    <x v="3"/>
    <x v="148"/>
    <n v="12"/>
    <s v="Insuficiente para finalizar ordem."/>
    <m/>
    <s v="Insuficiente para finalizar ordem. "/>
    <d v="2026-06-12T16:13:04"/>
    <m/>
    <n v="169"/>
    <x v="1"/>
    <n v="0"/>
    <s v="bf791065-a5fc-46b1-a6b2-4c39d93bcdc7"/>
    <d v="2026-06-12T00:00:00"/>
    <x v="0"/>
  </r>
  <r>
    <x v="159"/>
    <s v="sjarlandia@hotmail.co"/>
    <n v="300270779"/>
    <n v="16218299"/>
    <x v="2"/>
    <x v="149"/>
    <s v="6-800"/>
    <s v="feito errado "/>
    <m/>
    <s v="foi feito o passante no aparelho luana normal e não ao contrário "/>
    <d v="2026-06-12T16:18:17"/>
    <m/>
    <n v="170"/>
    <x v="1"/>
    <n v="0"/>
    <s v="6504b762-c442-4a0f-af4a-b29cc721a7d7"/>
    <d v="2026-06-12T00:00:00"/>
    <x v="0"/>
  </r>
  <r>
    <x v="160"/>
    <s v="recanto.confeccoesjs@gmail.com"/>
    <n v="300266626"/>
    <n v="16474090"/>
    <x v="2"/>
    <x v="150"/>
    <n v="128"/>
    <s v="Lotes com defeito "/>
    <m/>
    <m/>
    <d v="2026-06-12T16:23:26"/>
    <m/>
    <n v="163"/>
    <x v="2"/>
    <n v="100000127410"/>
    <s v="1f771f87-2630-4fde-a9a8-a8b92fdc4645"/>
    <d v="2026-06-12T00:00:00"/>
    <x v="0"/>
  </r>
  <r>
    <x v="2"/>
    <s v="oficinasantos08@outlook.com"/>
    <n v="300271094"/>
    <n v="16292898"/>
    <x v="2"/>
    <x v="151"/>
    <n v="4"/>
    <s v="insuficiente para concluir a ordem"/>
    <m/>
    <s v="veio poucos cones dela e vai usar em muitas operações"/>
    <d v="2026-06-12T16:31:40"/>
    <m/>
    <n v="171"/>
    <x v="1"/>
    <n v="10000073405"/>
    <s v="66d9e82a-ab79-4e87-8300-9de71fc1a3bf"/>
    <d v="2026-06-12T00:00:00"/>
    <x v="0"/>
  </r>
  <r>
    <x v="161"/>
    <s v="felconfccao@gmail.com"/>
    <n v="300267045"/>
    <n v="16447549"/>
    <x v="2"/>
    <x v="152"/>
    <n v="45"/>
    <s v="VEIO COM DEFEITO"/>
    <m/>
    <s v="VEIO COM DEFEITO NO BORDADO"/>
    <d v="2026-06-12T16:50:06"/>
    <m/>
    <n v="172"/>
    <x v="1"/>
    <n v="10000122070"/>
    <s v="fad0dd88-8359-400a-a4f9-6b75f040c27d"/>
    <d v="2026-06-12T00:00:00"/>
    <x v="0"/>
  </r>
  <r>
    <x v="162"/>
    <s v="faccaoello@hotmail.com"/>
    <n v="300270501"/>
    <n v="16491998"/>
    <x v="3"/>
    <x v="29"/>
    <n v="1104"/>
    <s v="não veio"/>
    <m/>
    <m/>
    <d v="2026-06-12T17:20:41"/>
    <m/>
    <n v="173"/>
    <x v="2"/>
    <n v="0"/>
    <s v="e40562db-d2d8-4b6e-85dd-58d3c46f5cea"/>
    <d v="2026-06-12T00:00:00"/>
    <x v="0"/>
  </r>
  <r>
    <x v="163"/>
    <s v="felconfeccao@gmail.com"/>
    <n v="300267045"/>
    <n v="16447549"/>
    <x v="2"/>
    <x v="22"/>
    <n v="45"/>
    <s v="PEÇAS COM DEFEITO NO BORDADO"/>
    <m/>
    <s v="AS PEÇAS VEIO COM DEFEITO NO BORDADO"/>
    <d v="2026-06-12T17:22:02"/>
    <m/>
    <n v="174"/>
    <x v="1"/>
    <n v="10000122070"/>
    <s v="a0d1fef9-f639-437b-8380-295937b25194"/>
    <d v="2026-06-12T00:00:00"/>
    <x v="0"/>
  </r>
  <r>
    <x v="164"/>
    <s v="auxiforte@hotmail.com"/>
    <n v="300269070"/>
    <n v="14700328"/>
    <x v="3"/>
    <x v="12"/>
    <n v="5"/>
    <s v="ORDEM - 300269070; MATERIAL INSUFICIENTE PARA FINALIZAR OP;"/>
    <m/>
    <s v="ORDEM - 300269070; MATERIAL INSUFICIENTE PARA FINALIZAR OP;"/>
    <d v="2026-06-13T09:13:27"/>
    <m/>
    <n v="175"/>
    <x v="1"/>
    <n v="0"/>
    <m/>
    <d v="2026-06-13T00:00:00"/>
    <x v="0"/>
  </r>
  <r>
    <x v="165"/>
    <s v="freiresilvaconfeccoes@gmail.com"/>
    <n v="300272654"/>
    <n v="16554400"/>
    <x v="0"/>
    <x v="8"/>
    <n v="7"/>
    <s v="Material não enviado pela Guararapes. "/>
    <m/>
    <s v="Material não enviado pela Guararapes. "/>
    <d v="2026-06-13T15:56:29"/>
    <m/>
    <n v="176"/>
    <x v="2"/>
    <n v="100000630"/>
    <m/>
    <d v="2026-06-13T00:00:00"/>
    <x v="0"/>
  </r>
  <r>
    <x v="166"/>
    <s v="w.anny.k@hotmail.com"/>
    <n v="300270903"/>
    <n v="15690210"/>
    <x v="2"/>
    <x v="5"/>
    <n v="10"/>
    <s v="ESTAMOS PRECISANDO PARA AS ORDENS MESTRES"/>
    <m/>
    <m/>
    <d v="2026-06-15T07:25:24"/>
    <m/>
    <n v="177"/>
    <x v="1"/>
    <n v="0"/>
    <m/>
    <d v="2026-06-15T00:00:00"/>
    <x v="0"/>
  </r>
  <r>
    <x v="18"/>
    <s v="ebenezerindustriat@hotmail.com"/>
    <n v="300270501"/>
    <n v="16491998"/>
    <x v="3"/>
    <x v="29"/>
    <n v="1104"/>
    <s v="MATERIAL NÃO VEIO"/>
    <m/>
    <m/>
    <d v="2026-06-15T07:32:10"/>
    <m/>
    <n v="178"/>
    <x v="2"/>
    <n v="0"/>
    <m/>
    <d v="2026-06-15T00:00:00"/>
    <x v="0"/>
  </r>
  <r>
    <x v="167"/>
    <s v="falconconfeccoes@hotmail.com"/>
    <n v="300271101"/>
    <n v="16292987"/>
    <x v="2"/>
    <x v="5"/>
    <n v="1"/>
    <s v="ACABOU"/>
    <m/>
    <s v="filme plastico para passante"/>
    <d v="2026-06-15T07:37:07"/>
    <m/>
    <n v="179"/>
    <x v="2"/>
    <n v="1"/>
    <m/>
    <d v="2026-06-15T00:00:00"/>
    <x v="0"/>
  </r>
  <r>
    <x v="13"/>
    <s v="administrativo@zajaconfeccoes.com.br"/>
    <n v="300266586"/>
    <n v="16526112"/>
    <x v="0"/>
    <x v="31"/>
    <n v="28"/>
    <s v="INSUFICIENTE"/>
    <m/>
    <m/>
    <d v="2026-06-15T07:38:07"/>
    <m/>
    <n v="180"/>
    <x v="1"/>
    <n v="0"/>
    <m/>
    <d v="2026-06-15T00:00:00"/>
    <x v="0"/>
  </r>
  <r>
    <x v="18"/>
    <s v="ebenezerindustriat@hotmail.com"/>
    <n v="300270501"/>
    <n v="16491998"/>
    <x v="3"/>
    <x v="52"/>
    <n v="10"/>
    <s v="ACABOU"/>
    <m/>
    <m/>
    <d v="2026-06-15T07:39:09"/>
    <m/>
    <n v="181"/>
    <x v="2"/>
    <n v="0"/>
    <m/>
    <d v="2026-06-15T00:00:00"/>
    <x v="0"/>
  </r>
  <r>
    <x v="60"/>
    <s v="mkdeazevedomedeiros@gmail.com"/>
    <n v="300248762"/>
    <n v="16247388"/>
    <x v="2"/>
    <x v="153"/>
    <n v="15"/>
    <s v="INSUFICIENTE PRA FINALIZAR A OP"/>
    <m/>
    <m/>
    <d v="2026-06-15T07:48:53"/>
    <m/>
    <n v="182"/>
    <x v="1"/>
    <n v="10000212094"/>
    <m/>
    <d v="2026-06-15T00:00:00"/>
    <x v="0"/>
  </r>
  <r>
    <x v="60"/>
    <s v="mkdeazevedomedeiros@gmail.com"/>
    <n v="300261034"/>
    <n v="16285417"/>
    <x v="2"/>
    <x v="8"/>
    <n v="300"/>
    <s v="INSUFICIENTE PARA A DISTRIBUIÇÃO DAS MAQUINAS"/>
    <m/>
    <m/>
    <d v="2026-06-15T07:51:52"/>
    <m/>
    <n v="183"/>
    <x v="1"/>
    <n v="10000185491"/>
    <m/>
    <d v="2026-06-15T00:00:00"/>
    <x v="0"/>
  </r>
  <r>
    <x v="118"/>
    <s v="fjdeazevedo@hotmail.com"/>
    <n v="300260170"/>
    <n v="15762831"/>
    <x v="2"/>
    <x v="37"/>
    <n v="480"/>
    <s v="faltou"/>
    <m/>
    <s v="VIVO DO BOLSO TRASEIRO , VIVO DE PREGAR NO FORRO, JÁ QUE A PEÇA VEIO DO BOLSO AUTOMÁTICO"/>
    <d v="2026-06-15T08:11:57"/>
    <m/>
    <n v="184"/>
    <x v="1"/>
    <s v="SEM CÓDIGO"/>
    <m/>
    <d v="2026-06-15T00:00:00"/>
    <x v="0"/>
  </r>
  <r>
    <x v="168"/>
    <s v="jucurututextil@gmail.com"/>
    <n v="300264026"/>
    <n v="16472217"/>
    <x v="0"/>
    <x v="13"/>
    <n v="40"/>
    <s v="feio com defeito não abre"/>
    <m/>
    <s v="preciso de 40 ziper por que veio com defeito desmantelado não abre,"/>
    <d v="2026-06-15T09:10:23"/>
    <m/>
    <n v="185"/>
    <x v="2"/>
    <n v="0"/>
    <m/>
    <d v="2026-06-15T00:00:00"/>
    <x v="0"/>
  </r>
  <r>
    <x v="169"/>
    <s v="acauaconfeccoes@outlook.com"/>
    <n v="300271906"/>
    <n v="16441630"/>
    <x v="3"/>
    <x v="2"/>
    <s v="Etiquetas insuficientes pra finalizar a op"/>
    <s v="Faltando 30 Etiquetas XG"/>
    <m/>
    <s v="Faltando 30 Etiquetas XG"/>
    <d v="2026-06-15T09:12:44"/>
    <m/>
    <n v="186"/>
    <x v="2"/>
    <s v="."/>
    <m/>
    <d v="2026-06-15T00:00:00"/>
    <x v="0"/>
  </r>
  <r>
    <x v="168"/>
    <s v="jucurututextil@gmail.com"/>
    <n v="300271099"/>
    <n v="16292987"/>
    <x v="2"/>
    <x v="5"/>
    <s v="5 rolos"/>
    <s v="ta acabando"/>
    <m/>
    <s v="preciso de papel filme por que ta acabando"/>
    <d v="2026-06-15T09:14:13"/>
    <m/>
    <n v="187"/>
    <x v="2"/>
    <n v="0"/>
    <m/>
    <d v="2026-06-15T00:00:00"/>
    <x v="0"/>
  </r>
  <r>
    <x v="170"/>
    <s v="NEEMIAS.SC@HOTMAIL.COM"/>
    <n v="300267134"/>
    <n v="15724344"/>
    <x v="3"/>
    <x v="6"/>
    <n v="45"/>
    <s v="RECEBEMO O MATERIAL COM VARIAÇÃO DE MP."/>
    <m/>
    <s v="GOLA RODADA "/>
    <d v="2026-06-15T09:17:26"/>
    <m/>
    <n v="188"/>
    <x v="1"/>
    <s v="790 - T- SHIRT BASICO "/>
    <m/>
    <d v="2026-06-15T00:00:00"/>
    <x v="0"/>
  </r>
  <r>
    <x v="168"/>
    <s v="jucurututextil@gmail.com"/>
    <n v="300271099"/>
    <n v="16292987"/>
    <x v="2"/>
    <x v="10"/>
    <s v="1 ROLO DE PAPELÃO"/>
    <s v="ACABOU"/>
    <m/>
    <s v="CABOU"/>
    <d v="2026-06-15T09:17:32"/>
    <m/>
    <n v="189"/>
    <x v="2"/>
    <n v="0"/>
    <m/>
    <d v="2026-06-15T00:00:00"/>
    <x v="0"/>
  </r>
  <r>
    <x v="25"/>
    <s v="reposicoesjkmodas@gmail.com"/>
    <n v="300260651"/>
    <n v="16448090"/>
    <x v="2"/>
    <x v="27"/>
    <n v="1.3680000000000001"/>
    <s v="INSUFICIENTE PARA FINALIZAR OP"/>
    <m/>
    <s v="O BOTÃO É PARA A GOLA. RECEBEMOS MUITAS OP'S FALTANDO ESSES BOTÕES. "/>
    <d v="2026-06-15T09:31:48"/>
    <m/>
    <n v="190"/>
    <x v="2"/>
    <n v="10000068569"/>
    <m/>
    <d v="2026-06-15T00:00:00"/>
    <x v="0"/>
  </r>
  <r>
    <x v="171"/>
    <s v="confeccoesgbdas@hotmail.com"/>
    <n v="300271767"/>
    <n v="16273303"/>
    <x v="2"/>
    <x v="49"/>
    <n v="52"/>
    <s v="NÃO ENVIADO PELA GUARARAPES"/>
    <m/>
    <m/>
    <d v="2026-06-15T09:32:34"/>
    <m/>
    <n v="191"/>
    <x v="1"/>
    <s v="NÃO TENHO O CÓDIGO, POIS A ETIQUETA NÃO VEIO"/>
    <m/>
    <d v="2026-06-15T00:00:00"/>
    <x v="0"/>
  </r>
  <r>
    <x v="23"/>
    <s v="reposicoesjkmodas@gmail.com"/>
    <n v="300266445"/>
    <n v="16480430"/>
    <x v="2"/>
    <x v="74"/>
    <n v="16"/>
    <s v="NÃO ENVIADO "/>
    <m/>
    <m/>
    <d v="2026-06-15T09:43:32"/>
    <m/>
    <n v="192"/>
    <x v="1"/>
    <s v="10000214602 / 10000214511."/>
    <m/>
    <d v="2026-06-15T00:00:00"/>
    <x v="0"/>
  </r>
  <r>
    <x v="23"/>
    <s v="reposicoesjkmodas@gmail.com"/>
    <n v="300266645"/>
    <n v="16480430"/>
    <x v="2"/>
    <x v="13"/>
    <n v="8"/>
    <s v="NÃO ENVIADO"/>
    <m/>
    <m/>
    <d v="2026-06-15T09:50:18"/>
    <m/>
    <n v="193"/>
    <x v="1"/>
    <n v="10000157258"/>
    <m/>
    <d v="2026-06-15T00:00:00"/>
    <x v="0"/>
  </r>
  <r>
    <x v="171"/>
    <s v="confeccoesgbdas@hotmail.com"/>
    <n v="300261930"/>
    <n v="16273311"/>
    <x v="2"/>
    <x v="22"/>
    <n v="65"/>
    <s v="FALTOU PARA COMPLETAR A ORDEM"/>
    <m/>
    <m/>
    <d v="2026-06-15T09:53:38"/>
    <m/>
    <n v="194"/>
    <x v="1"/>
    <s v="NÃO TENHO O CÓDIGO DO TRASEIRO E FRENTE"/>
    <m/>
    <d v="2026-06-15T00:00:00"/>
    <x v="0"/>
  </r>
  <r>
    <x v="171"/>
    <s v="confeccoesgbdas@hotmail.com"/>
    <n v="300261930"/>
    <n v="16311809"/>
    <x v="3"/>
    <x v="39"/>
    <n v="65"/>
    <s v="FALTOU PEÇAS PARA COMPLETAR A ORDEM"/>
    <m/>
    <m/>
    <d v="2026-06-15T09:56:49"/>
    <m/>
    <n v="195"/>
    <x v="1"/>
    <s v="NÃO TENHO O CÓDIGO DO TRASEIRO"/>
    <m/>
    <d v="2026-06-15T00:00:00"/>
    <x v="0"/>
  </r>
  <r>
    <x v="13"/>
    <s v="administrativo@zajaconfeccoes.com.br"/>
    <n v="300269321"/>
    <n v="16452267"/>
    <x v="2"/>
    <x v="2"/>
    <n v="10"/>
    <s v="INSUFICIENTE"/>
    <m/>
    <m/>
    <d v="2026-06-15T10:06:52"/>
    <m/>
    <n v="196"/>
    <x v="1"/>
    <n v="0"/>
    <m/>
    <d v="2026-06-15T00:00:00"/>
    <x v="0"/>
  </r>
  <r>
    <x v="163"/>
    <s v="felconfeccao@gmail.com"/>
    <n v="300270295"/>
    <n v="16310373"/>
    <x v="2"/>
    <x v="18"/>
    <n v="720"/>
    <s v="MATERIAL NÃO ENVIADO PARA OFICINA"/>
    <m/>
    <s v="NÃO FOI ENVIADO PARA OFICINA"/>
    <d v="2026-06-15T10:21:34"/>
    <m/>
    <n v="197"/>
    <x v="2"/>
    <n v="10000195771"/>
    <m/>
    <d v="2026-06-15T00:00:00"/>
    <x v="0"/>
  </r>
  <r>
    <x v="23"/>
    <s v="reposicoesjkmodas@gmail.com"/>
    <n v="300268611"/>
    <n v="16473825"/>
    <x v="2"/>
    <x v="74"/>
    <n v="4"/>
    <s v="NÃO ENVIADA"/>
    <m/>
    <m/>
    <d v="2026-06-15T10:28:31"/>
    <m/>
    <n v="198"/>
    <x v="1"/>
    <s v="10000214602 / 10000214516"/>
    <m/>
    <d v="2026-06-15T00:00:00"/>
    <x v="0"/>
  </r>
  <r>
    <x v="172"/>
    <s v="77.abatista@gmail.com"/>
    <n v="300270915"/>
    <n v="16507444"/>
    <x v="0"/>
    <x v="3"/>
    <n v="582"/>
    <s v="AVIAMENTO NÃO RECEBIDO."/>
    <m/>
    <s v="NÃO RECEBEMOS NENHUMA QUANTIDADE DE NENHUM TAMANHO."/>
    <d v="2026-06-15T10:28:48"/>
    <m/>
    <n v="199"/>
    <x v="2"/>
    <n v="10000248078"/>
    <m/>
    <d v="2026-06-15T00:00:00"/>
    <x v="0"/>
  </r>
  <r>
    <x v="169"/>
    <s v="acauaconfeccoes@outlook.com"/>
    <n v="300272038"/>
    <n v="16224388"/>
    <x v="3"/>
    <x v="30"/>
    <n v="107"/>
    <s v="Veio faltando 107 Mangas M"/>
    <m/>
    <s v="Veio faltando 107 mangas M"/>
    <d v="2026-06-15T10:29:56"/>
    <m/>
    <n v="200"/>
    <x v="2"/>
    <s v="."/>
    <m/>
    <d v="2026-06-15T00:00:00"/>
    <x v="0"/>
  </r>
  <r>
    <x v="172"/>
    <s v="77.abatista@gmail.com"/>
    <n v="300270916"/>
    <n v="16507444"/>
    <x v="0"/>
    <x v="3"/>
    <n v="840"/>
    <s v="REPOSIÇÃO NÃO RECEBIDA"/>
    <m/>
    <s v="OFICINA NÃO RECEBEU NENHUMA QUANTIDADE DE NENHUM TAMANHO."/>
    <d v="2026-06-15T10:34:26"/>
    <m/>
    <n v="201"/>
    <x v="2"/>
    <n v="10000248078"/>
    <m/>
    <d v="2026-06-15T00:00:00"/>
    <x v="0"/>
  </r>
  <r>
    <x v="166"/>
    <s v="w.anny.k@hotmail.com"/>
    <n v="300265966"/>
    <n v="12438235"/>
    <x v="1"/>
    <x v="30"/>
    <n v="50"/>
    <s v="VEIO FALTANDO NA ORDEM MESTRE "/>
    <m/>
    <m/>
    <d v="2026-06-15T10:41:29"/>
    <m/>
    <n v="202"/>
    <x v="1"/>
    <n v="0"/>
    <m/>
    <d v="2026-06-15T00:00:00"/>
    <x v="0"/>
  </r>
  <r>
    <x v="172"/>
    <s v="77.abatista@gmail.com"/>
    <n v="300266650"/>
    <n v="16526112"/>
    <x v="0"/>
    <x v="154"/>
    <s v="1178 PEÇAS"/>
    <s v="OFICINA NÃO RECEBEU NENHUMA QUANTIDADE"/>
    <m/>
    <m/>
    <d v="2026-06-15T11:15:09"/>
    <m/>
    <n v="203"/>
    <x v="2"/>
    <n v="1"/>
    <m/>
    <d v="2026-06-15T00:00:00"/>
    <x v="0"/>
  </r>
  <r>
    <x v="118"/>
    <s v="fjdeazevedo@hotmail.com"/>
    <n v="300264320"/>
    <n v="15690210"/>
    <x v="2"/>
    <x v="10"/>
    <s v="02 rolos"/>
    <s v="acabou na oficina"/>
    <m/>
    <s v="Acabou na Oficina"/>
    <d v="2026-06-15T12:58:54"/>
    <m/>
    <n v="204"/>
    <x v="2"/>
    <n v="0"/>
    <m/>
    <d v="2026-06-15T00:00:00"/>
    <x v="0"/>
  </r>
  <r>
    <x v="173"/>
    <s v="alfaequador@gmail.com"/>
    <n v="300268959"/>
    <n v="16508858"/>
    <x v="2"/>
    <x v="2"/>
    <n v="35"/>
    <s v="INSUFICIENTE "/>
    <m/>
    <m/>
    <d v="2026-06-15T13:35:48"/>
    <m/>
    <n v="205"/>
    <x v="1"/>
    <n v="0"/>
    <m/>
    <d v="2026-06-15T00:00:00"/>
    <x v="0"/>
  </r>
  <r>
    <x v="56"/>
    <s v="idealconfecltda@gmail.com"/>
    <n v="300266636"/>
    <n v="16518730"/>
    <x v="2"/>
    <x v="2"/>
    <n v="70"/>
    <s v="INSUFICIENTE PARA FINALIZAR OP"/>
    <m/>
    <s v="10 UNDIDADES DE CADA TAMANHO"/>
    <d v="2026-06-15T14:03:43"/>
    <m/>
    <n v="206"/>
    <x v="1"/>
    <n v="0"/>
    <m/>
    <d v="2026-06-15T00:00:00"/>
    <x v="0"/>
  </r>
  <r>
    <x v="174"/>
    <s v="jakeline.jl.confeccoes@gmail.com"/>
    <n v="300269323"/>
    <n v="16452267"/>
    <x v="2"/>
    <x v="74"/>
    <n v="39"/>
    <s v="A QUANTIDADE É INSUFICIENTE PARA FINALIZAR A ORDEM"/>
    <m/>
    <s v="ETQ RCHLO TOP INFANTIL 65X12 "/>
    <d v="2026-06-15T14:47:00"/>
    <m/>
    <n v="207"/>
    <x v="1"/>
    <s v="10000218092; 10000208288:"/>
    <m/>
    <d v="2026-06-15T00:00:00"/>
    <x v="0"/>
  </r>
  <r>
    <x v="175"/>
    <s v="confeccaogenesisltda@gmail.com"/>
    <n v="300270432"/>
    <n v="15497313"/>
    <x v="3"/>
    <x v="154"/>
    <n v="479"/>
    <s v="os viés enviados vieram todos misturados e desalinhados, ocasionando o desperdicio"/>
    <m/>
    <m/>
    <d v="2026-06-15T14:59:50"/>
    <m/>
    <n v="208"/>
    <x v="1"/>
    <n v="0"/>
    <m/>
    <d v="2026-06-15T00:00:00"/>
    <x v="0"/>
  </r>
  <r>
    <x v="36"/>
    <s v="solisconfeccoes@gmail.com"/>
    <n v="300254500"/>
    <n v="15260690"/>
    <x v="3"/>
    <x v="154"/>
    <n v="6"/>
    <s v="FAZER UNS CONCERTOS"/>
    <m/>
    <s v="6 PEÇAS 6 CONCERTO DE ALÇA"/>
    <d v="2026-06-15T15:14:56"/>
    <m/>
    <n v="209"/>
    <x v="1"/>
    <n v="0"/>
    <m/>
    <d v="2026-06-15T00:00:00"/>
    <x v="0"/>
  </r>
  <r>
    <x v="34"/>
    <s v="dantasepaulino@gmail.com"/>
    <n v="300268651"/>
    <n v="16520025"/>
    <x v="2"/>
    <x v="8"/>
    <s v="10 rolos "/>
    <s v="quantidade insuficiente "/>
    <m/>
    <m/>
    <d v="2026-06-15T15:38:07"/>
    <m/>
    <n v="210"/>
    <x v="1"/>
    <n v="10000073235"/>
    <m/>
    <d v="2026-06-15T00:00:00"/>
    <x v="0"/>
  </r>
  <r>
    <x v="56"/>
    <s v="idealconfecltda@gmail.com"/>
    <n v="300270729"/>
    <n v="16243145"/>
    <x v="2"/>
    <x v="153"/>
    <n v="15"/>
    <s v="Insuficiente"/>
    <m/>
    <m/>
    <d v="2026-06-15T15:54:20"/>
    <m/>
    <n v="211"/>
    <x v="1"/>
    <n v="0"/>
    <m/>
    <d v="2026-06-15T00:00:00"/>
    <x v="0"/>
  </r>
  <r>
    <x v="172"/>
    <s v="77.abatista@gmail.com"/>
    <n v="300266588"/>
    <n v="16526112"/>
    <x v="0"/>
    <x v="53"/>
    <n v="1"/>
    <s v="OFICINA NÃO RECEBEU PEÇA PILOTO"/>
    <m/>
    <s v="MATERIAL NÃO ESTÁ NO PLM. OFICINA TERÁ DIFICULDADE NO OPERACIONAL."/>
    <d v="2026-06-15T15:55:30"/>
    <m/>
    <n v="212"/>
    <x v="2"/>
    <n v="12"/>
    <m/>
    <d v="2026-06-15T00:00:00"/>
    <x v="0"/>
  </r>
  <r>
    <x v="167"/>
    <s v="falconconfeccoes@hotmail.com"/>
    <n v="300268647"/>
    <n v="15775623"/>
    <x v="2"/>
    <x v="74"/>
    <n v="2"/>
    <s v="etiqueta veio faltando 2 unidades"/>
    <m/>
    <m/>
    <d v="2026-06-15T16:06:03"/>
    <m/>
    <n v="213"/>
    <x v="1"/>
    <n v="1"/>
    <m/>
    <d v="2026-06-15T00:00:00"/>
    <x v="0"/>
  </r>
  <r>
    <x v="118"/>
    <s v="fjdeazevedo@hotmail.com"/>
    <n v="300264320"/>
    <n v="15690210"/>
    <x v="2"/>
    <x v="13"/>
    <n v="532"/>
    <s v="não veio , faltou"/>
    <m/>
    <s v="não estou incluindo o Cód. do material , pois o Check-in não veio por completo ,não tem tem no check-in esses tamanhos que faltaram"/>
    <d v="2026-06-15T16:38:29"/>
    <m/>
    <n v="214"/>
    <x v="1"/>
    <s v="não veio o check-in completo, veio só uma parte"/>
    <m/>
    <d v="2026-06-15T00:00:00"/>
    <x v="0"/>
  </r>
  <r>
    <x v="118"/>
    <s v="fjdeazevedo@hotmail.com"/>
    <n v="300264320"/>
    <n v="15690210"/>
    <x v="2"/>
    <x v="3"/>
    <n v="604"/>
    <s v="Veio faltando"/>
    <m/>
    <s v="Não recebemos por check-in completo, por isso não tenho os codigo dos pedidos"/>
    <d v="2026-06-15T16:47:31"/>
    <m/>
    <n v="215"/>
    <x v="1"/>
    <s v="não veio código, o check-in veio incompleto"/>
    <m/>
    <d v="2026-06-15T00:00:00"/>
    <x v="0"/>
  </r>
  <r>
    <x v="32"/>
    <s v="di3confec@gmail.com"/>
    <n v="300268230"/>
    <n v="16472675"/>
    <x v="3"/>
    <x v="12"/>
    <n v="4"/>
    <s v="Material insuficiente"/>
    <m/>
    <m/>
    <d v="2026-06-15T16:48:51"/>
    <m/>
    <n v="216"/>
    <x v="1"/>
    <n v="0"/>
    <m/>
    <d v="2026-06-15T00:00:00"/>
    <x v="0"/>
  </r>
  <r>
    <x v="32"/>
    <s v="di3confec@gmail.com"/>
    <n v="300269764"/>
    <n v="15775496"/>
    <x v="3"/>
    <x v="12"/>
    <n v="5"/>
    <s v="Material insuficiente "/>
    <m/>
    <m/>
    <d v="2026-06-15T17:01:42"/>
    <m/>
    <n v="217"/>
    <x v="1"/>
    <n v="0"/>
    <m/>
    <d v="2026-06-15T00:00:00"/>
    <x v="0"/>
  </r>
  <r>
    <x v="176"/>
    <s v="hiconfeccao@gmail.com"/>
    <n v="300269359"/>
    <n v="16507657"/>
    <x v="2"/>
    <x v="2"/>
    <n v="80"/>
    <s v="Veio faltando."/>
    <m/>
    <s v="Tamanho 36: 10 etiquetas de composição.  Tamanho 38: 10 etiquetas de composição.  Tamanho 40: 10 etiquetas de composição.  Tamanho 42: 10 etiquetas de composição.  Tamanho 44: 10 etiquetas de composição.  Tamanho 46: 10 etiquetas de composição.  Tamanho 48: 10 etiquetas de composição.  Tamanho 50: 10 etiquetas de composição.  Total do pedido: 80 etiquetas de composição."/>
    <d v="2026-06-15T17:05:54"/>
    <m/>
    <n v="218"/>
    <x v="2"/>
    <n v="300269359"/>
    <m/>
    <d v="2026-06-15T00:00:00"/>
    <x v="0"/>
  </r>
  <r>
    <x v="170"/>
    <s v="neemias.sc@hotmail.com"/>
    <n v="300267134"/>
    <n v="15724344"/>
    <x v="3"/>
    <x v="6"/>
    <n v="115"/>
    <s v="QUANTIDADE INSUFICIENTE "/>
    <m/>
    <s v="MALHA "/>
    <d v="2026-06-15T17:06:03"/>
    <m/>
    <n v="219"/>
    <x v="1"/>
    <s v="GOLA RODADA"/>
    <m/>
    <d v="2026-06-15T00:00:00"/>
    <x v="0"/>
  </r>
  <r>
    <x v="162"/>
    <s v="faccaoello@hotmail.com"/>
    <n v="300268935"/>
    <n v="16447590"/>
    <x v="2"/>
    <x v="21"/>
    <n v="10"/>
    <s v="ACABOU"/>
    <m/>
    <m/>
    <d v="2026-06-15T17:06:16"/>
    <m/>
    <n v="220"/>
    <x v="2"/>
    <n v="0"/>
    <m/>
    <d v="2026-06-15T00:00:00"/>
    <x v="0"/>
  </r>
  <r>
    <x v="170"/>
    <s v="NEEMIAS.SC@HOTMAIL.COM"/>
    <n v="300267134"/>
    <n v="15724344"/>
    <x v="3"/>
    <x v="12"/>
    <n v="40"/>
    <s v="MATERIAL NÃO ENVIADO "/>
    <m/>
    <s v="MALHA "/>
    <d v="2026-06-15T17:08:06"/>
    <m/>
    <n v="221"/>
    <x v="1"/>
    <s v="TRASEIROS"/>
    <m/>
    <d v="2026-06-15T00:00:00"/>
    <x v="0"/>
  </r>
  <r>
    <x v="162"/>
    <s v="faccaoello@hotmail.com"/>
    <n v="300268935"/>
    <n v="16447590"/>
    <x v="2"/>
    <x v="0"/>
    <n v="20"/>
    <s v="ESTA ACABANDO"/>
    <m/>
    <m/>
    <d v="2026-06-15T17:08:29"/>
    <m/>
    <n v="222"/>
    <x v="2"/>
    <n v="0"/>
    <m/>
    <d v="2026-06-15T00:00:00"/>
    <x v="0"/>
  </r>
  <r>
    <x v="82"/>
    <s v="vitalizeconfeccoes@gmail.com"/>
    <n v="300270436"/>
    <n v="16483510"/>
    <x v="3"/>
    <x v="8"/>
    <n v="836"/>
    <s v="INSUFICIENTE PARA FINALIZA A ORDEM "/>
    <m/>
    <s v="RECEBIR POUCOS LINHAS E TENHO 5 ORDEM DESSA MESMA COR E JA ESTOU USANDO AS LINHAS DAS OUTRA ORDEM E TALVEZ NEM DER PARA FINALIZA "/>
    <d v="2026-06-15T17:43:15"/>
    <m/>
    <n v="223"/>
    <x v="1"/>
    <n v="0"/>
    <m/>
    <d v="2026-06-15T00:00:00"/>
    <x v="0"/>
  </r>
  <r>
    <x v="32"/>
    <s v="di3confec@gmail.com"/>
    <n v="300270319"/>
    <n v="16187741"/>
    <x v="2"/>
    <x v="17"/>
    <n v="60"/>
    <s v="Veio um atado com cortes assimétricos "/>
    <m/>
    <s v="Cós fusionado"/>
    <d v="2026-06-16T08:20:49"/>
    <m/>
    <n v="224"/>
    <x v="1"/>
    <n v="0"/>
    <m/>
    <d v="2026-06-16T00:00:00"/>
    <x v="0"/>
  </r>
  <r>
    <x v="35"/>
    <s v="lupercio-fnb@hotmail.com"/>
    <n v="300265824"/>
    <n v="16482395"/>
    <x v="2"/>
    <x v="17"/>
    <s v="150 pares de cós"/>
    <s v="FALTANDO"/>
    <m/>
    <s v="Faltando para finalização de ordem para liberação"/>
    <d v="2026-06-16T09:12:35"/>
    <m/>
    <n v="225"/>
    <x v="1"/>
    <n v="0"/>
    <m/>
    <d v="2026-06-16T00:00:00"/>
    <x v="0"/>
  </r>
  <r>
    <x v="50"/>
    <s v="acauaconfeccoes@outlook.com"/>
    <n v="300000000"/>
    <n v="1"/>
    <x v="2"/>
    <x v="10"/>
    <n v="1"/>
    <s v="Reposição "/>
    <m/>
    <s v="Estamos precisando de papelão "/>
    <d v="2026-06-16T09:14:15"/>
    <m/>
    <n v="226"/>
    <x v="2"/>
    <n v="1"/>
    <m/>
    <d v="2026-06-16T00:00:00"/>
    <x v="0"/>
  </r>
  <r>
    <x v="166"/>
    <s v="w.anny.k@hotmail.com"/>
    <n v="300271188"/>
    <n v="15215539"/>
    <x v="1"/>
    <x v="2"/>
    <n v="1.0920000000000001"/>
    <s v="VEIO FALTANDO "/>
    <m/>
    <m/>
    <d v="2026-06-16T09:14:37"/>
    <m/>
    <n v="227"/>
    <x v="2"/>
    <n v="0"/>
    <m/>
    <d v="2026-06-16T00:00:00"/>
    <x v="0"/>
  </r>
  <r>
    <x v="15"/>
    <s v="spauloazevedo@bol.com.br"/>
    <n v="300265451"/>
    <n v="16484606"/>
    <x v="2"/>
    <x v="3"/>
    <n v="5"/>
    <s v="veio faltando"/>
    <m/>
    <s v="Veio faltando na ordem"/>
    <d v="2026-06-16T09:28:09"/>
    <m/>
    <n v="228"/>
    <x v="1"/>
    <n v="10000228860"/>
    <m/>
    <d v="2026-06-16T00:00:00"/>
    <x v="0"/>
  </r>
  <r>
    <x v="81"/>
    <s v="gsragazziconfeccoes@yahoo.com"/>
    <n v="300270870"/>
    <n v="16224116"/>
    <x v="3"/>
    <x v="7"/>
    <n v="100"/>
    <s v="ACABOU"/>
    <m/>
    <m/>
    <d v="2026-06-16T09:30:33"/>
    <m/>
    <n v="229"/>
    <x v="2"/>
    <s v="."/>
    <m/>
    <d v="2026-06-16T00:00:00"/>
    <x v="0"/>
  </r>
  <r>
    <x v="177"/>
    <s v="linealtda@gmail.com"/>
    <n v="300242504"/>
    <n v="16379390"/>
    <x v="2"/>
    <x v="8"/>
    <n v="3"/>
    <s v="Insuficiente"/>
    <m/>
    <s v="Precisamos dessa reposição com urgência para finalização dessa ordem que é de maio."/>
    <d v="2026-06-16T09:31:13"/>
    <m/>
    <n v="230"/>
    <x v="1"/>
    <s v="9.LI001.036.171142"/>
    <m/>
    <d v="2026-06-16T00:00:00"/>
    <x v="0"/>
  </r>
  <r>
    <x v="74"/>
    <s v="imdeoliveirasilva-me@hotmail.com"/>
    <n v="300268060"/>
    <n v="16473604"/>
    <x v="2"/>
    <x v="5"/>
    <n v="10"/>
    <s v="MATERIAL INSUFICIENTE"/>
    <m/>
    <s v="PRECISO DE 10 ROLOS POIS NOSSO ESTOQUE ESTA COM APENAS UM ROLO. NAO COLOQUEI CODIGO PQ NAO TENHO COM SABER "/>
    <d v="2026-06-16T09:56:05"/>
    <m/>
    <n v="231"/>
    <x v="2"/>
    <n v="0"/>
    <m/>
    <d v="2026-06-16T00:00:00"/>
    <x v="0"/>
  </r>
  <r>
    <x v="23"/>
    <s v="reposicoesjkmodas@gmail.com"/>
    <n v="300269812"/>
    <n v="16373685"/>
    <x v="2"/>
    <x v="2"/>
    <n v="4"/>
    <s v="NÃO ENVIADA PELA GUARARAPES"/>
    <m/>
    <m/>
    <d v="2026-06-16T10:28:44"/>
    <m/>
    <n v="232"/>
    <x v="1"/>
    <n v="0"/>
    <m/>
    <d v="2026-06-16T00:00:00"/>
    <x v="0"/>
  </r>
  <r>
    <x v="23"/>
    <s v="reposicoesjkmodas@gmail.com"/>
    <n v="300270730"/>
    <n v="16243145"/>
    <x v="2"/>
    <x v="155"/>
    <n v="5"/>
    <s v="INSUFICIENTE PARA FINALIZAR"/>
    <m/>
    <m/>
    <d v="2026-06-16T10:42:03"/>
    <m/>
    <n v="233"/>
    <x v="1"/>
    <n v="10000063371"/>
    <m/>
    <d v="2026-06-16T00:00:00"/>
    <x v="0"/>
  </r>
  <r>
    <x v="11"/>
    <s v="S.a.confeccoesind@gmail.com"/>
    <n v="300269761"/>
    <n v="15864448"/>
    <x v="2"/>
    <x v="74"/>
    <n v="1.2210000000000001"/>
    <s v="Material não enviado pela guararapes."/>
    <m/>
    <s v="etiqueta de cós SLIM"/>
    <d v="2026-06-16T10:45:50"/>
    <m/>
    <n v="234"/>
    <x v="2"/>
    <s v="9.ETN72.001.PR9001"/>
    <m/>
    <d v="2026-06-16T00:00:00"/>
    <x v="0"/>
  </r>
  <r>
    <x v="178"/>
    <s v="faccao_sales2010@hotmail.com"/>
    <n v="300000000"/>
    <n v="0"/>
    <x v="2"/>
    <x v="10"/>
    <n v="1"/>
    <s v="REPOSIÇÃO"/>
    <m/>
    <m/>
    <d v="2026-06-16T10:46:49"/>
    <m/>
    <n v="235"/>
    <x v="2"/>
    <n v="0"/>
    <m/>
    <d v="2026-06-16T00:00:00"/>
    <x v="0"/>
  </r>
  <r>
    <x v="25"/>
    <s v="reposicoesjkmodas@gmail.com"/>
    <n v="300000000"/>
    <n v="0"/>
    <x v="2"/>
    <x v="10"/>
    <n v="1"/>
    <s v="INSUFICIENTE PARA FINALIZAR OP"/>
    <m/>
    <m/>
    <d v="2026-06-16T10:48:36"/>
    <m/>
    <n v="236"/>
    <x v="2"/>
    <n v="0"/>
    <m/>
    <d v="2026-06-16T00:00:00"/>
    <x v="0"/>
  </r>
  <r>
    <x v="23"/>
    <s v="reposicoesjkmodas@gmail.com"/>
    <n v="300000000"/>
    <n v="0"/>
    <x v="2"/>
    <x v="10"/>
    <n v="1"/>
    <s v="INSUFICIENTE PARA FINALIZAR OP"/>
    <m/>
    <m/>
    <d v="2026-06-16T10:49:31"/>
    <m/>
    <n v="237"/>
    <x v="2"/>
    <n v="0"/>
    <m/>
    <d v="2026-06-16T00:00:00"/>
    <x v="0"/>
  </r>
  <r>
    <x v="179"/>
    <s v="faccao_sales2010@hotmail.com"/>
    <n v="300000000"/>
    <n v="0"/>
    <x v="2"/>
    <x v="10"/>
    <n v="1"/>
    <s v="-"/>
    <m/>
    <m/>
    <d v="2026-06-16T10:51:25"/>
    <m/>
    <n v="238"/>
    <x v="2"/>
    <s v="."/>
    <m/>
    <d v="2026-06-16T00:00:00"/>
    <x v="0"/>
  </r>
  <r>
    <x v="179"/>
    <s v="faccao_sales2010@hotmail.com"/>
    <n v="300000000"/>
    <n v="0"/>
    <x v="2"/>
    <x v="7"/>
    <n v="1"/>
    <s v="REPOSIÇÃO"/>
    <m/>
    <m/>
    <d v="2026-06-16T10:52:38"/>
    <m/>
    <n v="239"/>
    <x v="2"/>
    <s v="-"/>
    <m/>
    <d v="2026-06-16T00:00:00"/>
    <x v="0"/>
  </r>
  <r>
    <x v="179"/>
    <s v="faccao_sales2010@hotmail.com"/>
    <n v="300000000"/>
    <n v="0"/>
    <x v="2"/>
    <x v="5"/>
    <s v="-"/>
    <s v="REPOSIÇÃO"/>
    <m/>
    <m/>
    <d v="2026-06-16T10:53:24"/>
    <m/>
    <n v="240"/>
    <x v="2"/>
    <n v="0"/>
    <m/>
    <d v="2026-06-16T00:00:00"/>
    <x v="0"/>
  </r>
  <r>
    <x v="70"/>
    <s v="novaconfeccoes2.0@hotmail.com"/>
    <n v="300264321"/>
    <n v="15690210"/>
    <x v="2"/>
    <x v="13"/>
    <n v="686"/>
    <s v="Não recebemos os zíper e etiquetas de marca e cos para os tamanhos 38, 40, 42, 44, 46 e 48"/>
    <m/>
    <s v="Reposição de etiquetas de marca, cos e zíper! Não recebemos "/>
    <d v="2026-06-16T10:57:20"/>
    <m/>
    <n v="241"/>
    <x v="2"/>
    <n v="0"/>
    <m/>
    <d v="2026-06-16T00:00:00"/>
    <x v="0"/>
  </r>
  <r>
    <x v="180"/>
    <s v="lajedoconf5@gmail.com"/>
    <n v="300270700"/>
    <n v="16310217"/>
    <x v="2"/>
    <x v="10"/>
    <n v="1"/>
    <s v="quantidade insuficiente"/>
    <m/>
    <m/>
    <d v="2026-06-16T11:08:04"/>
    <m/>
    <n v="242"/>
    <x v="2"/>
    <s v="."/>
    <m/>
    <d v="2026-06-16T00:00:00"/>
    <x v="0"/>
  </r>
  <r>
    <x v="178"/>
    <s v="faccao_sales2010@hotmail.com"/>
    <n v="300000000"/>
    <n v="0"/>
    <x v="2"/>
    <x v="7"/>
    <n v="1"/>
    <s v="REPOSIÇÃO"/>
    <m/>
    <m/>
    <d v="2026-06-16T11:19:01"/>
    <m/>
    <n v="243"/>
    <x v="2"/>
    <n v="0"/>
    <m/>
    <d v="2026-06-16T00:00:00"/>
    <x v="0"/>
  </r>
  <r>
    <x v="181"/>
    <s v="asaequador@gmail.com"/>
    <n v="300269380"/>
    <n v="16482751"/>
    <x v="2"/>
    <x v="13"/>
    <n v="5"/>
    <s v="material insuficiente pra terminar ordem"/>
    <m/>
    <s v="faltou 5 ziper tamanho 15cm."/>
    <d v="2026-06-16T11:20:08"/>
    <m/>
    <n v="244"/>
    <x v="1"/>
    <n v="10000157258"/>
    <m/>
    <d v="2026-06-16T00:00:00"/>
    <x v="0"/>
  </r>
  <r>
    <x v="178"/>
    <s v="faccao_sales2010@hotmail.com"/>
    <n v="300267048"/>
    <n v="16446054"/>
    <x v="2"/>
    <x v="2"/>
    <n v="50"/>
    <s v="INSUFICIENTE PRA FINALIZAR A OP"/>
    <m/>
    <m/>
    <d v="2026-06-16T11:24:28"/>
    <m/>
    <n v="245"/>
    <x v="1"/>
    <n v="0"/>
    <m/>
    <d v="2026-06-16T00:00:00"/>
    <x v="0"/>
  </r>
  <r>
    <x v="178"/>
    <s v="faccao_sales2010@hotmail.com"/>
    <n v="300000000"/>
    <n v="0"/>
    <x v="2"/>
    <x v="5"/>
    <s v="-"/>
    <s v="REPOSIÇÃO"/>
    <m/>
    <m/>
    <d v="2026-06-16T11:27:19"/>
    <m/>
    <n v="246"/>
    <x v="2"/>
    <s v="-"/>
    <m/>
    <d v="2026-06-16T00:00:00"/>
    <x v="0"/>
  </r>
  <r>
    <x v="182"/>
    <s v="uniaoconfeccao.me@gmail.com"/>
    <n v="300268938"/>
    <n v="16261526"/>
    <x v="2"/>
    <x v="3"/>
    <n v="23"/>
    <s v="Faltou 23 etiquetas tamanho 6/7 "/>
    <m/>
    <s v="Faltou 23 etiquetas "/>
    <d v="2026-06-16T11:30:50"/>
    <m/>
    <n v="247"/>
    <x v="1"/>
    <n v="184"/>
    <m/>
    <d v="2026-06-16T00:00:00"/>
    <x v="0"/>
  </r>
  <r>
    <x v="183"/>
    <s v="kswconfeccoesltda@gmail.com"/>
    <n v="300267517"/>
    <n v="16223780"/>
    <x v="3"/>
    <x v="154"/>
    <n v="150"/>
    <s v="fALTARAM VIESES"/>
    <m/>
    <m/>
    <d v="2026-06-16T12:55:04"/>
    <m/>
    <n v="248"/>
    <x v="1"/>
    <n v="150"/>
    <m/>
    <d v="2026-06-16T00:00:00"/>
    <x v="0"/>
  </r>
  <r>
    <x v="13"/>
    <s v="administrativo@zajaconfeccoes.com.br"/>
    <n v="300262154"/>
    <n v="16318404"/>
    <x v="2"/>
    <x v="1"/>
    <n v="6"/>
    <s v="insuficiente "/>
    <m/>
    <m/>
    <d v="2026-06-16T12:55:10"/>
    <m/>
    <n v="249"/>
    <x v="1"/>
    <n v="10000068894"/>
    <m/>
    <d v="2026-06-16T00:00:00"/>
    <x v="0"/>
  </r>
  <r>
    <x v="183"/>
    <s v="kswconfeccoesltda@gmail.com"/>
    <n v="300267517"/>
    <n v="16223780"/>
    <x v="3"/>
    <x v="153"/>
    <n v="1436"/>
    <s v="Material não enviado pela Guararapes"/>
    <m/>
    <m/>
    <d v="2026-06-16T12:58:50"/>
    <m/>
    <n v="250"/>
    <x v="2"/>
    <n v="150"/>
    <m/>
    <d v="2026-06-16T00:00:00"/>
    <x v="0"/>
  </r>
  <r>
    <x v="51"/>
    <s v="fc_faccao@yahoo.com.br"/>
    <n v="300263334"/>
    <n v="16099605"/>
    <x v="3"/>
    <x v="7"/>
    <n v="400"/>
    <s v="falta"/>
    <m/>
    <m/>
    <d v="2026-06-16T13:09:43"/>
    <m/>
    <n v="251"/>
    <x v="2"/>
    <n v="150"/>
    <m/>
    <d v="2026-06-16T00:00:00"/>
    <x v="0"/>
  </r>
  <r>
    <x v="175"/>
    <s v="confeccaogenesisltda@gmail.com"/>
    <n v="300271999"/>
    <n v="16547942"/>
    <x v="0"/>
    <x v="2"/>
    <n v="27"/>
    <s v="VEIO FALTANDO"/>
    <m/>
    <m/>
    <d v="2026-06-16T13:15:25"/>
    <m/>
    <n v="252"/>
    <x v="1"/>
    <n v="0"/>
    <m/>
    <d v="2026-06-16T00:00:00"/>
    <x v="0"/>
  </r>
  <r>
    <x v="61"/>
    <s v="noelpazevedo@gmail.com"/>
    <n v="300268616"/>
    <n v="16473825"/>
    <x v="2"/>
    <x v="10"/>
    <n v="1"/>
    <s v="Está faltando "/>
    <m/>
    <s v="Está faltando "/>
    <d v="2026-06-16T13:16:39"/>
    <m/>
    <n v="253"/>
    <x v="2"/>
    <s v="Não tem "/>
    <m/>
    <d v="2026-06-16T00:00:00"/>
    <x v="0"/>
  </r>
  <r>
    <x v="175"/>
    <s v="confeccaogenesisltda@gmail.com"/>
    <n v="300271999"/>
    <n v="16547942"/>
    <x v="0"/>
    <x v="9"/>
    <n v="10"/>
    <s v="QUANTIDADE INSUFICIENTE PARA DISTRIBUIR NAS MAQUINAS"/>
    <m/>
    <s v="LINHAS"/>
    <d v="2026-06-16T13:17:09"/>
    <m/>
    <n v="254"/>
    <x v="1"/>
    <n v="0"/>
    <m/>
    <d v="2026-06-16T00:00:00"/>
    <x v="0"/>
  </r>
  <r>
    <x v="175"/>
    <s v="confeccaogenesisltda@gmail.com"/>
    <n v="300270432"/>
    <n v="15497313"/>
    <x v="3"/>
    <x v="2"/>
    <n v="10"/>
    <s v="VEIO FALTANDO"/>
    <m/>
    <m/>
    <d v="2026-06-16T13:29:57"/>
    <m/>
    <n v="255"/>
    <x v="1"/>
    <n v="0"/>
    <m/>
    <d v="2026-06-16T00:00:00"/>
    <x v="0"/>
  </r>
  <r>
    <x v="118"/>
    <s v="fjdeazevedo@hotmail.com"/>
    <n v="300264300"/>
    <n v="16690210"/>
    <x v="2"/>
    <x v="3"/>
    <n v="684"/>
    <s v="faltou"/>
    <m/>
    <s v="Etiqueta de modelagem ( a que é pregada próxima a etiqueta de tamnho)o"/>
    <d v="2026-06-16T13:32:12"/>
    <m/>
    <n v="256"/>
    <x v="2"/>
    <s v="não tenho codigo"/>
    <m/>
    <d v="2026-06-16T00:00:00"/>
    <x v="0"/>
  </r>
  <r>
    <x v="37"/>
    <s v="felconfeccao@gmail.com"/>
    <n v="300265945"/>
    <n v="16251962"/>
    <x v="3"/>
    <x v="14"/>
    <n v="50"/>
    <s v="FALTOU PARA FINALIZAÇÃO"/>
    <m/>
    <s v="VIÉS DE GOLA PARA 50 PEÇAS"/>
    <d v="2026-06-16T13:36:40"/>
    <m/>
    <n v="257"/>
    <x v="1"/>
    <n v="0"/>
    <m/>
    <d v="2026-06-16T00:00:00"/>
    <x v="0"/>
  </r>
  <r>
    <x v="184"/>
    <s v="encantopoest@gmail.com"/>
    <n v="300268711"/>
    <n v="16481402"/>
    <x v="2"/>
    <x v="10"/>
    <n v="30"/>
    <s v="papelao para gabarito"/>
    <m/>
    <s v="papelão para gabarito"/>
    <d v="2026-06-16T13:50:26"/>
    <m/>
    <n v="258"/>
    <x v="2"/>
    <n v="0"/>
    <m/>
    <d v="2026-06-16T00:00:00"/>
    <x v="0"/>
  </r>
  <r>
    <x v="184"/>
    <s v="encantopoest@gmail.com"/>
    <n v="300268711"/>
    <n v="16481402"/>
    <x v="2"/>
    <x v="5"/>
    <n v="30"/>
    <s v="filme plástico do estreito"/>
    <m/>
    <s v="filme plástico do estreito para passante"/>
    <d v="2026-06-16T13:52:27"/>
    <m/>
    <n v="259"/>
    <x v="2"/>
    <n v="0"/>
    <m/>
    <d v="2026-06-16T00:00:00"/>
    <x v="0"/>
  </r>
  <r>
    <x v="32"/>
    <s v="di3confec@gmail.com"/>
    <n v="300268229"/>
    <n v="16472675"/>
    <x v="3"/>
    <x v="12"/>
    <n v="3"/>
    <s v="Material insuficiente"/>
    <m/>
    <m/>
    <d v="2026-06-16T14:02:34"/>
    <m/>
    <n v="260"/>
    <x v="1"/>
    <n v="0"/>
    <m/>
    <d v="2026-06-16T00:00:00"/>
    <x v="0"/>
  </r>
  <r>
    <x v="181"/>
    <s v="asaequador@gmail.com"/>
    <n v="300269380"/>
    <n v="16482751"/>
    <x v="2"/>
    <x v="12"/>
    <s v="23 pçs"/>
    <s v="peças com etiqueta 36 ,mas não é 36 ."/>
    <m/>
    <s v="lote com etiqueta 36 ,mas não é 36 , é tamanho 40 ."/>
    <d v="2026-06-16T14:12:24"/>
    <m/>
    <n v="261"/>
    <x v="1"/>
    <n v="0"/>
    <m/>
    <d v="2026-06-16T00:00:00"/>
    <x v="0"/>
  </r>
  <r>
    <x v="56"/>
    <s v="idealconfecltda@gmail.com"/>
    <n v="300268961"/>
    <n v="16508858"/>
    <x v="2"/>
    <x v="2"/>
    <n v="100"/>
    <s v="Material não enviado pela Guararapes"/>
    <m/>
    <s v="ETIQUETAS NÃO ENVIADA "/>
    <d v="2026-06-16T14:34:00"/>
    <m/>
    <n v="262"/>
    <x v="1"/>
    <n v="10000214530"/>
    <m/>
    <d v="2026-06-16T00:00:00"/>
    <x v="0"/>
  </r>
  <r>
    <x v="21"/>
    <s v="potengitextil@outlook.com.br"/>
    <n v="300271783"/>
    <n v="14487004"/>
    <x v="1"/>
    <x v="2"/>
    <n v="1045"/>
    <s v="Não enviado pela guararapes "/>
    <m/>
    <s v="Não recebi as etiquetas junto da ordem. "/>
    <d v="2026-06-16T15:29:39"/>
    <m/>
    <n v="263"/>
    <x v="2"/>
    <n v="0"/>
    <m/>
    <d v="2026-06-16T00:00:00"/>
    <x v="0"/>
  </r>
  <r>
    <x v="185"/>
    <s v="fernandoassu@gmail.com"/>
    <n v="300271852"/>
    <n v="15773469"/>
    <x v="2"/>
    <x v="5"/>
    <n v="3"/>
    <s v="faltando "/>
    <m/>
    <m/>
    <d v="2026-06-16T15:36:22"/>
    <m/>
    <n v="264"/>
    <x v="1"/>
    <n v="350"/>
    <m/>
    <d v="2026-06-16T00:00:00"/>
    <x v="0"/>
  </r>
  <r>
    <x v="168"/>
    <s v="jucurututextil@gmail.com"/>
    <n v="300271099"/>
    <n v="16292987"/>
    <x v="2"/>
    <x v="38"/>
    <n v="520"/>
    <s v="veio todo manchado e molhado "/>
    <m/>
    <s v="veio tudo os forro manchados e molhado"/>
    <d v="2026-06-16T16:27:55"/>
    <m/>
    <n v="265"/>
    <x v="2"/>
    <n v="0"/>
    <m/>
    <d v="2026-06-16T00:00:00"/>
    <x v="0"/>
  </r>
  <r>
    <x v="23"/>
    <s v="reposicoesjkmodas@gmail.com"/>
    <n v="300269812"/>
    <n v="16373685"/>
    <x v="2"/>
    <x v="2"/>
    <n v="3"/>
    <s v="Material não enviado pela Guararapes"/>
    <m/>
    <m/>
    <d v="2026-06-16T16:45:56"/>
    <m/>
    <n v="266"/>
    <x v="1"/>
    <n v="0"/>
    <m/>
    <d v="2026-06-16T00:00:00"/>
    <x v="0"/>
  </r>
  <r>
    <x v="35"/>
    <s v="lupercio-fnb@hotmail.com"/>
    <n v="300267144"/>
    <n v="15128288"/>
    <x v="1"/>
    <x v="6"/>
    <n v="195"/>
    <s v="Tonalidade diferente da peça"/>
    <m/>
    <s v="Tonalidade da cor da peça para a cor da gola"/>
    <d v="2026-06-16T16:48:51"/>
    <m/>
    <n v="267"/>
    <x v="1"/>
    <n v="0"/>
    <m/>
    <d v="2026-06-16T00:00:00"/>
    <x v="0"/>
  </r>
  <r>
    <x v="23"/>
    <s v="reposicoesjkmodas@gmail.com"/>
    <n v="300000000"/>
    <n v="0"/>
    <x v="2"/>
    <x v="5"/>
    <n v="1"/>
    <s v="INSUFICIENTE PARA FINALIZAR OP"/>
    <m/>
    <m/>
    <d v="2026-06-16T16:49:35"/>
    <m/>
    <n v="268"/>
    <x v="2"/>
    <n v="0"/>
    <m/>
    <d v="2026-06-16T00:00:00"/>
    <x v="0"/>
  </r>
  <r>
    <x v="25"/>
    <s v="reposicoesjkmodas@gmail.com"/>
    <n v="300000000"/>
    <n v="0"/>
    <x v="2"/>
    <x v="5"/>
    <n v="1"/>
    <s v="INSUFICIENTE PARA FINALIZAR OP"/>
    <m/>
    <m/>
    <d v="2026-06-16T16:51:03"/>
    <m/>
    <n v="269"/>
    <x v="2"/>
    <n v="0"/>
    <m/>
    <d v="2026-06-16T00:00:00"/>
    <x v="0"/>
  </r>
  <r>
    <x v="25"/>
    <s v="reposicoesjkmodas@gmail.com"/>
    <n v="300270730"/>
    <n v="16243145"/>
    <x v="2"/>
    <x v="8"/>
    <n v="5"/>
    <s v="INSUFICIENTE PARA FINALIZAR OP"/>
    <m/>
    <m/>
    <d v="2026-06-16T17:30:01"/>
    <m/>
    <n v="270"/>
    <x v="1"/>
    <n v="10000073313"/>
    <m/>
    <d v="2026-06-16T00:00:00"/>
    <x v="0"/>
  </r>
  <r>
    <x v="164"/>
    <s v="auxiforte@hotmail.com"/>
    <n v="300269511"/>
    <n v="16229479"/>
    <x v="3"/>
    <x v="12"/>
    <n v="4"/>
    <s v="ORDEM - 300269511; MATERIAL INSUFICIENTE PARA FINALIZAR OP;"/>
    <m/>
    <s v="ORDEM - 300269511; MATERIAL INSUFICIENTE PARA FINALIZAR OP;"/>
    <d v="2026-06-16T17:57:43"/>
    <m/>
    <n v="271"/>
    <x v="1"/>
    <n v="0"/>
    <m/>
    <d v="2026-06-16T00:00:00"/>
    <x v="0"/>
  </r>
  <r>
    <x v="167"/>
    <s v="falconcofeccoes@hotmail.com"/>
    <n v="300271764"/>
    <n v="16273303"/>
    <x v="2"/>
    <x v="49"/>
    <n v="504"/>
    <s v="material não enviado"/>
    <m/>
    <s v="A ETQ MODEL POOL 40 BOOTCUT 60*10 BR , etiqueta fit."/>
    <d v="2026-06-17T07:56:17"/>
    <m/>
    <n v="272"/>
    <x v="2"/>
    <n v="100002288"/>
    <m/>
    <d v="2026-06-17T00:00:00"/>
    <x v="0"/>
  </r>
  <r>
    <x v="18"/>
    <s v="ebenezerindustriat@hotmail.com"/>
    <n v="300270413"/>
    <n v="16249526"/>
    <x v="3"/>
    <x v="52"/>
    <n v="10"/>
    <s v="ACABOU"/>
    <m/>
    <m/>
    <d v="2026-06-17T08:01:47"/>
    <m/>
    <n v="273"/>
    <x v="2"/>
    <n v="0"/>
    <m/>
    <d v="2026-06-17T00:00:00"/>
    <x v="0"/>
  </r>
  <r>
    <x v="162"/>
    <s v="faccaoello@hotmail.com"/>
    <n v="300269320"/>
    <n v="16476298"/>
    <x v="2"/>
    <x v="22"/>
    <n v="36"/>
    <s v="MATERIAL NÃO ENVIANDO PELA GUARARAPES"/>
    <m/>
    <s v="FRENTE LADO ESQUERDO"/>
    <d v="2026-06-17T08:12:54"/>
    <m/>
    <n v="274"/>
    <x v="1"/>
    <n v="0"/>
    <m/>
    <d v="2026-06-17T00:00:00"/>
    <x v="0"/>
  </r>
  <r>
    <x v="162"/>
    <s v="faccaoello@hotmail.com"/>
    <n v="300269320"/>
    <n v="16476298"/>
    <x v="2"/>
    <x v="22"/>
    <n v="38"/>
    <s v="Material não enviado pela Guararapes"/>
    <m/>
    <s v="FRENTE LADO DIREITO"/>
    <d v="2026-06-17T08:14:56"/>
    <m/>
    <n v="275"/>
    <x v="1"/>
    <n v="0"/>
    <m/>
    <d v="2026-06-17T00:00:00"/>
    <x v="0"/>
  </r>
  <r>
    <x v="186"/>
    <s v="BJMANSOURCONFEC@GMAIL.COM"/>
    <n v="300269869"/>
    <n v="16441435"/>
    <x v="3"/>
    <x v="22"/>
    <n v="130"/>
    <s v="NÃO EVIADO DA GUARARAPES "/>
    <m/>
    <s v="VEIO FALTANDO 128 FRENTE/TRASEIRO E MANGA DO TAMANHO G"/>
    <d v="2026-06-17T08:15:22"/>
    <m/>
    <n v="276"/>
    <x v="1"/>
    <n v="0"/>
    <m/>
    <d v="2026-06-17T00:00:00"/>
    <x v="0"/>
  </r>
  <r>
    <x v="186"/>
    <s v="BJMANSOURCONFEC@GMAIL.COM"/>
    <n v="300269869"/>
    <n v="16441435"/>
    <x v="3"/>
    <x v="12"/>
    <n v="130"/>
    <s v="NÃO ENVIADO DA GUARARAPES"/>
    <m/>
    <s v="NÃO VEIO A FRENTE, TRASEIRO E MANGA TAMANHO G "/>
    <d v="2026-06-17T08:17:23"/>
    <m/>
    <n v="277"/>
    <x v="1"/>
    <n v="0"/>
    <m/>
    <d v="2026-06-17T00:00:00"/>
    <x v="0"/>
  </r>
  <r>
    <x v="186"/>
    <s v="BJMANSOURCONFEC@GMAIL.COM"/>
    <n v="300269869"/>
    <n v="16441435"/>
    <x v="3"/>
    <x v="30"/>
    <n v="260"/>
    <s v="NÃO ENVIADO DA GUARARAPES "/>
    <m/>
    <s v="NÃO ENVIADO "/>
    <d v="2026-06-17T08:19:23"/>
    <m/>
    <n v="278"/>
    <x v="1"/>
    <n v="0"/>
    <m/>
    <d v="2026-06-17T00:00:00"/>
    <x v="0"/>
  </r>
  <r>
    <x v="58"/>
    <s v="js.silva6815@gmail.com"/>
    <n v="300270736"/>
    <n v="16218957"/>
    <x v="2"/>
    <x v="2"/>
    <n v="40"/>
    <s v="vieram faltando 10 etiquetas de composição de cada tamanho."/>
    <m/>
    <s v="Etiqueta de composição"/>
    <d v="2026-06-17T08:23:11"/>
    <m/>
    <n v="279"/>
    <x v="1"/>
    <n v="0"/>
    <m/>
    <d v="2026-06-17T00:00:00"/>
    <x v="0"/>
  </r>
  <r>
    <x v="58"/>
    <s v="js.silva6815@gmail.com"/>
    <n v="300271510"/>
    <n v="16218299"/>
    <x v="2"/>
    <x v="50"/>
    <n v="40"/>
    <s v="Faltaram 40 perdigal"/>
    <m/>
    <s v="faltaram 40 perdigal do tamanho 11-12"/>
    <d v="2026-06-17T08:27:16"/>
    <m/>
    <n v="280"/>
    <x v="1"/>
    <n v="0"/>
    <m/>
    <d v="2026-06-17T00:00:00"/>
    <x v="0"/>
  </r>
  <r>
    <x v="186"/>
    <s v="BJMANSOURCONFEC@GMAIL.COM"/>
    <n v="300263803"/>
    <n v="16222954"/>
    <x v="3"/>
    <x v="6"/>
    <n v="494"/>
    <s v="NÃO ENVIADO DA GUARARAPES "/>
    <m/>
    <s v="NAO ENVIADO "/>
    <d v="2026-06-17T08:27:21"/>
    <m/>
    <n v="281"/>
    <x v="1"/>
    <n v="0"/>
    <m/>
    <d v="2026-06-17T00:00:00"/>
    <x v="0"/>
  </r>
  <r>
    <x v="187"/>
    <s v="evalber_dantas@hotmail.com"/>
    <n v="300266689"/>
    <n v="16120337"/>
    <x v="2"/>
    <x v="5"/>
    <s v="300 PEÇAS"/>
    <s v="Veio com quantidade incompleta para toda a ORDEM"/>
    <m/>
    <s v="Plástico filme: ESPESSURA -3,5/1- para a Ordem 300266689."/>
    <d v="2026-06-17T08:40:53"/>
    <m/>
    <n v="282"/>
    <x v="1"/>
    <s v="Bom dia, solicito o envio de plástico filme 3,5/1 para a Ordem 300266689. Justifico a falta do código do material por não constar na ficha técnica."/>
    <m/>
    <d v="2026-06-17T00:00:00"/>
    <x v="0"/>
  </r>
  <r>
    <x v="144"/>
    <s v="fiosdosertao01@gmail.com"/>
    <n v="300270668"/>
    <n v="16310225"/>
    <x v="2"/>
    <x v="9"/>
    <s v="5 cones"/>
    <s v="material insuficiente para finalizar a op"/>
    <m/>
    <s v="linha cor 0742 tit: 25 e tit: 80 5 cones de cada linha. a quantidade enviada não da pra finalizar a op "/>
    <d v="2026-06-17T09:05:32"/>
    <m/>
    <n v="283"/>
    <x v="1"/>
    <n v="0"/>
    <m/>
    <d v="2026-06-17T00:00:00"/>
    <x v="0"/>
  </r>
  <r>
    <x v="13"/>
    <s v="administrativo@zajaconfeccoes.com.br"/>
    <n v="300272455"/>
    <n v="16222326"/>
    <x v="3"/>
    <x v="2"/>
    <n v="30"/>
    <s v="QUANTIDADE INSUFICIENTE"/>
    <m/>
    <m/>
    <d v="2026-06-17T09:36:16"/>
    <m/>
    <n v="284"/>
    <x v="1"/>
    <n v="0"/>
    <m/>
    <d v="2026-06-17T00:00:00"/>
    <x v="0"/>
  </r>
  <r>
    <x v="13"/>
    <s v="administrativo@zajaconfeccoes.com.br"/>
    <n v="300272455"/>
    <n v="16222326"/>
    <x v="3"/>
    <x v="4"/>
    <n v="400"/>
    <s v="QUANTIDADE INSUFICIENTE"/>
    <m/>
    <m/>
    <d v="2026-06-17T09:41:58"/>
    <m/>
    <n v="285"/>
    <x v="1"/>
    <n v="0"/>
    <m/>
    <d v="2026-06-17T00:00:00"/>
    <x v="0"/>
  </r>
  <r>
    <x v="31"/>
    <s v="administrativo@zajaconfeccoes.com.br"/>
    <n v="300272941"/>
    <n v="15774112"/>
    <x v="2"/>
    <x v="3"/>
    <n v="1"/>
    <s v="INSUFICIENTE"/>
    <m/>
    <m/>
    <d v="2026-06-17T09:58:29"/>
    <m/>
    <n v="286"/>
    <x v="1"/>
    <n v="10000214517"/>
    <m/>
    <d v="2026-06-17T00:00:00"/>
    <x v="0"/>
  </r>
  <r>
    <x v="15"/>
    <s v="spauloazevedo@bol.com.br"/>
    <n v="300269150"/>
    <n v="16545222"/>
    <x v="0"/>
    <x v="74"/>
    <n v="70"/>
    <s v="Estão faltando 10 etq. do tam.: PP; 10 etq. tam.: P; 20 etq. do tam.: M; 20 etq. do tam.: G; 10 etq. do tam.: GG."/>
    <m/>
    <m/>
    <d v="2026-06-17T10:30:24"/>
    <m/>
    <n v="287"/>
    <x v="1"/>
    <s v="10000209178 / 10000209179 / 10000209180 / 10000209181 / 10000209182"/>
    <m/>
    <d v="2026-06-17T00:00:00"/>
    <x v="0"/>
  </r>
  <r>
    <x v="175"/>
    <s v="confeccaogenesisltda@gmail.com"/>
    <n v="300273027"/>
    <n v="16510216"/>
    <x v="0"/>
    <x v="4"/>
    <n v="135"/>
    <s v="veio faltando"/>
    <m/>
    <m/>
    <d v="2026-06-17T10:31:53"/>
    <m/>
    <n v="288"/>
    <x v="1"/>
    <n v="0"/>
    <m/>
    <d v="2026-06-17T00:00:00"/>
    <x v="0"/>
  </r>
  <r>
    <x v="175"/>
    <s v="confeccaogenesisltda@gmail.com"/>
    <n v="300270427"/>
    <n v="15497313"/>
    <x v="3"/>
    <x v="2"/>
    <n v="9"/>
    <s v="PEDI REPOSIÇÃO MAS VEIO FALTANDO NOVAMENTE"/>
    <m/>
    <m/>
    <d v="2026-06-17T10:37:08"/>
    <m/>
    <n v="289"/>
    <x v="1"/>
    <n v="0"/>
    <m/>
    <d v="2026-06-17T00:00:00"/>
    <x v="0"/>
  </r>
  <r>
    <x v="188"/>
    <s v="tendenciaconfec@gmail.com"/>
    <n v="300267546"/>
    <n v="16226895"/>
    <x v="3"/>
    <x v="4"/>
    <n v="274"/>
    <s v="Faltou, não veio junto a OP"/>
    <m/>
    <s v="Faltou 274 etiquetas de preço tamanho 8-9"/>
    <d v="2026-06-17T10:38:23"/>
    <m/>
    <n v="290"/>
    <x v="1"/>
    <s v="ETIQUETA DE PREÇO"/>
    <m/>
    <d v="2026-06-17T00:00:00"/>
    <x v="0"/>
  </r>
  <r>
    <x v="171"/>
    <s v="confeccoesgbdas@hotmail.com"/>
    <n v="300267171"/>
    <n v="16445007"/>
    <x v="3"/>
    <x v="3"/>
    <n v="1704"/>
    <s v="NÃO ENVIADO PELA GUARARAPES"/>
    <m/>
    <s v="NÃO FOI ENVIADO O CADARÇO PARA PARA SER PREGADO NO BOLSO DA CALÇA (OBS: O CADARÇO É DE 5CM)"/>
    <d v="2026-06-17T11:10:45"/>
    <m/>
    <n v="291"/>
    <x v="2"/>
    <s v="000000010000068670 - 9.C0001.025.CRU000 CADARÇO CO25MM CRU000"/>
    <m/>
    <d v="2026-06-17T00:00:00"/>
    <x v="0"/>
  </r>
  <r>
    <x v="32"/>
    <s v="di3confec@gmail.com"/>
    <n v="300272961"/>
    <n v="15699293"/>
    <x v="2"/>
    <x v="8"/>
    <n v="10"/>
    <s v="Material insuficiente"/>
    <m/>
    <m/>
    <d v="2026-06-17T11:56:46"/>
    <m/>
    <n v="292"/>
    <x v="1"/>
    <n v="10000072682"/>
    <m/>
    <d v="2026-06-17T00:00:00"/>
    <x v="0"/>
  </r>
  <r>
    <x v="175"/>
    <s v="confeccaogenesisltda@gmail.com"/>
    <n v="300273027"/>
    <n v="16510216"/>
    <x v="0"/>
    <x v="27"/>
    <n v="50"/>
    <s v="veio faltando"/>
    <m/>
    <m/>
    <d v="2026-06-17T13:31:38"/>
    <m/>
    <n v="293"/>
    <x v="1"/>
    <n v="10000191438"/>
    <m/>
    <d v="2026-06-17T00:00:00"/>
    <x v="0"/>
  </r>
  <r>
    <x v="25"/>
    <s v="reposicoesjkmodas@gmail.com"/>
    <n v="300260651"/>
    <n v="16448090"/>
    <x v="2"/>
    <x v="18"/>
    <n v="500"/>
    <s v="INSUFICIENTE PARA FINALIZAR OP"/>
    <m/>
    <s v="ELÁSTICO PARA 500 PEÇAS"/>
    <d v="2026-06-17T14:07:59"/>
    <m/>
    <n v="294"/>
    <x v="1"/>
    <n v="10000195773"/>
    <m/>
    <d v="2026-06-17T00:00:00"/>
    <x v="0"/>
  </r>
  <r>
    <x v="36"/>
    <s v="solisconfeccoes@gmail.com"/>
    <n v="300272621"/>
    <n v="15467783"/>
    <x v="3"/>
    <x v="52"/>
    <n v="5000"/>
    <s v="FALTANDO"/>
    <m/>
    <s v="PINO DA PISTOLA"/>
    <d v="2026-06-17T14:33:55"/>
    <m/>
    <n v="295"/>
    <x v="2"/>
    <n v="0"/>
    <m/>
    <d v="2026-06-17T00:00:00"/>
    <x v="0"/>
  </r>
  <r>
    <x v="23"/>
    <s v="reposicoesjkmodas@gmail.com"/>
    <n v="300000000"/>
    <n v="0"/>
    <x v="2"/>
    <x v="21"/>
    <n v="5"/>
    <s v="INSUFICIENTE PARA ENVIAR OP"/>
    <m/>
    <m/>
    <d v="2026-06-17T14:45:34"/>
    <m/>
    <n v="296"/>
    <x v="2"/>
    <n v="0"/>
    <m/>
    <d v="2026-06-17T00:00:00"/>
    <x v="0"/>
  </r>
  <r>
    <x v="25"/>
    <s v="reposicoesjkmodas@gmail.com"/>
    <n v="300000000"/>
    <n v="0"/>
    <x v="2"/>
    <x v="21"/>
    <n v="5"/>
    <s v="INSUFICIENTE PARA ENVIAR OP"/>
    <m/>
    <m/>
    <d v="2026-06-17T14:46:23"/>
    <m/>
    <n v="297"/>
    <x v="2"/>
    <n v="0"/>
    <m/>
    <d v="2026-06-17T00:00:00"/>
    <x v="0"/>
  </r>
  <r>
    <x v="11"/>
    <s v="S.a.confeccoesind@gmail.com"/>
    <n v="300269761"/>
    <n v="15864448"/>
    <x v="2"/>
    <x v="2"/>
    <n v="6"/>
    <s v="Insuficiente para finalizar a OP"/>
    <m/>
    <s v="Etiqueta de composição tamanho 38"/>
    <d v="2026-06-17T15:02:22"/>
    <m/>
    <n v="298"/>
    <x v="1"/>
    <s v="Etiqueta de composição tamanho 38"/>
    <m/>
    <d v="2026-06-17T00:00:00"/>
    <x v="0"/>
  </r>
  <r>
    <x v="32"/>
    <s v="di3confec@gmail.com"/>
    <n v="300270319"/>
    <n v="16187741"/>
    <x v="2"/>
    <x v="61"/>
    <n v="80"/>
    <s v="Material insuficiente"/>
    <m/>
    <m/>
    <d v="2026-06-17T15:34:59"/>
    <m/>
    <n v="299"/>
    <x v="1"/>
    <n v="0"/>
    <m/>
    <d v="2026-06-17T00:00:00"/>
    <x v="0"/>
  </r>
  <r>
    <x v="32"/>
    <s v="di3confec@gmail.com"/>
    <n v="300271548"/>
    <n v="16222326"/>
    <x v="3"/>
    <x v="39"/>
    <n v="25"/>
    <s v="A ordem está com falta de 25 peças e estamos com vários pedaços de partes. Preciso de reposição para peça completa assim como também as etiquetas de composição."/>
    <m/>
    <s v="CHAMADO PARA O CORTE N° 28155"/>
    <d v="2026-06-17T15:39:45"/>
    <m/>
    <n v="300"/>
    <x v="1"/>
    <n v="0"/>
    <m/>
    <d v="2026-06-17T00:00:00"/>
    <x v="0"/>
  </r>
  <r>
    <x v="56"/>
    <s v="idealconfecltda@gmail.com"/>
    <n v="300271865"/>
    <n v="15215539"/>
    <x v="1"/>
    <x v="27"/>
    <n v="280"/>
    <s v="INSUFICIENTE PARA TERMINAR A ORDEM"/>
    <m/>
    <m/>
    <d v="2026-06-17T15:39:46"/>
    <m/>
    <n v="301"/>
    <x v="1"/>
    <n v="216132"/>
    <m/>
    <d v="2026-06-17T00:00:00"/>
    <x v="0"/>
  </r>
  <r>
    <x v="56"/>
    <s v="idealconfecltda@gmail.com"/>
    <n v="300271865"/>
    <n v="15215539"/>
    <x v="1"/>
    <x v="22"/>
    <n v="69"/>
    <s v="LOTE NÃO ENVIADO"/>
    <m/>
    <m/>
    <d v="2026-06-17T15:41:50"/>
    <m/>
    <n v="302"/>
    <x v="1"/>
    <n v="122097"/>
    <m/>
    <d v="2026-06-17T00:00:00"/>
    <x v="0"/>
  </r>
  <r>
    <x v="56"/>
    <s v="idealconfecltda@gmail.com"/>
    <n v="300271865"/>
    <n v="15215539"/>
    <x v="1"/>
    <x v="19"/>
    <n v="6"/>
    <s v="INSUFICIENTE "/>
    <m/>
    <m/>
    <d v="2026-06-17T15:46:14"/>
    <m/>
    <n v="303"/>
    <x v="1"/>
    <n v="72036"/>
    <m/>
    <d v="2026-06-17T00:00:00"/>
    <x v="0"/>
  </r>
  <r>
    <x v="170"/>
    <s v="neemias.sc@hotmail.com"/>
    <n v="300268547"/>
    <n v="15206637"/>
    <x v="3"/>
    <x v="2"/>
    <n v="8"/>
    <s v="PEÇAS A MAIS NA ORDEM "/>
    <m/>
    <s v="A ORDEM POSSUI PEÇAS A MAIS, POR ESTE MOTIVOS SOLICITAMOS MAIS ETIQUETAS"/>
    <d v="2026-06-17T15:50:18"/>
    <m/>
    <n v="304"/>
    <x v="1"/>
    <s v="ETIQUETA COMPOSIÇÕES "/>
    <m/>
    <d v="2026-06-17T00:00:00"/>
    <x v="0"/>
  </r>
  <r>
    <x v="51"/>
    <s v="fc_faccao@yahoo.com.br"/>
    <n v="300271130"/>
    <n v="15128288"/>
    <x v="1"/>
    <x v="2"/>
    <n v="11"/>
    <s v="material não enviado"/>
    <m/>
    <m/>
    <d v="2026-06-17T16:05:26"/>
    <m/>
    <n v="305"/>
    <x v="1"/>
    <n v="150"/>
    <m/>
    <d v="2026-06-17T00:00:00"/>
    <x v="0"/>
  </r>
  <r>
    <x v="35"/>
    <s v="lupercio-fnb@hotmail.com"/>
    <n v="300271535"/>
    <n v="16243161"/>
    <x v="2"/>
    <x v="13"/>
    <n v="27"/>
    <s v="Falta para finalização de ordem"/>
    <m/>
    <s v="Faltando para finalização de ordem precisamos o mais rápido possível. "/>
    <d v="2026-06-17T16:13:16"/>
    <m/>
    <n v="306"/>
    <x v="1"/>
    <n v="0"/>
    <m/>
    <d v="2026-06-17T00:00:00"/>
    <x v="0"/>
  </r>
  <r>
    <x v="178"/>
    <s v="faccao_sales2010@hotmail.com"/>
    <n v="300271517"/>
    <n v="16217683"/>
    <x v="2"/>
    <x v="16"/>
    <n v="1403"/>
    <s v="MATERIAL DIVERGENTE DO ESPECIFICADO"/>
    <m/>
    <s v=" PASSANTE PEDI DE 2,5 E RECEBEMOS DE 3,5"/>
    <d v="2026-06-17T16:24:58"/>
    <m/>
    <n v="307"/>
    <x v="2"/>
    <s v="-"/>
    <m/>
    <d v="2026-06-17T00:00:00"/>
    <x v="0"/>
  </r>
  <r>
    <x v="13"/>
    <s v="administrativo@zajaconfeccoes.com.br"/>
    <n v="300252448"/>
    <n v="16368150"/>
    <x v="3"/>
    <x v="30"/>
    <n v="154"/>
    <s v="NÃO ENVIADO "/>
    <m/>
    <m/>
    <d v="2026-06-17T16:27:22"/>
    <m/>
    <n v="308"/>
    <x v="2"/>
    <n v="0"/>
    <m/>
    <d v="2026-06-17T00:00:00"/>
    <x v="0"/>
  </r>
  <r>
    <x v="31"/>
    <s v="administrativo@zajaconfeccoes.com.br"/>
    <n v="300271110"/>
    <n v="16243161"/>
    <x v="2"/>
    <x v="2"/>
    <n v="3"/>
    <s v="INSUFICIENTE"/>
    <m/>
    <m/>
    <d v="2026-06-17T16:37:21"/>
    <m/>
    <n v="309"/>
    <x v="1"/>
    <n v="0"/>
    <m/>
    <d v="2026-06-17T00:00:00"/>
    <x v="0"/>
  </r>
  <r>
    <x v="21"/>
    <s v="potengitextil@outlook.com.br"/>
    <n v="300271783"/>
    <n v="14487004"/>
    <x v="1"/>
    <x v="20"/>
    <n v="30"/>
    <s v="Insuficiente para finalizar ordem "/>
    <m/>
    <s v="Faltou 15 pares de punho tamanho M "/>
    <d v="2026-06-17T16:48:33"/>
    <m/>
    <n v="310"/>
    <x v="1"/>
    <n v="0"/>
    <m/>
    <d v="2026-06-17T00:00:00"/>
    <x v="0"/>
  </r>
  <r>
    <x v="25"/>
    <s v="reposicoesjkmodas@gmail.com"/>
    <n v="300260651"/>
    <n v="16448090"/>
    <x v="2"/>
    <x v="27"/>
    <n v="1000"/>
    <s v="INSUFICIENTE PARA FINALIZAR OP"/>
    <m/>
    <s v="BOTÃO PARA 200 PEÇAS - SÃO 5 BOTÕES NA VISTA"/>
    <d v="2026-06-17T17:14:08"/>
    <m/>
    <n v="311"/>
    <x v="1"/>
    <n v="10000068573"/>
    <m/>
    <d v="2026-06-17T00:00:00"/>
    <x v="0"/>
  </r>
  <r>
    <x v="23"/>
    <s v="reposicoesjkmodas@gmail.com"/>
    <n v="300260651"/>
    <n v="16448090"/>
    <x v="2"/>
    <x v="2"/>
    <n v="40"/>
    <s v="NÃO ENVIANDO PELA GUARARAPES"/>
    <m/>
    <m/>
    <d v="2026-06-17T17:21:08"/>
    <m/>
    <n v="312"/>
    <x v="1"/>
    <n v="0"/>
    <m/>
    <d v="2026-06-17T00:00:00"/>
    <x v="0"/>
  </r>
  <r>
    <x v="26"/>
    <s v="cabugiconfeccoes.adm@gmail.com"/>
    <n v="300266640"/>
    <n v="16520050"/>
    <x v="2"/>
    <x v="44"/>
    <s v="1032 peças"/>
    <s v="Não enviado"/>
    <m/>
    <s v="REFORÇO DO BOLSO TRASEIRO"/>
    <d v="2026-06-17T21:55:38"/>
    <m/>
    <n v="313"/>
    <x v="2"/>
    <s v="REFORÇO DE BOLSO "/>
    <m/>
    <d v="2026-06-17T00:00:00"/>
    <x v="0"/>
  </r>
  <r>
    <x v="3"/>
    <s v="qualidade@solybrasil.com.br"/>
    <n v="300000000"/>
    <n v="0"/>
    <x v="3"/>
    <x v="7"/>
    <n v="100"/>
    <s v="Estamos sem lacre "/>
    <m/>
    <s v="Estou sem lacre de tudo!!"/>
    <d v="2026-06-18T07:20:16"/>
    <m/>
    <n v="314"/>
    <x v="2"/>
    <n v="0"/>
    <m/>
    <d v="2026-06-18T00:00:00"/>
    <x v="0"/>
  </r>
  <r>
    <x v="34"/>
    <s v="dantasepaulino@gmail.com"/>
    <n v="300268651"/>
    <n v="16520025"/>
    <x v="2"/>
    <x v="7"/>
    <n v="1000"/>
    <s v="Terminou "/>
    <m/>
    <m/>
    <d v="2026-06-18T07:28:23"/>
    <m/>
    <n v="315"/>
    <x v="2"/>
    <n v="0"/>
    <m/>
    <d v="2026-06-18T00:00:00"/>
    <x v="0"/>
  </r>
  <r>
    <x v="144"/>
    <s v="fiosdosertao01@gmail.com"/>
    <n v="300271768"/>
    <n v="16273303"/>
    <x v="2"/>
    <x v="10"/>
    <s v="PRECISO DO GABARITO"/>
    <s v="ATENÇÃO PRECISO DO GABARITO PARA FAAZER A MARCAÇÃO DAS PEÇAS "/>
    <m/>
    <s v="PRECISO DE REPOSIÇÃO PARA GABARITO"/>
    <d v="2026-06-18T07:49:51"/>
    <m/>
    <n v="316"/>
    <x v="2"/>
    <n v="0"/>
    <m/>
    <d v="2026-06-18T00:00:00"/>
    <x v="0"/>
  </r>
  <r>
    <x v="181"/>
    <s v="asaequador@gmail.com"/>
    <n v="300267991"/>
    <n v="16523741"/>
    <x v="2"/>
    <x v="8"/>
    <n v="10"/>
    <s v="não enviado"/>
    <m/>
    <s v="não recebemos as linhas tit 50 s. 608"/>
    <d v="2026-06-18T07:55:22"/>
    <m/>
    <n v="317"/>
    <x v="2"/>
    <n v="10000062498"/>
    <m/>
    <d v="2026-06-18T00:00:00"/>
    <x v="0"/>
  </r>
  <r>
    <x v="166"/>
    <s v="w.anny.k@hotmail.com"/>
    <n v="300266262"/>
    <n v="16187415"/>
    <x v="2"/>
    <x v="17"/>
    <n v="10"/>
    <s v="VEIO FALTANDO NA ORDEM "/>
    <m/>
    <m/>
    <d v="2026-06-18T08:00:26"/>
    <m/>
    <n v="318"/>
    <x v="1"/>
    <n v="0"/>
    <m/>
    <d v="2026-06-18T00:00:00"/>
    <x v="0"/>
  </r>
  <r>
    <x v="144"/>
    <s v="fiosdosertao01@gmail.com"/>
    <n v="300268054"/>
    <n v="16473604"/>
    <x v="2"/>
    <x v="17"/>
    <n v="220"/>
    <s v="material não enviado pela guararapes para toda ordem "/>
    <m/>
    <s v="não veio cos interno para toda ordem"/>
    <d v="2026-06-18T08:10:31"/>
    <m/>
    <n v="319"/>
    <x v="1"/>
    <n v="0"/>
    <m/>
    <d v="2026-06-18T00:00:00"/>
    <x v="0"/>
  </r>
  <r>
    <x v="189"/>
    <s v="ldinizconfeccoes@hotmail.com"/>
    <n v="300268656"/>
    <n v="16474120"/>
    <x v="2"/>
    <x v="8"/>
    <s v="6 rolos"/>
    <s v="material insuficiente"/>
    <m/>
    <m/>
    <d v="2026-06-18T08:16:57"/>
    <m/>
    <n v="320"/>
    <x v="1"/>
    <n v="650"/>
    <m/>
    <d v="2026-06-18T00:00:00"/>
    <x v="0"/>
  </r>
  <r>
    <x v="189"/>
    <s v="ldinizconfeccoes@hotmail.com"/>
    <n v="300268656"/>
    <n v="16474120"/>
    <x v="2"/>
    <x v="5"/>
    <s v="10 rolos"/>
    <s v="material insuficiente "/>
    <m/>
    <s v="solicitando filme plastico para pasante, motivo estamos com apenas um rolo na fabrica. "/>
    <d v="2026-06-18T08:24:00"/>
    <m/>
    <n v="321"/>
    <x v="2"/>
    <n v="0"/>
    <m/>
    <d v="2026-06-18T00:00:00"/>
    <x v="0"/>
  </r>
  <r>
    <x v="167"/>
    <s v="falconconfeccoes@hotmail.com"/>
    <n v="300271101"/>
    <n v="16292987"/>
    <x v="2"/>
    <x v="10"/>
    <n v="1"/>
    <s v="ACABOU"/>
    <m/>
    <s v="papelão"/>
    <d v="2026-06-18T08:58:28"/>
    <m/>
    <n v="322"/>
    <x v="2"/>
    <n v="1"/>
    <m/>
    <d v="2026-06-18T00:00:00"/>
    <x v="0"/>
  </r>
  <r>
    <x v="190"/>
    <s v="EMPORIODAMODAMOSSORO@GMAIL.COM"/>
    <n v="300267464"/>
    <n v="15252434"/>
    <x v="2"/>
    <x v="16"/>
    <n v="10"/>
    <s v="Passante costurado com linha errada"/>
    <m/>
    <m/>
    <d v="2026-06-18T09:21:34"/>
    <m/>
    <n v="323"/>
    <x v="2"/>
    <n v="0"/>
    <m/>
    <d v="2026-06-18T00:00:00"/>
    <x v="0"/>
  </r>
  <r>
    <x v="29"/>
    <s v="pea2015confeccoes@hotmail.com"/>
    <n v="300271854"/>
    <n v="0"/>
    <x v="2"/>
    <x v="5"/>
    <n v="0"/>
    <s v="Insuficiente para finalizar ordem."/>
    <m/>
    <s v="Estou a usar o último rolo em oficina."/>
    <d v="2026-06-18T09:41:54"/>
    <m/>
    <n v="324"/>
    <x v="2"/>
    <n v="0"/>
    <m/>
    <d v="2026-06-18T00:00:00"/>
    <x v="0"/>
  </r>
  <r>
    <x v="13"/>
    <s v="administrativo@zajaconfeccoes.com.br"/>
    <n v="300262150"/>
    <n v="16318404"/>
    <x v="2"/>
    <x v="1"/>
    <n v="4"/>
    <s v="INSUFICIENTE "/>
    <m/>
    <m/>
    <d v="2026-06-18T10:28:10"/>
    <m/>
    <n v="325"/>
    <x v="1"/>
    <n v="10000068898"/>
    <m/>
    <d v="2026-06-18T00:00:00"/>
    <x v="0"/>
  </r>
  <r>
    <x v="174"/>
    <s v="jakeline.jl.confeccoes@gmail.com"/>
    <n v="300271801"/>
    <n v="16243277"/>
    <x v="2"/>
    <x v="22"/>
    <n v="756"/>
    <s v="as frentes bordadas dessa ordem não vieram."/>
    <m/>
    <s v="frentes bordadas"/>
    <d v="2026-06-18T10:43:19"/>
    <m/>
    <n v="326"/>
    <x v="2"/>
    <n v="0"/>
    <m/>
    <d v="2026-06-18T00:00:00"/>
    <x v="0"/>
  </r>
  <r>
    <x v="74"/>
    <s v="imdeoliveirasilva-me@hotmail.com"/>
    <n v="300272982"/>
    <n v="16473965"/>
    <x v="2"/>
    <x v="154"/>
    <n v="15"/>
    <s v="VIES DE BOCADA CRU"/>
    <m/>
    <s v="SEGUNDO DONA ISLANIA-EMPREGADORA ESSE MATERIAL NAO FOI ENVIADO PELA GUARARAPES JUNTO A ORDEM"/>
    <d v="2026-06-18T11:05:28"/>
    <m/>
    <n v="327"/>
    <x v="2"/>
    <n v="0"/>
    <m/>
    <d v="2026-06-18T00:00:00"/>
    <x v="0"/>
  </r>
  <r>
    <x v="182"/>
    <s v="uniaoconfeccao.me@gmail.com"/>
    <n v="300268613"/>
    <n v="16473825"/>
    <x v="2"/>
    <x v="9"/>
    <s v="8 cones "/>
    <s v="Faltou linha título 36"/>
    <m/>
    <s v="Faltou linha pra finalizar op "/>
    <d v="2026-06-18T11:31:42"/>
    <m/>
    <n v="328"/>
    <x v="1"/>
    <n v="10000073235"/>
    <m/>
    <d v="2026-06-18T00:00:00"/>
    <x v="0"/>
  </r>
  <r>
    <x v="44"/>
    <s v="teceuzl@hotmail.com"/>
    <n v="300263646"/>
    <n v="13044826"/>
    <x v="1"/>
    <x v="19"/>
    <n v="10"/>
    <s v="INSUFICIENTE PARA FINALIZAR A ORDEM"/>
    <m/>
    <m/>
    <d v="2026-06-18T11:49:59"/>
    <m/>
    <n v="329"/>
    <x v="1"/>
    <s v="000000010000072001 - 9.FI000.001.191759"/>
    <m/>
    <d v="2026-06-18T00:00:00"/>
    <x v="0"/>
  </r>
  <r>
    <x v="44"/>
    <s v="teceuzl@hotmail.com"/>
    <n v="300271781"/>
    <n v="13044826"/>
    <x v="1"/>
    <x v="19"/>
    <n v="10"/>
    <s v="INSUFICIENTE PARA FINALIZAR A ORDEM"/>
    <m/>
    <m/>
    <d v="2026-06-18T11:51:23"/>
    <m/>
    <n v="330"/>
    <x v="1"/>
    <s v="000000010000072001 - 9.FI000.001.191759"/>
    <m/>
    <d v="2026-06-18T00:00:00"/>
    <x v="0"/>
  </r>
  <r>
    <x v="44"/>
    <s v="teceuzl@hotmail.com"/>
    <n v="300271781"/>
    <n v="13044826"/>
    <x v="1"/>
    <x v="7"/>
    <n v="100"/>
    <n v="0"/>
    <m/>
    <m/>
    <d v="2026-06-18T11:52:18"/>
    <m/>
    <n v="331"/>
    <x v="2"/>
    <n v="0"/>
    <m/>
    <d v="2026-06-18T00:00:00"/>
    <x v="0"/>
  </r>
  <r>
    <x v="191"/>
    <s v="lctextil@outlook.com.br"/>
    <n v="300269514"/>
    <n v="16481477"/>
    <x v="3"/>
    <x v="153"/>
    <n v="5"/>
    <s v="Insuficiente para finalizar ordem"/>
    <m/>
    <m/>
    <d v="2026-06-18T13:18:44"/>
    <m/>
    <n v="332"/>
    <x v="1"/>
    <n v="0"/>
    <m/>
    <d v="2026-06-18T00:00:00"/>
    <x v="0"/>
  </r>
  <r>
    <x v="171"/>
    <s v="confeccoesgbdas@hotmail.com"/>
    <n v="300271093"/>
    <n v="16292898"/>
    <x v="2"/>
    <x v="2"/>
    <n v="80"/>
    <s v="NÃO TEM SUFICIENTE PARA COMPLETAR A ORDEM"/>
    <m/>
    <s v="ENNVIAR URGENTE"/>
    <d v="2026-06-18T14:01:04"/>
    <m/>
    <n v="333"/>
    <x v="1"/>
    <n v="16292898"/>
    <m/>
    <d v="2026-06-18T00:00:00"/>
    <x v="0"/>
  </r>
  <r>
    <x v="171"/>
    <s v="confeccoesgbdas@hotmail.com"/>
    <n v="300269515"/>
    <n v="16481577"/>
    <x v="3"/>
    <x v="39"/>
    <n v="20"/>
    <s v="NÃO ENVIADA PEÇA GUARARAPES"/>
    <m/>
    <s v="FALTOU A FRENTE/TRASEIRO DO LADO DO SILK! (LADO ESQUERDO DE QUEM VESTE)"/>
    <d v="2026-06-18T14:03:34"/>
    <m/>
    <n v="334"/>
    <x v="1"/>
    <n v="16481577"/>
    <m/>
    <d v="2026-06-18T00:00:00"/>
    <x v="0"/>
  </r>
  <r>
    <x v="164"/>
    <s v="auxiforte@hotmail.com"/>
    <n v="300261174"/>
    <n v="1644811"/>
    <x v="3"/>
    <x v="12"/>
    <n v="5"/>
    <s v="ORDEM - 300261174; MATERIAL INSUFICIENTE PARA FINALIZAR A OP;"/>
    <m/>
    <s v="ORDEM - 300261174; MATERIAL INSUFICIENTE PARA FINALIZAR A OP;"/>
    <d v="2026-06-18T14:29:42"/>
    <m/>
    <n v="335"/>
    <x v="1"/>
    <n v="0"/>
    <m/>
    <d v="2026-06-18T00:00:00"/>
    <x v="0"/>
  </r>
  <r>
    <x v="35"/>
    <s v="lupercio-fnb@hotmail.com"/>
    <n v="300271535"/>
    <n v="16243161"/>
    <x v="2"/>
    <x v="2"/>
    <n v="15"/>
    <s v="Insuficientepara finalização de ordem"/>
    <m/>
    <s v="Faltando enviar o mais breve possível."/>
    <d v="2026-06-18T14:34:23"/>
    <m/>
    <n v="336"/>
    <x v="1"/>
    <n v="0"/>
    <m/>
    <d v="2026-06-18T00:00:00"/>
    <x v="0"/>
  </r>
  <r>
    <x v="162"/>
    <s v="faccaoello@hotmail.com"/>
    <n v="300269752"/>
    <n v="16244052"/>
    <x v="2"/>
    <x v="17"/>
    <n v="570"/>
    <s v="Material não enviado pela Guararapes"/>
    <m/>
    <m/>
    <d v="2026-06-18T14:41:32"/>
    <m/>
    <n v="337"/>
    <x v="2"/>
    <n v="0"/>
    <m/>
    <d v="2026-06-18T00:00:00"/>
    <x v="0"/>
  </r>
  <r>
    <x v="162"/>
    <s v="faccaoello@hotmail.com"/>
    <n v="300269752"/>
    <n v="16244052"/>
    <x v="2"/>
    <x v="23"/>
    <n v="570"/>
    <s v="Material não enviado pela Guararapes"/>
    <m/>
    <m/>
    <d v="2026-06-18T14:43:38"/>
    <m/>
    <n v="338"/>
    <x v="2"/>
    <n v="0"/>
    <m/>
    <d v="2026-06-18T00:00:00"/>
    <x v="0"/>
  </r>
  <r>
    <x v="21"/>
    <s v="potengitextil@outlook.com.br"/>
    <n v="300271783"/>
    <n v="14487004"/>
    <x v="3"/>
    <x v="20"/>
    <n v="110"/>
    <s v="Insuficiente para finalizar ordem"/>
    <m/>
    <m/>
    <d v="2026-06-18T15:04:46"/>
    <m/>
    <n v="339"/>
    <x v="1"/>
    <n v="0"/>
    <m/>
    <d v="2026-06-18T00:00:00"/>
    <x v="0"/>
  </r>
  <r>
    <x v="192"/>
    <s v="alvesemedeirosoficina@gmail.com"/>
    <n v="300269792"/>
    <n v="16464320"/>
    <x v="2"/>
    <x v="18"/>
    <n v="630"/>
    <s v="Insuficiente"/>
    <m/>
    <m/>
    <d v="2026-06-18T15:10:53"/>
    <m/>
    <n v="340"/>
    <x v="2"/>
    <n v="10000195771"/>
    <m/>
    <d v="2026-06-18T00:00:00"/>
    <x v="0"/>
  </r>
  <r>
    <x v="175"/>
    <s v="confeccaogenesisltda@gmail.com"/>
    <n v="300272191"/>
    <n v="16474368"/>
    <x v="3"/>
    <x v="153"/>
    <n v="4"/>
    <s v="VEIO FALTANDO"/>
    <m/>
    <s v="ETIQUETA DE COMPOSIÇÃO"/>
    <d v="2026-06-18T16:00:23"/>
    <m/>
    <n v="341"/>
    <x v="1"/>
    <n v="0"/>
    <m/>
    <d v="2026-06-18T00:00:00"/>
    <x v="0"/>
  </r>
  <r>
    <x v="162"/>
    <s v="faccaoello@hotmail.com"/>
    <n v="300269319"/>
    <n v="16476298"/>
    <x v="2"/>
    <x v="22"/>
    <n v="39"/>
    <s v="Material não enviado pela Guararapes"/>
    <m/>
    <s v="FRENTE LADO DIREITO"/>
    <d v="2026-06-18T16:01:47"/>
    <m/>
    <n v="342"/>
    <x v="1"/>
    <n v="0"/>
    <m/>
    <d v="2026-06-18T00:00:00"/>
    <x v="0"/>
  </r>
  <r>
    <x v="162"/>
    <s v="faccaoello@hotmail.com"/>
    <n v="300269319"/>
    <n v="16476298"/>
    <x v="2"/>
    <x v="22"/>
    <n v="45"/>
    <s v="Material não enviado pela Guararapes"/>
    <m/>
    <s v="FRENTE LADO ESQUERDO"/>
    <d v="2026-06-18T16:05:15"/>
    <m/>
    <n v="343"/>
    <x v="1"/>
    <n v="0"/>
    <m/>
    <d v="2026-06-18T00:00:00"/>
    <x v="0"/>
  </r>
  <r>
    <x v="193"/>
    <s v="ajgconfeccoes2021@gmail.com"/>
    <n v="300270704"/>
    <n v="16310225"/>
    <x v="2"/>
    <x v="153"/>
    <n v="16"/>
    <s v="Faltou 16 etiquetas de composição tamanho 8/9 "/>
    <m/>
    <s v="Faltou 16 etiquetas de composição "/>
    <d v="2026-06-18T16:24:34"/>
    <m/>
    <n v="344"/>
    <x v="1"/>
    <s v="N tem "/>
    <m/>
    <d v="2026-06-18T00:00:00"/>
    <x v="0"/>
  </r>
  <r>
    <x v="37"/>
    <s v="felconfeccao@gmail.com"/>
    <n v="300267093"/>
    <n v="16251962"/>
    <x v="3"/>
    <x v="30"/>
    <n v="6"/>
    <s v="FALTOU PARA FINALIZAR"/>
    <m/>
    <m/>
    <d v="2026-06-18T16:44:41"/>
    <m/>
    <n v="345"/>
    <x v="1"/>
    <n v="0"/>
    <m/>
    <d v="2026-06-18T00:00:00"/>
    <x v="0"/>
  </r>
  <r>
    <x v="37"/>
    <s v="felconfeccao@gmail.com"/>
    <n v="300267093"/>
    <n v="16251962"/>
    <x v="3"/>
    <x v="22"/>
    <n v="3"/>
    <s v="FALTOU PARA FINALIZAR"/>
    <m/>
    <m/>
    <d v="2026-06-18T16:45:57"/>
    <m/>
    <n v="346"/>
    <x v="1"/>
    <n v="0"/>
    <m/>
    <d v="2026-06-18T00:00:00"/>
    <x v="0"/>
  </r>
  <r>
    <x v="37"/>
    <s v="felconfeccao@gmail.com"/>
    <n v="300267094"/>
    <n v="16251962"/>
    <x v="3"/>
    <x v="12"/>
    <n v="2"/>
    <s v="FALTOU PARA FINALIZAR"/>
    <m/>
    <m/>
    <d v="2026-06-18T16:48:46"/>
    <m/>
    <n v="347"/>
    <x v="1"/>
    <n v="0"/>
    <m/>
    <d v="2026-06-18T00:00:00"/>
    <x v="0"/>
  </r>
  <r>
    <x v="37"/>
    <s v="felconfeccao@gmail.com"/>
    <n v="300269913"/>
    <n v="16251954"/>
    <x v="3"/>
    <x v="153"/>
    <n v="1"/>
    <s v="FALTOU PARA FINALIZAR"/>
    <m/>
    <s v="ETIQUETA DE COMPOSIÇÃO"/>
    <d v="2026-06-18T16:50:23"/>
    <m/>
    <n v="348"/>
    <x v="1"/>
    <n v="0"/>
    <m/>
    <d v="2026-06-18T00:00:00"/>
    <x v="0"/>
  </r>
  <r>
    <x v="3"/>
    <s v="qualidade@solybrasil.com.br"/>
    <n v="300262226"/>
    <n v="16473337"/>
    <x v="3"/>
    <x v="156"/>
    <n v="60"/>
    <s v="faltou para o tamanho pp "/>
    <m/>
    <s v="faltou para o tamanho pp"/>
    <d v="2026-06-18T17:19:20"/>
    <m/>
    <n v="349"/>
    <x v="1"/>
    <s v="tag de preço "/>
    <m/>
    <d v="2026-06-18T00:00:00"/>
    <x v="0"/>
  </r>
  <r>
    <x v="70"/>
    <s v="novaconfeccoes2.0@hotmail.com"/>
    <n v="300268641"/>
    <n v="16520157"/>
    <x v="2"/>
    <x v="16"/>
    <n v="618"/>
    <s v="NÃO RECEBEMOS O PASSANTE PARA A ORDEM INTEIRA"/>
    <m/>
    <s v="NÃO RECEBEMOS OS PASSANTES"/>
    <d v="2026-06-18T17:20:51"/>
    <m/>
    <n v="350"/>
    <x v="2"/>
    <n v="0"/>
    <m/>
    <d v="2026-06-18T00:00:00"/>
    <x v="0"/>
  </r>
  <r>
    <x v="176"/>
    <s v="hiconfeccao@gmail.com"/>
    <n v="300271766"/>
    <n v="16273303"/>
    <x v="2"/>
    <x v="2"/>
    <n v="56"/>
    <s v="O motivo do pedido, é porque a quantidade que veio, é insuficiente."/>
    <m/>
    <s v="Tamanho 36: Pedido de 8 Etiquetas de composição. Tamanho 38: Pedido de 8 Etiquetas de composição. Tamanho 40: Pedido de 8 Etiquetas de composição. Tamanho 42: Pedido de 8 Etiquetas de composição. Tamanho 44: Pedido de 8 Etiquetas de composição. Tamanho 46: Pedido de 8 Etiquetas de composição. Tamanho 48: Pedido de 8 Etiquetas de composição.  Total do pedido: 56 etiquetas de composição."/>
    <d v="2026-06-18T17:42:23"/>
    <m/>
    <n v="351"/>
    <x v="2"/>
    <n v="300271766"/>
    <m/>
    <d v="2026-06-18T00:00:00"/>
    <x v="0"/>
  </r>
  <r>
    <x v="181"/>
    <s v="asaequador@gmail.com"/>
    <n v="300272985"/>
    <n v="16473965"/>
    <x v="2"/>
    <x v="8"/>
    <s v="15 cones"/>
    <s v="não veio "/>
    <m/>
    <s v="esta ordem não veio a linha tit 50 s.650 , que é pra ser usada no chuleado e no interno."/>
    <d v="2026-06-18T17:45:24"/>
    <m/>
    <n v="352"/>
    <x v="1"/>
    <n v="10000062816"/>
    <m/>
    <d v="2026-06-18T00:00:00"/>
    <x v="0"/>
  </r>
  <r>
    <x v="118"/>
    <s v="fjdeazevedo@hotmail.com"/>
    <n v="300271812"/>
    <n v="16243200"/>
    <x v="2"/>
    <x v="49"/>
    <n v="24"/>
    <s v="Etiquetas extraviadas "/>
    <m/>
    <s v=" Etiquetas extraviadas ao limpar as peças com a maquina limpa fios"/>
    <d v="2026-06-18T17:48:39"/>
    <m/>
    <n v="353"/>
    <x v="1"/>
    <s v="Tam.:13-14/ Cód.;10000216489, Tam.:11-12/ Cód.;10000216488, Tam.: 9-10/Cód.; 10000216487, Tam.: 8-9/Cód.; 10000216484, Tam.: 6-7/Cód.: 10000216483   "/>
    <m/>
    <d v="2026-06-18T00:00:00"/>
    <x v="0"/>
  </r>
  <r>
    <x v="181"/>
    <s v="asaequador@gmail.com"/>
    <n v="300272977"/>
    <n v="16473965"/>
    <x v="2"/>
    <x v="8"/>
    <s v="8 cones"/>
    <s v="não veio"/>
    <m/>
    <s v="não veio a linha tit 50s.650"/>
    <d v="2026-06-18T17:52:37"/>
    <m/>
    <n v="354"/>
    <x v="1"/>
    <n v="10000062816"/>
    <m/>
    <d v="2026-06-18T00:00:00"/>
    <x v="0"/>
  </r>
  <r>
    <x v="56"/>
    <s v="idealconfecltda@gmail.com"/>
    <n v="300271114"/>
    <n v="16292987"/>
    <x v="2"/>
    <x v="2"/>
    <n v="40"/>
    <s v="INSUFICIENTE PARA FINALIZAR"/>
    <m/>
    <s v="INSUFICIENTE PARA FINALIZAR OP"/>
    <d v="2026-06-18T17:55:49"/>
    <m/>
    <n v="355"/>
    <x v="1"/>
    <n v="0"/>
    <m/>
    <d v="2026-06-18T00:00:00"/>
    <x v="0"/>
  </r>
  <r>
    <x v="32"/>
    <s v="di3confec@gmail.com"/>
    <n v="300270319"/>
    <n v="16187741"/>
    <x v="2"/>
    <x v="12"/>
    <n v="6"/>
    <s v="Material insuficiente "/>
    <m/>
    <m/>
    <d v="2026-06-18T18:59:07"/>
    <m/>
    <n v="356"/>
    <x v="1"/>
    <n v="0"/>
    <m/>
    <d v="2026-06-18T00:00:00"/>
    <x v="0"/>
  </r>
  <r>
    <x v="13"/>
    <s v="administrativo@zajaconfeccoes.com.br"/>
    <n v="300273026"/>
    <n v="16210216"/>
    <x v="0"/>
    <x v="31"/>
    <n v="160"/>
    <s v="INSUFICIENTE"/>
    <m/>
    <m/>
    <d v="2026-06-19T07:25:48"/>
    <m/>
    <n v="357"/>
    <x v="1"/>
    <n v="0"/>
    <m/>
    <d v="2026-06-19T00:00:00"/>
    <x v="0"/>
  </r>
  <r>
    <x v="8"/>
    <s v="tlcserranatextil@gmail.com"/>
    <n v="300263205"/>
    <n v="15215539"/>
    <x v="1"/>
    <x v="2"/>
    <s v="13 unidades tamanho GG"/>
    <s v="Faltou"/>
    <m/>
    <m/>
    <d v="2026-06-19T07:34:58"/>
    <m/>
    <n v="358"/>
    <x v="1"/>
    <n v="0"/>
    <m/>
    <d v="2026-06-19T00:00:00"/>
    <x v="0"/>
  </r>
  <r>
    <x v="63"/>
    <s v="acaritextil2801@gmail.com"/>
    <n v="300272171"/>
    <n v="15764290"/>
    <x v="2"/>
    <x v="3"/>
    <n v="200"/>
    <s v="FALTA"/>
    <m/>
    <s v="ETQ MODEL BERMUDA SLIM 60X10 BR"/>
    <d v="2026-06-19T08:19:09"/>
    <m/>
    <n v="359"/>
    <x v="1"/>
    <n v="10000228847"/>
    <m/>
    <d v="2026-06-19T00:00:00"/>
    <x v="0"/>
  </r>
  <r>
    <x v="31"/>
    <s v="administrativo@zajaconfeccoes.com.br"/>
    <n v="300272942"/>
    <n v="15774112"/>
    <x v="2"/>
    <x v="38"/>
    <n v="126"/>
    <s v="INSUFICIENTE "/>
    <m/>
    <s v="FORRO SUPERIOR ESQUERDO "/>
    <d v="2026-06-19T08:34:14"/>
    <m/>
    <n v="360"/>
    <x v="2"/>
    <n v="0"/>
    <m/>
    <d v="2026-06-19T00:00:00"/>
    <x v="0"/>
  </r>
  <r>
    <x v="31"/>
    <s v="administrativo@zajaconfeccoes.com.br"/>
    <n v="300272942"/>
    <n v="15774112"/>
    <x v="2"/>
    <x v="38"/>
    <n v="126"/>
    <s v="ERRO "/>
    <m/>
    <s v="FORRO SUPERIOR DIREITO "/>
    <d v="2026-06-19T08:35:46"/>
    <m/>
    <n v="361"/>
    <x v="2"/>
    <n v="0"/>
    <m/>
    <d v="2026-06-19T00:00:00"/>
    <x v="0"/>
  </r>
  <r>
    <x v="31"/>
    <s v="administrativo@zajaconfeccoes.com.br"/>
    <n v="300272941"/>
    <n v="15774112"/>
    <x v="2"/>
    <x v="12"/>
    <n v="20"/>
    <s v="danificado"/>
    <m/>
    <m/>
    <d v="2026-06-19T08:40:05"/>
    <m/>
    <n v="362"/>
    <x v="1"/>
    <n v="0"/>
    <m/>
    <d v="2026-06-19T00:00:00"/>
    <x v="0"/>
  </r>
  <r>
    <x v="165"/>
    <s v="freiresilvaconfeccoes@gmail.com"/>
    <n v="300272636"/>
    <n v="16554400"/>
    <x v="0"/>
    <x v="49"/>
    <n v="315"/>
    <s v="NÃO ENVIADO PELA GUARARAPES "/>
    <m/>
    <s v="*"/>
    <d v="2026-06-19T09:10:13"/>
    <m/>
    <n v="363"/>
    <x v="2"/>
    <s v="*"/>
    <m/>
    <d v="2026-06-19T00:00:00"/>
    <x v="0"/>
  </r>
  <r>
    <x v="165"/>
    <s v="freiresilvaconfeccoes@gmail.com"/>
    <n v="300272636"/>
    <n v="16554400"/>
    <x v="0"/>
    <x v="49"/>
    <n v="20"/>
    <s v="MATERIAL INSUFICIENTE PARA FINALIZAR A OP "/>
    <m/>
    <s v="*"/>
    <d v="2026-06-19T09:12:07"/>
    <m/>
    <n v="364"/>
    <x v="2"/>
    <n v="10000208017"/>
    <m/>
    <d v="2026-06-19T00:00:00"/>
    <x v="0"/>
  </r>
  <r>
    <x v="165"/>
    <s v="freiresilvaconfeccoes@gmail.com"/>
    <n v="300272636"/>
    <n v="16554400"/>
    <x v="0"/>
    <x v="49"/>
    <n v="20"/>
    <s v="MATERIAL INSUFICIENTE PARA FINALIZAR A OP "/>
    <m/>
    <s v="*"/>
    <d v="2026-06-19T09:13:50"/>
    <m/>
    <n v="365"/>
    <x v="2"/>
    <n v="10000208015"/>
    <m/>
    <d v="2026-06-19T00:00:00"/>
    <x v="0"/>
  </r>
  <r>
    <x v="165"/>
    <s v="freiresilvaconfeccoes@gmail.com"/>
    <n v="300272636"/>
    <n v="16554400"/>
    <x v="0"/>
    <x v="49"/>
    <n v="15"/>
    <s v="MATERIAL INSUFICIENTE PARA FINALIZAR A OP "/>
    <m/>
    <s v="*"/>
    <d v="2026-06-19T09:15:23"/>
    <m/>
    <n v="366"/>
    <x v="2"/>
    <n v="10000208014"/>
    <m/>
    <d v="2026-06-19T00:00:00"/>
    <x v="0"/>
  </r>
  <r>
    <x v="11"/>
    <s v="S.a.confeccoesind@gmail.com"/>
    <n v="300272823"/>
    <n v="16187741"/>
    <x v="2"/>
    <x v="2"/>
    <n v="18"/>
    <s v="insuficiente para finalizar a op"/>
    <m/>
    <s v="etiquetas de composição"/>
    <d v="2026-06-19T09:21:41"/>
    <m/>
    <n v="367"/>
    <x v="1"/>
    <n v="0"/>
    <m/>
    <d v="2026-06-19T00:00:00"/>
    <x v="0"/>
  </r>
  <r>
    <x v="32"/>
    <s v="di3confec@gmail.com"/>
    <n v="300272626"/>
    <n v="14938570"/>
    <x v="3"/>
    <x v="2"/>
    <n v="50"/>
    <s v="Etiqueta de composição do 3° risco não foi enviado"/>
    <m/>
    <s v="Material não enviado"/>
    <d v="2026-06-19T09:27:52"/>
    <m/>
    <n v="368"/>
    <x v="1"/>
    <n v="0"/>
    <m/>
    <d v="2026-06-19T00:00:00"/>
    <x v="0"/>
  </r>
  <r>
    <x v="23"/>
    <s v="reposicoesjkmodas@gmail.com"/>
    <n v="300260651"/>
    <n v="16448090"/>
    <x v="2"/>
    <x v="27"/>
    <n v="400"/>
    <s v="INSUFICIENTE PARA FINALIZAR OP"/>
    <m/>
    <s v="FALTARAM OS BOTÕES DA GOLA. INFELIZMENTE SÓ PEDIMOS PARA VISTA. "/>
    <d v="2026-06-19T09:44:00"/>
    <m/>
    <n v="369"/>
    <x v="1"/>
    <n v="10000068573"/>
    <m/>
    <d v="2026-06-19T00:00:00"/>
    <x v="0"/>
  </r>
  <r>
    <x v="180"/>
    <s v="lajedoconf5@gmail.com"/>
    <n v="300270700"/>
    <n v="16217942"/>
    <x v="2"/>
    <x v="7"/>
    <n v="1"/>
    <s v="quantidade insuficiente"/>
    <m/>
    <s v="estamos precisando de lacres para envios das peças produzidas"/>
    <d v="2026-06-19T09:57:17"/>
    <m/>
    <n v="370"/>
    <x v="2"/>
    <n v="0"/>
    <m/>
    <d v="2026-06-19T00:00:00"/>
    <x v="0"/>
  </r>
  <r>
    <x v="23"/>
    <s v="reposicoesjkmodas@gmail.com"/>
    <n v="300231420"/>
    <n v="16317840"/>
    <x v="2"/>
    <x v="27"/>
    <n v="400"/>
    <s v="INSUFICIENTE PARA FINALIZAR OP"/>
    <m/>
    <m/>
    <d v="2026-06-19T09:57:21"/>
    <m/>
    <n v="371"/>
    <x v="1"/>
    <n v="10000068569"/>
    <m/>
    <d v="2026-06-19T00:00:00"/>
    <x v="0"/>
  </r>
  <r>
    <x v="173"/>
    <s v="alfaequador@gmail.com"/>
    <n v="300270728"/>
    <n v="16243145"/>
    <x v="2"/>
    <x v="153"/>
    <n v="2"/>
    <s v="insuficiente "/>
    <m/>
    <s v="(op em produção) "/>
    <d v="2026-06-19T10:06:24"/>
    <m/>
    <n v="372"/>
    <x v="1"/>
    <n v="0"/>
    <m/>
    <d v="2026-06-19T00:00:00"/>
    <x v="0"/>
  </r>
  <r>
    <x v="78"/>
    <s v="ocalves3@gmail.com"/>
    <n v="300270370"/>
    <n v="16187741"/>
    <x v="2"/>
    <x v="17"/>
    <n v="150"/>
    <s v="FALTOU "/>
    <m/>
    <s v="VEIO FALTANDO ESSES CÓS "/>
    <d v="2026-06-19T10:25:02"/>
    <m/>
    <n v="373"/>
    <x v="1"/>
    <s v="CÓS"/>
    <m/>
    <d v="2026-06-19T00:00:00"/>
    <x v="0"/>
  </r>
  <r>
    <x v="166"/>
    <s v="w.anny.k@hotmail.com"/>
    <n v="300272161"/>
    <n v="15128288"/>
    <x v="1"/>
    <x v="19"/>
    <n v="10"/>
    <s v="INSUFICIENTE A PARA A OM "/>
    <m/>
    <m/>
    <d v="2026-06-19T10:44:02"/>
    <m/>
    <n v="374"/>
    <x v="1"/>
    <s v="10000072007 - FIO 100%PES S.8192 193921 "/>
    <m/>
    <d v="2026-06-19T00:00:00"/>
    <x v="0"/>
  </r>
  <r>
    <x v="166"/>
    <s v="w.anny.k@hotmail.com"/>
    <n v="300272161"/>
    <n v="15128288"/>
    <x v="1"/>
    <x v="8"/>
    <n v="4"/>
    <s v="INSUFICIENTE PARA A OM"/>
    <m/>
    <m/>
    <d v="2026-06-19T10:46:27"/>
    <m/>
    <n v="375"/>
    <x v="1"/>
    <s v="10000072579 - LINHA 100%PES TÍT120 C. 44 S.703 193921"/>
    <m/>
    <d v="2026-06-19T00:00:00"/>
    <x v="0"/>
  </r>
  <r>
    <x v="164"/>
    <s v="auxiforte@hotmail.com"/>
    <n v="300261175"/>
    <n v="16448111"/>
    <x v="3"/>
    <x v="12"/>
    <n v="5"/>
    <s v="ORDEM - 300261175; MATERIAL INSUFICIENTE PARA FINALIZAR OP;"/>
    <m/>
    <s v="ORDEM - 300261175; MATERIAL INSUFICIENTE PARA FINALIZAR OP;"/>
    <d v="2026-06-19T10:48:03"/>
    <m/>
    <n v="376"/>
    <x v="1"/>
    <n v="0"/>
    <m/>
    <d v="2026-06-19T00:00:00"/>
    <x v="0"/>
  </r>
  <r>
    <x v="166"/>
    <s v="w.anny.k@hotmail.com"/>
    <n v="300272159"/>
    <n v="15128288"/>
    <x v="1"/>
    <x v="19"/>
    <n v="10"/>
    <s v="INSUFICIENTE "/>
    <m/>
    <m/>
    <d v="2026-06-19T10:49:26"/>
    <m/>
    <n v="377"/>
    <x v="1"/>
    <s v="10000072007 -  FIO 100%PES S.8192 193921 "/>
    <m/>
    <d v="2026-06-19T00:00:00"/>
    <x v="0"/>
  </r>
  <r>
    <x v="166"/>
    <s v="w.anny.k@hotmail.com"/>
    <n v="300272160"/>
    <n v="15128288"/>
    <x v="1"/>
    <x v="19"/>
    <n v="11"/>
    <s v="INSUFICIENTE PARA A OM"/>
    <m/>
    <m/>
    <d v="2026-06-19T10:51:42"/>
    <m/>
    <n v="378"/>
    <x v="1"/>
    <s v="10000072007 - FIO 100% PES S.8192 193921 "/>
    <m/>
    <d v="2026-06-19T00:00:00"/>
    <x v="0"/>
  </r>
  <r>
    <x v="35"/>
    <s v="lupercio-fnb@hotmail.com"/>
    <n v="300263209"/>
    <n v="15215539"/>
    <x v="1"/>
    <x v="6"/>
    <n v="280"/>
    <s v="Faltou"/>
    <m/>
    <s v="Faltando para finalização de ordem, Precisamos o mais Rápido póssivel."/>
    <d v="2026-06-19T10:53:10"/>
    <m/>
    <n v="379"/>
    <x v="1"/>
    <n v="0"/>
    <m/>
    <d v="2026-06-19T00:00:00"/>
    <x v="0"/>
  </r>
  <r>
    <x v="23"/>
    <s v="reposicoesjkmodas@gmail.com"/>
    <n v="300271123"/>
    <n v="16497767"/>
    <x v="2"/>
    <x v="38"/>
    <n v="240"/>
    <s v="NÃO ENVIADO PELA GUARARAPES"/>
    <m/>
    <m/>
    <d v="2026-06-19T10:57:05"/>
    <m/>
    <n v="380"/>
    <x v="1"/>
    <n v="0"/>
    <m/>
    <d v="2026-06-19T00:00:00"/>
    <x v="0"/>
  </r>
  <r>
    <x v="44"/>
    <s v="teceuzl@hotmail.com"/>
    <n v="300263646"/>
    <n v="13044826"/>
    <x v="1"/>
    <x v="27"/>
    <n v="1924"/>
    <s v="NÃO ENVIADO PELA GUARARAPES"/>
    <m/>
    <m/>
    <d v="2026-06-19T11:05:16"/>
    <m/>
    <n v="381"/>
    <x v="2"/>
    <n v="0"/>
    <m/>
    <d v="2026-06-19T00:00:00"/>
    <x v="0"/>
  </r>
  <r>
    <x v="162"/>
    <s v="faccaoello@hotmail.com"/>
    <n v="300269318"/>
    <n v="16476298"/>
    <x v="2"/>
    <x v="153"/>
    <n v="6"/>
    <s v="Material não enviado pela Guararapes"/>
    <m/>
    <s v="ETIQUETA DE COMPOSIÇÃO"/>
    <d v="2026-06-19T11:24:34"/>
    <m/>
    <n v="382"/>
    <x v="1"/>
    <n v="0"/>
    <m/>
    <d v="2026-06-19T00:00:00"/>
    <x v="0"/>
  </r>
  <r>
    <x v="15"/>
    <s v="spauloazevedo@bol.com.br"/>
    <n v="300265451"/>
    <n v="16484606"/>
    <x v="2"/>
    <x v="0"/>
    <n v="15"/>
    <s v="temos uma ordem pra fixar os cintos na bandeira"/>
    <m/>
    <s v="A reposição é de bandeira pra pregar cinto"/>
    <d v="2026-06-19T12:37:24"/>
    <m/>
    <n v="383"/>
    <x v="2"/>
    <n v="0"/>
    <m/>
    <d v="2026-06-19T00:00:00"/>
    <x v="0"/>
  </r>
  <r>
    <x v="84"/>
    <s v="recanto.confeccoesjs@gmail.com"/>
    <n v="300268061"/>
    <n v="16508181"/>
    <x v="2"/>
    <x v="3"/>
    <n v="45"/>
    <s v="Faltou"/>
    <m/>
    <s v="Faltou pra finalizar a ordem "/>
    <d v="2026-06-19T12:40:17"/>
    <m/>
    <n v="384"/>
    <x v="2"/>
    <n v="10000228869"/>
    <m/>
    <d v="2026-06-19T00:00:00"/>
    <x v="0"/>
  </r>
  <r>
    <x v="18"/>
    <s v="ebenezerindustriat@hotmail.com"/>
    <n v="300271909"/>
    <n v="16441214"/>
    <x v="2"/>
    <x v="52"/>
    <n v="10"/>
    <s v="ACABOU"/>
    <m/>
    <m/>
    <d v="2026-06-19T13:16:17"/>
    <m/>
    <n v="385"/>
    <x v="2"/>
    <n v="0"/>
    <m/>
    <d v="2026-06-19T00:00:00"/>
    <x v="0"/>
  </r>
  <r>
    <x v="36"/>
    <s v="solisconfeccoes@gmail.com"/>
    <n v="300269899"/>
    <n v="16526422"/>
    <x v="3"/>
    <x v="14"/>
    <n v="500"/>
    <s v="vies veiomisturado"/>
    <m/>
    <s v="junto ao vies de gola veio vies de ombro a ombro ai faltou os de gola"/>
    <d v="2026-06-19T13:22:42"/>
    <m/>
    <n v="386"/>
    <x v="1"/>
    <n v="0"/>
    <m/>
    <d v="2026-06-19T00:00:00"/>
    <x v="0"/>
  </r>
  <r>
    <x v="194"/>
    <s v="pn.fenix@gmail.com"/>
    <n v="300271820"/>
    <n v="16466071"/>
    <x v="2"/>
    <x v="10"/>
    <n v="0"/>
    <s v="INSUFICIENTE PARA FINALIZAR OP"/>
    <m/>
    <m/>
    <d v="2026-06-19T13:37:08"/>
    <m/>
    <n v="387"/>
    <x v="2"/>
    <n v="0"/>
    <m/>
    <d v="2026-06-19T00:00:00"/>
    <x v="0"/>
  </r>
  <r>
    <x v="176"/>
    <s v="hiconfeccao@gmail.com"/>
    <n v="300268055"/>
    <n v="16473604"/>
    <x v="2"/>
    <x v="2"/>
    <n v="55"/>
    <s v="O motivo do pedido, é porque a quantidade que veio, é insuficiente para concluir a OP."/>
    <m/>
    <s v="Pedido de 55 etiquetas de composição, para o tamanho 36."/>
    <d v="2026-06-19T13:54:33"/>
    <m/>
    <n v="388"/>
    <x v="2"/>
    <n v="300268055"/>
    <m/>
    <d v="2026-06-19T00:00:00"/>
    <x v="0"/>
  </r>
  <r>
    <x v="168"/>
    <s v="jucurututextil@gmail.com"/>
    <n v="300271099"/>
    <n v="16292987"/>
    <x v="2"/>
    <x v="38"/>
    <n v="360"/>
    <s v="pedi só para o 1°Enfesto, Faltou pedi o do 2°Enfesto "/>
    <m/>
    <s v="forro para o 2°Enfesto"/>
    <d v="2026-06-19T14:08:06"/>
    <m/>
    <n v="389"/>
    <x v="2"/>
    <n v="0"/>
    <m/>
    <d v="2026-06-19T00:00:00"/>
    <x v="0"/>
  </r>
  <r>
    <x v="176"/>
    <s v="hiconfeccao@gmail.com"/>
    <n v="300268055"/>
    <n v="16473604"/>
    <x v="2"/>
    <x v="49"/>
    <n v="55"/>
    <s v="O motivo do pedido, é porque a quantidade que veio, é insuficiente para concluir a OP."/>
    <m/>
    <s v="Pedido de 55 etiquetas de cós, para o tamanho 36.  Total do pedido: 55 etiquetas de cós."/>
    <d v="2026-06-19T14:08:33"/>
    <m/>
    <n v="390"/>
    <x v="2"/>
    <n v="10000214499"/>
    <m/>
    <d v="2026-06-19T00:00:00"/>
    <x v="0"/>
  </r>
  <r>
    <x v="193"/>
    <s v="ajgconfeccoes2021@gmail.com"/>
    <n v="300270489"/>
    <n v="16017315"/>
    <x v="3"/>
    <x v="154"/>
    <n v="300"/>
    <s v="Faltou viés cava e decote pra 300 peças "/>
    <m/>
    <s v="Faltou viés pra 300 peças "/>
    <d v="2026-06-19T14:43:28"/>
    <m/>
    <n v="391"/>
    <x v="1"/>
    <s v="N tem "/>
    <m/>
    <d v="2026-06-19T00:00:00"/>
    <x v="0"/>
  </r>
  <r>
    <x v="162"/>
    <s v="faccaoello@hotmail.com"/>
    <n v="300269317"/>
    <n v="16476298"/>
    <x v="2"/>
    <x v="22"/>
    <n v="54"/>
    <s v="Material não enviado pela Guararapes"/>
    <m/>
    <s v="FRENTE LADO ESQUERDO"/>
    <d v="2026-06-19T14:49:17"/>
    <m/>
    <n v="392"/>
    <x v="1"/>
    <n v="0"/>
    <m/>
    <d v="2026-06-19T00:00:00"/>
    <x v="0"/>
  </r>
  <r>
    <x v="162"/>
    <s v="faccaoello@hotmail.com"/>
    <n v="300269317"/>
    <n v="16476298"/>
    <x v="2"/>
    <x v="22"/>
    <n v="28"/>
    <s v="Material não enviado pela Guararapes"/>
    <m/>
    <s v="FRENTE LADO DIREITO"/>
    <d v="2026-06-19T14:58:36"/>
    <m/>
    <n v="393"/>
    <x v="1"/>
    <n v="0"/>
    <m/>
    <d v="2026-06-19T00:00:00"/>
    <x v="0"/>
  </r>
  <r>
    <x v="166"/>
    <s v="w.anny.k@hotmail.com"/>
    <n v="300271749"/>
    <n v="16436075"/>
    <x v="2"/>
    <x v="157"/>
    <s v="VIES DE PASSANTE "/>
    <s v="INSUFICIENTE PARA A ORDEM MESTRE"/>
    <m/>
    <s v="ESTAMOS PRECISANDO PARA CONCLUIR A OM"/>
    <d v="2026-06-19T15:39:46"/>
    <m/>
    <n v="394"/>
    <x v="1"/>
    <n v="0"/>
    <m/>
    <d v="2026-06-19T00:00:00"/>
    <x v="0"/>
  </r>
  <r>
    <x v="32"/>
    <s v="di3confec@gmail.com"/>
    <n v="300272626"/>
    <n v="14938570"/>
    <x v="3"/>
    <x v="12"/>
    <n v="7"/>
    <s v="Material insuficiente"/>
    <m/>
    <m/>
    <d v="2026-06-19T15:50:34"/>
    <m/>
    <n v="395"/>
    <x v="1"/>
    <n v="0"/>
    <m/>
    <d v="2026-06-19T00:00:00"/>
    <x v="0"/>
  </r>
  <r>
    <x v="188"/>
    <s v="tendenciaconfec@gmail.com"/>
    <n v="300267544"/>
    <n v="16226895"/>
    <x v="3"/>
    <x v="4"/>
    <n v="20"/>
    <s v="FALTOU"/>
    <m/>
    <m/>
    <d v="2026-06-19T15:57:52"/>
    <m/>
    <n v="396"/>
    <x v="1"/>
    <s v="ETIQUETA DE PREÇO"/>
    <m/>
    <d v="2026-06-19T00:00:00"/>
    <x v="0"/>
  </r>
  <r>
    <x v="195"/>
    <s v="limaconfeccoes78@gmail.com"/>
    <n v="300267461"/>
    <n v="15773442"/>
    <x v="2"/>
    <x v="49"/>
    <s v="1230 de tamanho, 1230 FIT"/>
    <s v="Preciso de todas as etiquetas de tamanho e marca fit desta para fazer o concerto de um rejeito na oficina"/>
    <m/>
    <s v="Etiquetas de cós , tamanho e Fit"/>
    <d v="2026-06-19T16:04:14"/>
    <m/>
    <n v="397"/>
    <x v="2"/>
    <n v="0"/>
    <m/>
    <d v="2026-06-19T00:00:00"/>
    <x v="0"/>
  </r>
  <r>
    <x v="77"/>
    <s v="wag-almeida@hotmail.com"/>
    <n v="300271482"/>
    <n v="16380096"/>
    <x v="2"/>
    <x v="13"/>
    <n v="752"/>
    <s v="não foi enviado"/>
    <m/>
    <s v="ziper 13cm"/>
    <d v="2026-06-19T16:20:15"/>
    <m/>
    <n v="398"/>
    <x v="1"/>
    <n v="10000241459"/>
    <m/>
    <d v="2026-06-19T00:00:00"/>
    <x v="0"/>
  </r>
  <r>
    <x v="56"/>
    <s v="idealconfecltda@gmail.com"/>
    <n v="300271114"/>
    <n v="16292987"/>
    <x v="2"/>
    <x v="3"/>
    <n v="100"/>
    <s v="não veio"/>
    <m/>
    <m/>
    <d v="2026-06-19T18:03:58"/>
    <m/>
    <n v="399"/>
    <x v="1"/>
    <n v="214530"/>
    <m/>
    <d v="2026-06-19T00:00:00"/>
    <x v="0"/>
  </r>
  <r>
    <x v="31"/>
    <s v="administrativo@zajaconfeccoes.com.br"/>
    <n v="300272941"/>
    <n v="15774112"/>
    <x v="2"/>
    <x v="153"/>
    <n v="4"/>
    <s v="insuficiente"/>
    <m/>
    <m/>
    <d v="2026-06-19T18:16:59"/>
    <m/>
    <n v="400"/>
    <x v="1"/>
    <n v="0"/>
    <m/>
    <d v="2026-06-19T00:00:00"/>
    <x v="0"/>
  </r>
  <r>
    <x v="31"/>
    <s v="administrativo@zajaconfeccoes.com.br"/>
    <n v="300271868"/>
    <n v="16222954"/>
    <x v="3"/>
    <x v="31"/>
    <n v="84"/>
    <s v="insuficiente"/>
    <m/>
    <m/>
    <d v="2026-06-19T18:18:15"/>
    <m/>
    <n v="401"/>
    <x v="1"/>
    <n v="0"/>
    <m/>
    <d v="2026-06-19T00:00:00"/>
    <x v="0"/>
  </r>
  <r>
    <x v="13"/>
    <s v="administrativo@zajaconfeccoes.com.br"/>
    <n v="300271868"/>
    <n v="16222954"/>
    <x v="3"/>
    <x v="154"/>
    <n v="300"/>
    <s v="INSUFICIENTE "/>
    <m/>
    <s v="PARA 300 PEÇAS "/>
    <d v="2026-06-19T18:23:59"/>
    <m/>
    <n v="402"/>
    <x v="1"/>
    <n v="0"/>
    <m/>
    <d v="2026-06-19T00:00:00"/>
    <x v="0"/>
  </r>
  <r>
    <x v="193"/>
    <s v="ajgconfeccoes2021@gmail.com"/>
    <n v="300263684"/>
    <n v="16474090"/>
    <x v="2"/>
    <x v="26"/>
    <n v="240"/>
    <s v="Faltou 240 palas "/>
    <m/>
    <s v="Faltou "/>
    <d v="2026-06-19T19:13:17"/>
    <m/>
    <n v="403"/>
    <x v="1"/>
    <s v="N tem "/>
    <m/>
    <d v="2026-06-19T00:00:00"/>
    <x v="0"/>
  </r>
  <r>
    <x v="193"/>
    <s v="ajgconfeccoes2021@gmail.com"/>
    <n v="300263684"/>
    <n v="16474090"/>
    <x v="2"/>
    <x v="22"/>
    <n v="120"/>
    <s v="Faltou 120 praças de frentes e vistas "/>
    <m/>
    <s v="Faltou 120 peças de frentes e vistas . "/>
    <d v="2026-06-19T19:21:43"/>
    <m/>
    <n v="404"/>
    <x v="1"/>
    <s v="N tem "/>
    <m/>
    <d v="2026-06-19T00:00:00"/>
    <x v="0"/>
  </r>
  <r>
    <x v="26"/>
    <s v="cabugiconfeccoes.adm@gmail.com"/>
    <n v="300266640"/>
    <n v="16520050"/>
    <x v="2"/>
    <x v="5"/>
    <n v="5"/>
    <s v="REPOSIÇÃO"/>
    <m/>
    <s v="REPOSIÇÃO"/>
    <d v="2026-06-20T17:10:16"/>
    <m/>
    <n v="405"/>
    <x v="2"/>
    <n v="1"/>
    <m/>
    <d v="2026-06-20T00:00:00"/>
    <x v="0"/>
  </r>
  <r>
    <x v="26"/>
    <s v="cabugiconfeccoes.adm@gmail.com"/>
    <n v="300266640"/>
    <n v="16520050"/>
    <x v="2"/>
    <x v="10"/>
    <n v="1"/>
    <n v="1"/>
    <m/>
    <s v="REPOSIÇÃO"/>
    <d v="2026-06-20T17:12:10"/>
    <m/>
    <n v="406"/>
    <x v="2"/>
    <n v="1"/>
    <m/>
    <d v="2026-06-20T00:00:00"/>
    <x v="0"/>
  </r>
  <r>
    <x v="60"/>
    <s v="mkdeazevedomedeiros@gmail.com"/>
    <n v="300271819"/>
    <n v="16221214"/>
    <x v="2"/>
    <x v="153"/>
    <n v="15"/>
    <s v="INSUFICIENTE PARA FINALIZAR A ORDEM"/>
    <m/>
    <m/>
    <d v="2026-06-22T07:17:59"/>
    <m/>
    <n v="407"/>
    <x v="1"/>
    <s v="-"/>
    <m/>
    <d v="2026-06-22T00:00:00"/>
    <x v="0"/>
  </r>
  <r>
    <x v="187"/>
    <s v="evalber_dantas@hotmail.com"/>
    <n v="300273776"/>
    <n v="16051491"/>
    <x v="2"/>
    <x v="10"/>
    <n v="1"/>
    <s v="Bom dia, escolhi a opção papelão para gabarito, no entanto, não é, O QUE FALTOU FOI O GABARITO."/>
    <m/>
    <s v="Bom dia, SÓ RELEMBRANDO, É O GABARITO QUE ESTÁ FALTANDO. "/>
    <d v="2026-06-22T07:20:28"/>
    <m/>
    <n v="408"/>
    <x v="1"/>
    <n v="0"/>
    <m/>
    <d v="2026-06-22T00:00:00"/>
    <x v="0"/>
  </r>
  <r>
    <x v="36"/>
    <s v="solisconfeccoes@gmail.com"/>
    <n v="300274355"/>
    <n v="15898008"/>
    <x v="3"/>
    <x v="52"/>
    <s v="5 MIL"/>
    <s v="NÃO RECEBEMOS SEMANA PASSADA"/>
    <m/>
    <s v="NÃO RECEBEMOS SEMANA PASSADA"/>
    <d v="2026-06-22T07:23:52"/>
    <m/>
    <n v="409"/>
    <x v="1"/>
    <n v="0"/>
    <m/>
    <d v="2026-06-22T00:00:00"/>
    <x v="0"/>
  </r>
  <r>
    <x v="164"/>
    <s v="auxiforte@hotmail.com"/>
    <n v="300262745"/>
    <n v="16448111"/>
    <x v="3"/>
    <x v="12"/>
    <n v="5"/>
    <s v="ORDEM - 300262745; MATERIAL INSUFICIENTE PARA FINALIZAR OP;"/>
    <m/>
    <s v="ORDEM - 300262745; MATERIAL INSUFICIENTE PARA FINALIZAR OP;"/>
    <d v="2026-06-22T07:30:47"/>
    <m/>
    <n v="410"/>
    <x v="1"/>
    <n v="0"/>
    <m/>
    <d v="2026-06-22T00:00:00"/>
    <x v="0"/>
  </r>
  <r>
    <x v="164"/>
    <s v="auxiforte@hotmail.com"/>
    <n v="300272276"/>
    <n v="16487494"/>
    <x v="0"/>
    <x v="12"/>
    <n v="4"/>
    <s v="ORDEM - 300272276; MATERIAL INSUFICIENTE PARA FINALIZAR OP;"/>
    <m/>
    <s v="ORDEM - 300272276; MATERIAL INSUFICIENTE PARA FINALIZAR OP;"/>
    <d v="2026-06-22T07:37:36"/>
    <m/>
    <n v="411"/>
    <x v="1"/>
    <n v="0"/>
    <m/>
    <d v="2026-06-22T00:00:00"/>
    <x v="0"/>
  </r>
  <r>
    <x v="164"/>
    <s v="auxiforte@hotmail.com"/>
    <n v="300262591"/>
    <n v="16448138"/>
    <x v="3"/>
    <x v="12"/>
    <n v="3"/>
    <s v="ORDEM - 300262591; MATERIAL INSUFICIENTE PARA FINALIZAR OP;"/>
    <m/>
    <s v="ORDEM - 300262591; MATERIAL INSUFICIENTE PARA FINALIZAR OP;"/>
    <d v="2026-06-22T07:45:00"/>
    <m/>
    <n v="412"/>
    <x v="1"/>
    <n v="0"/>
    <m/>
    <d v="2026-06-22T00:00:00"/>
    <x v="0"/>
  </r>
  <r>
    <x v="164"/>
    <s v="auxiforte@hotmail.com"/>
    <n v="300262590"/>
    <n v="16548138"/>
    <x v="3"/>
    <x v="12"/>
    <n v="5"/>
    <s v="ORDEM - 300262590; MATERIAL INSUFICIENTE PARA FINALIZAR OP;"/>
    <m/>
    <s v="ORDEM - 300262590; MATERIAL INSUFICIENTE PARA FINALIZAR OP;"/>
    <d v="2026-06-22T07:54:13"/>
    <m/>
    <n v="413"/>
    <x v="1"/>
    <n v="0"/>
    <m/>
    <d v="2026-06-22T00:00:00"/>
    <x v="0"/>
  </r>
  <r>
    <x v="49"/>
    <s v="s.ramosconfeccoes@gmail.com"/>
    <n v="300268644"/>
    <n v="16520157"/>
    <x v="2"/>
    <x v="5"/>
    <n v="1360"/>
    <s v="Estou precisando de filme plastico para passante"/>
    <m/>
    <s v="Estou sem filme plastico"/>
    <d v="2026-06-22T07:55:53"/>
    <m/>
    <n v="414"/>
    <x v="2"/>
    <n v="0"/>
    <m/>
    <d v="2026-06-22T00:00:00"/>
    <x v="0"/>
  </r>
  <r>
    <x v="29"/>
    <s v="pea2015confeccoes@hotmail.com"/>
    <n v="300271854"/>
    <n v="15773469"/>
    <x v="2"/>
    <x v="12"/>
    <n v="1205"/>
    <s v="Não enviada pela guararapes"/>
    <m/>
    <s v="Na sequência do enfesto 001 faltou todos os: passantes, jota, pertingal, vista, frente, bolso relogio, bolso traseiro, dianteiro, palas. Na sequencia 002 faltou todos os : traseiros, cós, passantes."/>
    <d v="2026-06-22T08:15:04"/>
    <m/>
    <n v="415"/>
    <x v="1"/>
    <n v="0"/>
    <m/>
    <d v="2026-06-22T00:00:00"/>
    <x v="0"/>
  </r>
  <r>
    <x v="75"/>
    <s v="maciel.dalison@hotmail.com"/>
    <n v="300271745"/>
    <n v="16051491"/>
    <x v="2"/>
    <x v="7"/>
    <n v="200"/>
    <s v="ACABOU"/>
    <m/>
    <s v="acabou"/>
    <d v="2026-06-22T08:47:06"/>
    <m/>
    <n v="416"/>
    <x v="2"/>
    <n v="0"/>
    <m/>
    <d v="2026-06-22T00:00:00"/>
    <x v="0"/>
  </r>
  <r>
    <x v="75"/>
    <s v="maciel.dalison@hotmail.com"/>
    <n v="300271745"/>
    <n v="16051491"/>
    <x v="2"/>
    <x v="5"/>
    <n v="20"/>
    <s v="ACABOU"/>
    <m/>
    <s v="acabou"/>
    <d v="2026-06-22T08:50:52"/>
    <m/>
    <n v="417"/>
    <x v="2"/>
    <n v="0"/>
    <m/>
    <d v="2026-06-22T00:00:00"/>
    <x v="0"/>
  </r>
  <r>
    <x v="166"/>
    <s v="w.anny.k@hotmail.com"/>
    <n v="300274882"/>
    <n v="15859096"/>
    <x v="2"/>
    <x v="49"/>
    <n v="120"/>
    <s v="VEIO FALTANDO ETIQUETA FIT"/>
    <m/>
    <m/>
    <d v="2026-06-22T08:54:04"/>
    <m/>
    <n v="418"/>
    <x v="1"/>
    <n v="1000000673555"/>
    <m/>
    <d v="2026-06-22T00:00:00"/>
    <x v="0"/>
  </r>
  <r>
    <x v="78"/>
    <s v="ocalves3@gmail.com"/>
    <n v="300272968"/>
    <n v="15711854"/>
    <x v="2"/>
    <x v="17"/>
    <n v="260"/>
    <s v="veio faltando 10 cós interno de cada lote"/>
    <m/>
    <s v="veio faltando "/>
    <d v="2026-06-22T09:24:33"/>
    <m/>
    <n v="419"/>
    <x v="1"/>
    <s v="cós"/>
    <m/>
    <d v="2026-06-22T00:00:00"/>
    <x v="0"/>
  </r>
  <r>
    <x v="169"/>
    <s v="acauaconfeccoes@outlook.com"/>
    <n v="300272458"/>
    <n v="16222326"/>
    <x v="3"/>
    <x v="29"/>
    <n v="1.466"/>
    <s v="Material não enviado pela Guararapes "/>
    <m/>
    <s v="Material não enviado pela Guararapes "/>
    <d v="2026-06-22T09:43:11"/>
    <m/>
    <n v="420"/>
    <x v="2"/>
    <s v="."/>
    <m/>
    <d v="2026-06-22T00:00:00"/>
    <x v="0"/>
  </r>
  <r>
    <x v="190"/>
    <s v="EMPORIODAMODAMOSSORO@GMAIL.COM"/>
    <n v="300267464"/>
    <n v="15252434"/>
    <x v="2"/>
    <x v="153"/>
    <n v="5"/>
    <s v="etiqueta de composição tamanho 42"/>
    <m/>
    <m/>
    <d v="2026-06-22T10:10:26"/>
    <m/>
    <n v="421"/>
    <x v="1"/>
    <n v="0"/>
    <m/>
    <d v="2026-06-22T00:00:00"/>
    <x v="0"/>
  </r>
  <r>
    <x v="74"/>
    <s v="imdeoliveirasilva-me@hotmail.com"/>
    <n v="300272982"/>
    <n v="16473965"/>
    <x v="2"/>
    <x v="154"/>
    <n v="15"/>
    <s v="QUANTIDADE INSUFICIENTE"/>
    <m/>
    <s v="VIES DE BOCADA CRU"/>
    <d v="2026-06-22T10:23:16"/>
    <m/>
    <n v="422"/>
    <x v="2"/>
    <n v="0"/>
    <m/>
    <d v="2026-06-22T00:00:00"/>
    <x v="0"/>
  </r>
  <r>
    <x v="169"/>
    <s v="acauaconfeccoes@outlook.com"/>
    <n v="300000000"/>
    <n v="1"/>
    <x v="3"/>
    <x v="7"/>
    <n v="1"/>
    <s v="Reposição "/>
    <m/>
    <s v="Reposição de lacres "/>
    <d v="2026-06-22T10:31:55"/>
    <m/>
    <n v="423"/>
    <x v="2"/>
    <n v="1"/>
    <m/>
    <d v="2026-06-22T00:00:00"/>
    <x v="0"/>
  </r>
  <r>
    <x v="171"/>
    <s v="confeccoesgbdas@hotmail.com"/>
    <n v="300269517"/>
    <n v="16481577"/>
    <x v="3"/>
    <x v="4"/>
    <n v="1938"/>
    <s v="FOI ENVIADA O PREÇO INCORRETO "/>
    <m/>
    <s v="PRECISO DAS ETIQUETAS URGENTEMENTE, JA VOU INICIAR A ORDEM"/>
    <d v="2026-06-22T10:33:43"/>
    <m/>
    <n v="424"/>
    <x v="2"/>
    <s v="ETIQUETA DE PREÇO"/>
    <m/>
    <d v="2026-06-22T00:00:00"/>
    <x v="0"/>
  </r>
  <r>
    <x v="191"/>
    <s v="lctextil@outlook.com.br"/>
    <n v="300270874"/>
    <n v="16426010"/>
    <x v="3"/>
    <x v="7"/>
    <n v="1.3340000000000001"/>
    <s v="Está faltando na oficina "/>
    <m/>
    <s v="Estamos sem lacres. "/>
    <d v="2026-06-22T10:50:12"/>
    <m/>
    <n v="425"/>
    <x v="2"/>
    <n v="0"/>
    <m/>
    <d v="2026-06-22T00:00:00"/>
    <x v="0"/>
  </r>
  <r>
    <x v="191"/>
    <s v="lctextil@outloo.com.br"/>
    <n v="300269514"/>
    <n v="16481577"/>
    <x v="3"/>
    <x v="7"/>
    <n v="2.6520000000000001"/>
    <s v="Não temos na oficina "/>
    <m/>
    <s v="Estamos sem lacre na oficina "/>
    <d v="2026-06-22T10:51:31"/>
    <m/>
    <n v="426"/>
    <x v="2"/>
    <n v="0"/>
    <m/>
    <d v="2026-06-22T00:00:00"/>
    <x v="0"/>
  </r>
  <r>
    <x v="21"/>
    <s v="potengitextil@outlook.com.br"/>
    <n v="300272166"/>
    <n v="15128288"/>
    <x v="1"/>
    <x v="7"/>
    <n v="853"/>
    <s v="Estamos sem o material "/>
    <m/>
    <s v="Estamos sem lacre na oficina "/>
    <d v="2026-06-22T10:52:43"/>
    <m/>
    <n v="427"/>
    <x v="2"/>
    <n v="0"/>
    <m/>
    <d v="2026-06-22T00:00:00"/>
    <x v="0"/>
  </r>
  <r>
    <x v="21"/>
    <s v="potengitextil@outlook.com.br"/>
    <n v="300271268"/>
    <n v="16114159"/>
    <x v="2"/>
    <x v="7"/>
    <n v="1479"/>
    <s v="Estamos sem na oficina "/>
    <m/>
    <s v="Estamos sem lacres na oficina "/>
    <d v="2026-06-22T10:53:51"/>
    <m/>
    <n v="428"/>
    <x v="2"/>
    <n v="0"/>
    <m/>
    <d v="2026-06-22T00:00:00"/>
    <x v="0"/>
  </r>
  <r>
    <x v="60"/>
    <s v="mkdeazevedomedeiros@gmail.com"/>
    <n v="300271819"/>
    <n v="16221214"/>
    <x v="2"/>
    <x v="153"/>
    <n v="15"/>
    <s v="INSUFICIENTE PARA FINALIZAR A ORDEM"/>
    <m/>
    <m/>
    <d v="2026-06-22T11:09:45"/>
    <m/>
    <n v="429"/>
    <x v="1"/>
    <s v="-"/>
    <m/>
    <d v="2026-06-22T00:00:00"/>
    <x v="0"/>
  </r>
  <r>
    <x v="60"/>
    <s v="mkdeazevedomedeiros@gmail.com"/>
    <n v="300272176"/>
    <n v="16319249"/>
    <x v="2"/>
    <x v="153"/>
    <n v="10"/>
    <s v="INSUFICIENTE PARA FINALIZAR OP"/>
    <m/>
    <m/>
    <d v="2026-06-22T11:16:58"/>
    <m/>
    <n v="430"/>
    <x v="1"/>
    <s v="-"/>
    <m/>
    <d v="2026-06-22T00:00:00"/>
    <x v="0"/>
  </r>
  <r>
    <x v="166"/>
    <s v="w.anny.k@hotmail.com"/>
    <n v="300271749"/>
    <n v="16436075"/>
    <x v="2"/>
    <x v="17"/>
    <n v="65"/>
    <s v="MATERIAL INSUFICIENTE PARA FINALIZAR A ORDEM MESTRE"/>
    <m/>
    <m/>
    <d v="2026-06-22T11:30:28"/>
    <m/>
    <n v="431"/>
    <x v="2"/>
    <n v="0"/>
    <m/>
    <d v="2026-06-22T00:00:00"/>
    <x v="0"/>
  </r>
  <r>
    <x v="8"/>
    <s v="tlcserranatextil@gmail.com"/>
    <n v="300271137"/>
    <n v="15215539"/>
    <x v="1"/>
    <x v="29"/>
    <s v="125 peças"/>
    <s v="O que veio foi insuficiente"/>
    <m/>
    <m/>
    <d v="2026-06-22T12:31:19"/>
    <m/>
    <n v="432"/>
    <x v="1"/>
    <n v="0"/>
    <m/>
    <d v="2026-06-22T00:00:00"/>
    <x v="0"/>
  </r>
  <r>
    <x v="21"/>
    <s v="potengitextil@outlook.com.br"/>
    <n v="300271818"/>
    <n v="16285417"/>
    <x v="3"/>
    <x v="18"/>
    <n v="552"/>
    <s v="Material não enviado pela guararapes "/>
    <m/>
    <s v="Material não enviado junto da ordem. "/>
    <d v="2026-06-22T12:52:43"/>
    <m/>
    <n v="433"/>
    <x v="2"/>
    <n v="195771"/>
    <m/>
    <d v="2026-06-22T00:00:00"/>
    <x v="0"/>
  </r>
  <r>
    <x v="175"/>
    <s v="confeccaogenesisltda@gmail.com"/>
    <n v="300273027"/>
    <n v="16510216"/>
    <x v="0"/>
    <x v="8"/>
    <n v="10"/>
    <s v="quantidade insuficiente para finalizar a op"/>
    <m/>
    <m/>
    <d v="2026-06-22T13:17:32"/>
    <m/>
    <n v="434"/>
    <x v="1"/>
    <n v="0"/>
    <m/>
    <d v="2026-06-22T00:00:00"/>
    <x v="0"/>
  </r>
  <r>
    <x v="175"/>
    <s v="confeccaogenesisltda@gmail.com"/>
    <n v="300273024"/>
    <n v="16510216"/>
    <x v="0"/>
    <x v="27"/>
    <n v="70"/>
    <s v="quantidade insuficiente"/>
    <m/>
    <m/>
    <d v="2026-06-22T13:19:37"/>
    <m/>
    <n v="435"/>
    <x v="1"/>
    <n v="1000019143"/>
    <m/>
    <d v="2026-06-22T00:00:00"/>
    <x v="0"/>
  </r>
  <r>
    <x v="166"/>
    <s v="w.anny.k@hotmail.com"/>
    <n v="300271749"/>
    <n v="16436075"/>
    <x v="2"/>
    <x v="17"/>
    <n v="55"/>
    <s v="MATERIAL INSUFICIENTE PARA TERMINAMOS A ORDEM"/>
    <m/>
    <m/>
    <d v="2026-06-22T14:21:45"/>
    <m/>
    <n v="436"/>
    <x v="1"/>
    <n v="0"/>
    <m/>
    <d v="2026-06-22T00:00:00"/>
    <x v="0"/>
  </r>
  <r>
    <x v="56"/>
    <s v="idealconfecltda@gmail.com"/>
    <n v="300271558"/>
    <n v="16466098"/>
    <x v="2"/>
    <x v="153"/>
    <n v="30"/>
    <s v="INSUFICIENTE PARA FINALIZAR OP"/>
    <m/>
    <s v="MATERIAL INSUFICIENTE"/>
    <d v="2026-06-22T14:36:32"/>
    <m/>
    <n v="437"/>
    <x v="1"/>
    <n v="0"/>
    <m/>
    <d v="2026-06-22T00:00:00"/>
    <x v="0"/>
  </r>
  <r>
    <x v="35"/>
    <s v="lupercio-fnb@hotmail.com"/>
    <n v="300265094"/>
    <n v="15128288"/>
    <x v="1"/>
    <x v="27"/>
    <n v="690"/>
    <s v="Faltando para finalização de ordem"/>
    <m/>
    <s v="Faltando para finalização da ordem "/>
    <d v="2026-06-22T14:42:19"/>
    <m/>
    <n v="438"/>
    <x v="1"/>
    <n v="0"/>
    <m/>
    <d v="2026-06-22T00:00:00"/>
    <x v="0"/>
  </r>
  <r>
    <x v="32"/>
    <s v="di3confecções@gmail.com"/>
    <n v="300272959"/>
    <n v="15699293"/>
    <x v="2"/>
    <x v="37"/>
    <n v="384"/>
    <s v="NÃO ENCONTRAMOS OS VIVOS DO 1° RISCO TAMANHOS 38, 40, 42 E 1 PACOTE DO 46"/>
    <m/>
    <s v="MATERIAL NÃO ENVIADO"/>
    <d v="2026-06-22T15:04:59"/>
    <m/>
    <n v="439"/>
    <x v="1"/>
    <n v="0"/>
    <m/>
    <d v="2026-06-22T00:00:00"/>
    <x v="0"/>
  </r>
  <r>
    <x v="21"/>
    <s v="potengitextil@outlook.com.br"/>
    <n v="300271186"/>
    <n v="16426010"/>
    <x v="3"/>
    <x v="2"/>
    <n v="13"/>
    <s v="Insuficiente para finalizar ordem"/>
    <m/>
    <s v="Etiqueta de composição. "/>
    <d v="2026-06-22T15:05:40"/>
    <m/>
    <n v="440"/>
    <x v="1"/>
    <n v="0"/>
    <m/>
    <d v="2026-06-22T00:00:00"/>
    <x v="0"/>
  </r>
  <r>
    <x v="32"/>
    <s v="di3confec@gmail.com"/>
    <n v="300272630"/>
    <n v="14938570"/>
    <x v="3"/>
    <x v="6"/>
    <n v="50"/>
    <s v="Faltou 50 golas para completar o tamanho M"/>
    <m/>
    <m/>
    <d v="2026-06-22T15:13:09"/>
    <m/>
    <n v="441"/>
    <x v="1"/>
    <n v="0"/>
    <m/>
    <d v="2026-06-22T00:00:00"/>
    <x v="0"/>
  </r>
  <r>
    <x v="193"/>
    <s v="ajgconfeccoes2021@gmail.com"/>
    <n v="300263684"/>
    <n v="16474090"/>
    <x v="2"/>
    <x v="74"/>
    <n v="100"/>
    <s v="Faltou 100 etiquetas tamanho 36"/>
    <m/>
    <s v="Faltou "/>
    <d v="2026-06-22T15:28:14"/>
    <m/>
    <n v="442"/>
    <x v="1"/>
    <s v="Não tem "/>
    <m/>
    <d v="2026-06-22T00:00:00"/>
    <x v="0"/>
  </r>
  <r>
    <x v="162"/>
    <s v="faccaoello@hotmail.com"/>
    <n v="300270777"/>
    <n v="16448421"/>
    <x v="2"/>
    <x v="153"/>
    <n v="3"/>
    <s v="Material não enviado pela Guararapes"/>
    <m/>
    <s v="ETIQUETA DE COMPOSIÇÃO"/>
    <d v="2026-06-22T16:06:58"/>
    <m/>
    <n v="443"/>
    <x v="1"/>
    <n v="0"/>
    <m/>
    <d v="2026-06-22T00:00:00"/>
    <x v="0"/>
  </r>
  <r>
    <x v="162"/>
    <s v="faccaoello@hotmail.com"/>
    <n v="300270309"/>
    <n v="16445015"/>
    <x v="2"/>
    <x v="153"/>
    <n v="2"/>
    <s v="Material não enviado pela Guararapes"/>
    <m/>
    <s v="ETIQUETA DE COMPOSIÇÃO"/>
    <d v="2026-06-22T16:08:49"/>
    <m/>
    <n v="444"/>
    <x v="1"/>
    <n v="0"/>
    <m/>
    <d v="2026-06-22T00:00:00"/>
    <x v="0"/>
  </r>
  <r>
    <x v="187"/>
    <s v="evalber_dantas@hotmail.com"/>
    <n v="300271858"/>
    <n v="15773469"/>
    <x v="2"/>
    <x v="153"/>
    <n v="6"/>
    <s v="INSUFICIENTE PARA ALGUNS TAMANHOS DO ENFESTO 1"/>
    <m/>
    <s v="Boa tarde, ORDEM veio faltando etiquetas de composição do enfesto 1, quantidade acima de tamanhos especificados."/>
    <d v="2026-06-22T16:37:22"/>
    <m/>
    <n v="445"/>
    <x v="1"/>
    <n v="214516"/>
    <m/>
    <d v="2026-06-22T00:00:00"/>
    <x v="0"/>
  </r>
  <r>
    <x v="181"/>
    <s v="asaequador@gmail.com"/>
    <n v="300267991"/>
    <n v="16523741"/>
    <x v="2"/>
    <x v="44"/>
    <s v="8 pç"/>
    <s v="esta ordem veio com os bolsos pregados , mas veio um lote de traseiro sem o bolso tamanho 38"/>
    <m/>
    <s v="esta ordem veio um lote sem o bolso traseiro tamanho 38"/>
    <d v="2026-06-22T16:56:48"/>
    <m/>
    <n v="446"/>
    <x v="1"/>
    <n v="0"/>
    <m/>
    <d v="2026-06-22T00:00:00"/>
    <x v="0"/>
  </r>
  <r>
    <x v="18"/>
    <s v="ebenezerindustriat@hotmail.com"/>
    <n v="300271680"/>
    <n v="16222326"/>
    <x v="3"/>
    <x v="52"/>
    <n v="1000"/>
    <s v="ACABOU"/>
    <m/>
    <m/>
    <d v="2026-06-22T17:32:51"/>
    <m/>
    <n v="447"/>
    <x v="2"/>
    <n v="0"/>
    <m/>
    <d v="2026-06-22T00:00:00"/>
    <x v="0"/>
  </r>
  <r>
    <x v="23"/>
    <s v="reposicoesjkmodas@gmail.com"/>
    <n v="300271123"/>
    <n v="16497767"/>
    <x v="2"/>
    <x v="13"/>
    <n v="89"/>
    <s v="INSUFICIENTE PARA FINALIZAR OP"/>
    <m/>
    <m/>
    <d v="2026-06-22T17:37:28"/>
    <m/>
    <n v="448"/>
    <x v="1"/>
    <s v="10000241485 / 10000241487"/>
    <m/>
    <d v="2026-06-22T00:00:00"/>
    <x v="0"/>
  </r>
  <r>
    <x v="54"/>
    <s v="deboraclothing.textil@gmail.com"/>
    <n v="300000000"/>
    <n v="30000000"/>
    <x v="3"/>
    <x v="52"/>
    <n v="15"/>
    <s v="ACABANDO O QUE ESTÁ EM OFICINA. "/>
    <m/>
    <s v="3 CAIXAS DE PINO "/>
    <d v="2026-06-22T17:37:39"/>
    <m/>
    <n v="449"/>
    <x v="2"/>
    <n v="0"/>
    <m/>
    <d v="2026-06-22T00:00:00"/>
    <x v="0"/>
  </r>
  <r>
    <x v="15"/>
    <s v="spauloazevedo@bol.com.br"/>
    <n v="300269314"/>
    <n v="16470834"/>
    <x v="2"/>
    <x v="21"/>
    <n v="15"/>
    <s v="Essa reposição é de sacos para artok"/>
    <m/>
    <s v="essa reposição é de sacos de artok"/>
    <d v="2026-06-23T07:18:36"/>
    <m/>
    <n v="450"/>
    <x v="2"/>
    <s v="Sacos para artok"/>
    <m/>
    <d v="2026-06-23T00:00:00"/>
    <x v="0"/>
  </r>
  <r>
    <x v="196"/>
    <s v="samuelmedeiros074@hotmail.com"/>
    <n v="300274230"/>
    <n v="16217403"/>
    <x v="2"/>
    <x v="5"/>
    <n v="1050"/>
    <s v="ACABANDO"/>
    <m/>
    <m/>
    <d v="2026-06-23T07:48:35"/>
    <m/>
    <n v="451"/>
    <x v="2"/>
    <s v="."/>
    <m/>
    <d v="2026-06-23T00:00:00"/>
    <x v="0"/>
  </r>
  <r>
    <x v="197"/>
    <s v="mc.confeccoes15@gmail.com"/>
    <n v="300271828"/>
    <n v="15773469"/>
    <x v="2"/>
    <x v="153"/>
    <n v="35"/>
    <s v="Quantidade insuficiente."/>
    <m/>
    <s v="Faltaram 35 etiquetas de composição tamanho 44."/>
    <d v="2026-06-23T07:50:27"/>
    <m/>
    <n v="452"/>
    <x v="1"/>
    <n v="1"/>
    <m/>
    <d v="2026-06-23T00:00:00"/>
    <x v="0"/>
  </r>
  <r>
    <x v="21"/>
    <s v="potengitextil@outlook.com.br"/>
    <n v="300269514"/>
    <n v="16481577"/>
    <x v="3"/>
    <x v="4"/>
    <n v="140"/>
    <s v="Insuficiente para finalizar ordem"/>
    <m/>
    <s v="Insuficiente para finalizar ordem"/>
    <d v="2026-06-23T08:10:31"/>
    <m/>
    <n v="453"/>
    <x v="1"/>
    <n v="0"/>
    <m/>
    <d v="2026-06-23T00:00:00"/>
    <x v="0"/>
  </r>
  <r>
    <x v="23"/>
    <s v="reposicoesjkmodas@gmail.com"/>
    <n v="300268611"/>
    <n v="16473825"/>
    <x v="2"/>
    <x v="153"/>
    <n v="6"/>
    <s v="NÃO ENVIADO PELA GUARARAPES"/>
    <m/>
    <m/>
    <d v="2026-06-23T08:11:03"/>
    <m/>
    <n v="454"/>
    <x v="1"/>
    <n v="0"/>
    <m/>
    <d v="2026-06-23T00:00:00"/>
    <x v="0"/>
  </r>
  <r>
    <x v="21"/>
    <s v="potengitextil@outlook.com.br"/>
    <n v="300272166"/>
    <n v="15128288"/>
    <x v="1"/>
    <x v="27"/>
    <n v="50"/>
    <s v="Insuficiente para finalizar ordem "/>
    <m/>
    <s v="Faltou botão para 25 peças "/>
    <d v="2026-06-23T08:12:09"/>
    <m/>
    <n v="455"/>
    <x v="1"/>
    <n v="0"/>
    <m/>
    <d v="2026-06-23T00:00:00"/>
    <x v="0"/>
  </r>
  <r>
    <x v="175"/>
    <s v="confeccaogenesisltda@gmail.com"/>
    <n v="300272639"/>
    <n v="16547934"/>
    <x v="0"/>
    <x v="27"/>
    <n v="150"/>
    <s v="veio faltando"/>
    <m/>
    <m/>
    <d v="2026-06-23T08:20:23"/>
    <m/>
    <n v="456"/>
    <x v="1"/>
    <n v="10000183110"/>
    <m/>
    <d v="2026-06-23T00:00:00"/>
    <x v="0"/>
  </r>
  <r>
    <x v="63"/>
    <s v="acaritextil2801@gmail.com"/>
    <n v="300000000"/>
    <n v="1000000"/>
    <x v="2"/>
    <x v="5"/>
    <n v="10"/>
    <s v="INSUFICIENTE"/>
    <m/>
    <s v="A quantidade não está sendo suficiente para a produção "/>
    <d v="2026-06-23T08:29:31"/>
    <m/>
    <n v="457"/>
    <x v="2"/>
    <n v="0"/>
    <m/>
    <d v="2026-06-23T00:00:00"/>
    <x v="0"/>
  </r>
  <r>
    <x v="198"/>
    <s v="afconfeccoes26@gmail.com"/>
    <n v="300267520"/>
    <n v="16223780"/>
    <x v="3"/>
    <x v="12"/>
    <n v="114"/>
    <s v="veio apenas a parte da frente "/>
    <m/>
    <n v="14563"/>
    <d v="2026-06-23T08:40:46"/>
    <m/>
    <n v="458"/>
    <x v="1"/>
    <n v="14563"/>
    <m/>
    <d v="2026-06-23T00:00:00"/>
    <x v="0"/>
  </r>
  <r>
    <x v="192"/>
    <s v="alvesemedeirosoficina@gmail.com"/>
    <n v="300270735"/>
    <n v="16243919"/>
    <x v="2"/>
    <x v="8"/>
    <n v="1"/>
    <s v="não veio "/>
    <m/>
    <m/>
    <d v="2026-06-23T08:42:39"/>
    <m/>
    <n v="459"/>
    <x v="2"/>
    <s v="S.759"/>
    <m/>
    <d v="2026-06-23T00:00:00"/>
    <x v="0"/>
  </r>
  <r>
    <x v="198"/>
    <s v="afconfeccoes26@gmail.com"/>
    <n v="300267520"/>
    <n v="16223780"/>
    <x v="3"/>
    <x v="12"/>
    <n v="114"/>
    <s v="Veio faltando a parte traseira"/>
    <m/>
    <m/>
    <d v="2026-06-23T08:44:08"/>
    <m/>
    <n v="460"/>
    <x v="1"/>
    <n v="14563"/>
    <m/>
    <d v="2026-06-23T00:00:00"/>
    <x v="0"/>
  </r>
  <r>
    <x v="32"/>
    <s v="di3confec@gmail.com"/>
    <n v="300272630"/>
    <n v="14938570"/>
    <x v="3"/>
    <x v="12"/>
    <n v="4"/>
    <s v="Material insuficiente"/>
    <m/>
    <m/>
    <d v="2026-06-23T08:47:56"/>
    <m/>
    <n v="461"/>
    <x v="1"/>
    <n v="0"/>
    <m/>
    <d v="2026-06-23T00:00:00"/>
    <x v="0"/>
  </r>
  <r>
    <x v="190"/>
    <s v="EMPORIODAMODAMOSSORO@GMAIL.COM"/>
    <n v="300267464"/>
    <n v="15252434"/>
    <x v="2"/>
    <x v="153"/>
    <n v="2"/>
    <s v="insuficiente"/>
    <m/>
    <s v="etiqueta de composição tamanho 38"/>
    <d v="2026-06-23T09:21:59"/>
    <m/>
    <n v="462"/>
    <x v="1"/>
    <n v="0"/>
    <m/>
    <d v="2026-06-23T00:00:00"/>
    <x v="0"/>
  </r>
  <r>
    <x v="166"/>
    <s v="w.anny.k@hotmail.com"/>
    <n v="300271213"/>
    <n v="13044826"/>
    <x v="1"/>
    <x v="19"/>
    <n v="8"/>
    <s v="VEIO FALTANDO NA ORDEM MESTRE"/>
    <m/>
    <m/>
    <d v="2026-06-23T09:23:03"/>
    <n v="300271213"/>
    <n v="463"/>
    <x v="1"/>
    <n v="0"/>
    <m/>
    <d v="2026-06-23T00:00:00"/>
    <x v="0"/>
  </r>
  <r>
    <x v="35"/>
    <s v="lupercio-fnb@hotmail.com"/>
    <n v="300265091"/>
    <n v="15128288"/>
    <x v="1"/>
    <x v="27"/>
    <n v="2900"/>
    <s v="Faltando para finalização de ordem"/>
    <m/>
    <s v="Essa reposição é para 3 ordens do mesmo material."/>
    <d v="2026-06-23T09:26:30"/>
    <m/>
    <n v="464"/>
    <x v="1"/>
    <n v="0"/>
    <m/>
    <d v="2026-06-23T00:00:00"/>
    <x v="0"/>
  </r>
  <r>
    <x v="21"/>
    <s v="potengitextil@outlook.com.br"/>
    <n v="300245142"/>
    <n v="16285417"/>
    <x v="2"/>
    <x v="18"/>
    <n v="980"/>
    <s v="Erro no processo de fabricacao "/>
    <m/>
    <s v="Reprocesso de ordem"/>
    <d v="2026-06-23T09:37:15"/>
    <m/>
    <n v="465"/>
    <x v="2"/>
    <n v="10000195771"/>
    <m/>
    <d v="2026-06-23T00:00:00"/>
    <x v="0"/>
  </r>
  <r>
    <x v="21"/>
    <s v="potengitextil@outlook.com.br"/>
    <n v="300245142"/>
    <n v="16285417"/>
    <x v="2"/>
    <x v="17"/>
    <n v="989"/>
    <s v="Erro no processo  "/>
    <m/>
    <s v="Reprocesso de ordem. "/>
    <d v="2026-06-23T09:39:12"/>
    <m/>
    <n v="466"/>
    <x v="2"/>
    <n v="0"/>
    <m/>
    <d v="2026-06-23T00:00:00"/>
    <x v="0"/>
  </r>
  <r>
    <x v="179"/>
    <s v="faccao_sales2010@hotmail.com"/>
    <n v="300269501"/>
    <n v="16462947"/>
    <x v="3"/>
    <x v="4"/>
    <n v="90"/>
    <s v="INSUFICIENTE PRA FINALIZAR A OP"/>
    <m/>
    <m/>
    <d v="2026-06-23T11:31:02"/>
    <m/>
    <n v="467"/>
    <x v="1"/>
    <s v="-"/>
    <m/>
    <d v="2026-06-23T00:00:00"/>
    <x v="0"/>
  </r>
  <r>
    <x v="166"/>
    <s v="w.anny.k@hotmail.com"/>
    <n v="300274885"/>
    <n v="15859096"/>
    <x v="2"/>
    <x v="2"/>
    <n v="35"/>
    <s v="VEIO FALTANDO NA ORDEM MESTRE"/>
    <m/>
    <m/>
    <d v="2026-06-23T13:49:04"/>
    <m/>
    <n v="468"/>
    <x v="1"/>
    <n v="0"/>
    <m/>
    <d v="2026-06-23T00:00:00"/>
    <x v="0"/>
  </r>
  <r>
    <x v="166"/>
    <s v="w.anny.k@hotmail.com"/>
    <n v="300274882"/>
    <n v="15859096"/>
    <x v="2"/>
    <x v="2"/>
    <n v="35"/>
    <s v="VEIO FALTANDO NA ORDEM"/>
    <m/>
    <m/>
    <d v="2026-06-23T13:51:03"/>
    <m/>
    <n v="469"/>
    <x v="1"/>
    <n v="0"/>
    <m/>
    <d v="2026-06-23T00:00:00"/>
    <x v="0"/>
  </r>
  <r>
    <x v="21"/>
    <s v="potengitextil@outlook.com.br"/>
    <n v="300271268"/>
    <n v="16114159"/>
    <x v="2"/>
    <x v="18"/>
    <n v="458"/>
    <s v="Insuficiente para finalizar a ordem "/>
    <m/>
    <s v="Só veio na ordem os tamanhos P; M e G"/>
    <d v="2026-06-23T14:20:25"/>
    <m/>
    <n v="470"/>
    <x v="1"/>
    <n v="10000195771"/>
    <m/>
    <d v="2026-06-23T00:00:00"/>
    <x v="0"/>
  </r>
  <r>
    <x v="36"/>
    <s v="solisconfeccoes@gmail.com"/>
    <n v="300274355"/>
    <n v="15898008"/>
    <x v="3"/>
    <x v="74"/>
    <n v="1350"/>
    <s v="NÃO VEIO JUNTO DA OP"/>
    <m/>
    <s v="ETIQUETA DE TAMANHO"/>
    <d v="2026-06-23T14:22:05"/>
    <m/>
    <n v="471"/>
    <x v="2"/>
    <n v="0"/>
    <m/>
    <d v="2026-06-23T00:00:00"/>
    <x v="0"/>
  </r>
  <r>
    <x v="193"/>
    <s v="ajgconfeccoes2021@gmail.com"/>
    <n v="300270485"/>
    <n v="16017315"/>
    <x v="3"/>
    <x v="154"/>
    <n v="300"/>
    <s v="Faltou pra 300 peças "/>
    <m/>
    <s v="Veio muitos viés com defeito no corte . "/>
    <d v="2026-06-23T14:39:34"/>
    <m/>
    <n v="472"/>
    <x v="1"/>
    <s v="N tem "/>
    <m/>
    <d v="2026-06-23T00:00:00"/>
    <x v="0"/>
  </r>
  <r>
    <x v="191"/>
    <s v="lctextil@outlook.com.br"/>
    <n v="300269514"/>
    <n v="16481577"/>
    <x v="3"/>
    <x v="4"/>
    <n v="260"/>
    <s v="Insuficiente para finalizar ordem "/>
    <m/>
    <s v="Insuficiente pra finalizar ordem "/>
    <d v="2026-06-23T14:43:51"/>
    <m/>
    <n v="473"/>
    <x v="1"/>
    <n v="0"/>
    <m/>
    <d v="2026-06-23T00:00:00"/>
    <x v="0"/>
  </r>
  <r>
    <x v="191"/>
    <s v="lctextil@outlook.com.br"/>
    <n v="300272179"/>
    <n v="16474368"/>
    <x v="3"/>
    <x v="2"/>
    <n v="320"/>
    <s v="Material não enviado pela guararapes "/>
    <m/>
    <s v="Material não enviado pela guararapes "/>
    <d v="2026-06-23T14:46:13"/>
    <m/>
    <n v="474"/>
    <x v="2"/>
    <n v="0"/>
    <m/>
    <d v="2026-06-23T00:00:00"/>
    <x v="0"/>
  </r>
  <r>
    <x v="35"/>
    <s v="lupercio-fnb@hotmail.com"/>
    <n v="300271535"/>
    <n v="16243161"/>
    <x v="2"/>
    <x v="3"/>
    <n v="5"/>
    <s v="Faltando para finlização de ordem"/>
    <m/>
    <s v="Precisando com muita atenção apenas 5 peças"/>
    <d v="2026-06-23T15:05:50"/>
    <m/>
    <n v="475"/>
    <x v="1"/>
    <n v="0"/>
    <m/>
    <d v="2026-06-23T00:00:00"/>
    <x v="0"/>
  </r>
  <r>
    <x v="179"/>
    <s v="faccao_sales2010@hotmail.com"/>
    <n v="300268615"/>
    <n v="16473825"/>
    <x v="2"/>
    <x v="153"/>
    <n v="10"/>
    <s v="INSUFICIENTE PARA FINALIZAR A ORDEM"/>
    <m/>
    <m/>
    <d v="2026-06-23T15:06:38"/>
    <m/>
    <n v="476"/>
    <x v="1"/>
    <s v="-"/>
    <m/>
    <d v="2026-06-23T00:00:00"/>
    <x v="0"/>
  </r>
  <r>
    <x v="11"/>
    <s v="S.a.confeccoesind@gmail.com"/>
    <n v="300271747"/>
    <n v="15699811"/>
    <x v="2"/>
    <x v="2"/>
    <n v="6"/>
    <s v="Material insuficiente para finalizar OP."/>
    <m/>
    <s v="etiqueta de composição "/>
    <d v="2026-06-23T15:17:26"/>
    <m/>
    <n v="477"/>
    <x v="1"/>
    <n v="0"/>
    <m/>
    <d v="2026-06-23T00:00:00"/>
    <x v="0"/>
  </r>
  <r>
    <x v="162"/>
    <s v="faccaoello@hotmail.com"/>
    <n v="300269752"/>
    <n v="16244052"/>
    <x v="2"/>
    <x v="17"/>
    <n v="272"/>
    <s v="Material não enviado pela Guararapes"/>
    <m/>
    <s v="JA FIZ A SOLICTAÇÃO DESSA REPOSIÇÃO, MAS QUANDO FUI CONFERIR, AINDA VEIO FALTANDO 272 CÓS"/>
    <d v="2026-06-23T16:06:14"/>
    <m/>
    <n v="478"/>
    <x v="1"/>
    <n v="0"/>
    <m/>
    <d v="2026-06-23T00:00:00"/>
    <x v="0"/>
  </r>
  <r>
    <x v="171"/>
    <s v="confeccoesgbdas@hotmail.com"/>
    <n v="300261467"/>
    <n v="15420000"/>
    <x v="2"/>
    <x v="17"/>
    <n v="500"/>
    <s v="ERRO DA OFICINA NA PRODUÇÃO"/>
    <m/>
    <m/>
    <d v="2026-06-23T16:07:30"/>
    <m/>
    <n v="479"/>
    <x v="1"/>
    <n v="15420000"/>
    <m/>
    <d v="2026-06-23T00:00:00"/>
    <x v="0"/>
  </r>
  <r>
    <x v="171"/>
    <s v="confeccoesgbdas@hotmail.com"/>
    <n v="300261467"/>
    <n v="15420000"/>
    <x v="2"/>
    <x v="16"/>
    <n v="500"/>
    <s v="ERRO DA OFICINA NA PRODUÇÃO"/>
    <m/>
    <m/>
    <d v="2026-06-23T16:09:17"/>
    <m/>
    <n v="480"/>
    <x v="1"/>
    <n v="15420000"/>
    <m/>
    <d v="2026-06-23T00:00:00"/>
    <x v="0"/>
  </r>
  <r>
    <x v="166"/>
    <s v="w.anny.k@hotmail.com"/>
    <n v="300273702"/>
    <n v="16215176"/>
    <x v="2"/>
    <x v="2"/>
    <n v="30"/>
    <s v="VEIO FALTANDO"/>
    <m/>
    <m/>
    <d v="2026-06-23T16:18:05"/>
    <m/>
    <n v="481"/>
    <x v="1"/>
    <n v="0"/>
    <m/>
    <d v="2026-06-23T00:00:00"/>
    <x v="0"/>
  </r>
  <r>
    <x v="196"/>
    <s v="samuelmedeiros074@hotmail.com"/>
    <n v="300272969"/>
    <n v="15711854"/>
    <x v="2"/>
    <x v="17"/>
    <n v="25"/>
    <s v="ERRO NO PROCESSO"/>
    <m/>
    <m/>
    <d v="2026-06-23T16:20:32"/>
    <m/>
    <n v="482"/>
    <x v="1"/>
    <s v="."/>
    <m/>
    <d v="2026-06-23T00:00:00"/>
    <x v="0"/>
  </r>
  <r>
    <x v="166"/>
    <s v="w.anny.k@hotmail.com"/>
    <n v="300273703"/>
    <n v="16215176"/>
    <x v="2"/>
    <x v="2"/>
    <n v="30"/>
    <s v="VEIO FALTANDO"/>
    <m/>
    <m/>
    <d v="2026-06-23T16:20:34"/>
    <m/>
    <n v="483"/>
    <x v="1"/>
    <n v="0"/>
    <m/>
    <d v="2026-06-23T00:00:00"/>
    <x v="0"/>
  </r>
  <r>
    <x v="77"/>
    <s v="wag-almeida@hotmail.com"/>
    <n v="300274642"/>
    <n v="16423798"/>
    <x v="2"/>
    <x v="5"/>
    <n v="1162"/>
    <s v="filme para passante"/>
    <m/>
    <s v="esta acabando"/>
    <d v="2026-06-23T16:24:04"/>
    <m/>
    <n v="484"/>
    <x v="2"/>
    <n v="0"/>
    <m/>
    <d v="2026-06-23T00:00:00"/>
    <x v="0"/>
  </r>
  <r>
    <x v="77"/>
    <s v="wag-almeida@hotmail.com"/>
    <n v="300274642"/>
    <n v="16423798"/>
    <x v="2"/>
    <x v="2"/>
    <n v="40"/>
    <s v="INSUFICIENTE"/>
    <m/>
    <s v="NÃO É SUFICIENTE"/>
    <d v="2026-06-23T16:27:24"/>
    <m/>
    <n v="485"/>
    <x v="1"/>
    <n v="0"/>
    <m/>
    <d v="2026-06-23T00:00:00"/>
    <x v="0"/>
  </r>
  <r>
    <x v="171"/>
    <s v="confeccoesgbdas@hotmail.com"/>
    <n v="300261560"/>
    <n v="16481577"/>
    <x v="3"/>
    <x v="39"/>
    <n v="70"/>
    <s v="FALTARAM PARTES PARA COMPLETAR A ORDEM"/>
    <m/>
    <m/>
    <d v="2026-06-23T16:30:22"/>
    <m/>
    <n v="486"/>
    <x v="1"/>
    <n v="16481577"/>
    <m/>
    <d v="2026-06-23T00:00:00"/>
    <x v="0"/>
  </r>
  <r>
    <x v="32"/>
    <s v="di3confec@gmail.com"/>
    <n v="300272959"/>
    <n v="15699293"/>
    <x v="2"/>
    <x v="8"/>
    <n v="10"/>
    <s v="Material insuficiente para finalizar a ordem"/>
    <m/>
    <s v="código da cor 717"/>
    <d v="2026-06-23T16:54:34"/>
    <m/>
    <n v="487"/>
    <x v="1"/>
    <n v="10000063214"/>
    <m/>
    <d v="2026-06-23T00:00:00"/>
    <x v="0"/>
  </r>
  <r>
    <x v="54"/>
    <s v="deboraclothing.textil@gmail.com"/>
    <n v="300273028"/>
    <n v="15467783"/>
    <x v="3"/>
    <x v="31"/>
    <n v="90"/>
    <s v="INSUFICIENTE PARA FINALIZAR ORDEM "/>
    <m/>
    <s v="INSUFICIENTE PARA FINALIZAR ORDEM "/>
    <d v="2026-06-23T17:04:28"/>
    <m/>
    <n v="488"/>
    <x v="1"/>
    <n v="0"/>
    <m/>
    <d v="2026-06-23T00:00:00"/>
    <x v="0"/>
  </r>
  <r>
    <x v="49"/>
    <s v="s.ramosconfeccoes@gmail.com"/>
    <n v="300271097"/>
    <n v="16292987"/>
    <x v="2"/>
    <x v="13"/>
    <n v="98"/>
    <s v="Veio faltando 98 zíper "/>
    <m/>
    <s v="Veio faltando 98 ziper"/>
    <d v="2026-06-23T17:07:11"/>
    <m/>
    <n v="489"/>
    <x v="1"/>
    <n v="10000065698"/>
    <m/>
    <d v="2026-06-23T00:00:00"/>
    <x v="0"/>
  </r>
  <r>
    <x v="49"/>
    <s v="s.ramosconfeccoes@gmail.com"/>
    <n v="300271483"/>
    <n v="16380096"/>
    <x v="2"/>
    <x v="10"/>
    <n v="1178"/>
    <s v="Estamos sem papelão"/>
    <m/>
    <s v="Estamos sem papelão de gabarito"/>
    <d v="2026-06-23T17:13:05"/>
    <m/>
    <n v="490"/>
    <x v="2"/>
    <n v="0"/>
    <m/>
    <d v="2026-06-23T00:00:00"/>
    <x v="0"/>
  </r>
  <r>
    <x v="179"/>
    <s v="faccao_sales2010@hotmail.com"/>
    <n v="300270776"/>
    <n v="16212886"/>
    <x v="2"/>
    <x v="54"/>
    <n v="80"/>
    <s v="ERRO NO PROCESSO DE FABRICAÇÃO"/>
    <m/>
    <m/>
    <d v="2026-06-23T18:15:57"/>
    <m/>
    <n v="491"/>
    <x v="1"/>
    <s v="-"/>
    <m/>
    <d v="2026-06-23T00:00:00"/>
    <x v="0"/>
  </r>
  <r>
    <x v="179"/>
    <s v="faccao_sales2010@hotmail.com"/>
    <n v="300270776"/>
    <n v="16212886"/>
    <x v="2"/>
    <x v="17"/>
    <n v="80"/>
    <s v="ERRO NO PROCESSO DE FABRICAÇÃO"/>
    <m/>
    <m/>
    <d v="2026-06-23T18:17:17"/>
    <m/>
    <n v="492"/>
    <x v="1"/>
    <s v="-"/>
    <m/>
    <d v="2026-06-23T00:00:00"/>
    <x v="0"/>
  </r>
  <r>
    <x v="179"/>
    <s v="faccao_sales2010@hotmail.com"/>
    <n v="300248462"/>
    <n v="16323491"/>
    <x v="3"/>
    <x v="154"/>
    <n v="390"/>
    <s v="INSUFICIENTE PARA FINALIZAR A ORDEM"/>
    <m/>
    <m/>
    <d v="2026-06-23T18:19:00"/>
    <m/>
    <n v="493"/>
    <x v="1"/>
    <s v="-"/>
    <m/>
    <d v="2026-06-23T00:00:00"/>
    <x v="0"/>
  </r>
  <r>
    <x v="171"/>
    <s v="confeccoesgbdas@hotmail.com"/>
    <n v="300267541"/>
    <n v="16491246"/>
    <x v="3"/>
    <x v="51"/>
    <n v="50"/>
    <s v="NÃO TEM PEÇAS SUFICIENTE PARA FINALIZAR OP"/>
    <m/>
    <m/>
    <d v="2026-06-24T07:48:15"/>
    <m/>
    <n v="494"/>
    <x v="1"/>
    <n v="16491246"/>
    <m/>
    <d v="2026-06-24T00:00:00"/>
    <x v="0"/>
  </r>
  <r>
    <x v="171"/>
    <s v="confeccoesgbdas@hotmail.com"/>
    <n v="300274899"/>
    <n v="16273311"/>
    <x v="2"/>
    <x v="49"/>
    <n v="629"/>
    <s v="MATERIAL VEIO COM A QUANTIDADE DIVERGENTE"/>
    <m/>
    <s v="ENVIAR URGENTEMENTE!! POIS JA ESTOU PRA INICIAR NA ORDEM"/>
    <d v="2026-06-24T08:16:30"/>
    <m/>
    <n v="495"/>
    <x v="1"/>
    <s v="000000010000214518- 9.ETR37.048.BR9999 ETQ POOL JEANS 75X18 TAM 48BRA // 000000010000214517- 9.ETR37.046.BR9999 ETQ POOL JEANS 75X18 TAM 46BRA // 000000010000214515- 9.ETR37.042.BR9999 ETQ POOL JEANS 75X18 TAM 42BRA // 000000010000214512- 9.ETR37.040.BR9999 ETQ POOL JEANS 75X18 TAM 40BRA"/>
    <m/>
    <d v="2026-06-24T00:00:00"/>
    <x v="0"/>
  </r>
  <r>
    <x v="166"/>
    <s v="w.anny.k@hotmail.com"/>
    <n v="300272159"/>
    <n v="15128288"/>
    <x v="1"/>
    <x v="11"/>
    <n v="2"/>
    <s v="PRECISAMOS PARA O USO DA POLO "/>
    <m/>
    <s v="PRECISAMOS PARA O USO DA POLO"/>
    <d v="2026-06-24T08:22:18"/>
    <m/>
    <n v="496"/>
    <x v="2"/>
    <n v="0"/>
    <m/>
    <d v="2026-06-24T00:00:00"/>
    <x v="0"/>
  </r>
  <r>
    <x v="69"/>
    <s v="a.sempreendimentostextil@gmail.com"/>
    <n v="300271107"/>
    <n v="16508920"/>
    <x v="2"/>
    <x v="8"/>
    <s v="6 cones de linha"/>
    <s v="faltou"/>
    <m/>
    <s v="material insulficiente para terminar aordem"/>
    <d v="2026-06-24T09:14:07"/>
    <m/>
    <n v="497"/>
    <x v="1"/>
    <s v="LINHA 100%PES TÍT36 S.333 130403"/>
    <m/>
    <d v="2026-06-24T00:00:00"/>
    <x v="0"/>
  </r>
  <r>
    <x v="69"/>
    <s v="a.sempreendimentostextil@gmail.com"/>
    <n v="300271107"/>
    <n v="16508920"/>
    <x v="2"/>
    <x v="5"/>
    <n v="10"/>
    <s v="ACABOU"/>
    <m/>
    <s v="acabou o filme"/>
    <d v="2026-06-24T09:18:04"/>
    <m/>
    <n v="498"/>
    <x v="1"/>
    <n v="0"/>
    <m/>
    <d v="2026-06-24T00:00:00"/>
    <x v="0"/>
  </r>
  <r>
    <x v="162"/>
    <s v="faccaoello@hotmail.com"/>
    <n v="300274657"/>
    <n v="16218990"/>
    <x v="2"/>
    <x v="18"/>
    <n v="1085"/>
    <s v="Material não enviado pela Guararapes"/>
    <m/>
    <s v="NÃO VEIO NENHUM ELASTICO E NEM CODIGO"/>
    <d v="2026-06-24T09:27:39"/>
    <m/>
    <n v="499"/>
    <x v="2"/>
    <n v="0"/>
    <m/>
    <d v="2026-06-24T00:00:00"/>
    <x v="0"/>
  </r>
  <r>
    <x v="18"/>
    <s v="ebenezerindustriat@hotmail.com"/>
    <n v="300270964"/>
    <n v="16346408"/>
    <x v="3"/>
    <x v="2"/>
    <n v="591"/>
    <s v="MATERIAL NÃO ENVIADO PELA GUARARARPES"/>
    <m/>
    <s v="NÃO VEIO NENHUMA ETIQUETA DE COMPOSIÇÃO"/>
    <d v="2026-06-24T09:52:10"/>
    <m/>
    <n v="500"/>
    <x v="2"/>
    <n v="0"/>
    <m/>
    <d v="2026-06-24T00:00:00"/>
    <x v="0"/>
  </r>
  <r>
    <x v="164"/>
    <s v="auxiforte@hotmail.com"/>
    <n v="300269509"/>
    <n v="16229479"/>
    <x v="3"/>
    <x v="11"/>
    <n v="2"/>
    <s v="Pistolas falhando/travando - Agulhas cegas. "/>
    <m/>
    <s v="Pistolas falhando/travando - Agulhas cegas. "/>
    <d v="2026-06-24T10:05:35"/>
    <m/>
    <n v="501"/>
    <x v="2"/>
    <n v="0"/>
    <m/>
    <d v="2026-06-24T00:00:00"/>
    <x v="0"/>
  </r>
  <r>
    <x v="15"/>
    <s v="spauloazevedo@bol.com.br"/>
    <n v="300275038"/>
    <n v="16489985"/>
    <x v="2"/>
    <x v="2"/>
    <n v="12"/>
    <s v="Veio faltando"/>
    <m/>
    <s v="veio faltando"/>
    <d v="2026-06-24T10:21:40"/>
    <m/>
    <n v="502"/>
    <x v="1"/>
    <s v="etq de composição"/>
    <m/>
    <d v="2026-06-24T00:00:00"/>
    <x v="0"/>
  </r>
  <r>
    <x v="54"/>
    <s v="deboraclothing.textil@gmail.com"/>
    <n v="300274418"/>
    <n v="16441656"/>
    <x v="3"/>
    <x v="6"/>
    <n v="17"/>
    <s v="INSUFICIENTE PARA FINALIZAR ORDEM "/>
    <m/>
    <s v="INSUFICIENTE PARA FINALIZAR ORDEM "/>
    <d v="2026-06-24T10:31:27"/>
    <m/>
    <n v="503"/>
    <x v="1"/>
    <n v="0"/>
    <m/>
    <d v="2026-06-24T00:00:00"/>
    <x v="0"/>
  </r>
  <r>
    <x v="162"/>
    <s v="faccaoello@hotmail.com"/>
    <n v="300270777"/>
    <n v="16448421"/>
    <x v="2"/>
    <x v="2"/>
    <n v="3"/>
    <s v="Material não enviado pela Guararapes"/>
    <m/>
    <m/>
    <d v="2026-06-24T10:38:20"/>
    <m/>
    <n v="504"/>
    <x v="1"/>
    <n v="0"/>
    <m/>
    <d v="2026-06-24T00:00:00"/>
    <x v="0"/>
  </r>
  <r>
    <x v="196"/>
    <s v="samuelmedeiros074@hotmail.com"/>
    <n v="300274214"/>
    <n v="16295064"/>
    <x v="2"/>
    <x v="17"/>
    <n v="25"/>
    <s v="ERRO NO PROCSSO"/>
    <m/>
    <m/>
    <d v="2026-06-24T10:53:00"/>
    <m/>
    <n v="505"/>
    <x v="1"/>
    <s v="."/>
    <m/>
    <d v="2026-06-24T00:00:00"/>
    <x v="0"/>
  </r>
  <r>
    <x v="3"/>
    <s v="qualidade@solybrasil.com.br"/>
    <n v="300000000"/>
    <n v="300000000"/>
    <x v="3"/>
    <x v="11"/>
    <n v="20"/>
    <s v="agulha para pistola pois a que tinhamos em estoque foi da primeira vez que veio e acabou!"/>
    <m/>
    <s v="agulha para pistola pois a que tinhamos em estoque foi da primeira vez que veio e acabou!"/>
    <d v="2026-06-24T11:06:28"/>
    <m/>
    <n v="506"/>
    <x v="2"/>
    <s v="agulha para pistola "/>
    <m/>
    <d v="2026-06-24T00:00:00"/>
    <x v="0"/>
  </r>
  <r>
    <x v="174"/>
    <s v="jakeline.jl.confeccoes@gmail.com"/>
    <n v="300273726"/>
    <n v="16447565"/>
    <x v="2"/>
    <x v="8"/>
    <n v="0"/>
    <s v="RECEBEMOS TODOS OS INSUMOS, LINHAS E ETIQUETAS DE UMA OUTRA ORDEM."/>
    <m/>
    <s v="RECEBEMOS TODOS OS INSUMOS, LINHAS E ETIQUETAS DE UMA OUTRA ORDEM."/>
    <d v="2026-06-24T11:12:38"/>
    <m/>
    <n v="507"/>
    <x v="2"/>
    <n v="0"/>
    <m/>
    <d v="2026-06-24T00:00:00"/>
    <x v="0"/>
  </r>
  <r>
    <x v="199"/>
    <s v="confeccoesjsltda@outlook.com"/>
    <n v="300271106"/>
    <n v="16519710"/>
    <x v="2"/>
    <x v="38"/>
    <s v="Todos os forros da ordem (1.125) vou mandar a foto da guia para se orientar tamanhos e quantidades "/>
    <s v="Os forros eram crus e vieram marrom"/>
    <m/>
    <m/>
    <d v="2026-06-24T11:24:28"/>
    <m/>
    <n v="508"/>
    <x v="2"/>
    <n v="243945"/>
    <m/>
    <d v="2026-06-24T00:00:00"/>
    <x v="0"/>
  </r>
  <r>
    <x v="11"/>
    <s v="S.a.confeccoesind@gmail.com"/>
    <n v="300272529"/>
    <n v="16212860"/>
    <x v="2"/>
    <x v="2"/>
    <n v="19"/>
    <s v="Material insuficiente para finalizar OP"/>
    <m/>
    <s v="15 unidades 4 anos e 4 unidades 1 ano"/>
    <d v="2026-06-24T13:09:54"/>
    <m/>
    <n v="509"/>
    <x v="1"/>
    <n v="0"/>
    <m/>
    <d v="2026-06-24T00:00:00"/>
    <x v="0"/>
  </r>
  <r>
    <x v="175"/>
    <s v="confeccaogenesisltda@gmail.com"/>
    <n v="300272639"/>
    <n v="16547934"/>
    <x v="0"/>
    <x v="155"/>
    <s v="20 FIO 20 LINHAS"/>
    <s v="INSUFICIENTE PARA DISTRIBUIR NAS MAQUINAS E NAO SERÁ SUFICIENTE PARA FINALIZAR A ORDEM"/>
    <m/>
    <m/>
    <d v="2026-06-24T13:15:00"/>
    <m/>
    <n v="510"/>
    <x v="1"/>
    <n v="0"/>
    <m/>
    <d v="2026-06-24T00:00:00"/>
    <x v="0"/>
  </r>
  <r>
    <x v="193"/>
    <s v="ajgconfeccoes2021@gmail.com"/>
    <n v="300263684"/>
    <n v="16474090"/>
    <x v="2"/>
    <x v="2"/>
    <n v="100"/>
    <s v="faltou 100 etiquetas de composição tamanho 36 "/>
    <m/>
    <s v="faltou "/>
    <d v="2026-06-24T13:39:47"/>
    <m/>
    <n v="511"/>
    <x v="1"/>
    <s v="n tem "/>
    <m/>
    <d v="2026-06-24T00:00:00"/>
    <x v="0"/>
  </r>
  <r>
    <x v="171"/>
    <s v="confeccoesgbdas@hotmail.com"/>
    <n v="300271507"/>
    <n v="16217845"/>
    <x v="2"/>
    <x v="39"/>
    <n v="108"/>
    <s v="FALTA DE PEÇAS PARA FINALIZAR A ORDEM"/>
    <m/>
    <m/>
    <d v="2026-06-24T13:55:56"/>
    <m/>
    <n v="512"/>
    <x v="1"/>
    <n v="16217845"/>
    <m/>
    <d v="2026-06-24T00:00:00"/>
    <x v="0"/>
  </r>
  <r>
    <x v="171"/>
    <s v="confeccoesgbdas@hotmail.com"/>
    <n v="300271507"/>
    <n v="16217845"/>
    <x v="2"/>
    <x v="26"/>
    <n v="54"/>
    <s v="FALTA DE PARTES PARA COMPLETAR A ORDEM"/>
    <m/>
    <m/>
    <d v="2026-06-24T13:57:17"/>
    <m/>
    <n v="513"/>
    <x v="1"/>
    <n v="16217845"/>
    <m/>
    <d v="2026-06-24T00:00:00"/>
    <x v="0"/>
  </r>
  <r>
    <x v="171"/>
    <s v="confeccoesgbdas@hotmmail.com"/>
    <n v="300271507"/>
    <n v="16217845"/>
    <x v="2"/>
    <x v="17"/>
    <n v="54"/>
    <s v="FALTA DE PARTES PARA COMPLETAR A ORDEM"/>
    <m/>
    <m/>
    <d v="2026-06-24T13:58:22"/>
    <m/>
    <n v="514"/>
    <x v="1"/>
    <n v="16217845"/>
    <m/>
    <d v="2026-06-24T00:00:00"/>
    <x v="0"/>
  </r>
  <r>
    <x v="171"/>
    <s v="confeccoesgbdas@hotmail.com"/>
    <n v="300271507"/>
    <n v="16217845"/>
    <x v="2"/>
    <x v="16"/>
    <n v="54"/>
    <s v="FALTA DE PARTES PARA COMPLETAR A ORDEM"/>
    <m/>
    <m/>
    <d v="2026-06-24T13:59:25"/>
    <m/>
    <n v="515"/>
    <x v="1"/>
    <n v="16217845"/>
    <m/>
    <d v="2026-06-24T00:00:00"/>
    <x v="0"/>
  </r>
  <r>
    <x v="171"/>
    <s v="confeccoesgbdas@hotmail.com"/>
    <n v="300271507"/>
    <n v="16217845"/>
    <x v="2"/>
    <x v="50"/>
    <n v="54"/>
    <s v="FALTA DE PARTES PARA COMPLETAR A ORDEM"/>
    <m/>
    <m/>
    <d v="2026-06-24T14:01:01"/>
    <m/>
    <n v="516"/>
    <x v="1"/>
    <n v="16217845"/>
    <m/>
    <d v="2026-06-24T00:00:00"/>
    <x v="0"/>
  </r>
  <r>
    <x v="171"/>
    <s v="confeccoesgbdas@hotmail.com"/>
    <n v="300271507"/>
    <n v="16217845"/>
    <x v="2"/>
    <x v="2"/>
    <n v="54"/>
    <s v="FALTA DE PARTES PARA COMPLETAR A ORDEM"/>
    <m/>
    <m/>
    <d v="2026-06-24T14:02:25"/>
    <m/>
    <n v="517"/>
    <x v="1"/>
    <n v="16217845"/>
    <m/>
    <d v="2026-06-24T00:00:00"/>
    <x v="0"/>
  </r>
  <r>
    <x v="144"/>
    <s v="fiosdosertao01@gmail.com"/>
    <n v="300268698"/>
    <n v="16474058"/>
    <x v="2"/>
    <x v="5"/>
    <n v="10"/>
    <s v="insuficiente para acabar a op"/>
    <m/>
    <s v="filme para fusionar passante, madar 10 unidades que serve para a matriz e filial "/>
    <d v="2026-06-24T14:03:52"/>
    <m/>
    <n v="518"/>
    <x v="2"/>
    <n v="0"/>
    <m/>
    <d v="2026-06-24T00:00:00"/>
    <x v="0"/>
  </r>
  <r>
    <x v="171"/>
    <s v="confeccoesgbdas@hotmail.com"/>
    <n v="300271507"/>
    <n v="16217845"/>
    <x v="2"/>
    <x v="44"/>
    <n v="54"/>
    <s v="FALTA DE PARTES PARA COMPLETAR A ORDEM"/>
    <m/>
    <m/>
    <d v="2026-06-24T14:03:56"/>
    <m/>
    <n v="519"/>
    <x v="1"/>
    <n v="16217845"/>
    <m/>
    <d v="2026-06-24T00:00:00"/>
    <x v="0"/>
  </r>
  <r>
    <x v="171"/>
    <s v="confeccoesgbdas@hotmail.com"/>
    <n v="300271507"/>
    <n v="16217845"/>
    <x v="2"/>
    <x v="51"/>
    <n v="54"/>
    <s v="FALTA DE PARTES PARA COMPLETAR A ORDEM"/>
    <m/>
    <m/>
    <d v="2026-06-24T14:05:10"/>
    <m/>
    <n v="520"/>
    <x v="1"/>
    <n v="16217845"/>
    <m/>
    <d v="2026-06-24T00:00:00"/>
    <x v="0"/>
  </r>
  <r>
    <x v="171"/>
    <s v="confeccoesgbdas@hotmail.com"/>
    <n v="300271507"/>
    <n v="16217845"/>
    <x v="2"/>
    <x v="55"/>
    <n v="54"/>
    <s v="FALTA DE PARTES PARA COMPLETAR A ORDEM"/>
    <m/>
    <m/>
    <d v="2026-06-24T14:06:29"/>
    <m/>
    <n v="521"/>
    <x v="1"/>
    <n v="16217845"/>
    <m/>
    <d v="2026-06-24T00:00:00"/>
    <x v="0"/>
  </r>
  <r>
    <x v="171"/>
    <s v="confeccoesgbdas@hotmail.com"/>
    <n v="300271507"/>
    <n v="16217845"/>
    <x v="2"/>
    <x v="24"/>
    <n v="54"/>
    <s v="FALTA DE PARTES PARA COMPLETAR A ORDEM"/>
    <m/>
    <m/>
    <d v="2026-06-24T14:07:22"/>
    <m/>
    <n v="522"/>
    <x v="1"/>
    <n v="16217845"/>
    <m/>
    <d v="2026-06-24T00:00:00"/>
    <x v="0"/>
  </r>
  <r>
    <x v="171"/>
    <s v="confeccoesgbdas@hotmail.com"/>
    <n v="300271507"/>
    <n v="16217845"/>
    <x v="2"/>
    <x v="49"/>
    <n v="55"/>
    <s v="FALTA DE PARTES PARA COMPLETAR A ORDEM"/>
    <m/>
    <m/>
    <d v="2026-06-24T14:23:59"/>
    <m/>
    <n v="523"/>
    <x v="1"/>
    <s v="000000010000216489- 9.ETR07.14A.BR9999 ETQ RCHLO BOTTOM INFANTIL65X18 13- 14BR"/>
    <m/>
    <d v="2026-06-24T00:00:00"/>
    <x v="0"/>
  </r>
  <r>
    <x v="175"/>
    <s v="confeccaogenesisltda@gmail.com"/>
    <n v="300273663"/>
    <n v="15396746"/>
    <x v="3"/>
    <x v="4"/>
    <n v="270"/>
    <s v="VEIO FALTANDO"/>
    <m/>
    <m/>
    <d v="2026-06-24T14:39:05"/>
    <m/>
    <n v="524"/>
    <x v="1"/>
    <n v="0"/>
    <m/>
    <d v="2026-06-24T00:00:00"/>
    <x v="0"/>
  </r>
  <r>
    <x v="179"/>
    <s v="faccao_sales2010@hotmail.com"/>
    <n v="300000000"/>
    <n v="0"/>
    <x v="2"/>
    <x v="10"/>
    <n v="1"/>
    <s v="REPOSIÇÃO"/>
    <m/>
    <m/>
    <d v="2026-06-24T14:49:08"/>
    <m/>
    <n v="525"/>
    <x v="2"/>
    <n v="0"/>
    <m/>
    <d v="2026-06-24T00:00:00"/>
    <x v="0"/>
  </r>
  <r>
    <x v="35"/>
    <s v="lupercio-fnb@hotmail.com"/>
    <n v="300272979"/>
    <n v="16473965"/>
    <x v="2"/>
    <x v="13"/>
    <n v="10"/>
    <s v="Faltando ziper para finalização de ordem"/>
    <m/>
    <s v="Precisamos para amanhã."/>
    <d v="2026-06-24T16:23:16"/>
    <m/>
    <n v="526"/>
    <x v="1"/>
    <n v="10000065169"/>
    <m/>
    <d v="2026-06-24T00:00:00"/>
    <x v="0"/>
  </r>
  <r>
    <x v="171"/>
    <s v="confeccoesgbdas@hotmail.com"/>
    <n v="300267542"/>
    <n v="16491246"/>
    <x v="3"/>
    <x v="4"/>
    <n v="200"/>
    <s v="FALTARAM ETIQUETAS PARA COMPLETAR A ORDEM"/>
    <m/>
    <m/>
    <d v="2026-06-24T16:43:11"/>
    <m/>
    <n v="527"/>
    <x v="1"/>
    <n v="16941246"/>
    <m/>
    <d v="2026-06-24T00:00:00"/>
    <x v="0"/>
  </r>
  <r>
    <x v="168"/>
    <s v="jucurututextil@gmail.com"/>
    <n v="300271513"/>
    <n v="16482204"/>
    <x v="2"/>
    <x v="26"/>
    <n v="76"/>
    <s v="não veio"/>
    <m/>
    <s v="Não veio 25 pares de pala do N°40 do 3° Enfesto, 34  pares de pala do N°38 do 3°Enfesto , 17 pares de pala do N°38 do 4°Enfesto"/>
    <d v="2026-06-24T17:39:05"/>
    <m/>
    <n v="528"/>
    <x v="2"/>
    <n v="0"/>
    <m/>
    <d v="2026-06-24T00:00:00"/>
    <x v="0"/>
  </r>
  <r>
    <x v="195"/>
    <s v="limaconfeccoes78@gmail.com"/>
    <n v="300267461"/>
    <n v="15773442"/>
    <x v="2"/>
    <x v="49"/>
    <n v="1230"/>
    <s v="Trocar etiquetas de um rejeito"/>
    <m/>
    <s v="Preciso de todas as etiquetas de tamanho dessa ordem, para fazer a troca de um rejeito."/>
    <d v="2026-06-25T07:19:29"/>
    <m/>
    <n v="529"/>
    <x v="2"/>
    <n v="0"/>
    <m/>
    <d v="2026-06-25T00:00:00"/>
    <x v="0"/>
  </r>
  <r>
    <x v="166"/>
    <s v="w.anny.k@hotmail.com"/>
    <n v="300274886"/>
    <n v="15859096"/>
    <x v="2"/>
    <x v="2"/>
    <n v="35"/>
    <s v="VEIO FALTANDO"/>
    <m/>
    <m/>
    <d v="2026-06-25T07:34:32"/>
    <m/>
    <n v="530"/>
    <x v="1"/>
    <n v="0"/>
    <m/>
    <d v="2026-06-25T00:00:00"/>
    <x v="0"/>
  </r>
  <r>
    <x v="166"/>
    <s v="w.anny.k@hotmail.com"/>
    <n v="300274886"/>
    <n v="15859096"/>
    <x v="2"/>
    <x v="74"/>
    <n v="20"/>
    <s v="VEIO FALTANDO"/>
    <m/>
    <m/>
    <d v="2026-06-25T07:40:09"/>
    <m/>
    <n v="531"/>
    <x v="1"/>
    <n v="10000212591"/>
    <m/>
    <d v="2026-06-25T00:00:00"/>
    <x v="0"/>
  </r>
  <r>
    <x v="50"/>
    <s v="mkdeazevedomedeiros@gmail.com"/>
    <n v="300270315"/>
    <n v="16473965"/>
    <x v="2"/>
    <x v="12"/>
    <n v="456"/>
    <s v="NÃO ENVIADO PELA GUARARAPES"/>
    <m/>
    <m/>
    <d v="2026-06-25T08:34:14"/>
    <m/>
    <n v="532"/>
    <x v="1"/>
    <s v="-"/>
    <m/>
    <d v="2026-06-25T00:00:00"/>
    <x v="0"/>
  </r>
  <r>
    <x v="178"/>
    <s v="faccao_sales2010@hotmail.com"/>
    <n v="300272242"/>
    <n v="16218299"/>
    <x v="2"/>
    <x v="18"/>
    <n v="500"/>
    <s v="INSUFICIENTE PARA FINALIZAR A OP"/>
    <m/>
    <m/>
    <d v="2026-06-25T09:03:00"/>
    <m/>
    <n v="533"/>
    <x v="1"/>
    <s v="-"/>
    <m/>
    <d v="2026-06-25T00:00:00"/>
    <x v="0"/>
  </r>
  <r>
    <x v="32"/>
    <s v="di3confec@gmail.com"/>
    <n v="300274226"/>
    <n v="16219449"/>
    <x v="2"/>
    <x v="8"/>
    <n v="10"/>
    <s v="Material insuficiente"/>
    <m/>
    <s v="TIT: 80 COR: 714"/>
    <d v="2026-06-25T09:17:53"/>
    <m/>
    <n v="534"/>
    <x v="1"/>
    <n v="10000063032"/>
    <m/>
    <d v="2026-06-25T00:00:00"/>
    <x v="0"/>
  </r>
  <r>
    <x v="200"/>
    <s v="g4confeccao@gmail.com"/>
    <n v="300274643"/>
    <n v="16488393"/>
    <x v="2"/>
    <x v="8"/>
    <n v="50000"/>
    <s v="Linha insuficiente para finalizar a ordem"/>
    <m/>
    <s v="Ordem já em produção "/>
    <d v="2026-06-25T09:21:24"/>
    <m/>
    <n v="535"/>
    <x v="1"/>
    <n v="10000063032"/>
    <m/>
    <d v="2026-06-25T00:00:00"/>
    <x v="0"/>
  </r>
  <r>
    <x v="23"/>
    <s v="reposicoesjkmodas@gmail.com"/>
    <n v="300271751"/>
    <n v="16488229"/>
    <x v="2"/>
    <x v="8"/>
    <n v="10"/>
    <s v="INSUFICIENTE PARA A ORDEM"/>
    <m/>
    <m/>
    <d v="2026-06-25T09:26:21"/>
    <m/>
    <n v="536"/>
    <x v="1"/>
    <s v="10000072834 / 10000062489"/>
    <m/>
    <d v="2026-06-25T00:00:00"/>
    <x v="0"/>
  </r>
  <r>
    <x v="78"/>
    <s v="ocalves3@gmail.com"/>
    <n v="300270370"/>
    <n v="16187741"/>
    <x v="2"/>
    <x v="17"/>
    <n v="150"/>
    <s v="VEIO ERRADO "/>
    <m/>
    <s v="O CÓS É INTERNO "/>
    <d v="2026-06-25T09:30:55"/>
    <m/>
    <n v="537"/>
    <x v="1"/>
    <s v="CÓS"/>
    <m/>
    <d v="2026-06-25T00:00:00"/>
    <x v="0"/>
  </r>
  <r>
    <x v="201"/>
    <s v="marionetemedeiros2@hotmail.com"/>
    <n v="300271823"/>
    <n v="16075951"/>
    <x v="2"/>
    <x v="10"/>
    <n v="1"/>
    <s v="Não temos papelão "/>
    <m/>
    <s v="Papelão para gabaritos"/>
    <d v="2026-06-25T09:54:08"/>
    <m/>
    <n v="538"/>
    <x v="1"/>
    <n v="1"/>
    <m/>
    <d v="2026-06-25T00:00:00"/>
    <x v="0"/>
  </r>
  <r>
    <x v="178"/>
    <s v="faccao_sales2010@hotmail.com"/>
    <n v="300272602"/>
    <n v="16333675"/>
    <x v="3"/>
    <x v="4"/>
    <n v="1200"/>
    <s v="NAO ENVIADO PELA GUARARAPES"/>
    <m/>
    <m/>
    <d v="2026-06-25T10:02:31"/>
    <m/>
    <n v="539"/>
    <x v="2"/>
    <s v="-"/>
    <m/>
    <d v="2026-06-25T00:00:00"/>
    <x v="0"/>
  </r>
  <r>
    <x v="178"/>
    <s v="faccao_sales2010@hotmail.com"/>
    <n v="300272602"/>
    <n v="16333675"/>
    <x v="3"/>
    <x v="9"/>
    <n v="1200"/>
    <s v="NÃO ENVIADO PELA GUARARAPES"/>
    <m/>
    <m/>
    <d v="2026-06-25T10:17:04"/>
    <m/>
    <n v="540"/>
    <x v="2"/>
    <s v="-"/>
    <m/>
    <d v="2026-06-25T00:00:00"/>
    <x v="0"/>
  </r>
  <r>
    <x v="35"/>
    <s v="lupercio-fnb@hotmail.com"/>
    <n v="300273271"/>
    <n v="16520050"/>
    <x v="2"/>
    <x v="13"/>
    <s v="8 tamanho 17"/>
    <s v="FALTANDO"/>
    <m/>
    <s v="Precisando o mais rápido possível."/>
    <d v="2026-06-25T12:31:58"/>
    <m/>
    <n v="541"/>
    <x v="1"/>
    <n v="100000241456"/>
    <m/>
    <d v="2026-06-25T00:00:00"/>
    <x v="0"/>
  </r>
  <r>
    <x v="21"/>
    <s v="potengitextil@outlook.com.br"/>
    <n v="300271268"/>
    <n v="16114159"/>
    <x v="2"/>
    <x v="10"/>
    <n v="1479"/>
    <s v="Insuficiente para finalizar op "/>
    <m/>
    <s v="Material acabou na oficina "/>
    <d v="2026-06-25T12:57:05"/>
    <m/>
    <n v="542"/>
    <x v="2"/>
    <n v="0"/>
    <m/>
    <d v="2026-06-25T00:00:00"/>
    <x v="0"/>
  </r>
  <r>
    <x v="202"/>
    <s v="ferreiraaraujoconfeccoes@gmail.com"/>
    <n v="300273324"/>
    <n v="16523741"/>
    <x v="2"/>
    <x v="5"/>
    <n v="9000"/>
    <s v="Está faltando "/>
    <m/>
    <s v="Precisa com urgência do plástico filme."/>
    <d v="2026-06-25T13:16:25"/>
    <m/>
    <n v="543"/>
    <x v="2"/>
    <n v="0"/>
    <m/>
    <d v="2026-06-25T00:00:00"/>
    <x v="0"/>
  </r>
  <r>
    <x v="21"/>
    <s v="potengitextil@outlook.com.br"/>
    <n v="300272584"/>
    <n v="16243730"/>
    <x v="2"/>
    <x v="13"/>
    <n v="5"/>
    <s v="Insuficiente para finalizar op "/>
    <m/>
    <s v="5 zíper tamanho 12cm "/>
    <d v="2026-06-25T14:15:58"/>
    <m/>
    <n v="544"/>
    <x v="1"/>
    <n v="10000211582"/>
    <m/>
    <d v="2026-06-25T00:00:00"/>
    <x v="0"/>
  </r>
  <r>
    <x v="21"/>
    <s v="potengitextil@outlook.com.br"/>
    <n v="300272584"/>
    <n v="16243730"/>
    <x v="2"/>
    <x v="3"/>
    <n v="10"/>
    <s v="Insuficiente para finalizar ordem "/>
    <m/>
    <m/>
    <d v="2026-06-25T14:18:32"/>
    <m/>
    <n v="545"/>
    <x v="1"/>
    <n v="10000248118"/>
    <m/>
    <d v="2026-06-25T00:00:00"/>
    <x v="0"/>
  </r>
  <r>
    <x v="21"/>
    <s v="potengitextil@outlook.com.br"/>
    <n v="300273781"/>
    <n v="15359492"/>
    <x v="1"/>
    <x v="6"/>
    <n v="55"/>
    <s v="Insuficiente para finalizar ordem "/>
    <m/>
    <s v="Golas de camisas polo "/>
    <d v="2026-06-25T14:22:48"/>
    <m/>
    <n v="546"/>
    <x v="1"/>
    <n v="0"/>
    <m/>
    <d v="2026-06-25T00:00:00"/>
    <x v="0"/>
  </r>
  <r>
    <x v="179"/>
    <s v="faccao_sales2010@hotmail.com"/>
    <n v="300271816"/>
    <n v="16243200"/>
    <x v="2"/>
    <x v="23"/>
    <n v="561"/>
    <s v="NÃO ENVIADO PELA GUARARAPES"/>
    <m/>
    <m/>
    <d v="2026-06-25T14:24:04"/>
    <m/>
    <n v="547"/>
    <x v="2"/>
    <s v="-"/>
    <m/>
    <d v="2026-06-25T00:00:00"/>
    <x v="0"/>
  </r>
  <r>
    <x v="3"/>
    <s v="qualidade@solybrasil.com.br"/>
    <n v="300273654"/>
    <n v="16472667"/>
    <x v="3"/>
    <x v="31"/>
    <n v="100"/>
    <s v="faltou no tamanho 13-14"/>
    <m/>
    <s v="Não veio suficiente pra o tamanho "/>
    <d v="2026-06-25T14:24:28"/>
    <m/>
    <n v="548"/>
    <x v="2"/>
    <s v="tag de preço "/>
    <m/>
    <d v="2026-06-25T00:00:00"/>
    <x v="0"/>
  </r>
  <r>
    <x v="179"/>
    <s v="faccao_sales2010@hotmail.com"/>
    <n v="300271817"/>
    <n v="16243200"/>
    <x v="2"/>
    <x v="23"/>
    <n v="585"/>
    <s v="NÃO ENVIADO PELA GUARARAPES"/>
    <m/>
    <m/>
    <d v="2026-06-25T14:25:12"/>
    <m/>
    <n v="549"/>
    <x v="2"/>
    <s v="-"/>
    <m/>
    <d v="2026-06-25T00:00:00"/>
    <x v="0"/>
  </r>
  <r>
    <x v="199"/>
    <s v="confeccoesjsltda@outlook.com"/>
    <n v="300275453"/>
    <n v="16518730"/>
    <x v="2"/>
    <x v="13"/>
    <n v="60"/>
    <s v="Veio trocado com uns 15"/>
    <m/>
    <m/>
    <d v="2026-06-25T15:11:05"/>
    <m/>
    <n v="550"/>
    <x v="1"/>
    <n v="241455"/>
    <m/>
    <d v="2026-06-25T00:00:00"/>
    <x v="0"/>
  </r>
  <r>
    <x v="144"/>
    <s v="fiosdosertao01@gmail.com"/>
    <n v="300264848"/>
    <n v="15773400"/>
    <x v="2"/>
    <x v="7"/>
    <n v="100"/>
    <s v="insuficiente para finalizar a op "/>
    <m/>
    <s v="mandar suficiente para as duas oficinas. "/>
    <d v="2026-06-25T15:58:24"/>
    <m/>
    <n v="551"/>
    <x v="2"/>
    <n v="0"/>
    <m/>
    <d v="2026-06-25T00:00:00"/>
    <x v="0"/>
  </r>
  <r>
    <x v="21"/>
    <s v="potengitextil@outlook.com.br"/>
    <n v="300269896"/>
    <n v="16461665"/>
    <x v="3"/>
    <x v="4"/>
    <n v="1104"/>
    <s v="Veio errado "/>
    <m/>
    <s v="Veio errado o material é tamanho "/>
    <d v="2026-06-25T16:09:09"/>
    <m/>
    <n v="552"/>
    <x v="2"/>
    <n v="0"/>
    <m/>
    <d v="2026-06-25T00:00:00"/>
    <x v="0"/>
  </r>
  <r>
    <x v="21"/>
    <s v="potengitextil@outlook.com.br"/>
    <n v="300271538"/>
    <n v="16430301"/>
    <x v="2"/>
    <x v="2"/>
    <n v="13"/>
    <s v="Insuficiente para finalizar ordem "/>
    <m/>
    <s v="Falta para finalizar ordem "/>
    <d v="2026-06-25T16:11:17"/>
    <m/>
    <n v="553"/>
    <x v="1"/>
    <n v="0"/>
    <m/>
    <d v="2026-06-25T00:00:00"/>
    <x v="0"/>
  </r>
  <r>
    <x v="11"/>
    <s v="S.a.confeccoesind@gmail.com"/>
    <n v="300271508"/>
    <n v="16508971"/>
    <x v="2"/>
    <x v="13"/>
    <n v="162"/>
    <s v="enviado errado pela guararapes"/>
    <m/>
    <s v="ziper tamanho 13. O que veio na OP é diferente dos outros."/>
    <d v="2026-06-25T16:14:20"/>
    <m/>
    <n v="554"/>
    <x v="1"/>
    <s v="000000010000065075 - 9.Z0127.013.190512"/>
    <m/>
    <d v="2026-06-25T00:00:00"/>
    <x v="0"/>
  </r>
  <r>
    <x v="70"/>
    <s v="novaconfeccoes2.0@hotmail.com"/>
    <n v="300269324"/>
    <n v="16520157"/>
    <x v="2"/>
    <x v="7"/>
    <n v="100"/>
    <s v="REPOSIÇÃO"/>
    <m/>
    <s v="LACRES"/>
    <d v="2026-06-25T16:28:05"/>
    <m/>
    <n v="555"/>
    <x v="2"/>
    <n v="0"/>
    <m/>
    <d v="2026-06-25T00:00:00"/>
    <x v="0"/>
  </r>
  <r>
    <x v="166"/>
    <s v="w.anny.k@hotmail.com"/>
    <n v="300275007"/>
    <n v="16294882"/>
    <x v="2"/>
    <x v="2"/>
    <n v="25"/>
    <s v="VEIO FALTANDO"/>
    <m/>
    <m/>
    <d v="2026-06-25T16:47:06"/>
    <m/>
    <n v="556"/>
    <x v="1"/>
    <n v="0"/>
    <m/>
    <d v="2026-06-25T00:00:00"/>
    <x v="0"/>
  </r>
  <r>
    <x v="203"/>
    <s v="jolitextilfabrica@gmail.com"/>
    <n v="300268232"/>
    <n v="16499638"/>
    <x v="3"/>
    <x v="8"/>
    <s v="6 fios e 10 linhas"/>
    <s v="Quantidade insuficiente"/>
    <m/>
    <m/>
    <d v="2026-06-25T17:03:05"/>
    <m/>
    <n v="557"/>
    <x v="1"/>
    <s v="0962 00746"/>
    <m/>
    <d v="2026-06-25T00:00:00"/>
    <x v="0"/>
  </r>
  <r>
    <x v="24"/>
    <s v="maxwelaaraujo7@gmail.com"/>
    <n v="300272164"/>
    <n v="15128288"/>
    <x v="1"/>
    <x v="20"/>
    <n v="200"/>
    <s v="MATERIAL INSULFICIENTE PARA FINALIZAR OM"/>
    <m/>
    <m/>
    <d v="2026-06-25T18:26:30"/>
    <m/>
    <n v="558"/>
    <x v="1"/>
    <n v="0"/>
    <m/>
    <d v="2026-06-25T00:00:00"/>
    <x v="0"/>
  </r>
  <r>
    <x v="24"/>
    <s v="maxwelaaraujo7@gmail.com"/>
    <n v="300272164"/>
    <n v="15128288"/>
    <x v="1"/>
    <x v="6"/>
    <n v="100"/>
    <s v="MATERIAL INSULFICIENTE PARA FINALIZAR OM"/>
    <m/>
    <m/>
    <d v="2026-06-25T18:28:10"/>
    <m/>
    <n v="559"/>
    <x v="1"/>
    <n v="0"/>
    <m/>
    <d v="2026-06-25T00:00:00"/>
    <x v="0"/>
  </r>
  <r>
    <x v="24"/>
    <s v="maxwelaaraujo7@gmail.com"/>
    <n v="300272164"/>
    <n v="15128288"/>
    <x v="1"/>
    <x v="154"/>
    <n v="200"/>
    <s v="MATERIAL INSULFICIENTE PARA FINALIZAR OM"/>
    <m/>
    <m/>
    <d v="2026-06-25T18:29:29"/>
    <m/>
    <n v="560"/>
    <x v="1"/>
    <n v="0"/>
    <m/>
    <d v="2026-06-25T00:00:00"/>
    <x v="0"/>
  </r>
  <r>
    <x v="26"/>
    <s v="cabugiconfeccoes.adm@gmail.com"/>
    <n v="300270257"/>
    <n v="16508882"/>
    <x v="2"/>
    <x v="155"/>
    <s v="4 CONES DE LINHA"/>
    <s v="INSUFICIENTE PARA CONCLUIR A OP"/>
    <m/>
    <s v="4 CONES DE LINHA"/>
    <d v="2026-06-25T21:35:36"/>
    <m/>
    <n v="561"/>
    <x v="2"/>
    <n v="10000211617"/>
    <m/>
    <d v="2026-06-25T00:00:00"/>
    <x v="0"/>
  </r>
  <r>
    <x v="162"/>
    <s v="faccaoello@hotmail.com"/>
    <n v="300273723"/>
    <n v="16243005"/>
    <x v="2"/>
    <x v="2"/>
    <n v="137"/>
    <s v="Material não enviado pela Guararapes"/>
    <m/>
    <m/>
    <d v="2026-06-26T07:21:53"/>
    <m/>
    <n v="562"/>
    <x v="1"/>
    <n v="0"/>
    <m/>
    <d v="2026-06-26T00:00:00"/>
    <x v="0"/>
  </r>
  <r>
    <x v="166"/>
    <s v="w.anny.k@hotmail.com"/>
    <n v="300275005"/>
    <n v="16294882"/>
    <x v="2"/>
    <x v="2"/>
    <n v="25"/>
    <s v="VEIO FALTANDO NA ORDEM "/>
    <m/>
    <m/>
    <d v="2026-06-26T07:26:44"/>
    <m/>
    <n v="563"/>
    <x v="1"/>
    <n v="0"/>
    <m/>
    <d v="2026-06-26T00:00:00"/>
    <x v="0"/>
  </r>
  <r>
    <x v="75"/>
    <s v="maciel.dalison@hotmail.com"/>
    <n v="300271745"/>
    <n v="16051491"/>
    <x v="2"/>
    <x v="2"/>
    <n v="50"/>
    <s v="não veio"/>
    <m/>
    <s v="ultimamente todas as ordens vem faltando etiquetas de composição "/>
    <d v="2026-06-26T07:52:16"/>
    <m/>
    <n v="564"/>
    <x v="1"/>
    <n v="0"/>
    <m/>
    <d v="2026-06-26T00:00:00"/>
    <x v="0"/>
  </r>
  <r>
    <x v="118"/>
    <s v="fjdeazevedo@hotmail.com"/>
    <n v="300273328"/>
    <n v="16523741"/>
    <x v="2"/>
    <x v="5"/>
    <s v="20 Rolos"/>
    <s v="Acabou na oficina"/>
    <m/>
    <s v="Material Acabou na Oficina"/>
    <d v="2026-06-26T08:27:37"/>
    <m/>
    <n v="565"/>
    <x v="2"/>
    <n v="0"/>
    <m/>
    <d v="2026-06-26T00:00:00"/>
    <x v="0"/>
  </r>
  <r>
    <x v="171"/>
    <s v="confeccoesgbdas@hotmail.com"/>
    <n v="300274899"/>
    <n v="16273311"/>
    <x v="2"/>
    <x v="12"/>
    <n v="20"/>
    <s v="MATERIAL INSUFICIENTE"/>
    <m/>
    <s v="TRASEIRO COMPLETO, OS DOIS LADOS"/>
    <d v="2026-06-26T08:29:14"/>
    <m/>
    <n v="566"/>
    <x v="1"/>
    <n v="16273311"/>
    <m/>
    <d v="2026-06-26T00:00:00"/>
    <x v="0"/>
  </r>
  <r>
    <x v="171"/>
    <s v="confeccoesgbdas@hotmail.com"/>
    <n v="300274899"/>
    <n v="16273311"/>
    <x v="2"/>
    <x v="26"/>
    <s v="PALA PARA 20 PEÇAS"/>
    <s v="MATERIAL INSUFICIENTE"/>
    <m/>
    <s v="PALA PARA 20 PEÇAS COMPLETA, OS DOIS LADOS"/>
    <d v="2026-06-26T08:31:06"/>
    <m/>
    <n v="567"/>
    <x v="1"/>
    <n v="16273311"/>
    <m/>
    <d v="2026-06-26T00:00:00"/>
    <x v="0"/>
  </r>
  <r>
    <x v="203"/>
    <s v="jolitextilfabrica@gmail.com"/>
    <n v="300267559"/>
    <n v="12416746"/>
    <x v="3"/>
    <x v="2"/>
    <n v="344"/>
    <s v="A op veio com 344 peças a mais, faltou todo o material como linha, fio, etiqueta de composiçao e etiqueta de preço"/>
    <m/>
    <m/>
    <d v="2026-06-26T08:50:27"/>
    <m/>
    <n v="568"/>
    <x v="1"/>
    <s v="0971 - 00081 - ETIQUETA DE COMPOSIÇÃO E ETIQUETA DE  PREÇO"/>
    <m/>
    <d v="2026-06-26T00:00:00"/>
    <x v="0"/>
  </r>
  <r>
    <x v="32"/>
    <s v="di3confec@gmail.com"/>
    <n v="300272959"/>
    <n v="15699293"/>
    <x v="2"/>
    <x v="39"/>
    <n v="7"/>
    <s v="Material insuficiente para finalizar a ordem"/>
    <m/>
    <m/>
    <d v="2026-06-26T09:04:05"/>
    <m/>
    <n v="569"/>
    <x v="1"/>
    <n v="0"/>
    <m/>
    <d v="2026-06-26T00:00:00"/>
    <x v="0"/>
  </r>
  <r>
    <x v="11"/>
    <s v="S.a.confeccoesind@gmail.com"/>
    <n v="300274225"/>
    <n v="16217390"/>
    <x v="2"/>
    <x v="17"/>
    <n v="24"/>
    <s v="Peças danificadas na costura."/>
    <m/>
    <s v="24 unidades de cós tamanhos 6-7"/>
    <d v="2026-06-26T09:38:17"/>
    <m/>
    <n v="570"/>
    <x v="1"/>
    <n v="0"/>
    <m/>
    <d v="2026-06-26T00:00:00"/>
    <x v="0"/>
  </r>
  <r>
    <x v="21"/>
    <s v="potengitextil@outlook.com.br"/>
    <n v="300269895"/>
    <n v="16461665"/>
    <x v="3"/>
    <x v="2"/>
    <n v="5"/>
    <s v="Insuficiente para finalizar op "/>
    <m/>
    <m/>
    <d v="2026-06-26T10:04:13"/>
    <m/>
    <n v="571"/>
    <x v="1"/>
    <n v="0"/>
    <m/>
    <d v="2026-06-26T00:00:00"/>
    <x v="0"/>
  </r>
  <r>
    <x v="203"/>
    <s v="jolitextilfabrica@gmail.com"/>
    <n v="300267559"/>
    <n v="12416746"/>
    <x v="3"/>
    <x v="9"/>
    <s v="8 cones de fio 8 linhas"/>
    <s v="Veio peças sobrando e não temos material pra finalizar"/>
    <m/>
    <m/>
    <d v="2026-06-26T10:17:35"/>
    <m/>
    <n v="572"/>
    <x v="1"/>
    <s v="0971 00081"/>
    <m/>
    <d v="2026-06-26T00:00:00"/>
    <x v="0"/>
  </r>
  <r>
    <x v="203"/>
    <s v="jolitextilfabrica@gmail.com"/>
    <n v="300267559"/>
    <n v="12416746"/>
    <x v="3"/>
    <x v="2"/>
    <n v="344"/>
    <s v="Veio peças sobrando e precisamos para finalizar OP"/>
    <m/>
    <m/>
    <d v="2026-06-26T10:21:33"/>
    <m/>
    <n v="573"/>
    <x v="1"/>
    <s v="etiqueta composição"/>
    <m/>
    <d v="2026-06-26T00:00:00"/>
    <x v="0"/>
  </r>
  <r>
    <x v="190"/>
    <s v="EMPORIODAMODAMOSSORO@GMAIL.COM"/>
    <n v="300275850"/>
    <n v="15773434"/>
    <x v="2"/>
    <x v="2"/>
    <n v="90"/>
    <s v="quantidade insuficiente para o tamanho 50"/>
    <m/>
    <m/>
    <d v="2026-06-26T10:23:27"/>
    <m/>
    <n v="574"/>
    <x v="1"/>
    <n v="0"/>
    <m/>
    <d v="2026-06-26T00:00:00"/>
    <x v="0"/>
  </r>
  <r>
    <x v="203"/>
    <s v="jolitextilfabrica@gmail.com"/>
    <n v="300267559"/>
    <n v="12416746"/>
    <x v="3"/>
    <x v="4"/>
    <n v="344"/>
    <s v="VEIO PEÇA SOBRANDO E PRECISAMOS PARA FINALIZAR A OP"/>
    <m/>
    <m/>
    <d v="2026-06-26T10:23:56"/>
    <m/>
    <n v="575"/>
    <x v="1"/>
    <s v="ETIQUETA PRECO"/>
    <m/>
    <d v="2026-06-26T00:00:00"/>
    <x v="0"/>
  </r>
  <r>
    <x v="203"/>
    <s v="jolitextilfabrica@gmail.com"/>
    <n v="300267559"/>
    <n v="12416746"/>
    <x v="3"/>
    <x v="6"/>
    <n v="344"/>
    <s v="OP VEIO COM PEÇAS A MAIS E FALTOU MATERIAL PRA FINALIZAR"/>
    <m/>
    <m/>
    <d v="2026-06-26T10:32:08"/>
    <m/>
    <n v="576"/>
    <x v="1"/>
    <s v="GOLA"/>
    <m/>
    <d v="2026-06-26T00:00:00"/>
    <x v="0"/>
  </r>
  <r>
    <x v="201"/>
    <s v="marionetemedeiros2@hotmail.com"/>
    <n v="300271823"/>
    <n v="16075951"/>
    <x v="2"/>
    <x v="2"/>
    <n v="10"/>
    <s v="Faltou para concluir a op"/>
    <m/>
    <s v="Etiqueta composição que vai na parte interna da peça "/>
    <d v="2026-06-26T12:26:19"/>
    <m/>
    <n v="577"/>
    <x v="1"/>
    <s v="9.ET2E2.001.000001"/>
    <m/>
    <d v="2026-06-26T00:00:00"/>
    <x v="0"/>
  </r>
  <r>
    <x v="21"/>
    <s v="potengitextil@outlook.com.br"/>
    <n v="300272165"/>
    <n v="15128288"/>
    <x v="1"/>
    <x v="4"/>
    <n v="243"/>
    <s v="Material não enviado pela guararapes "/>
    <m/>
    <m/>
    <d v="2026-06-26T14:06:50"/>
    <m/>
    <n v="578"/>
    <x v="2"/>
    <n v="0"/>
    <m/>
    <d v="2026-06-26T00:00:00"/>
    <x v="0"/>
  </r>
  <r>
    <x v="63"/>
    <s v="acaritextil2801@gmail.com"/>
    <n v="300276280"/>
    <n v="15863387"/>
    <x v="2"/>
    <x v="8"/>
    <n v="50000"/>
    <s v="INSUFICIENTE"/>
    <m/>
    <s v="LINHA  100% PES TIT 50 S.333"/>
    <d v="2026-06-26T14:51:35"/>
    <m/>
    <n v="579"/>
    <x v="2"/>
    <n v="10000062854"/>
    <m/>
    <d v="2026-06-26T00:00:00"/>
    <x v="0"/>
  </r>
  <r>
    <x v="63"/>
    <s v="acaritextil2801@gmail.com"/>
    <n v="300276280"/>
    <n v="15863387"/>
    <x v="2"/>
    <x v="13"/>
    <n v="17"/>
    <s v="FALTOU"/>
    <m/>
    <s v="ZÍPER MT MÉDIO NIQ FIXO 13CM"/>
    <d v="2026-06-26T14:57:18"/>
    <m/>
    <n v="580"/>
    <x v="1"/>
    <s v="10000065215 - 9.Z0127.013"/>
    <m/>
    <d v="2026-06-26T00:00:00"/>
    <x v="0"/>
  </r>
  <r>
    <x v="21"/>
    <s v="potengitextil@outlook.com.br"/>
    <n v="300273507"/>
    <n v="15238385"/>
    <x v="1"/>
    <x v="4"/>
    <n v="608"/>
    <s v="Material não enviado pela Guararapes "/>
    <m/>
    <m/>
    <d v="2026-06-26T15:19:21"/>
    <m/>
    <n v="581"/>
    <x v="2"/>
    <n v="0"/>
    <m/>
    <d v="2026-06-26T00:00:00"/>
    <x v="0"/>
  </r>
  <r>
    <x v="167"/>
    <s v="falconconfeccoes@hotmail.com"/>
    <n v="300273267"/>
    <n v="16508181"/>
    <x v="2"/>
    <x v="13"/>
    <s v="130 -14 cm"/>
    <s v="insuficiente para terminar a ordem"/>
    <m/>
    <s v="ziper 14 cm"/>
    <d v="2026-06-26T15:21:01"/>
    <m/>
    <n v="582"/>
    <x v="1"/>
    <n v="10000245278"/>
    <m/>
    <d v="2026-06-26T00:00:00"/>
    <x v="0"/>
  </r>
  <r>
    <x v="56"/>
    <s v="idealconfecltda@gmail.com"/>
    <n v="300271514"/>
    <n v="16260864"/>
    <x v="2"/>
    <x v="154"/>
    <n v="10"/>
    <s v="INSUFICIENTE PARA FINALIZAR ORDEM"/>
    <m/>
    <s v="10 ROLS DE VIES PARA BOCADA"/>
    <d v="2026-06-26T16:05:19"/>
    <m/>
    <n v="583"/>
    <x v="1"/>
    <n v="0"/>
    <m/>
    <d v="2026-06-26T00:00:00"/>
    <x v="0"/>
  </r>
  <r>
    <x v="56"/>
    <s v="idealconfecltda@gmail.com"/>
    <n v="300274129"/>
    <n v="15359492"/>
    <x v="1"/>
    <x v="8"/>
    <n v="10"/>
    <s v="quantidade insuficiente"/>
    <m/>
    <m/>
    <d v="2026-06-26T16:07:07"/>
    <m/>
    <n v="584"/>
    <x v="1"/>
    <n v="72694"/>
    <m/>
    <d v="2026-06-26T00:00:00"/>
    <x v="0"/>
  </r>
  <r>
    <x v="56"/>
    <s v="idealconfecltda@gmail.com"/>
    <n v="300275481"/>
    <n v="16580290"/>
    <x v="2"/>
    <x v="154"/>
    <s v="10 ROLOS "/>
    <s v="INSUFICIENTE PARA FINALIZAR OP"/>
    <m/>
    <s v="VIES PARA BOCADA CRU"/>
    <d v="2026-06-26T16:07:30"/>
    <m/>
    <n v="585"/>
    <x v="1"/>
    <n v="0"/>
    <m/>
    <d v="2026-06-26T00:00:00"/>
    <x v="0"/>
  </r>
  <r>
    <x v="173"/>
    <s v="alfaequador@gmail.com"/>
    <n v="300271109"/>
    <n v="16261526"/>
    <x v="2"/>
    <x v="2"/>
    <n v="2"/>
    <s v="INSUFICIENTE"/>
    <m/>
    <s v="QUANTIDADE INSUFICIENTE "/>
    <d v="2026-06-27T09:52:41"/>
    <m/>
    <n v="586"/>
    <x v="1"/>
    <n v="0"/>
    <m/>
    <d v="2026-06-27T00:00:00"/>
    <x v="0"/>
  </r>
  <r>
    <x v="21"/>
    <s v="potengitextil@outlook.com.br"/>
    <n v="300273879"/>
    <n v="16222954"/>
    <x v="3"/>
    <x v="22"/>
    <n v="475"/>
    <s v="Material não enviado pela guararapes "/>
    <m/>
    <s v="Frentes do enfesto 2 não veio."/>
    <d v="2026-06-29T07:49:36"/>
    <m/>
    <n v="587"/>
    <x v="1"/>
    <n v="0"/>
    <m/>
    <d v="2026-06-29T00:00:00"/>
    <x v="0"/>
  </r>
  <r>
    <x v="204"/>
    <s v="ivan.vereadorcamara@hotmail.com"/>
    <n v="300270258"/>
    <n v="16508882"/>
    <x v="2"/>
    <x v="10"/>
    <s v="um rolo"/>
    <s v="está faltando"/>
    <m/>
    <s v="está faltando papelão"/>
    <d v="2026-06-29T08:17:20"/>
    <m/>
    <n v="588"/>
    <x v="2"/>
    <n v="99999999999"/>
    <m/>
    <d v="2026-06-29T00:00:00"/>
    <x v="0"/>
  </r>
  <r>
    <x v="36"/>
    <s v="solisconfeccoes@gmail.com"/>
    <n v="300274355"/>
    <n v="15898008"/>
    <x v="3"/>
    <x v="74"/>
    <n v="60"/>
    <s v="ETIQUETA DE TAMANHO/VEIO 15 ETIQUETAS A MENOS EM TODOS OS TAMANHO"/>
    <m/>
    <s v="NÃO VEIO JUNTO DA OP FOI PEDIDO REPOSIÇAO E NA REPOSIÇÃO VEIO FALTANDO 15 ETIQUETAS POR TAMANHO"/>
    <d v="2026-06-29T08:21:47"/>
    <m/>
    <n v="589"/>
    <x v="1"/>
    <s v="FALTANDO "/>
    <m/>
    <d v="2026-06-29T00:00:00"/>
    <x v="0"/>
  </r>
  <r>
    <x v="75"/>
    <s v="maciel.dalison@hotmail.com"/>
    <n v="300264427"/>
    <n v="16520092"/>
    <x v="2"/>
    <x v="13"/>
    <n v="26"/>
    <s v="não veio "/>
    <m/>
    <s v="não veio "/>
    <d v="2026-06-29T08:33:21"/>
    <m/>
    <n v="590"/>
    <x v="1"/>
    <s v="10000157258 / 100001774423"/>
    <m/>
    <d v="2026-06-29T00:00:00"/>
    <x v="0"/>
  </r>
  <r>
    <x v="56"/>
    <s v="idealconfecltda@gmail.com"/>
    <n v="300274129"/>
    <n v="15359492"/>
    <x v="1"/>
    <x v="2"/>
    <n v="56"/>
    <s v="faltaram para 56 peças tamanho M"/>
    <m/>
    <s v="sobraram 62 etiquetas no tamanho G e faltaram 56 no tamanho M, o que leva a crer que foi impressa errada"/>
    <d v="2026-06-29T08:37:33"/>
    <m/>
    <n v="591"/>
    <x v="1"/>
    <n v="0"/>
    <m/>
    <d v="2026-06-29T00:00:00"/>
    <x v="0"/>
  </r>
  <r>
    <x v="205"/>
    <s v="sjarlandia@hotmail.com"/>
    <n v="300273715"/>
    <n v="16447786"/>
    <x v="2"/>
    <x v="18"/>
    <n v="1302"/>
    <s v="não veio na op "/>
    <m/>
    <s v="não veio elástico na ordem e não veio o código do aviamento "/>
    <d v="2026-06-29T08:47:45"/>
    <m/>
    <n v="592"/>
    <x v="2"/>
    <n v="0"/>
    <m/>
    <d v="2026-06-29T00:00:00"/>
    <x v="0"/>
  </r>
  <r>
    <x v="205"/>
    <s v="sjarlandia@hotmail.com"/>
    <n v="300273715"/>
    <n v="16447786"/>
    <x v="2"/>
    <x v="1"/>
    <n v="1302"/>
    <s v="não veio na ordem "/>
    <m/>
    <s v="bandeirola para pregar os cadarços "/>
    <d v="2026-06-29T08:52:14"/>
    <m/>
    <n v="593"/>
    <x v="1"/>
    <n v="0"/>
    <m/>
    <d v="2026-06-29T00:00:00"/>
    <x v="0"/>
  </r>
  <r>
    <x v="205"/>
    <s v="sjarlandia@hotmail.com"/>
    <n v="300271821"/>
    <n v="16319249"/>
    <x v="2"/>
    <x v="18"/>
    <n v="1188"/>
    <s v="não veio na op "/>
    <m/>
    <s v="não veio na op "/>
    <d v="2026-06-29T08:56:29"/>
    <m/>
    <n v="594"/>
    <x v="2"/>
    <n v="0"/>
    <m/>
    <d v="2026-06-29T00:00:00"/>
    <x v="0"/>
  </r>
  <r>
    <x v="185"/>
    <s v="fernandoassu@gmail.com"/>
    <n v="300273638"/>
    <n v="16218019"/>
    <x v="2"/>
    <x v="49"/>
    <s v="20/ tamanho 8-9"/>
    <s v="Não enviado pela guararapes "/>
    <m/>
    <s v="20/ tamanho 8-9. Não enviado "/>
    <d v="2026-06-29T09:00:36"/>
    <m/>
    <n v="595"/>
    <x v="1"/>
    <n v="150"/>
    <m/>
    <d v="2026-06-29T00:00:00"/>
    <x v="0"/>
  </r>
  <r>
    <x v="190"/>
    <s v="EMPORIODAMODAMOSSORO@GMAIL.COM"/>
    <n v="300275850"/>
    <n v="15773434"/>
    <x v="2"/>
    <x v="2"/>
    <n v="65"/>
    <s v="faltando pequenas quantidades de cada tamanho"/>
    <m/>
    <m/>
    <d v="2026-06-29T09:04:19"/>
    <m/>
    <n v="596"/>
    <x v="1"/>
    <n v="0"/>
    <m/>
    <d v="2026-06-29T00:00:00"/>
    <x v="0"/>
  </r>
  <r>
    <x v="21"/>
    <s v="potengitextil@outlook.com.br"/>
    <n v="300272165"/>
    <n v="15128288"/>
    <x v="1"/>
    <x v="27"/>
    <n v="100"/>
    <s v="Insuficiente para finalizar ordem "/>
    <m/>
    <m/>
    <d v="2026-06-29T09:28:53"/>
    <m/>
    <n v="597"/>
    <x v="1"/>
    <n v="10000216132"/>
    <m/>
    <d v="2026-06-29T00:00:00"/>
    <x v="0"/>
  </r>
  <r>
    <x v="174"/>
    <s v="jakeline.jl.confeccoes@gmail.com"/>
    <n v="300273726"/>
    <n v="16447565"/>
    <x v="2"/>
    <x v="54"/>
    <n v="426"/>
    <s v="Bordas desfiadas impossibilitando de ser confeccionada"/>
    <m/>
    <s v="Bordas desfiadas impossibilitando de ser confeccionada"/>
    <d v="2026-06-29T09:37:03"/>
    <m/>
    <n v="598"/>
    <x v="1"/>
    <n v="0"/>
    <m/>
    <d v="2026-06-29T00:00:00"/>
    <x v="0"/>
  </r>
  <r>
    <x v="174"/>
    <s v="jakeline.jl.confeccoes@gmail.com"/>
    <n v="300273726"/>
    <n v="16447565"/>
    <x v="2"/>
    <x v="28"/>
    <n v="426"/>
    <s v="Bordas desfiadas impossibilitando de ser confeccionada"/>
    <m/>
    <s v="Bordas desfiadas impossibilitando de ser confeccionada"/>
    <d v="2026-06-29T09:40:21"/>
    <m/>
    <n v="599"/>
    <x v="1"/>
    <n v="0"/>
    <m/>
    <d v="2026-06-29T00:00:00"/>
    <x v="0"/>
  </r>
  <r>
    <x v="169"/>
    <s v="acauaconfeccoes@outlook.com"/>
    <n v="300269058"/>
    <n v="14700328"/>
    <x v="3"/>
    <x v="61"/>
    <n v="243"/>
    <s v="Material não enviado pela Guararapes "/>
    <m/>
    <s v=" Material não enviado pela Guararapes "/>
    <d v="2026-06-29T09:49:12"/>
    <m/>
    <n v="600"/>
    <x v="2"/>
    <s v="."/>
    <m/>
    <d v="2026-06-29T00:00:00"/>
    <x v="0"/>
  </r>
  <r>
    <x v="166"/>
    <s v="w.anny.k@hotmail.com"/>
    <n v="300276276"/>
    <n v="15858367"/>
    <x v="2"/>
    <x v="13"/>
    <n v="94"/>
    <s v="VEIO FALTANDO NA ORDEM"/>
    <m/>
    <s v="VEIO FALTANDO O ZIPER MT MEDIO FIXO 17CM CRU"/>
    <d v="2026-06-29T10:46:57"/>
    <m/>
    <n v="601"/>
    <x v="1"/>
    <n v="10000064387"/>
    <m/>
    <d v="2026-06-29T00:00:00"/>
    <x v="0"/>
  </r>
  <r>
    <x v="166"/>
    <s v="w.anny.k@hotmail.com"/>
    <n v="300276276"/>
    <n v="15858367"/>
    <x v="2"/>
    <x v="61"/>
    <n v="35"/>
    <s v="VEIO FALTANDO"/>
    <m/>
    <s v="VEIO FALTANDO ETIQUETA DE COMPOSICAO NA ORDEM 300276276."/>
    <d v="2026-06-29T10:50:23"/>
    <m/>
    <n v="602"/>
    <x v="1"/>
    <n v="0"/>
    <m/>
    <d v="2026-06-29T00:00:00"/>
    <x v="0"/>
  </r>
  <r>
    <x v="3"/>
    <s v="qualidade@solybrasil.com.br"/>
    <n v="300269909"/>
    <n v="16222881"/>
    <x v="3"/>
    <x v="56"/>
    <n v="1332"/>
    <s v="NAO VEIO JUNTO DA ORDEM "/>
    <m/>
    <s v="NAO VEIO JUNTO DA ORDEM "/>
    <d v="2026-06-29T11:43:32"/>
    <m/>
    <n v="603"/>
    <x v="2"/>
    <n v="0"/>
    <m/>
    <d v="2026-06-29T00:00:00"/>
    <x v="0"/>
  </r>
  <r>
    <x v="181"/>
    <s v="asaequador@gmail.com"/>
    <n v="300274228"/>
    <n v="16217861"/>
    <x v="2"/>
    <x v="49"/>
    <n v="40"/>
    <s v="material insuficiente pra cocluir ordem"/>
    <m/>
    <s v="insuficiente pra concluir ordem"/>
    <d v="2026-06-29T11:44:58"/>
    <m/>
    <n v="604"/>
    <x v="1"/>
    <n v="10000202413"/>
    <m/>
    <d v="2026-06-29T00:00:00"/>
    <x v="0"/>
  </r>
  <r>
    <x v="3"/>
    <s v="qualidade@solybrasil.com.br"/>
    <n v="300269909"/>
    <n v="16222881"/>
    <x v="3"/>
    <x v="4"/>
    <n v="1332"/>
    <s v="NÃO VEIO JUNTO DA ORDEM "/>
    <m/>
    <s v="NÃO VEIO JUNTO DA ORDEM "/>
    <d v="2026-06-29T11:45:40"/>
    <m/>
    <n v="605"/>
    <x v="2"/>
    <n v="0"/>
    <m/>
    <d v="2026-06-29T00:00:00"/>
    <x v="0"/>
  </r>
  <r>
    <x v="181"/>
    <s v="asaequador@gmail.com"/>
    <n v="300274228"/>
    <n v="16217861"/>
    <x v="2"/>
    <x v="1"/>
    <n v="50"/>
    <s v="isuficiente pra finalizar op"/>
    <m/>
    <s v="insufiente pra concluir ordem"/>
    <d v="2026-06-29T11:50:10"/>
    <m/>
    <n v="606"/>
    <x v="1"/>
    <n v="10000220034"/>
    <m/>
    <d v="2026-06-29T00:00:00"/>
    <x v="0"/>
  </r>
  <r>
    <x v="21"/>
    <s v="potengitextil@outlook.com.br"/>
    <n v="300271681"/>
    <n v="16222326"/>
    <x v="3"/>
    <x v="11"/>
    <n v="1"/>
    <s v="Material danificado "/>
    <m/>
    <s v="Pistola de pregar tags de preço "/>
    <d v="2026-06-29T13:38:48"/>
    <m/>
    <n v="607"/>
    <x v="1"/>
    <n v="0"/>
    <m/>
    <d v="2026-06-29T00:00:00"/>
    <x v="0"/>
  </r>
  <r>
    <x v="36"/>
    <s v="solisconfeccoes@gmail.com"/>
    <n v="300274896"/>
    <n v="15456714"/>
    <x v="3"/>
    <x v="56"/>
    <n v="1295"/>
    <s v="NÃO VEIO JUNTO A OP"/>
    <m/>
    <s v="ETIQUETAS DE TAMANHO "/>
    <d v="2026-06-29T16:10:53"/>
    <m/>
    <n v="608"/>
    <x v="1"/>
    <s v="ETIQUETA DE TAMANHO"/>
    <m/>
    <d v="2026-06-29T00:00:00"/>
    <x v="0"/>
  </r>
  <r>
    <x v="205"/>
    <s v="Sjarlandia@hotmail.com"/>
    <n v="300273715"/>
    <n v="16447786"/>
    <x v="2"/>
    <x v="158"/>
    <n v="570"/>
    <s v="Nao veio grade completa "/>
    <m/>
    <s v="veio faltando"/>
    <d v="2026-06-29T16:20:26"/>
    <m/>
    <n v="609"/>
    <x v="1"/>
    <s v="Bolso relogio"/>
    <m/>
    <d v="2026-06-29T00:00:00"/>
    <x v="0"/>
  </r>
  <r>
    <x v="205"/>
    <s v="Sjarlandia@hotmail.com"/>
    <n v="300273326"/>
    <n v="16523741"/>
    <x v="2"/>
    <x v="157"/>
    <n v="902"/>
    <s v="Foi feiro com a linha errada "/>
    <m/>
    <m/>
    <d v="2026-06-29T16:38:31"/>
    <m/>
    <n v="610"/>
    <x v="2"/>
    <s v="Oo"/>
    <m/>
    <d v="2026-06-29T00:00:00"/>
    <x v="0"/>
  </r>
  <r>
    <x v="56"/>
    <s v="idealconfecltda@gmail.com"/>
    <n v="300275413"/>
    <n v="16261526"/>
    <x v="2"/>
    <x v="13"/>
    <n v="100"/>
    <s v="INSUFICIENTE PARA FINALIZAR OP"/>
    <m/>
    <s v="FALTOU"/>
    <d v="2026-06-29T17:45:17"/>
    <m/>
    <n v="611"/>
    <x v="1"/>
    <n v="10000247197"/>
    <m/>
    <d v="2026-06-29T00:00:00"/>
    <x v="0"/>
  </r>
  <r>
    <x v="54"/>
    <s v="deboraclothing.textil@gmail.com"/>
    <n v="300000000"/>
    <n v="300"/>
    <x v="3"/>
    <x v="11"/>
    <n v="2"/>
    <s v="AS QUE VIERAM ESTÃO COM PROBLEMAS, DEFEITO"/>
    <m/>
    <s v="2 PISTOLAS PARA QUE CONSIGAMOS COLOCAR PREÇO COM MAIS AGILIDADE "/>
    <d v="2026-06-29T18:01:01"/>
    <m/>
    <n v="612"/>
    <x v="2"/>
    <n v="0"/>
    <m/>
    <d v="2026-06-29T00:00:00"/>
    <x v="0"/>
  </r>
  <r>
    <x v="54"/>
    <s v="deboraclothing.textil@gmail.com"/>
    <n v="300000000"/>
    <n v="300"/>
    <x v="3"/>
    <x v="7"/>
    <n v="300"/>
    <s v="ACABOU"/>
    <m/>
    <s v="ACABARAM TODAS AS UNIDADES "/>
    <d v="2026-06-29T18:02:15"/>
    <m/>
    <n v="613"/>
    <x v="2"/>
    <n v="0"/>
    <m/>
    <d v="2026-06-29T00:00:00"/>
    <x v="0"/>
  </r>
  <r>
    <x v="37"/>
    <s v="felconfeccao@gmail.com"/>
    <n v="300273817"/>
    <n v="16491920"/>
    <x v="3"/>
    <x v="61"/>
    <n v="17"/>
    <s v="FALTOU PRA FINALIZAR"/>
    <m/>
    <m/>
    <d v="2026-06-29T18:05:22"/>
    <m/>
    <n v="614"/>
    <x v="1"/>
    <n v="0"/>
    <m/>
    <d v="2026-06-29T00:00:00"/>
    <x v="0"/>
  </r>
  <r>
    <x v="37"/>
    <s v="felconfeccao@gmail.com"/>
    <n v="300273819"/>
    <n v="16491920"/>
    <x v="3"/>
    <x v="61"/>
    <n v="12"/>
    <s v="FALTOU PARA FINALIZAR"/>
    <m/>
    <m/>
    <d v="2026-06-29T18:06:50"/>
    <m/>
    <n v="615"/>
    <x v="1"/>
    <n v="0"/>
    <m/>
    <d v="2026-06-29T00:00:00"/>
    <x v="0"/>
  </r>
  <r>
    <x v="56"/>
    <s v="idealconfecltda@gmail.com"/>
    <n v="300274129"/>
    <n v="15359492"/>
    <x v="1"/>
    <x v="29"/>
    <s v="420 PEÇAS"/>
    <s v="QUANTIDADE INSUFICIENTE"/>
    <m/>
    <s v="VIÉS DE GOLA SUFICIENTE PARA 420 PEÇAS"/>
    <d v="2026-06-29T18:47:16"/>
    <m/>
    <n v="616"/>
    <x v="1"/>
    <n v="0"/>
    <m/>
    <d v="2026-06-29T00:00:00"/>
    <x v="0"/>
  </r>
  <r>
    <x v="193"/>
    <s v="ajgconfeccoes2021@gmail.com"/>
    <n v="300271808"/>
    <n v="16436202"/>
    <x v="2"/>
    <x v="13"/>
    <n v="418"/>
    <s v="Só veio zíper 13 cm faltou os 14 e 15 "/>
    <m/>
    <s v="Faltou os zíper 14 e 15 cm . Veio 13 cm pra toda op . "/>
    <d v="2026-06-29T21:26:21"/>
    <m/>
    <n v="617"/>
    <x v="1"/>
    <s v="N tem "/>
    <m/>
    <d v="2026-06-29T00:00:00"/>
    <x v="0"/>
  </r>
  <r>
    <x v="163"/>
    <s v="felconfeccao@gmail.com"/>
    <n v="300270304"/>
    <n v="16285328"/>
    <x v="2"/>
    <x v="12"/>
    <n v="17"/>
    <s v="NÃO FOI ENVIADO PARA OFICINA"/>
    <m/>
    <s v="O BOLSO JÁ VEIO PREGADO PARA OFICINA."/>
    <d v="2026-06-30T07:47:29"/>
    <m/>
    <n v="618"/>
    <x v="1"/>
    <n v="100000107336"/>
    <m/>
    <d v="2026-06-30T00:00:00"/>
    <x v="0"/>
  </r>
  <r>
    <x v="18"/>
    <s v="ebenezerindustriat@hotmail.com"/>
    <n v="300274686"/>
    <n v="16054610"/>
    <x v="3"/>
    <x v="7"/>
    <n v="1"/>
    <s v="ACABOU"/>
    <m/>
    <m/>
    <d v="2026-06-30T08:11:05"/>
    <m/>
    <n v="619"/>
    <x v="2"/>
    <n v="0"/>
    <m/>
    <d v="2026-06-30T00:00:00"/>
    <x v="0"/>
  </r>
  <r>
    <x v="11"/>
    <s v="S.a.confeccoesind@gmail.com"/>
    <n v="300276287"/>
    <n v="15863387"/>
    <x v="2"/>
    <x v="142"/>
    <n v="874"/>
    <s v="Material não enviado pela Guararapes"/>
    <m/>
    <s v="não veio a linha fina."/>
    <d v="2026-06-30T08:42:41"/>
    <m/>
    <n v="620"/>
    <x v="2"/>
    <n v="10000063146"/>
    <m/>
    <d v="2026-06-30T00:00:00"/>
    <x v="0"/>
  </r>
  <r>
    <x v="11"/>
    <s v="S.a.confeccoesind@gmail.com"/>
    <n v="300272970"/>
    <n v="15764486"/>
    <x v="2"/>
    <x v="5"/>
    <n v="100000"/>
    <s v="material insuficiente para finalizar OP"/>
    <m/>
    <s v="Plástico de fusionar passante"/>
    <d v="2026-06-30T08:44:35"/>
    <m/>
    <n v="621"/>
    <x v="2"/>
    <n v="0"/>
    <m/>
    <d v="2026-06-30T00:00:00"/>
    <x v="0"/>
  </r>
  <r>
    <x v="15"/>
    <s v="spauloazevedo@bol.com.br"/>
    <n v="300269151"/>
    <n v="16545303"/>
    <x v="0"/>
    <x v="61"/>
    <n v="25"/>
    <s v="Material não enviado pela Guararapes"/>
    <m/>
    <s v="PP-5; P-5; M-5; G-5; GG-5"/>
    <d v="2026-06-30T08:48:33"/>
    <m/>
    <n v="622"/>
    <x v="1"/>
    <n v="0"/>
    <m/>
    <d v="2026-06-30T00:00:00"/>
    <x v="0"/>
  </r>
  <r>
    <x v="31"/>
    <s v="administrativo@zajaconfeccoes.com.br"/>
    <n v="300271127"/>
    <n v="15774112"/>
    <x v="2"/>
    <x v="159"/>
    <n v="110"/>
    <s v="NÃO ENVIADO PELA GUARARAPES "/>
    <m/>
    <m/>
    <d v="2026-06-30T08:50:18"/>
    <m/>
    <n v="623"/>
    <x v="2"/>
    <n v="10000228906"/>
    <m/>
    <d v="2026-06-30T00:00:00"/>
    <x v="0"/>
  </r>
  <r>
    <x v="173"/>
    <s v="alfaequador@gmail.com"/>
    <n v="300271488"/>
    <n v="16473825"/>
    <x v="2"/>
    <x v="61"/>
    <n v="2"/>
    <s v="INSUFICIENTE "/>
    <m/>
    <s v="QUANTIDADE INSUFICIENTE "/>
    <d v="2026-06-30T08:57:42"/>
    <m/>
    <n v="624"/>
    <x v="1"/>
    <n v="0"/>
    <m/>
    <d v="2026-06-30T00:00:00"/>
    <x v="0"/>
  </r>
  <r>
    <x v="175"/>
    <s v="confeccaogenesisltda@gmail.com"/>
    <n v="300272275"/>
    <n v="16288866"/>
    <x v="0"/>
    <x v="61"/>
    <n v="160"/>
    <s v="VEIO FALTANDO"/>
    <m/>
    <s v="veio faltando"/>
    <d v="2026-06-30T08:58:31"/>
    <m/>
    <n v="625"/>
    <x v="1"/>
    <n v="0"/>
    <m/>
    <d v="2026-06-30T00:00:00"/>
    <x v="0"/>
  </r>
  <r>
    <x v="206"/>
    <s v="pn.fenix@gmail.com"/>
    <n v="300275788"/>
    <n v="0"/>
    <x v="2"/>
    <x v="5"/>
    <n v="0"/>
    <s v="insuficiente para finalizar a ordem "/>
    <m/>
    <s v="plástico filme para fusionar passantes"/>
    <d v="2026-06-30T09:22:34"/>
    <m/>
    <n v="626"/>
    <x v="2"/>
    <n v="0"/>
    <m/>
    <d v="2026-06-30T00:00:00"/>
    <x v="0"/>
  </r>
  <r>
    <x v="162"/>
    <s v="faccaoello@hotmail.com"/>
    <n v="300272601"/>
    <n v="16219430"/>
    <x v="2"/>
    <x v="24"/>
    <n v="43"/>
    <s v="Material não enviado pela Guararapes"/>
    <m/>
    <s v="LADO DIREITO"/>
    <d v="2026-06-30T09:31:51"/>
    <m/>
    <n v="627"/>
    <x v="1"/>
    <n v="0"/>
    <m/>
    <d v="2026-06-30T00:00:00"/>
    <x v="0"/>
  </r>
  <r>
    <x v="162"/>
    <s v="faccaoello@hotmail.com"/>
    <n v="300272601"/>
    <n v="16219430"/>
    <x v="2"/>
    <x v="24"/>
    <n v="43"/>
    <s v="Material não enviado pela Guararapes"/>
    <m/>
    <s v="LADO ESQUERDO"/>
    <d v="2026-06-30T09:32:57"/>
    <m/>
    <n v="628"/>
    <x v="1"/>
    <n v="0"/>
    <m/>
    <d v="2026-06-30T00:00:00"/>
    <x v="0"/>
  </r>
  <r>
    <x v="205"/>
    <s v="sjarlandia@hotmail.com"/>
    <n v="300224824"/>
    <n v="16290984"/>
    <x v="2"/>
    <x v="157"/>
    <n v="900"/>
    <s v="reprocesso de medidas de cós ,teve que tirar o passante "/>
    <m/>
    <s v="reprocesso d emedidas de cós e teve que cortar o passante "/>
    <d v="2026-06-30T09:34:24"/>
    <m/>
    <n v="629"/>
    <x v="1"/>
    <n v="0"/>
    <m/>
    <d v="2026-06-30T00:00:00"/>
    <x v="0"/>
  </r>
  <r>
    <x v="186"/>
    <s v="bjmansourconfec@gmail.com"/>
    <n v="300263803"/>
    <n v="16222954"/>
    <x v="3"/>
    <x v="61"/>
    <n v="44"/>
    <s v="não enviado pela guararapes"/>
    <m/>
    <m/>
    <d v="2026-06-30T09:41:21"/>
    <m/>
    <n v="630"/>
    <x v="1"/>
    <n v="790"/>
    <m/>
    <d v="2026-06-30T00:00:00"/>
    <x v="0"/>
  </r>
  <r>
    <x v="63"/>
    <s v="acaritextil2801@gmail.com"/>
    <n v="300275052"/>
    <n v="16186648"/>
    <x v="2"/>
    <x v="17"/>
    <n v="202"/>
    <s v="NÃO ENVIADO"/>
    <m/>
    <s v="CÓS INTERNO "/>
    <d v="2026-06-30T09:52:41"/>
    <n v="300275052"/>
    <n v="631"/>
    <x v="2"/>
    <n v="0"/>
    <m/>
    <d v="2026-06-30T00:00:00"/>
    <x v="0"/>
  </r>
  <r>
    <x v="205"/>
    <s v="sjarlandia@hotmail.com"/>
    <n v="300241953"/>
    <n v="16027213"/>
    <x v="2"/>
    <x v="17"/>
    <n v="100"/>
    <s v="reprocesso de cós e estragou alguns no desmanche "/>
    <m/>
    <m/>
    <d v="2026-06-30T09:52:55"/>
    <m/>
    <n v="632"/>
    <x v="1"/>
    <n v="0"/>
    <m/>
    <d v="2026-06-30T00:00:00"/>
    <x v="0"/>
  </r>
  <r>
    <x v="207"/>
    <s v="bensilvaconfeccoes@gmail.com"/>
    <n v="300272974"/>
    <n v="16508920"/>
    <x v="2"/>
    <x v="142"/>
    <s v="15 CONES "/>
    <s v="FALTOU "/>
    <m/>
    <s v="LINHA 100%PES TIT 36 S.333 130403 "/>
    <d v="2026-06-30T09:59:46"/>
    <m/>
    <n v="633"/>
    <x v="1"/>
    <n v="10000073278"/>
    <m/>
    <d v="2026-06-30T00:00:00"/>
    <x v="0"/>
  </r>
  <r>
    <x v="11"/>
    <s v="S.a.confeccoesind@gmail.com"/>
    <n v="300272970"/>
    <n v="15764486"/>
    <x v="2"/>
    <x v="61"/>
    <n v="40"/>
    <s v="material insuficiente para finalizar op."/>
    <m/>
    <s v="5 etiquetas de cada tamanho"/>
    <d v="2026-06-30T10:04:45"/>
    <m/>
    <n v="634"/>
    <x v="1"/>
    <n v="0"/>
    <m/>
    <d v="2026-06-30T00:00:00"/>
    <x v="0"/>
  </r>
  <r>
    <x v="188"/>
    <s v="tendenciaconfec@gmail.com"/>
    <n v="300272954"/>
    <n v="15858766"/>
    <x v="2"/>
    <x v="5"/>
    <n v="6"/>
    <s v="VAI FALTAR"/>
    <m/>
    <s v="FILME PLASTICO PARA PASSANTE"/>
    <d v="2026-06-30T10:07:07"/>
    <m/>
    <n v="636"/>
    <x v="2"/>
    <s v="FILME PARA PASSANTE"/>
    <m/>
    <d v="2026-06-30T00:00:00"/>
    <x v="0"/>
  </r>
  <r>
    <x v="193"/>
    <s v="ajgconfeccoes2021@gmail.com"/>
    <n v="300271808"/>
    <n v="16436202"/>
    <x v="2"/>
    <x v="49"/>
    <n v="470"/>
    <s v="Veio todas tamanho 38"/>
    <m/>
    <s v="As etiquetas de marcas veio todas tamanho 38 "/>
    <d v="2026-06-30T10:10:35"/>
    <m/>
    <n v="635"/>
    <x v="1"/>
    <s v="N tem "/>
    <m/>
    <d v="2026-06-30T00:00:00"/>
    <x v="0"/>
  </r>
  <r>
    <x v="205"/>
    <s v="Sjarlandia@hotmail.com"/>
    <n v="300273715"/>
    <n v="16447786"/>
    <x v="2"/>
    <x v="5"/>
    <n v="5"/>
    <s v="Falta"/>
    <m/>
    <m/>
    <d v="2026-06-30T10:30:30"/>
    <m/>
    <n v="637"/>
    <x v="2"/>
    <s v="O"/>
    <m/>
    <d v="2026-06-30T00:00:00"/>
    <x v="0"/>
  </r>
  <r>
    <x v="56"/>
    <s v="idealconfecltda@gmail.com"/>
    <n v="300273580"/>
    <n v="15238385"/>
    <x v="1"/>
    <x v="142"/>
    <n v="5"/>
    <s v="Quantidade insuficiente"/>
    <m/>
    <m/>
    <d v="2026-06-30T10:33:52"/>
    <m/>
    <n v="638"/>
    <x v="1"/>
    <n v="72593"/>
    <m/>
    <d v="2026-06-30T00:00:00"/>
    <x v="0"/>
  </r>
  <r>
    <x v="56"/>
    <s v="idealconfecltda@gmail.com"/>
    <n v="300273580"/>
    <n v="15238385"/>
    <x v="1"/>
    <x v="19"/>
    <n v="6"/>
    <s v="quantidade insuficiente"/>
    <m/>
    <m/>
    <d v="2026-06-30T10:38:49"/>
    <m/>
    <n v="639"/>
    <x v="1"/>
    <n v="72019"/>
    <m/>
    <d v="2026-06-30T00:00:00"/>
    <x v="0"/>
  </r>
  <r>
    <x v="163"/>
    <s v="felconfeccao@gmail.com"/>
    <n v="300270295"/>
    <n v="16310373"/>
    <x v="2"/>
    <x v="61"/>
    <n v="26"/>
    <s v="PEÇAS A MAIS QUE O GUIA DE RISCO"/>
    <m/>
    <m/>
    <d v="2026-06-30T12:37:58"/>
    <m/>
    <n v="640"/>
    <x v="1"/>
    <s v="NÃO TEM CÓDIGO"/>
    <m/>
    <d v="2026-06-30T00:00:00"/>
    <x v="0"/>
  </r>
  <r>
    <x v="77"/>
    <s v="wag-almeida@hotmail.com"/>
    <n v="300275410"/>
    <n v="16520157"/>
    <x v="2"/>
    <x v="61"/>
    <n v="35"/>
    <s v="faltou"/>
    <m/>
    <s v="faltou etiqueta"/>
    <d v="2026-06-30T13:14:59"/>
    <m/>
    <n v="641"/>
    <x v="1"/>
    <n v="0"/>
    <m/>
    <d v="2026-06-30T00:00:00"/>
    <x v="0"/>
  </r>
  <r>
    <x v="77"/>
    <s v="wag-almeida@hotmail.com"/>
    <n v="300275786"/>
    <n v="15773434"/>
    <x v="2"/>
    <x v="61"/>
    <n v="40"/>
    <s v="faltou"/>
    <m/>
    <s v="faltou etiqueta"/>
    <d v="2026-06-30T13:18:36"/>
    <m/>
    <n v="642"/>
    <x v="1"/>
    <n v="0"/>
    <m/>
    <d v="2026-06-30T00:00:00"/>
    <x v="0"/>
  </r>
  <r>
    <x v="54"/>
    <s v="deboraclothing.textil@gmail.com"/>
    <n v="300000000"/>
    <n v="30000000"/>
    <x v="3"/>
    <x v="52"/>
    <n v="20"/>
    <s v="ACABANDO "/>
    <m/>
    <s v="PINOS ACABANDO/ PRECISAMOS URGENTE"/>
    <d v="2026-06-30T13:30:30"/>
    <m/>
    <n v="643"/>
    <x v="2"/>
    <n v="0"/>
    <m/>
    <d v="2026-06-30T00:00:00"/>
    <x v="0"/>
  </r>
  <r>
    <x v="36"/>
    <s v="solisconfeccoes@gmail.com"/>
    <n v="300274355"/>
    <n v="15898008"/>
    <x v="3"/>
    <x v="61"/>
    <n v="1350"/>
    <s v="NÃO VEIO JUNTO COM A OP"/>
    <m/>
    <s v="NÃO VEIO JUNTO A OP"/>
    <d v="2026-06-30T13:51:18"/>
    <m/>
    <n v="644"/>
    <x v="1"/>
    <n v="0"/>
    <m/>
    <d v="2026-06-30T00:00:00"/>
    <x v="0"/>
  </r>
  <r>
    <x v="31"/>
    <s v="administrativo@zajaconfeccoes.com.br"/>
    <n v="300272587"/>
    <n v="16243668"/>
    <x v="2"/>
    <x v="49"/>
    <n v="3"/>
    <s v="insuficiente"/>
    <m/>
    <s v="etiqueta disney "/>
    <d v="2026-06-30T13:59:32"/>
    <m/>
    <n v="645"/>
    <x v="1"/>
    <n v="10000073690"/>
    <m/>
    <d v="2026-06-30T00:00:00"/>
    <x v="0"/>
  </r>
  <r>
    <x v="50"/>
    <s v="mkdeazevedomedeiros@gmail.com"/>
    <n v="300273327"/>
    <n v="16523741"/>
    <x v="2"/>
    <x v="143"/>
    <n v="370"/>
    <s v="INSUFICIENTE PARA FINALIZAR A OP"/>
    <m/>
    <m/>
    <d v="2026-06-30T14:02:26"/>
    <m/>
    <n v="646"/>
    <x v="1"/>
    <s v="-"/>
    <m/>
    <d v="2026-06-30T00:00:00"/>
    <x v="0"/>
  </r>
  <r>
    <x v="186"/>
    <s v="bjmansourconfec@gmail.com"/>
    <n v="300263803"/>
    <n v="16222954"/>
    <x v="3"/>
    <x v="61"/>
    <n v="70"/>
    <s v="veio faltando"/>
    <m/>
    <m/>
    <d v="2026-06-30T14:35:24"/>
    <m/>
    <n v="647"/>
    <x v="1"/>
    <n v="314"/>
    <m/>
    <d v="2026-06-30T00:00:00"/>
    <x v="0"/>
  </r>
  <r>
    <x v="37"/>
    <s v="felconfeccao@gmail.com"/>
    <n v="300274894"/>
    <n v="15789640"/>
    <x v="3"/>
    <x v="4"/>
    <n v="1500"/>
    <s v="FALTOU"/>
    <m/>
    <m/>
    <d v="2026-06-30T14:41:16"/>
    <m/>
    <n v="648"/>
    <x v="1"/>
    <n v="0"/>
    <m/>
    <d v="2026-06-30T00:00:00"/>
    <x v="0"/>
  </r>
  <r>
    <x v="37"/>
    <s v="felconfeccao@gmail.com"/>
    <n v="300000000"/>
    <n v="0"/>
    <x v="3"/>
    <x v="7"/>
    <n v="100"/>
    <s v="ACABOU"/>
    <m/>
    <m/>
    <d v="2026-06-30T14:43:41"/>
    <m/>
    <n v="649"/>
    <x v="2"/>
    <n v="0"/>
    <m/>
    <d v="2026-06-30T00:00:00"/>
    <x v="0"/>
  </r>
  <r>
    <x v="21"/>
    <s v="potengitextil@outlook.com.br"/>
    <n v="300271818"/>
    <n v="16285417"/>
    <x v="2"/>
    <x v="49"/>
    <n v="20"/>
    <s v="Insuficiente para finalizar op "/>
    <m/>
    <m/>
    <d v="2026-06-30T14:44:44"/>
    <m/>
    <n v="650"/>
    <x v="1"/>
    <n v="10000228911"/>
    <m/>
    <d v="2026-06-30T00:00:00"/>
    <x v="0"/>
  </r>
  <r>
    <x v="18"/>
    <s v="ebenezerindustrat@hotmail.com"/>
    <n v="300273667"/>
    <n v="16444710"/>
    <x v="3"/>
    <x v="22"/>
    <n v="94"/>
    <s v="Material não enviado pela Guararapes"/>
    <m/>
    <m/>
    <d v="2026-06-30T14:48:34"/>
    <m/>
    <n v="651"/>
    <x v="1"/>
    <n v="0"/>
    <m/>
    <d v="2026-06-30T00:00:00"/>
    <x v="0"/>
  </r>
  <r>
    <x v="18"/>
    <s v="ebenezerindustriat@hotmail.com"/>
    <n v="300273667"/>
    <n v="16444710"/>
    <x v="3"/>
    <x v="12"/>
    <n v="94"/>
    <s v="Material não enviado pela Guararapes"/>
    <m/>
    <m/>
    <d v="2026-06-30T14:49:42"/>
    <m/>
    <n v="652"/>
    <x v="1"/>
    <n v="0"/>
    <m/>
    <d v="2026-06-30T00:00:00"/>
    <x v="0"/>
  </r>
  <r>
    <x v="18"/>
    <s v="ebenezerindustriat@hotmail.com"/>
    <n v="300273667"/>
    <n v="16444710"/>
    <x v="3"/>
    <x v="22"/>
    <n v="94"/>
    <s v="Material não enviado pela Guararapes"/>
    <m/>
    <m/>
    <d v="2026-06-30T14:51:40"/>
    <m/>
    <n v="653"/>
    <x v="1"/>
    <n v="0"/>
    <m/>
    <d v="2026-06-30T00:00:00"/>
    <x v="0"/>
  </r>
  <r>
    <x v="18"/>
    <s v="ebenezerindustriat@hotmail.com"/>
    <n v="300273667"/>
    <n v="16444710"/>
    <x v="3"/>
    <x v="30"/>
    <n v="94"/>
    <s v="Material não enviado pela Guararapes"/>
    <m/>
    <m/>
    <d v="2026-06-30T14:52:45"/>
    <m/>
    <n v="654"/>
    <x v="1"/>
    <n v="0"/>
    <m/>
    <d v="2026-06-30T00:00:00"/>
    <x v="0"/>
  </r>
  <r>
    <x v="37"/>
    <s v="felconfeccao@gmail.com"/>
    <n v="300276896"/>
    <n v="16222881"/>
    <x v="3"/>
    <x v="4"/>
    <n v="150"/>
    <s v="FALTOU"/>
    <m/>
    <m/>
    <d v="2026-06-30T15:22:40"/>
    <m/>
    <n v="655"/>
    <x v="1"/>
    <n v="0"/>
    <m/>
    <d v="2026-06-30T00:00:00"/>
    <x v="0"/>
  </r>
  <r>
    <x v="21"/>
    <s v="potengitextil@outlook.com.br"/>
    <n v="300271876"/>
    <n v="16222954"/>
    <x v="1"/>
    <x v="6"/>
    <n v="10"/>
    <s v="Insuficiente para finalizar ordem "/>
    <m/>
    <m/>
    <d v="2026-06-30T15:47:14"/>
    <m/>
    <n v="656"/>
    <x v="1"/>
    <n v="0"/>
    <m/>
    <d v="2026-06-30T00:00:00"/>
    <x v="0"/>
  </r>
  <r>
    <x v="44"/>
    <s v="teceuzl@hotmail.com"/>
    <n v="300271864"/>
    <n v="13044826"/>
    <x v="1"/>
    <x v="160"/>
    <n v="10"/>
    <s v="ESTAMOS SEM NENHUM "/>
    <m/>
    <m/>
    <d v="2026-06-30T16:00:43"/>
    <m/>
    <n v="657"/>
    <x v="2"/>
    <n v="0"/>
    <m/>
    <d v="2026-06-30T00:00:00"/>
    <x v="0"/>
  </r>
  <r>
    <x v="35"/>
    <s v="lupercio-fnb@hotmail.com"/>
    <n v="300273271"/>
    <n v="16520050"/>
    <x v="2"/>
    <x v="7"/>
    <s v="Pacote"/>
    <s v="FALTANDO"/>
    <m/>
    <s v="Faltando."/>
    <d v="2026-06-30T16:05:22"/>
    <m/>
    <n v="658"/>
    <x v="2"/>
    <n v="0"/>
    <m/>
    <d v="2026-06-30T00:00:00"/>
    <x v="0"/>
  </r>
  <r>
    <x v="163"/>
    <s v="felconfeccao@gmail.com"/>
    <n v="300270295"/>
    <n v="16310373"/>
    <x v="2"/>
    <x v="22"/>
    <n v="40"/>
    <s v="NÃO ENVIADO PARA OFICINA"/>
    <m/>
    <s v="FRENTE ESQUERDA DE QUEM VESTE"/>
    <d v="2026-06-30T16:14:21"/>
    <m/>
    <n v="659"/>
    <x v="1"/>
    <s v="NÃO INFORMADO"/>
    <m/>
    <d v="2026-06-30T00:00:00"/>
    <x v="0"/>
  </r>
  <r>
    <x v="171"/>
    <s v="confeccoesgbdas@gmail.com"/>
    <n v="300267171"/>
    <n v="16445007"/>
    <x v="2"/>
    <x v="4"/>
    <n v="50"/>
    <s v="FALTARAM ETIQUETAS PARA COMPLETAR A ORDEM"/>
    <m/>
    <m/>
    <d v="2026-06-30T16:19:29"/>
    <m/>
    <n v="660"/>
    <x v="1"/>
    <n v="16445007"/>
    <m/>
    <d v="2026-06-30T00:00:00"/>
    <x v="0"/>
  </r>
  <r>
    <x v="171"/>
    <s v="confeccoesgbdas@hotmail.com"/>
    <n v="300274644"/>
    <n v="16488393"/>
    <x v="2"/>
    <x v="49"/>
    <n v="68"/>
    <s v="MATERIAL NAO ENVIADO PELA GUARARAPES"/>
    <m/>
    <m/>
    <d v="2026-06-30T16:32:12"/>
    <m/>
    <n v="661"/>
    <x v="2"/>
    <s v="ETQ POOL JEANS 75X18 TAMA 46 BRA CÓDIGO: 10000214517"/>
    <m/>
    <d v="2026-06-30T00:00:00"/>
    <x v="0"/>
  </r>
  <r>
    <x v="171"/>
    <s v="confeccoesgbdas@hotmail.com"/>
    <n v="300267171"/>
    <n v="16445007"/>
    <x v="3"/>
    <x v="4"/>
    <n v="50"/>
    <s v="MATERIAL INSUFICIENTE PARA FINALIZAR ORDEM"/>
    <m/>
    <m/>
    <d v="2026-06-30T16:38:40"/>
    <m/>
    <n v="662"/>
    <x v="1"/>
    <n v="16445007"/>
    <m/>
    <d v="2026-06-30T00:00:00"/>
    <x v="0"/>
  </r>
  <r>
    <x v="164"/>
    <s v="AUXIFORTE@HOTMAIL.COM"/>
    <n v="300271682"/>
    <n v="16222326"/>
    <x v="3"/>
    <x v="6"/>
    <n v="1750"/>
    <s v="ERRO DE CORTE"/>
    <m/>
    <s v="PARA TODA ORDEM"/>
    <d v="2026-06-30T17:39:37"/>
    <m/>
    <n v="663"/>
    <x v="2"/>
    <s v="GOLA"/>
    <m/>
    <d v="2026-06-30T00:00:00"/>
    <x v="0"/>
  </r>
  <r>
    <x v="54"/>
    <s v="deboraclothing.textil@gmail.com"/>
    <n v="300275978"/>
    <n v="16222857"/>
    <x v="3"/>
    <x v="61"/>
    <n v="29"/>
    <s v="INSUFICIENTE PARA COMPLETAR ORDEM "/>
    <m/>
    <s v="INSUFICIENTE PARA FINALIZAR ORDEM "/>
    <d v="2026-06-30T18:02:19"/>
    <m/>
    <n v="664"/>
    <x v="1"/>
    <n v="0"/>
    <m/>
    <d v="2026-06-30T00:00:00"/>
    <x v="0"/>
  </r>
  <r>
    <x v="165"/>
    <s v="freiresilvaconfeccoes@gmail.com"/>
    <n v="300271211"/>
    <n v="13044826"/>
    <x v="1"/>
    <x v="11"/>
    <n v="3"/>
    <s v="Não recebemos para esse material."/>
    <m/>
    <s v="Não recebemos pistolas para o processo da polo."/>
    <d v="2026-07-01T07:16:40"/>
    <m/>
    <n v="665"/>
    <x v="2"/>
    <s v="*"/>
    <m/>
    <d v="2026-07-01T00:00:00"/>
    <x v="0"/>
  </r>
  <r>
    <x v="63"/>
    <s v="acaritextil2801@gmail.com"/>
    <n v="300276286"/>
    <n v="15863387"/>
    <x v="2"/>
    <x v="61"/>
    <n v="34"/>
    <s v="FALTOU"/>
    <m/>
    <m/>
    <d v="2026-07-01T07:35:26"/>
    <m/>
    <n v="666"/>
    <x v="1"/>
    <n v="0"/>
    <m/>
    <d v="2026-07-01T00:00:00"/>
    <x v="0"/>
  </r>
  <r>
    <x v="175"/>
    <s v="confeccaogenesisltda@gmail.com"/>
    <n v="300275654"/>
    <n v="16549627"/>
    <x v="0"/>
    <x v="4"/>
    <n v="307"/>
    <s v="veio faltando"/>
    <m/>
    <m/>
    <d v="2026-07-01T07:40:51"/>
    <m/>
    <n v="667"/>
    <x v="1"/>
    <n v="0"/>
    <m/>
    <d v="2026-07-01T00:00:00"/>
    <x v="0"/>
  </r>
  <r>
    <x v="175"/>
    <s v="confeccaogenesisltda@gmail.com"/>
    <n v="300275654"/>
    <n v="16549027"/>
    <x v="0"/>
    <x v="61"/>
    <n v="5"/>
    <s v="veio faltando"/>
    <m/>
    <m/>
    <d v="2026-07-01T07:41:56"/>
    <m/>
    <n v="668"/>
    <x v="1"/>
    <n v="0"/>
    <m/>
    <d v="2026-07-01T00:00:00"/>
    <x v="0"/>
  </r>
  <r>
    <x v="175"/>
    <s v="confeccaogenesisltda@gmail.com"/>
    <n v="300275893"/>
    <n v="16426010"/>
    <x v="3"/>
    <x v="142"/>
    <n v="15"/>
    <s v="insuficiente para distribuir nas máquinas"/>
    <m/>
    <m/>
    <d v="2026-07-01T07:43:26"/>
    <m/>
    <n v="669"/>
    <x v="1"/>
    <n v="0"/>
    <m/>
    <d v="2026-07-01T00:00:00"/>
    <x v="0"/>
  </r>
  <r>
    <x v="165"/>
    <s v="freiresilvaconfeccoes@gmail.com"/>
    <n v="300271212"/>
    <n v="13044826"/>
    <x v="1"/>
    <x v="6"/>
    <n v="75"/>
    <s v="Material insuficiente para finalizar a OP."/>
    <m/>
    <s v="Material insuficiente."/>
    <d v="2026-07-01T07:56:52"/>
    <m/>
    <n v="670"/>
    <x v="2"/>
    <s v="*"/>
    <m/>
    <d v="2026-07-01T00:00:00"/>
    <x v="0"/>
  </r>
  <r>
    <x v="15"/>
    <s v="spauloazevedo@bol.com.br"/>
    <n v="300273865"/>
    <n v="16545303"/>
    <x v="0"/>
    <x v="30"/>
    <n v="34"/>
    <s v="Veio 1 pacote com 34 mangas cortadas na ponta, do tamanho M primeiro risco"/>
    <m/>
    <m/>
    <d v="2026-07-01T08:04:47"/>
    <m/>
    <n v="671"/>
    <x v="2"/>
    <n v="0"/>
    <m/>
    <d v="2026-07-01T00:00:00"/>
    <x v="0"/>
  </r>
  <r>
    <x v="171"/>
    <s v="confeccoesgbdas@hotmail.com"/>
    <n v="300271121"/>
    <n v="16507665"/>
    <x v="2"/>
    <x v="61"/>
    <n v="30"/>
    <s v="MATERIAL INSUFICIENTE PARA FINALIZAR ORDEM"/>
    <m/>
    <m/>
    <d v="2026-07-01T08:35:39"/>
    <m/>
    <n v="672"/>
    <x v="1"/>
    <n v="16507665"/>
    <m/>
    <d v="2026-07-01T00:00:00"/>
    <x v="0"/>
  </r>
  <r>
    <x v="21"/>
    <s v="potengitextil@outlook.com.br"/>
    <n v="300271268"/>
    <n v="16114159"/>
    <x v="2"/>
    <x v="49"/>
    <n v="50"/>
    <s v="Insuficiente para finalizar ordem "/>
    <m/>
    <s v="Etiqueta de tamanho pregada no cos "/>
    <d v="2026-07-01T10:12:01"/>
    <m/>
    <n v="673"/>
    <x v="1"/>
    <n v="10000214496"/>
    <m/>
    <d v="2026-07-01T00:00:00"/>
    <x v="0"/>
  </r>
  <r>
    <x v="180"/>
    <s v="lajedoconf5@gmail.com"/>
    <n v="300271532"/>
    <n v="16522885"/>
    <x v="2"/>
    <x v="17"/>
    <n v="15"/>
    <s v="quantidade insuficiente para concluir a ordem"/>
    <m/>
    <m/>
    <d v="2026-07-01T10:38:55"/>
    <m/>
    <n v="674"/>
    <x v="1"/>
    <n v="0"/>
    <m/>
    <d v="2026-07-01T00:00:00"/>
    <x v="0"/>
  </r>
  <r>
    <x v="169"/>
    <s v="acauaconfeccoes@outlook.com"/>
    <n v="300270841"/>
    <n v="16442679"/>
    <x v="1"/>
    <x v="29"/>
    <n v="700"/>
    <s v="Os viés enviados pela Guararapes foram insuficientes."/>
    <m/>
    <s v="Viés de Gola Polo "/>
    <d v="2026-07-01T10:50:47"/>
    <m/>
    <n v="675"/>
    <x v="2"/>
    <s v="."/>
    <m/>
    <d v="2026-07-01T00:00:00"/>
    <x v="0"/>
  </r>
  <r>
    <x v="15"/>
    <s v="spauloazevedo@bol.com.br"/>
    <n v="300276354"/>
    <n v="16535642"/>
    <x v="0"/>
    <x v="61"/>
    <n v="1258"/>
    <s v="As etiquetas de composição dessa OP não vieram"/>
    <m/>
    <m/>
    <d v="2026-07-01T10:53:47"/>
    <m/>
    <n v="676"/>
    <x v="2"/>
    <n v="0"/>
    <m/>
    <d v="2026-07-01T00:00:00"/>
    <x v="0"/>
  </r>
  <r>
    <x v="13"/>
    <s v="administrativo@zajaconfeccoes.com.br"/>
    <n v="300265955"/>
    <n v="16487575"/>
    <x v="3"/>
    <x v="22"/>
    <n v="23"/>
    <s v="INSUFICIENTE "/>
    <m/>
    <m/>
    <d v="2026-07-01T10:55:36"/>
    <m/>
    <n v="677"/>
    <x v="1"/>
    <n v="0"/>
    <m/>
    <d v="2026-07-01T00:00:00"/>
    <x v="0"/>
  </r>
  <r>
    <x v="13"/>
    <s v="administrativo@zajaconfeccoes.com.br"/>
    <n v="300265955"/>
    <n v="16487575"/>
    <x v="3"/>
    <x v="22"/>
    <n v="46"/>
    <s v="INSUFIENTE "/>
    <m/>
    <m/>
    <d v="2026-07-01T10:56:58"/>
    <m/>
    <n v="678"/>
    <x v="1"/>
    <n v="0"/>
    <m/>
    <d v="2026-07-01T00:00:00"/>
    <x v="0"/>
  </r>
  <r>
    <x v="18"/>
    <s v="ebenezerindustriat@hotmail.com"/>
    <n v="300272200"/>
    <n v="16444949"/>
    <x v="3"/>
    <x v="61"/>
    <n v="312"/>
    <s v="Material não enviado pela Guararapes"/>
    <m/>
    <s v="NÃO VEIO NNEHUMA ETIQUETA DE COMPOSIÇÃO"/>
    <d v="2026-07-01T11:23:09"/>
    <m/>
    <n v="679"/>
    <x v="2"/>
    <n v="0"/>
    <m/>
    <d v="2026-07-01T00:00:00"/>
    <x v="0"/>
  </r>
  <r>
    <x v="56"/>
    <s v="idealconfecltda@gmail.com"/>
    <n v="300275413"/>
    <n v="16261526"/>
    <x v="2"/>
    <x v="17"/>
    <n v="25"/>
    <s v="INSUFICIENTE PARA FINALIZAR OP"/>
    <m/>
    <s v="INSUFICIENTE PARA FINALIZAR OP"/>
    <d v="2026-07-01T12:30:03"/>
    <m/>
    <n v="680"/>
    <x v="1"/>
    <n v="0"/>
    <m/>
    <d v="2026-07-01T00:00:00"/>
    <x v="0"/>
  </r>
  <r>
    <x v="31"/>
    <s v="administrativo@zajaconfeccoes.com.br"/>
    <n v="300271127"/>
    <n v="15774112"/>
    <x v="2"/>
    <x v="61"/>
    <n v="2"/>
    <s v="INSUFICIENTE "/>
    <m/>
    <m/>
    <d v="2026-07-01T12:52:42"/>
    <m/>
    <n v="681"/>
    <x v="1"/>
    <n v="0"/>
    <m/>
    <d v="2026-07-01T00:00:00"/>
    <x v="0"/>
  </r>
  <r>
    <x v="188"/>
    <s v="tendenciaconfec@gmail.com"/>
    <n v="300276284"/>
    <n v="15863387"/>
    <x v="2"/>
    <x v="13"/>
    <n v="54"/>
    <s v="Não veio junto a op"/>
    <m/>
    <s v="Faltou 54 ziper, tamanho 13cm"/>
    <d v="2026-07-01T13:03:13"/>
    <m/>
    <n v="682"/>
    <x v="2"/>
    <s v="000000010000065215 - 9.Z0127.013.140708; ZÍPER MT MÉDIO NIQ FIXO 13CM 140708"/>
    <m/>
    <d v="2026-07-01T00:00:00"/>
    <x v="0"/>
  </r>
  <r>
    <x v="60"/>
    <s v="mkdeazevedomedeiros@gmail.com"/>
    <n v="300272528"/>
    <n v="16447964"/>
    <x v="2"/>
    <x v="13"/>
    <n v="100"/>
    <s v="INSUFICIENTE PRA TERMINAR A ORDEM"/>
    <m/>
    <m/>
    <d v="2026-07-01T13:03:28"/>
    <m/>
    <n v="683"/>
    <x v="1"/>
    <s v="9.Z0127.012.CRU000"/>
    <m/>
    <d v="2026-07-01T00:00:00"/>
    <x v="0"/>
  </r>
  <r>
    <x v="162"/>
    <s v="faccaoello@hotmail.com"/>
    <n v="300272601"/>
    <n v="16219830"/>
    <x v="2"/>
    <x v="22"/>
    <n v="38"/>
    <s v="Material não enviado pela Guararapes"/>
    <m/>
    <s v="LADO DIREITO"/>
    <d v="2026-07-01T13:13:19"/>
    <m/>
    <n v="684"/>
    <x v="1"/>
    <n v="0"/>
    <m/>
    <d v="2026-07-01T00:00:00"/>
    <x v="0"/>
  </r>
  <r>
    <x v="21"/>
    <s v="potengitextil@outlook.com.br"/>
    <n v="300270298"/>
    <n v="16176170"/>
    <x v="2"/>
    <x v="161"/>
    <n v="605"/>
    <s v="Insuficiente para finalizar ordem "/>
    <m/>
    <m/>
    <d v="2026-07-01T13:16:57"/>
    <m/>
    <n v="685"/>
    <x v="2"/>
    <n v="0"/>
    <m/>
    <d v="2026-07-01T00:00:00"/>
    <x v="0"/>
  </r>
  <r>
    <x v="162"/>
    <s v="faccaoello@hotmail.com"/>
    <n v="300272601"/>
    <n v="16219430"/>
    <x v="2"/>
    <x v="22"/>
    <n v="9"/>
    <s v="Material não enviado pela Guararapes"/>
    <m/>
    <s v="LADO ESQUERDO"/>
    <d v="2026-07-01T13:18:31"/>
    <m/>
    <n v="686"/>
    <x v="1"/>
    <n v="0"/>
    <m/>
    <d v="2026-07-01T00:00:00"/>
    <x v="0"/>
  </r>
  <r>
    <x v="196"/>
    <s v="samuelmedeiros074@hotmail.com"/>
    <n v="300276289"/>
    <n v="15863387"/>
    <x v="2"/>
    <x v="142"/>
    <n v="1121"/>
    <s v="NÃO VEIO A LINHA FINA DE COR 333"/>
    <m/>
    <s v="SÓ VEIO A LINHA GROSSA DA 333, FALTANDO A FINA."/>
    <d v="2026-07-01T13:24:45"/>
    <m/>
    <n v="687"/>
    <x v="2"/>
    <s v="."/>
    <m/>
    <d v="2026-07-01T00:00:00"/>
    <x v="0"/>
  </r>
  <r>
    <x v="18"/>
    <s v="ebenezerindustriat@hotmail.com"/>
    <n v="300272201"/>
    <n v="16444949"/>
    <x v="3"/>
    <x v="61"/>
    <n v="766"/>
    <s v="Material não enviado pela Guararapes"/>
    <m/>
    <m/>
    <d v="2026-07-01T13:33:45"/>
    <m/>
    <n v="688"/>
    <x v="2"/>
    <n v="0"/>
    <m/>
    <d v="2026-07-01T00:00:00"/>
    <x v="0"/>
  </r>
  <r>
    <x v="164"/>
    <s v="auxiforte@hotmail.com"/>
    <n v="300274423"/>
    <n v="16441222"/>
    <x v="3"/>
    <x v="12"/>
    <n v="5"/>
    <s v="ORDEM - 300274423; MATERIAL INSUFICIENTE PARA FINALIZAR OP;"/>
    <m/>
    <s v="ORDEM - 300274423; MATERIAL INSUFICIENTE PARA FINALIZAR OP;"/>
    <d v="2026-07-01T14:07:48"/>
    <m/>
    <n v="689"/>
    <x v="1"/>
    <n v="0"/>
    <m/>
    <d v="2026-07-01T00:00:00"/>
    <x v="0"/>
  </r>
  <r>
    <x v="197"/>
    <s v="mc.confeccoes15@gmail.com"/>
    <n v="300275485"/>
    <n v="16494610"/>
    <x v="2"/>
    <x v="7"/>
    <n v="1"/>
    <s v="Quantidade insuficiente para próximas ordens."/>
    <m/>
    <m/>
    <d v="2026-07-01T14:09:39"/>
    <m/>
    <n v="690"/>
    <x v="2"/>
    <n v="1"/>
    <m/>
    <d v="2026-07-01T00:00:00"/>
    <x v="0"/>
  </r>
  <r>
    <x v="197"/>
    <s v="mc.confeccoes15@gmail.com"/>
    <n v="300275485"/>
    <n v="16494610"/>
    <x v="2"/>
    <x v="10"/>
    <n v="1"/>
    <s v="Quantidade insuficiente para próximas ordens."/>
    <m/>
    <m/>
    <d v="2026-07-01T14:10:44"/>
    <m/>
    <n v="691"/>
    <x v="2"/>
    <n v="1"/>
    <m/>
    <d v="2026-07-01T00:00:00"/>
    <x v="0"/>
  </r>
  <r>
    <x v="164"/>
    <s v="auxiforte@hotmail.com"/>
    <n v="300271905"/>
    <n v="16222954"/>
    <x v="3"/>
    <x v="12"/>
    <n v="4"/>
    <s v="MATERIAL INSUFICIENTE PARA FINALIZAR OP;"/>
    <m/>
    <s v="MATERIAL INSUFICIENTE PARA FINALIZAR OP;"/>
    <d v="2026-07-01T14:17:27"/>
    <m/>
    <n v="692"/>
    <x v="1"/>
    <n v="0"/>
    <m/>
    <d v="2026-07-01T00:00:00"/>
    <x v="0"/>
  </r>
  <r>
    <x v="23"/>
    <s v="reposicoesjkmodas@gmail.com"/>
    <n v="300273717"/>
    <n v="16493168"/>
    <x v="2"/>
    <x v="61"/>
    <n v="100"/>
    <s v="ERRO NO PROCESSO DE FABRICAÇÃO"/>
    <m/>
    <m/>
    <d v="2026-07-01T14:21:09"/>
    <m/>
    <n v="693"/>
    <x v="1"/>
    <n v="0"/>
    <m/>
    <d v="2026-07-01T00:00:00"/>
    <x v="0"/>
  </r>
  <r>
    <x v="164"/>
    <s v="auxiforte@hotmail.com"/>
    <n v="300271873"/>
    <n v="16222954"/>
    <x v="3"/>
    <x v="12"/>
    <n v="5"/>
    <s v="MATERIAL INSUFICIENTE PARA FINALIZAR OP;"/>
    <m/>
    <s v="MATERIAL INSUFICIENTE PARA FINALIZAR OP;"/>
    <d v="2026-07-01T14:27:29"/>
    <m/>
    <n v="694"/>
    <x v="1"/>
    <n v="0"/>
    <m/>
    <d v="2026-07-01T00:00:00"/>
    <x v="0"/>
  </r>
  <r>
    <x v="188"/>
    <s v="tendenciaconfec@gmail.com"/>
    <n v="300269147"/>
    <n v="15957128"/>
    <x v="3"/>
    <x v="61"/>
    <n v="5"/>
    <s v="FALTOU PARA FINALIZAR OP"/>
    <m/>
    <m/>
    <d v="2026-07-01T14:27:48"/>
    <m/>
    <n v="695"/>
    <x v="2"/>
    <s v="ETIQUETA DE COMPOSIÇÃO"/>
    <m/>
    <d v="2026-07-01T00:00:00"/>
    <x v="0"/>
  </r>
  <r>
    <x v="188"/>
    <s v="tendenciaconfec@gmail.com"/>
    <n v="300276284"/>
    <n v="15863387"/>
    <x v="2"/>
    <x v="142"/>
    <n v="12"/>
    <s v="não veio linha fina junto a op"/>
    <m/>
    <s v="Não veio linha intermediaria junto a OP"/>
    <d v="2026-07-01T14:36:44"/>
    <m/>
    <n v="696"/>
    <x v="2"/>
    <s v="linha s.333 130403 intermediaria "/>
    <m/>
    <d v="2026-07-01T00:00:00"/>
    <x v="0"/>
  </r>
  <r>
    <x v="70"/>
    <s v="novaconfeccoes2.0@hotmail.com"/>
    <n v="300274237"/>
    <n v="16503252"/>
    <x v="2"/>
    <x v="49"/>
    <n v="43"/>
    <s v="NÃO VEIO A QUANTIDADE SUFICIENTE PARA FINALIZAR A  ORDEM"/>
    <m/>
    <s v="ETC RCHLO BOTTOM INFANTIL 65X18"/>
    <d v="2026-07-01T15:43:28"/>
    <m/>
    <n v="697"/>
    <x v="1"/>
    <n v="10000216489"/>
    <m/>
    <d v="2026-07-01T00:00:00"/>
    <x v="0"/>
  </r>
  <r>
    <x v="23"/>
    <s v="reposicoesjkmodas@gmail.com"/>
    <n v="300273717"/>
    <n v="16493168"/>
    <x v="2"/>
    <x v="17"/>
    <n v="360"/>
    <s v="ERRO NO PROCESSO DE FABRICAÇÃO"/>
    <m/>
    <m/>
    <d v="2026-07-01T15:47:21"/>
    <m/>
    <n v="698"/>
    <x v="1"/>
    <n v="150"/>
    <m/>
    <d v="2026-07-01T00:00:00"/>
    <x v="0"/>
  </r>
  <r>
    <x v="31"/>
    <s v="administrativo@zajaconfeccoes.com.br"/>
    <n v="300253723"/>
    <n v="16244001"/>
    <x v="2"/>
    <x v="61"/>
    <n v="4"/>
    <s v="INSUFICIENTE "/>
    <m/>
    <m/>
    <d v="2026-07-01T15:48:46"/>
    <m/>
    <n v="699"/>
    <x v="1"/>
    <n v="0"/>
    <m/>
    <d v="2026-07-01T00:00:00"/>
    <x v="0"/>
  </r>
  <r>
    <x v="32"/>
    <s v="di3confec@gmail.com"/>
    <n v="300271509"/>
    <n v="16508971"/>
    <x v="2"/>
    <x v="77"/>
    <n v="10"/>
    <s v="REPOSIÇÃO"/>
    <m/>
    <m/>
    <d v="2026-07-01T15:50:46"/>
    <m/>
    <n v="700"/>
    <x v="1"/>
    <n v="0"/>
    <m/>
    <d v="2026-07-01T00:00:00"/>
    <x v="0"/>
  </r>
  <r>
    <x v="32"/>
    <s v="di3confec@gmail.com"/>
    <n v="300274226"/>
    <n v="16219449"/>
    <x v="2"/>
    <x v="12"/>
    <n v="4"/>
    <s v="Partes das peças faltando"/>
    <m/>
    <m/>
    <d v="2026-07-01T16:31:26"/>
    <m/>
    <n v="701"/>
    <x v="1"/>
    <n v="0"/>
    <m/>
    <d v="2026-07-01T00:00:00"/>
    <x v="0"/>
  </r>
  <r>
    <x v="24"/>
    <s v="maxwelaaraujo7@gmail.com"/>
    <n v="300273863"/>
    <n v="16441354"/>
    <x v="3"/>
    <x v="19"/>
    <n v="10"/>
    <s v="MATERIAL INSULFICIENTE PARA FINALIZAR OM"/>
    <m/>
    <s v="MATERIAL PRA FINALIZAR 2 ORDENS 300273863 E ORDEM 300273862"/>
    <d v="2026-07-01T16:48:27"/>
    <m/>
    <n v="702"/>
    <x v="1"/>
    <n v="10000071649"/>
    <m/>
    <d v="2026-07-01T00:00:00"/>
    <x v="0"/>
  </r>
  <r>
    <x v="24"/>
    <s v="maxwelaaraujo7@gmail.com"/>
    <n v="300273862"/>
    <n v="16441354"/>
    <x v="3"/>
    <x v="142"/>
    <n v="10"/>
    <s v="MATERIAL INSULFICIENTE PARA FINALIZAR OM"/>
    <m/>
    <s v="MATERIAL PARA FINALIZAR 2 ORDENS, 300273863 E ORDEM 300273862"/>
    <d v="2026-07-01T16:51:29"/>
    <m/>
    <n v="703"/>
    <x v="1"/>
    <n v="10000072702"/>
    <m/>
    <d v="2026-07-01T00:00:00"/>
    <x v="0"/>
  </r>
  <r>
    <x v="182"/>
    <s v="uniaoconfeccao.me@gmail.com"/>
    <n v="300275033"/>
    <n v="16482204"/>
    <x v="2"/>
    <x v="158"/>
    <n v="312"/>
    <s v="Faltou 2 tamanhos "/>
    <m/>
    <s v="Faltou os tamanhos 36 e 38 de bolsos relógio . "/>
    <d v="2026-07-01T17:09:31"/>
    <m/>
    <n v="704"/>
    <x v="1"/>
    <s v="N tem "/>
    <m/>
    <d v="2026-07-01T00:00:00"/>
    <x v="0"/>
  </r>
  <r>
    <x v="166"/>
    <s v="w.anny.k@hotmail.com"/>
    <n v="300277090"/>
    <n v="15773949"/>
    <x v="2"/>
    <x v="61"/>
    <n v="40"/>
    <s v="VEIO FALTANDO"/>
    <m/>
    <m/>
    <d v="2026-07-01T17:17:15"/>
    <m/>
    <n v="705"/>
    <x v="1"/>
    <n v="0"/>
    <m/>
    <d v="2026-07-01T00:00:00"/>
    <x v="0"/>
  </r>
  <r>
    <x v="196"/>
    <s v="samuelmedeiros074@hotmail.com"/>
    <n v="300276272"/>
    <n v="15858367"/>
    <x v="2"/>
    <x v="13"/>
    <n v="90"/>
    <s v="VEIO FALTANDO PARA O TAMANHO 52"/>
    <m/>
    <m/>
    <d v="2026-07-01T17:21:16"/>
    <m/>
    <n v="706"/>
    <x v="1"/>
    <n v="10000064387"/>
    <m/>
    <d v="2026-07-01T00:00:00"/>
    <x v="0"/>
  </r>
  <r>
    <x v="56"/>
    <s v="idealconfecltda@gmail.com"/>
    <n v="300270311"/>
    <n v="16243951"/>
    <x v="2"/>
    <x v="61"/>
    <n v="30"/>
    <s v="INSUFICIENTE PARA FINALIZAR OP"/>
    <m/>
    <s v="insuficiente para finalizar op"/>
    <d v="2026-07-01T17:42:36"/>
    <m/>
    <n v="707"/>
    <x v="1"/>
    <n v="0"/>
    <m/>
    <d v="2026-07-01T00:00:00"/>
    <x v="0"/>
  </r>
  <r>
    <x v="56"/>
    <s v="idealconfecltda@gmail.com"/>
    <n v="300276762"/>
    <n v="16497767"/>
    <x v="2"/>
    <x v="61"/>
    <n v="35"/>
    <s v="INSUFICIENTE PARA FINALIZAR OP"/>
    <m/>
    <s v="INSUFICIENTE PARA FINALIZAR OP"/>
    <d v="2026-07-01T17:50:14"/>
    <m/>
    <n v="708"/>
    <x v="1"/>
    <n v="0"/>
    <m/>
    <d v="2026-07-01T00:00:00"/>
    <x v="0"/>
  </r>
  <r>
    <x v="202"/>
    <s v="ferreiraaraujoconfeccoes@gmail.com"/>
    <n v="300273324"/>
    <n v="16523741"/>
    <x v="2"/>
    <x v="5"/>
    <n v="10"/>
    <s v="PEDIMOS EMPRESTADO DE OUTRA FABRICA OS PLÁSTICOS DE PASSANTE QUANDO NÃO TINHAMOS, POR ISSO A SOLICITAÇÃO DE MAIS."/>
    <m/>
    <m/>
    <d v="2026-07-01T18:17:27"/>
    <m/>
    <n v="709"/>
    <x v="2"/>
    <n v="0"/>
    <m/>
    <d v="2026-07-01T00:00:00"/>
    <x v="0"/>
  </r>
  <r>
    <x v="35"/>
    <s v="lupercio-fnb@hotmail.com"/>
    <n v="300276766"/>
    <n v="16217683"/>
    <x v="2"/>
    <x v="13"/>
    <n v="20"/>
    <s v="FALTANDO"/>
    <m/>
    <s v="Atenção - ordem no processo precisamos com antecedência "/>
    <d v="2026-07-02T07:32:47"/>
    <m/>
    <n v="710"/>
    <x v="1"/>
    <n v="100000247151"/>
    <m/>
    <d v="2026-07-02T00:00:00"/>
    <x v="0"/>
  </r>
  <r>
    <x v="188"/>
    <s v="tendenciaconfec@gmail.com"/>
    <n v="300269147"/>
    <n v="15957128"/>
    <x v="3"/>
    <x v="61"/>
    <n v="30"/>
    <s v="FALTOU PARA FINALIZAR OP"/>
    <m/>
    <m/>
    <d v="2026-07-02T07:44:31"/>
    <m/>
    <n v="711"/>
    <x v="2"/>
    <s v="ETIQUETA DE COMPOSIÇÃO"/>
    <m/>
    <d v="2026-07-02T00:00:00"/>
    <x v="0"/>
  </r>
  <r>
    <x v="23"/>
    <s v="reposicoesjkmodas@gmail.com"/>
    <n v="300276747"/>
    <n v="16217861"/>
    <x v="2"/>
    <x v="18"/>
    <n v="980"/>
    <s v="NÃO ENVIADO PELA GUARARAPES"/>
    <m/>
    <s v="ELÁSTICO PARA 980 PEÇAS."/>
    <d v="2026-07-02T08:13:08"/>
    <m/>
    <n v="712"/>
    <x v="2"/>
    <n v="10000074062"/>
    <m/>
    <d v="2026-07-02T00:00:00"/>
    <x v="0"/>
  </r>
  <r>
    <x v="23"/>
    <s v="reposicoesjkmodas@gmail.com"/>
    <n v="300275426"/>
    <n v="16217861"/>
    <x v="2"/>
    <x v="18"/>
    <n v="960"/>
    <s v="NÃO ENVIADO PELA GUARARAPES"/>
    <m/>
    <s v="ELÁSTICO PARA 960 PEÇAS"/>
    <d v="2026-07-02T08:14:15"/>
    <m/>
    <n v="713"/>
    <x v="2"/>
    <n v="10000074062"/>
    <m/>
    <d v="2026-07-02T00:00:00"/>
    <x v="0"/>
  </r>
  <r>
    <x v="58"/>
    <s v="js.silva6815@gmail.com"/>
    <n v="300269315"/>
    <n v="16470834"/>
    <x v="2"/>
    <x v="161"/>
    <n v="25"/>
    <s v="não enviado "/>
    <m/>
    <s v="25 rolos de vies cru de 2,5cm"/>
    <d v="2026-07-02T08:26:22"/>
    <m/>
    <n v="714"/>
    <x v="2"/>
    <n v="0"/>
    <m/>
    <d v="2026-07-02T00:00:00"/>
    <x v="0"/>
  </r>
  <r>
    <x v="21"/>
    <s v="potengitextil@outlook.com.br"/>
    <n v="300275886"/>
    <n v="16426010"/>
    <x v="3"/>
    <x v="61"/>
    <n v="6"/>
    <s v="Insuficiente para finalizar ordem "/>
    <m/>
    <m/>
    <d v="2026-07-02T08:30:40"/>
    <m/>
    <n v="715"/>
    <x v="1"/>
    <n v="0"/>
    <m/>
    <d v="2026-07-02T00:00:00"/>
    <x v="0"/>
  </r>
  <r>
    <x v="21"/>
    <s v="potengitextil@outlook.com.br"/>
    <n v="300277359"/>
    <n v="16442857"/>
    <x v="1"/>
    <x v="27"/>
    <n v="1980"/>
    <s v="Material não enviado pela guararapes "/>
    <m/>
    <m/>
    <d v="2026-07-02T08:36:08"/>
    <n v="300277359"/>
    <n v="716"/>
    <x v="2"/>
    <n v="0"/>
    <m/>
    <d v="2026-07-02T00:00:00"/>
    <x v="0"/>
  </r>
  <r>
    <x v="21"/>
    <s v="potengitextil@outlook.com.br"/>
    <n v="300277361"/>
    <n v="16442857"/>
    <x v="1"/>
    <x v="27"/>
    <n v="1724"/>
    <s v="Material não enviado pela guararapes "/>
    <m/>
    <s v="Botões de camisa polo "/>
    <d v="2026-07-02T08:42:25"/>
    <m/>
    <n v="717"/>
    <x v="2"/>
    <n v="0"/>
    <m/>
    <d v="2026-07-02T00:00:00"/>
    <x v="0"/>
  </r>
  <r>
    <x v="81"/>
    <s v="Gsragazziconfeccoes@yahoo.com"/>
    <n v="300276362"/>
    <n v="16483910"/>
    <x v="3"/>
    <x v="4"/>
    <n v="12"/>
    <s v="Nao foi suficiente "/>
    <m/>
    <s v="Ordens da mesma referência veio falando de tamanhos variados, porém fomos encaixando de outras que sobraram e mesmo assim ainda faltou essas 12 para completar ."/>
    <d v="2026-07-02T08:54:55"/>
    <m/>
    <n v="718"/>
    <x v="1"/>
    <s v="."/>
    <m/>
    <d v="2026-07-02T00:00:00"/>
    <x v="0"/>
  </r>
  <r>
    <x v="2"/>
    <s v="oficinasantos08@outlook.com"/>
    <n v="300000000"/>
    <n v="0"/>
    <x v="2"/>
    <x v="5"/>
    <n v="4"/>
    <s v="o que temos está acabando"/>
    <m/>
    <m/>
    <d v="2026-07-02T09:03:27"/>
    <m/>
    <n v="719"/>
    <x v="2"/>
    <n v="0"/>
    <m/>
    <d v="2026-07-02T00:00:00"/>
    <x v="0"/>
  </r>
  <r>
    <x v="2"/>
    <s v="oficinasantos08@outlook.com"/>
    <n v="300000000"/>
    <n v="0"/>
    <x v="2"/>
    <x v="10"/>
    <n v="1"/>
    <s v="só temos um pedaço"/>
    <m/>
    <m/>
    <d v="2026-07-02T09:04:38"/>
    <m/>
    <n v="720"/>
    <x v="2"/>
    <n v="0"/>
    <m/>
    <d v="2026-07-02T00:00:00"/>
    <x v="0"/>
  </r>
  <r>
    <x v="21"/>
    <s v="potengitextil@outlook.com.br"/>
    <n v="300271681"/>
    <n v="16222326"/>
    <x v="3"/>
    <x v="61"/>
    <n v="2"/>
    <s v="Insuficiente para finalizar ordem "/>
    <m/>
    <m/>
    <d v="2026-07-02T09:10:14"/>
    <m/>
    <n v="721"/>
    <x v="1"/>
    <n v="0"/>
    <m/>
    <d v="2026-07-02T00:00:00"/>
    <x v="0"/>
  </r>
  <r>
    <x v="18"/>
    <s v="ebenezerindustriat@hotmail.com"/>
    <n v="300272202"/>
    <n v="164449449"/>
    <x v="3"/>
    <x v="61"/>
    <n v="741"/>
    <s v="Material não enviado pela Guararapes"/>
    <m/>
    <m/>
    <d v="2026-07-02T09:14:00"/>
    <m/>
    <n v="722"/>
    <x v="2"/>
    <n v="0"/>
    <m/>
    <d v="2026-07-02T00:00:00"/>
    <x v="0"/>
  </r>
  <r>
    <x v="164"/>
    <s v="auxiforte@hotmail.com"/>
    <n v="300276462"/>
    <n v="16545540"/>
    <x v="0"/>
    <x v="12"/>
    <n v="5"/>
    <s v="MATERIAL INSUFICIENTE PARA FINALIZAR OP;"/>
    <m/>
    <s v="MATERIAL INSUFICIENTE PARA FINALIZAR OP;"/>
    <d v="2026-07-02T09:25:51"/>
    <m/>
    <n v="723"/>
    <x v="1"/>
    <n v="0"/>
    <m/>
    <d v="2026-07-02T00:00:00"/>
    <x v="0"/>
  </r>
  <r>
    <x v="171"/>
    <s v="confeccoesgbdas@hotmail.com"/>
    <n v="300274644"/>
    <n v="16488393"/>
    <x v="2"/>
    <x v="61"/>
    <n v="20"/>
    <s v="MATERIAL INSUFICIENTE PARA FINALIZAR ORDEM"/>
    <m/>
    <m/>
    <d v="2026-07-02T10:05:06"/>
    <m/>
    <n v="724"/>
    <x v="1"/>
    <n v="16488393"/>
    <m/>
    <d v="2026-07-02T00:00:00"/>
    <x v="0"/>
  </r>
  <r>
    <x v="173"/>
    <s v="alfaequador@gmail.com"/>
    <n v="300271500"/>
    <n v="16473825"/>
    <x v="2"/>
    <x v="61"/>
    <n v="524"/>
    <s v="VEIO COM DEFEITO"/>
    <m/>
    <s v="VEIO SEM O NUMERO DA OP IMPRESSA."/>
    <d v="2026-07-02T10:23:40"/>
    <n v="300271500"/>
    <n v="725"/>
    <x v="2"/>
    <n v="0"/>
    <m/>
    <d v="2026-07-02T00:00:00"/>
    <x v="0"/>
  </r>
  <r>
    <x v="81"/>
    <s v="Maildjanatalia17@gmail.com"/>
    <n v="300274412"/>
    <n v="16229215"/>
    <x v="3"/>
    <x v="61"/>
    <n v="60"/>
    <s v="Nao veio suficiente "/>
    <m/>
    <s v="Material insuficiente para finalizar a op"/>
    <d v="2026-07-02T10:49:27"/>
    <m/>
    <n v="726"/>
    <x v="1"/>
    <s v="."/>
    <m/>
    <d v="2026-07-02T00:00:00"/>
    <x v="0"/>
  </r>
  <r>
    <x v="181"/>
    <s v="asaequador@gmail.com"/>
    <n v="300274228"/>
    <n v="16217861"/>
    <x v="2"/>
    <x v="17"/>
    <n v="30"/>
    <s v="COS VEIO MAS FINO, ESTA ESTOURANDO"/>
    <m/>
    <m/>
    <d v="2026-07-02T10:54:57"/>
    <m/>
    <n v="727"/>
    <x v="1"/>
    <n v="0"/>
    <m/>
    <d v="2026-07-02T00:00:00"/>
    <x v="0"/>
  </r>
  <r>
    <x v="8"/>
    <s v="tlcserranatextil@gmail.com"/>
    <n v="300275210"/>
    <n v="16442610"/>
    <x v="1"/>
    <x v="61"/>
    <n v="27"/>
    <s v="Quantidade insuficiente"/>
    <m/>
    <m/>
    <d v="2026-07-02T12:28:00"/>
    <m/>
    <n v="728"/>
    <x v="1"/>
    <n v="0"/>
    <m/>
    <d v="2026-07-02T00:00:00"/>
    <x v="0"/>
  </r>
  <r>
    <x v="15"/>
    <s v="spauloazevedo@bol.com.br"/>
    <n v="300276354"/>
    <n v="16535642"/>
    <x v="0"/>
    <x v="58"/>
    <s v="65 pares"/>
    <s v="Veio faltando  bolso do lado esquerdo"/>
    <m/>
    <s v="veio faltando 65 pares de bolso do lado esquerdo"/>
    <d v="2026-07-02T12:31:16"/>
    <m/>
    <n v="729"/>
    <x v="1"/>
    <s v="bolso de vestido"/>
    <m/>
    <d v="2026-07-02T00:00:00"/>
    <x v="0"/>
  </r>
  <r>
    <x v="208"/>
    <s v="300084426@guararapes.ind.br"/>
    <n v="300000000"/>
    <n v="1111111111"/>
    <x v="0"/>
    <x v="60"/>
    <n v="2323"/>
    <s v="232ew"/>
    <m/>
    <m/>
    <d v="2026-07-02T12:54:08"/>
    <m/>
    <n v="730"/>
    <x v="1"/>
    <n v="212133"/>
    <m/>
    <d v="2026-07-02T00:00:00"/>
    <x v="0"/>
  </r>
  <r>
    <x v="31"/>
    <s v="administrativo@zajaconfeccoes.com.br"/>
    <n v="300262153"/>
    <n v="16318404"/>
    <x v="2"/>
    <x v="54"/>
    <n v="40"/>
    <s v="insuficiente"/>
    <m/>
    <s v="40 pares"/>
    <d v="2026-07-02T12:57:58"/>
    <m/>
    <n v="731"/>
    <x v="1"/>
    <n v="0"/>
    <m/>
    <d v="2026-07-02T00:00:00"/>
    <x v="0"/>
  </r>
  <r>
    <x v="162"/>
    <s v="faccaoello@hotmail.com"/>
    <n v="300275050"/>
    <n v="16429559"/>
    <x v="2"/>
    <x v="18"/>
    <n v="1176"/>
    <s v="MATERIAL  NÃO ENVIADO PELA GUARARAPES"/>
    <m/>
    <m/>
    <d v="2026-07-02T13:12:27"/>
    <m/>
    <n v="732"/>
    <x v="2"/>
    <n v="0"/>
    <m/>
    <d v="2026-07-02T00:00:00"/>
    <x v="0"/>
  </r>
  <r>
    <x v="162"/>
    <s v="faccaoello@hotmail.com"/>
    <n v="300275799"/>
    <n v="16360311"/>
    <x v="2"/>
    <x v="61"/>
    <n v="1"/>
    <s v="Material não enviado pela Guararapes"/>
    <m/>
    <m/>
    <d v="2026-07-02T13:16:30"/>
    <m/>
    <n v="733"/>
    <x v="1"/>
    <n v="0"/>
    <m/>
    <d v="2026-07-02T00:00:00"/>
    <x v="0"/>
  </r>
  <r>
    <x v="209"/>
    <s v="JESSICAROSANA823@GMAIL.COM"/>
    <n v="300275974"/>
    <n v="16222857"/>
    <x v="3"/>
    <x v="19"/>
    <s v="6 und"/>
    <s v="cone dos fios amassados"/>
    <m/>
    <s v="fios amassados, improprios para o uso."/>
    <d v="2026-07-02T13:17:16"/>
    <m/>
    <n v="734"/>
    <x v="1"/>
    <s v="1031 tít 167 cor 8083 "/>
    <m/>
    <d v="2026-07-02T00:00:00"/>
    <x v="0"/>
  </r>
  <r>
    <x v="209"/>
    <s v="jessicarosana823@gmail.com"/>
    <n v="300275974"/>
    <n v="16222857"/>
    <x v="3"/>
    <x v="142"/>
    <n v="6"/>
    <s v="poucas und de linha, não da para as duas ordens"/>
    <m/>
    <s v="vai faltar linha, para produção de duas ordens "/>
    <d v="2026-07-02T13:20:44"/>
    <m/>
    <n v="735"/>
    <x v="1"/>
    <s v=" 2051 tít 120/ 0714"/>
    <m/>
    <d v="2026-07-02T00:00:00"/>
    <x v="0"/>
  </r>
  <r>
    <x v="13"/>
    <s v="administrativo@zajaconfeccoes.com.br"/>
    <n v="300276270"/>
    <n v="15858367"/>
    <x v="2"/>
    <x v="49"/>
    <n v="2"/>
    <s v="insuficiente "/>
    <m/>
    <s v="etiqueta de marca "/>
    <d v="2026-07-02T13:37:46"/>
    <m/>
    <n v="736"/>
    <x v="1"/>
    <n v="10000214531"/>
    <m/>
    <d v="2026-07-02T00:00:00"/>
    <x v="0"/>
  </r>
  <r>
    <x v="37"/>
    <s v="felconfeccao@gmail.com"/>
    <n v="300276896"/>
    <n v="16222881"/>
    <x v="3"/>
    <x v="61"/>
    <n v="2"/>
    <s v="FALTOU PARA FINALIZAR"/>
    <m/>
    <m/>
    <d v="2026-07-02T13:39:01"/>
    <m/>
    <n v="737"/>
    <x v="1"/>
    <n v="0"/>
    <m/>
    <d v="2026-07-02T00:00:00"/>
    <x v="0"/>
  </r>
  <r>
    <x v="194"/>
    <s v="pn.fenix@gmail.com"/>
    <n v="300275858"/>
    <n v="15773434"/>
    <x v="2"/>
    <x v="142"/>
    <n v="10"/>
    <s v="MATERIAL INSUFICIENTE PARA FINALIZAR OP"/>
    <m/>
    <m/>
    <d v="2026-07-02T13:39:59"/>
    <n v="300275858"/>
    <n v="738"/>
    <x v="2"/>
    <n v="10000073407"/>
    <m/>
    <d v="2026-07-02T00:00:00"/>
    <x v="0"/>
  </r>
  <r>
    <x v="37"/>
    <s v="felconfeccao@gmail.com"/>
    <n v="300274894"/>
    <n v="15789640"/>
    <x v="3"/>
    <x v="4"/>
    <n v="700"/>
    <s v="FALTOU PARA FINALIZAR "/>
    <m/>
    <s v="FOI PEÇO AS 1500 E SÓ VEIO 800"/>
    <d v="2026-07-02T13:41:35"/>
    <m/>
    <n v="739"/>
    <x v="1"/>
    <n v="0"/>
    <m/>
    <d v="2026-07-02T00:00:00"/>
    <x v="0"/>
  </r>
  <r>
    <x v="162"/>
    <s v="faccaoello@hotmail.com"/>
    <n v="300275199"/>
    <n v="16360311"/>
    <x v="2"/>
    <x v="49"/>
    <n v="1"/>
    <s v="Material não enviado pela Guararapes"/>
    <m/>
    <m/>
    <d v="2026-07-02T13:53:51"/>
    <m/>
    <n v="740"/>
    <x v="1"/>
    <n v="0"/>
    <m/>
    <d v="2026-07-02T00:00:00"/>
    <x v="0"/>
  </r>
  <r>
    <x v="174"/>
    <s v="jakeline.jl.confeccoes@gmail.com"/>
    <n v="300272581"/>
    <n v="16243323"/>
    <x v="2"/>
    <x v="49"/>
    <n v="22"/>
    <s v="Insuficiente para finalizar a ordem"/>
    <m/>
    <s v="Insuficiente para finalizar a ordem"/>
    <d v="2026-07-02T13:56:15"/>
    <m/>
    <n v="741"/>
    <x v="1"/>
    <s v="10000216175; 10000216176; 10000216177; 10000216178; 10000216179; 10000216500"/>
    <m/>
    <d v="2026-07-02T00:00:00"/>
    <x v="0"/>
  </r>
  <r>
    <x v="162"/>
    <s v="faccaoello@hotmail.com"/>
    <n v="300275799"/>
    <n v="16360311"/>
    <x v="2"/>
    <x v="61"/>
    <n v="1"/>
    <s v="Material não enviado pela Guararapes"/>
    <m/>
    <m/>
    <d v="2026-07-02T13:56:29"/>
    <m/>
    <n v="742"/>
    <x v="1"/>
    <n v="0"/>
    <m/>
    <d v="2026-07-02T00:00:00"/>
    <x v="0"/>
  </r>
  <r>
    <x v="188"/>
    <s v="tendenciaconfec@gmail.com"/>
    <n v="300275053"/>
    <n v="16186648"/>
    <x v="2"/>
    <x v="157"/>
    <n v="467"/>
    <s v="tonalidade"/>
    <m/>
    <m/>
    <d v="2026-07-02T13:56:34"/>
    <m/>
    <n v="743"/>
    <x v="2"/>
    <s v="viés de passante"/>
    <m/>
    <d v="2026-07-02T00:00:00"/>
    <x v="0"/>
  </r>
  <r>
    <x v="174"/>
    <s v="jakeline.jl.confeccoes@gmail.com"/>
    <n v="300272578"/>
    <n v="16243323"/>
    <x v="2"/>
    <x v="49"/>
    <n v="4"/>
    <s v="Insuficiente para finalizar a ordem"/>
    <m/>
    <s v="Insuficiente para finalizar a ordem"/>
    <d v="2026-07-02T14:06:13"/>
    <m/>
    <n v="744"/>
    <x v="1"/>
    <s v="10000216178; 10000216175"/>
    <m/>
    <d v="2026-07-02T00:00:00"/>
    <x v="0"/>
  </r>
  <r>
    <x v="191"/>
    <s v="lctextil@outlook.com.br"/>
    <n v="300275595"/>
    <n v="16493176"/>
    <x v="3"/>
    <x v="29"/>
    <n v="200"/>
    <s v="Insuficiente para finalizar ordem "/>
    <m/>
    <s v="Viés listrado "/>
    <d v="2026-07-02T14:23:24"/>
    <m/>
    <n v="745"/>
    <x v="1"/>
    <n v="0"/>
    <m/>
    <d v="2026-07-02T00:00:00"/>
    <x v="0"/>
  </r>
  <r>
    <x v="15"/>
    <s v="spauloazevedo@bol.com.br"/>
    <n v="300275038"/>
    <n v="16489985"/>
    <x v="2"/>
    <x v="5"/>
    <n v="20"/>
    <s v="está acabando aqui"/>
    <m/>
    <s v="Envie plástico filme, por favor"/>
    <d v="2026-07-02T14:24:33"/>
    <m/>
    <n v="746"/>
    <x v="2"/>
    <s v="plástico filme"/>
    <m/>
    <d v="2026-07-02T00:00:00"/>
    <x v="0"/>
  </r>
  <r>
    <x v="191"/>
    <s v="lctextil@outlook.com.br"/>
    <n v="300275882"/>
    <n v="16334922"/>
    <x v="3"/>
    <x v="61"/>
    <n v="30"/>
    <s v="Insuficiente para finalizar ordem "/>
    <m/>
    <m/>
    <d v="2026-07-02T14:56:32"/>
    <m/>
    <n v="747"/>
    <x v="1"/>
    <n v="0"/>
    <m/>
    <d v="2026-07-02T00:00:00"/>
    <x v="0"/>
  </r>
  <r>
    <x v="185"/>
    <s v="fernandoassu@gmail.com"/>
    <n v="300276279"/>
    <n v="16291077"/>
    <x v="2"/>
    <x v="49"/>
    <s v="50 etiquetas do tamanho 8-9 e 50 etiquetas do tamanho 9-10"/>
    <s v="Reposição incompleta "/>
    <m/>
    <m/>
    <d v="2026-07-02T14:56:37"/>
    <m/>
    <n v="748"/>
    <x v="1"/>
    <n v="150"/>
    <m/>
    <d v="2026-07-02T00:00:00"/>
    <x v="0"/>
  </r>
  <r>
    <x v="21"/>
    <s v="potengitextil@outlook.com.br"/>
    <n v="300271881"/>
    <n v="16222954"/>
    <x v="3"/>
    <x v="61"/>
    <n v="1"/>
    <s v="Insuficiente para finalizar ordem "/>
    <m/>
    <m/>
    <d v="2026-07-02T14:57:34"/>
    <m/>
    <n v="749"/>
    <x v="1"/>
    <n v="0"/>
    <m/>
    <d v="2026-07-02T00:00:00"/>
    <x v="0"/>
  </r>
  <r>
    <x v="176"/>
    <s v="hiconfeccao@gmail.com"/>
    <n v="300273765"/>
    <n v="16474147"/>
    <x v="2"/>
    <x v="61"/>
    <n v="10"/>
    <s v="Veio insuficiente para concluir a OP"/>
    <m/>
    <s v="Pedido de Etiquetas de Composição."/>
    <d v="2026-07-02T14:59:51"/>
    <m/>
    <n v="750"/>
    <x v="2"/>
    <s v="000000010000214511/000000010000214499"/>
    <m/>
    <d v="2026-07-02T00:00:00"/>
    <x v="0"/>
  </r>
  <r>
    <x v="165"/>
    <s v="freiresilvaconfeccoes@gmail.com"/>
    <n v="300275209"/>
    <n v="16544498"/>
    <x v="0"/>
    <x v="19"/>
    <n v="7"/>
    <s v="Material insuficiente para finalizar a OP "/>
    <m/>
    <s v="Material insuficiente para finalizar a OP "/>
    <d v="2026-07-02T15:41:30"/>
    <m/>
    <n v="751"/>
    <x v="2"/>
    <n v="10000071699"/>
    <m/>
    <d v="2026-07-02T00:00:00"/>
    <x v="0"/>
  </r>
  <r>
    <x v="32"/>
    <s v="di3confecções@gmail.com"/>
    <n v="300272960"/>
    <n v="15699293"/>
    <x v="2"/>
    <x v="5"/>
    <n v="10"/>
    <s v="REPOSIÇÃO"/>
    <m/>
    <s v="PLÁSTICO PARA FUSIONAR PASSANTE"/>
    <d v="2026-07-02T16:05:54"/>
    <n v="300272960"/>
    <n v="752"/>
    <x v="1"/>
    <n v="0"/>
    <m/>
    <d v="2026-07-02T00:00:00"/>
    <x v="0"/>
  </r>
  <r>
    <x v="56"/>
    <s v="idealconfecltda@gmail.com"/>
    <n v="300273581"/>
    <n v="15238385"/>
    <x v="3"/>
    <x v="11"/>
    <n v="1"/>
    <s v="SEM O MATERIAL NA FABRICA"/>
    <m/>
    <s v="ENVIAR  UMA PISTOLA PARA COLOCAR ETIQUETA"/>
    <d v="2026-07-02T16:13:07"/>
    <m/>
    <n v="753"/>
    <x v="2"/>
    <n v="0"/>
    <m/>
    <d v="2026-07-02T00:00:00"/>
    <x v="0"/>
  </r>
  <r>
    <x v="190"/>
    <s v="EMPORIODAMODAMOSSORO@GMAIL.COM"/>
    <n v="300275789"/>
    <n v="15773434"/>
    <x v="2"/>
    <x v="10"/>
    <n v="10"/>
    <s v="insuficiente para finalizar a op"/>
    <m/>
    <m/>
    <d v="2026-07-02T16:15:26"/>
    <m/>
    <n v="754"/>
    <x v="2"/>
    <n v="0"/>
    <m/>
    <d v="2026-07-02T00:00:00"/>
    <x v="0"/>
  </r>
  <r>
    <x v="190"/>
    <s v="EMPORIODAMODAMOSSORO@GMAIL.COM"/>
    <n v="300275789"/>
    <n v="15773434"/>
    <x v="2"/>
    <x v="5"/>
    <n v="10"/>
    <s v="insuficiente para terminar a op"/>
    <m/>
    <m/>
    <d v="2026-07-02T16:16:45"/>
    <m/>
    <n v="755"/>
    <x v="2"/>
    <n v="0"/>
    <m/>
    <d v="2026-07-02T00:00:00"/>
    <x v="0"/>
  </r>
  <r>
    <x v="26"/>
    <s v="cabugiconfeccoes.adm@gmail.com"/>
    <n v="300271118"/>
    <n v="16507665"/>
    <x v="2"/>
    <x v="161"/>
    <n v="23"/>
    <s v="A bocada da frente veio toda picotada."/>
    <m/>
    <s v="A bocada da frente, lado direito e esquerdo, está todo picotado. "/>
    <d v="2026-07-02T16:21:30"/>
    <m/>
    <n v="756"/>
    <x v="2"/>
    <n v="0"/>
    <m/>
    <d v="2026-07-02T00:00:00"/>
    <x v="0"/>
  </r>
  <r>
    <x v="171"/>
    <s v="confeccoesgbdas@hotmail.com"/>
    <n v="300276734"/>
    <n v="16272676"/>
    <x v="2"/>
    <x v="61"/>
    <n v="1300"/>
    <s v="NÃO ENVIADAS PELA GUARARAPES"/>
    <m/>
    <m/>
    <d v="2026-07-02T16:28:04"/>
    <n v="300276734"/>
    <n v="757"/>
    <x v="2"/>
    <n v="16272676"/>
    <m/>
    <d v="2026-07-02T00:00:00"/>
    <x v="0"/>
  </r>
  <r>
    <x v="31"/>
    <s v="administrativo@zajaconfeccoes.com.br"/>
    <n v="300272587"/>
    <n v="16243668"/>
    <x v="2"/>
    <x v="61"/>
    <n v="1"/>
    <s v="insuficiente "/>
    <m/>
    <m/>
    <d v="2026-07-02T16:29:51"/>
    <m/>
    <n v="758"/>
    <x v="1"/>
    <n v="0"/>
    <m/>
    <d v="2026-07-02T00:00:00"/>
    <x v="0"/>
  </r>
  <r>
    <x v="56"/>
    <s v="idealconfecltda@gmail.com"/>
    <n v="300275040"/>
    <n v="16489985"/>
    <x v="2"/>
    <x v="61"/>
    <n v="45"/>
    <s v="INSUFICIENTE PARA FINALIZAR OP"/>
    <m/>
    <s v="INSUFICIENTE PARA FINALIZAR OP"/>
    <d v="2026-07-02T16:37:21"/>
    <m/>
    <n v="759"/>
    <x v="1"/>
    <n v="0"/>
    <m/>
    <d v="2026-07-02T00:00:00"/>
    <x v="0"/>
  </r>
  <r>
    <x v="56"/>
    <s v="idealconfecltda@gmail.com"/>
    <n v="300275039"/>
    <n v="16489985"/>
    <x v="2"/>
    <x v="61"/>
    <n v="35"/>
    <s v="INSUFICIENTE PARA FINALIZAR OP"/>
    <m/>
    <s v="INSUFICIENTE PARA FINALIZAR OP"/>
    <d v="2026-07-02T16:40:31"/>
    <m/>
    <n v="760"/>
    <x v="1"/>
    <n v="0"/>
    <m/>
    <d v="2026-07-02T00:00:00"/>
    <x v="0"/>
  </r>
  <r>
    <x v="162"/>
    <s v="faccaoello@hotmail.com"/>
    <n v="300274651"/>
    <n v="16416538"/>
    <x v="2"/>
    <x v="61"/>
    <n v="1"/>
    <s v="PRODUTO COM DEFEITO"/>
    <m/>
    <m/>
    <d v="2026-07-02T17:09:59"/>
    <m/>
    <n v="761"/>
    <x v="1"/>
    <n v="0"/>
    <m/>
    <d v="2026-07-02T00:00:00"/>
    <x v="0"/>
  </r>
  <r>
    <x v="163"/>
    <s v="felconfeccao@gmail.com"/>
    <n v="300270294"/>
    <n v="16310373"/>
    <x v="2"/>
    <x v="61"/>
    <n v="12"/>
    <s v="insuficiente para finalizar op"/>
    <m/>
    <m/>
    <d v="2026-07-02T17:47:26"/>
    <m/>
    <n v="762"/>
    <x v="1"/>
    <s v="NÃO INFORMADO"/>
    <m/>
    <d v="2026-07-02T00:00:00"/>
    <x v="0"/>
  </r>
  <r>
    <x v="78"/>
    <s v="ocalves3@gmail.com"/>
    <n v="300272957"/>
    <n v="15699293"/>
    <x v="2"/>
    <x v="61"/>
    <n v="235"/>
    <s v="veio imcompleta"/>
    <m/>
    <s v="veio faltando as etiquetas"/>
    <d v="2026-07-02T17:51:36"/>
    <m/>
    <n v="763"/>
    <x v="1"/>
    <s v="etiqueta de composição"/>
    <m/>
    <d v="2026-07-02T00:00:00"/>
    <x v="0"/>
  </r>
  <r>
    <x v="21"/>
    <s v="potengitextil@outlook.com.br"/>
    <n v="300277357"/>
    <n v="16442857"/>
    <x v="1"/>
    <x v="27"/>
    <n v="2292"/>
    <s v="Material não enviado pela guararapes "/>
    <m/>
    <s v="São 2 botões por peça "/>
    <d v="2026-07-02T17:52:23"/>
    <m/>
    <n v="764"/>
    <x v="2"/>
    <n v="0"/>
    <m/>
    <d v="2026-07-02T00:00:00"/>
    <x v="0"/>
  </r>
  <r>
    <x v="21"/>
    <s v="potengitextil@outlook.com.br"/>
    <n v="300271881"/>
    <n v="16222954"/>
    <x v="3"/>
    <x v="22"/>
    <n v="24"/>
    <s v="Produto com defeito "/>
    <m/>
    <s v="Peça branca "/>
    <d v="2026-07-03T06:45:32"/>
    <m/>
    <n v="765"/>
    <x v="1"/>
    <n v="0"/>
    <m/>
    <d v="2026-07-03T00:00:00"/>
    <x v="0"/>
  </r>
  <r>
    <x v="58"/>
    <s v="js.silva6815@gmail.com"/>
    <n v="300272172"/>
    <n v="16285417"/>
    <x v="2"/>
    <x v="18"/>
    <n v="108"/>
    <s v="não veio na ordem"/>
    <m/>
    <s v="elastico branco 49mm"/>
    <d v="2026-07-03T07:26:45"/>
    <m/>
    <n v="766"/>
    <x v="2"/>
    <n v="0"/>
    <m/>
    <d v="2026-07-03T00:00:00"/>
    <x v="0"/>
  </r>
  <r>
    <x v="58"/>
    <s v="js.silva6815@gmail.com"/>
    <n v="300272173"/>
    <n v="16285417"/>
    <x v="2"/>
    <x v="18"/>
    <n v="552"/>
    <s v="não veio junto com a ordem"/>
    <m/>
    <s v="elástico para cós da cor branco 49mm"/>
    <d v="2026-07-03T07:29:04"/>
    <m/>
    <n v="767"/>
    <x v="2"/>
    <n v="0"/>
    <m/>
    <d v="2026-07-03T00:00:00"/>
    <x v="0"/>
  </r>
  <r>
    <x v="205"/>
    <s v="Sjarlandia@hotmail.com"/>
    <n v="300275034"/>
    <n v="16482204"/>
    <x v="2"/>
    <x v="17"/>
    <n v="70"/>
    <s v="Faltou "/>
    <m/>
    <s v="Faltou para finalizar ordem "/>
    <d v="2026-07-03T07:45:57"/>
    <m/>
    <n v="768"/>
    <x v="1"/>
    <n v="0"/>
    <m/>
    <d v="2026-07-03T00:00:00"/>
    <x v="0"/>
  </r>
  <r>
    <x v="173"/>
    <s v="alfaequador@gmail.com"/>
    <n v="300270254"/>
    <n v="16217780"/>
    <x v="2"/>
    <x v="10"/>
    <n v="1"/>
    <s v="EM FALTA"/>
    <m/>
    <s v="MATERIAL FALTANDO"/>
    <d v="2026-07-03T07:59:47"/>
    <m/>
    <n v="769"/>
    <x v="2"/>
    <n v="0"/>
    <m/>
    <d v="2026-07-03T00:00:00"/>
    <x v="0"/>
  </r>
  <r>
    <x v="206"/>
    <s v="pn.fenix@gmail.com"/>
    <n v="300277182"/>
    <n v="16310217"/>
    <x v="2"/>
    <x v="10"/>
    <n v="0"/>
    <s v="Papelão para Gabarito"/>
    <m/>
    <s v="Papelão para Gabarito"/>
    <d v="2026-07-03T08:18:03"/>
    <m/>
    <n v="770"/>
    <x v="2"/>
    <n v="0"/>
    <m/>
    <d v="2026-07-03T00:00:00"/>
    <x v="0"/>
  </r>
  <r>
    <x v="210"/>
    <s v="lupercio-fnb@hotmail.com"/>
    <n v="300276765"/>
    <n v="16217683"/>
    <x v="2"/>
    <x v="162"/>
    <s v="11-12-33, 13-14-33"/>
    <s v="Faltando 1 lote 11-12 e 13-14 com 33 unidades cada"/>
    <m/>
    <s v="Faltando precisando de imediato"/>
    <d v="2026-07-03T08:30:43"/>
    <m/>
    <n v="771"/>
    <x v="1"/>
    <n v="0"/>
    <m/>
    <d v="2026-07-03T00:00:00"/>
    <x v="0"/>
  </r>
  <r>
    <x v="186"/>
    <s v="bjmansourconfec@gmail.com"/>
    <n v="300272634"/>
    <n v="14938570"/>
    <x v="3"/>
    <x v="4"/>
    <n v="70"/>
    <s v="NÃO ENVIADO PELA GUARARAPES"/>
    <m/>
    <m/>
    <d v="2026-07-03T08:57:04"/>
    <m/>
    <n v="772"/>
    <x v="1"/>
    <n v="0"/>
    <m/>
    <d v="2026-07-03T00:00:00"/>
    <x v="0"/>
  </r>
  <r>
    <x v="177"/>
    <s v="linealtda@gmail.com"/>
    <n v="300275454"/>
    <n v="16518730"/>
    <x v="2"/>
    <x v="10"/>
    <n v="10"/>
    <s v="Não enviado "/>
    <m/>
    <m/>
    <d v="2026-07-03T09:04:02"/>
    <m/>
    <n v="773"/>
    <x v="2"/>
    <s v="Papelão"/>
    <m/>
    <d v="2026-07-03T00:00:00"/>
    <x v="0"/>
  </r>
  <r>
    <x v="177"/>
    <s v="linealtda@gmail.com"/>
    <n v="300275454"/>
    <n v="16518730"/>
    <x v="2"/>
    <x v="5"/>
    <n v="10"/>
    <s v="Não enviado"/>
    <m/>
    <m/>
    <d v="2026-07-03T09:16:35"/>
    <m/>
    <n v="774"/>
    <x v="2"/>
    <s v="plástico filme"/>
    <m/>
    <d v="2026-07-03T00:00:00"/>
    <x v="0"/>
  </r>
  <r>
    <x v="58"/>
    <s v="js.silva6815@gmail.com"/>
    <n v="300269312"/>
    <n v="16470834"/>
    <x v="2"/>
    <x v="28"/>
    <n v="45"/>
    <s v="faltou um lote do lado direito de quem veste."/>
    <m/>
    <s v="babado da bainha bordado lado direito de quem veste."/>
    <d v="2026-07-03T09:44:01"/>
    <m/>
    <n v="775"/>
    <x v="1"/>
    <n v="0"/>
    <m/>
    <d v="2026-07-03T00:00:00"/>
    <x v="0"/>
  </r>
  <r>
    <x v="183"/>
    <s v="kswconfeccoesltda@gmail.com"/>
    <n v="300242232"/>
    <n v="16223462"/>
    <x v="3"/>
    <x v="4"/>
    <n v="1557"/>
    <s v="Material não enviado pela Guararapes."/>
    <m/>
    <m/>
    <d v="2026-07-03T10:07:33"/>
    <m/>
    <n v="776"/>
    <x v="2"/>
    <n v="150"/>
    <m/>
    <d v="2026-07-03T00:00:00"/>
    <x v="0"/>
  </r>
  <r>
    <x v="173"/>
    <s v="alfaequador@gmail.com"/>
    <n v="300270254"/>
    <n v="16217780"/>
    <x v="2"/>
    <x v="61"/>
    <n v="2"/>
    <s v="INSUFICIENTE"/>
    <m/>
    <s v="INSUFICIENTE "/>
    <d v="2026-07-03T10:35:12"/>
    <m/>
    <n v="777"/>
    <x v="1"/>
    <n v="0"/>
    <m/>
    <d v="2026-07-03T00:00:00"/>
    <x v="0"/>
  </r>
  <r>
    <x v="175"/>
    <s v="confeccaogenesisltda@gmail.com"/>
    <n v="300273872"/>
    <n v="16547969"/>
    <x v="0"/>
    <x v="4"/>
    <n v="1640"/>
    <s v="não veio"/>
    <m/>
    <m/>
    <d v="2026-07-03T10:36:10"/>
    <m/>
    <n v="778"/>
    <x v="2"/>
    <n v="0"/>
    <m/>
    <d v="2026-07-03T00:00:00"/>
    <x v="0"/>
  </r>
  <r>
    <x v="175"/>
    <s v="confeccaogenesisltda@gmail.com"/>
    <n v="300273872"/>
    <n v="16547969"/>
    <x v="0"/>
    <x v="27"/>
    <n v="1440"/>
    <s v="NÃO FOI ENVIADO PELA GUARARAPES"/>
    <m/>
    <m/>
    <d v="2026-07-03T10:39:01"/>
    <m/>
    <n v="779"/>
    <x v="2"/>
    <n v="10000075698"/>
    <m/>
    <d v="2026-07-03T00:00:00"/>
    <x v="0"/>
  </r>
  <r>
    <x v="170"/>
    <s v="neemias.sc@hotmail.com"/>
    <n v="300277186"/>
    <n v="16243161"/>
    <x v="2"/>
    <x v="55"/>
    <n v="376"/>
    <s v="CORTE DIVERGENTE "/>
    <m/>
    <s v="RECEBEMOS O ZIPER APENAS DE TAMANHO 12, SENDO ASSIM PRECISAMOS DE BRAGUILHA PARA 376 PEÇAS"/>
    <d v="2026-07-03T10:43:09"/>
    <m/>
    <n v="780"/>
    <x v="1"/>
    <s v="STNA TYSON SKY BLUE00"/>
    <m/>
    <d v="2026-07-03T00:00:00"/>
    <x v="0"/>
  </r>
  <r>
    <x v="170"/>
    <s v="NEEMIAS.SC@HOTMAIL.COM"/>
    <n v="300277186"/>
    <n v="16243161"/>
    <x v="2"/>
    <x v="143"/>
    <n v="376"/>
    <s v="A ORDEM VEIO COM DIVERGENCIA"/>
    <m/>
    <m/>
    <d v="2026-07-03T10:46:15"/>
    <m/>
    <n v="781"/>
    <x v="1"/>
    <s v="STNA TYSON SKY BLUE00"/>
    <m/>
    <d v="2026-07-03T00:00:00"/>
    <x v="0"/>
  </r>
  <r>
    <x v="23"/>
    <s v="reposicoesjkmodas@gmail.com"/>
    <n v="300000000"/>
    <n v="0"/>
    <x v="2"/>
    <x v="48"/>
    <n v="30"/>
    <s v="NÃO ENVIADO PELA GUARARAPES"/>
    <m/>
    <s v="BANDEIROLAS PARA PREGAR CINTOS."/>
    <d v="2026-07-03T10:47:25"/>
    <m/>
    <n v="782"/>
    <x v="2"/>
    <n v="0"/>
    <m/>
    <d v="2026-07-03T00:00:00"/>
    <x v="0"/>
  </r>
  <r>
    <x v="34"/>
    <s v="dantasepaulino@gmail.com"/>
    <n v="300275031"/>
    <n v="16482204"/>
    <x v="2"/>
    <x v="49"/>
    <n v="100"/>
    <s v="insuficiente para finalizar a op "/>
    <m/>
    <m/>
    <d v="2026-07-03T10:49:07"/>
    <n v="300275031"/>
    <n v="783"/>
    <x v="1"/>
    <n v="0"/>
    <m/>
    <d v="2026-07-03T00:00:00"/>
    <x v="0"/>
  </r>
  <r>
    <x v="25"/>
    <s v="reposicoesjkmodas@gmail.com"/>
    <n v="300275014"/>
    <n v="16503783"/>
    <x v="2"/>
    <x v="18"/>
    <n v="638"/>
    <s v="NÃO ENVIADO PELA GUARARAPES"/>
    <m/>
    <m/>
    <d v="2026-07-03T11:10:53"/>
    <n v="300275014"/>
    <n v="784"/>
    <x v="2"/>
    <n v="10000074064"/>
    <m/>
    <d v="2026-07-03T00:00:00"/>
    <x v="0"/>
  </r>
  <r>
    <x v="34"/>
    <s v="dantasepaulino@gmail.com"/>
    <n v="300000000"/>
    <n v="100000"/>
    <x v="2"/>
    <x v="157"/>
    <n v="10000000"/>
    <s v="Faltando "/>
    <m/>
    <s v="Plástico de passante "/>
    <d v="2026-07-03T11:32:52"/>
    <m/>
    <n v="785"/>
    <x v="2"/>
    <n v="1000000"/>
    <m/>
    <d v="2026-07-03T00:00:00"/>
    <x v="0"/>
  </r>
  <r>
    <x v="192"/>
    <s v="ester.rodrigues@guararapes.ind.br"/>
    <n v="300000000"/>
    <n v="100000000"/>
    <x v="2"/>
    <x v="60"/>
    <n v="0"/>
    <n v="0"/>
    <m/>
    <s v="TESTE"/>
    <d v="2026-07-03T11:56:38"/>
    <m/>
    <n v="788"/>
    <x v="2"/>
    <n v="0"/>
    <m/>
    <d v="2026-07-03T00:00:00"/>
    <x v="0"/>
  </r>
  <r>
    <x v="193"/>
    <s v="ajgconfeccoes2021@gmail.com"/>
    <n v="300269525"/>
    <n v="16404343"/>
    <x v="3"/>
    <x v="29"/>
    <n v="15"/>
    <s v="Faltou viés degolo pra 15 peças "/>
    <m/>
    <s v="Faltou viés pra 15 peças "/>
    <d v="2026-07-03T12:04:28"/>
    <m/>
    <n v="789"/>
    <x v="1"/>
    <s v="N tem "/>
    <m/>
    <d v="2026-07-03T00:00:00"/>
    <x v="0"/>
  </r>
  <r>
    <x v="118"/>
    <s v="fjdeazevedo@hotmail.com"/>
    <n v="300275878"/>
    <n v="15773450"/>
    <x v="2"/>
    <x v="13"/>
    <n v="8"/>
    <s v="Faltou"/>
    <m/>
    <m/>
    <d v="2026-07-03T13:05:07"/>
    <m/>
    <n v="790"/>
    <x v="1"/>
    <s v="Tam.: 17-cód.: 10000064317, Tam.: 13- Cód.: 10000065215"/>
    <m/>
    <d v="2026-07-03T00:00:00"/>
    <x v="0"/>
  </r>
  <r>
    <x v="175"/>
    <s v="confeccaogenesisltda@gmail.com"/>
    <n v="300273872"/>
    <n v="16547969"/>
    <x v="0"/>
    <x v="18"/>
    <n v="840"/>
    <s v="não veio"/>
    <m/>
    <m/>
    <d v="2026-07-03T13:18:11"/>
    <m/>
    <n v="791"/>
    <x v="2"/>
    <n v="10000103074"/>
    <m/>
    <d v="2026-07-03T00:00:00"/>
    <x v="0"/>
  </r>
  <r>
    <x v="192"/>
    <s v="ester.rodrigues@guararapes.ind.br"/>
    <n v="300000000"/>
    <n v="10000000"/>
    <x v="2"/>
    <x v="60"/>
    <n v="0"/>
    <n v="0"/>
    <m/>
    <s v="TESTE"/>
    <d v="2026-07-03T13:18:21"/>
    <m/>
    <n v="792"/>
    <x v="2"/>
    <n v="0"/>
    <m/>
    <d v="2026-07-03T00:00:00"/>
    <x v="0"/>
  </r>
  <r>
    <x v="175"/>
    <s v="confeccaogenesisltda@gmail.com"/>
    <n v="300272294"/>
    <n v="16547926"/>
    <x v="0"/>
    <x v="142"/>
    <n v="20"/>
    <s v="QUANTIDADE INSUFICIENTE PARA DISTRIBUIR NAS MÁQUINAS E FINALIZAR A OP"/>
    <m/>
    <m/>
    <d v="2026-07-03T13:19:55"/>
    <n v="300272294"/>
    <n v="793"/>
    <x v="1"/>
    <n v="0"/>
    <m/>
    <d v="2026-07-03T00:00:00"/>
    <x v="0"/>
  </r>
  <r>
    <x v="37"/>
    <s v="felconfeccao@gmail.com"/>
    <n v="300276897"/>
    <n v="16222881"/>
    <x v="3"/>
    <x v="61"/>
    <n v="5"/>
    <s v="FALTOU"/>
    <m/>
    <m/>
    <d v="2026-07-03T13:27:06"/>
    <m/>
    <n v="794"/>
    <x v="1"/>
    <n v="0"/>
    <m/>
    <d v="2026-07-03T00:00:00"/>
    <x v="0"/>
  </r>
  <r>
    <x v="192"/>
    <s v="ester.rodrigues@guararapes.ind.br"/>
    <n v="300000000"/>
    <n v="100000000000"/>
    <x v="2"/>
    <x v="60"/>
    <n v="0"/>
    <n v="0"/>
    <m/>
    <n v="0"/>
    <d v="2026-07-03T13:39:00"/>
    <m/>
    <n v="795"/>
    <x v="2"/>
    <n v="0"/>
    <m/>
    <d v="2026-07-03T00:00:00"/>
    <x v="0"/>
  </r>
  <r>
    <x v="197"/>
    <s v="mc.confeccoes15@gmail.com"/>
    <n v="300275485"/>
    <n v="16494610"/>
    <x v="2"/>
    <x v="61"/>
    <n v="28"/>
    <s v="Material infuficiente. "/>
    <m/>
    <s v="Ultimamente estamos recebendo as etiquetas a quantidade certa ou faltando. Antes vinham etiquetas sobrando."/>
    <d v="2026-07-03T13:46:39"/>
    <m/>
    <n v="796"/>
    <x v="1"/>
    <n v="1"/>
    <m/>
    <d v="2026-07-03T00:00:00"/>
    <x v="0"/>
  </r>
  <r>
    <x v="61"/>
    <s v="noelpazevedo@gmail.com"/>
    <n v="300273637"/>
    <n v="16440641"/>
    <x v="2"/>
    <x v="12"/>
    <n v="62"/>
    <s v="Veio faltando 2 atados tamanho 8-9 de 31 peças "/>
    <m/>
    <s v="Veio faltando na primeira sequência 2 atados de traseiro tamanho 8-9"/>
    <d v="2026-07-03T14:15:30"/>
    <n v="300273637"/>
    <n v="797"/>
    <x v="1"/>
    <s v="Não tem "/>
    <m/>
    <d v="2026-07-03T00:00:00"/>
    <x v="0"/>
  </r>
  <r>
    <x v="197"/>
    <s v="mc.confeccoes15@gmail.com"/>
    <n v="300275485"/>
    <n v="16494610"/>
    <x v="2"/>
    <x v="61"/>
    <n v="8"/>
    <s v="quantidade recebida é menor que os lotes de tamanho."/>
    <m/>
    <s v="Ultimamente estamos recebendo as etiquetas a quantidade certa ou faltando. Antes vinham etiquetas sobrando."/>
    <d v="2026-07-03T14:31:40"/>
    <m/>
    <n v="798"/>
    <x v="1"/>
    <n v="0"/>
    <m/>
    <d v="2026-07-03T00:00:00"/>
    <x v="0"/>
  </r>
  <r>
    <x v="211"/>
    <s v="marceloleite.mafaldo03@gmail.com"/>
    <n v="300272940"/>
    <n v="16472217"/>
    <x v="2"/>
    <x v="17"/>
    <n v="110"/>
    <s v="Perda na fase da  operação"/>
    <m/>
    <m/>
    <d v="2026-07-03T14:32:45"/>
    <m/>
    <n v="799"/>
    <x v="1"/>
    <s v="NÃO TEM "/>
    <m/>
    <d v="2026-07-03T00:00:00"/>
    <x v="0"/>
  </r>
  <r>
    <x v="196"/>
    <s v="samuelmedeiros074@hotmail.com"/>
    <n v="300276289"/>
    <n v="15863387"/>
    <x v="2"/>
    <x v="13"/>
    <n v="59"/>
    <s v="ZIPER TAMANHO 13CM PARA O TAMANHO 38"/>
    <m/>
    <s v="ZIPER TAMANHO 13CM PARA O TAMANHO 38"/>
    <d v="2026-07-03T15:17:55"/>
    <m/>
    <n v="800"/>
    <x v="1"/>
    <s v="NÃO SEI POIS NÃO VEIO NA ORDEM"/>
    <m/>
    <d v="2026-07-03T00:00:00"/>
    <x v="0"/>
  </r>
  <r>
    <x v="196"/>
    <s v="samuelmedeiros074@hotmail.com"/>
    <n v="300276289"/>
    <n v="15863387"/>
    <x v="2"/>
    <x v="142"/>
    <n v="1121"/>
    <s v="NÃO VENHO A LINHA DE COR 333 TITULO 80, SO VEIO 2 CONE PARA TRAVETE. POREM TEM CHULEADO E TODAS AS INTERLOCK PARA USAR"/>
    <m/>
    <s v="NÃO VENHO A LINHA DE COR 333 TITULO 80, SO VEIO 2 CONE PARA TRAVETE. POREM TEM CHULEADO E TODAS AS INTERLOCK PARA USAR"/>
    <d v="2026-07-03T15:21:54"/>
    <m/>
    <n v="801"/>
    <x v="2"/>
    <s v="10000063146 - 9.LI001.080.130403"/>
    <m/>
    <d v="2026-07-03T00:00:00"/>
    <x v="0"/>
  </r>
  <r>
    <x v="13"/>
    <s v="administrativo@zajaconfeccoes.com.br"/>
    <n v="300276270"/>
    <n v="15858367"/>
    <x v="2"/>
    <x v="61"/>
    <n v="1"/>
    <s v="INSUFICIENTE"/>
    <m/>
    <m/>
    <d v="2026-07-03T15:35:45"/>
    <m/>
    <n v="802"/>
    <x v="1"/>
    <n v="0"/>
    <m/>
    <d v="2026-07-03T00:00:00"/>
    <x v="0"/>
  </r>
  <r>
    <x v="207"/>
    <s v="bensilvaconfeccoes@gmail.com"/>
    <n v="300273772"/>
    <n v="16463412"/>
    <x v="2"/>
    <x v="5"/>
    <n v="20"/>
    <s v="estamos sem "/>
    <m/>
    <m/>
    <d v="2026-07-03T15:39:13"/>
    <m/>
    <n v="803"/>
    <x v="2"/>
    <s v="nao temos"/>
    <m/>
    <d v="2026-07-03T00:00:00"/>
    <x v="0"/>
  </r>
  <r>
    <x v="118"/>
    <s v="fjdeazevedo@hotmail.com"/>
    <n v="300275878"/>
    <n v="15723450"/>
    <x v="2"/>
    <x v="61"/>
    <n v="14"/>
    <s v="peças a mais"/>
    <m/>
    <s v="peças que vieram a mais"/>
    <d v="2026-07-03T15:42:10"/>
    <m/>
    <n v="804"/>
    <x v="1"/>
    <s v="sem código"/>
    <m/>
    <d v="2026-07-03T00:00:00"/>
    <x v="0"/>
  </r>
  <r>
    <x v="13"/>
    <s v="administrativo@zajaconfeccoes.com.br"/>
    <n v="300276274"/>
    <n v="15858367"/>
    <x v="2"/>
    <x v="61"/>
    <n v="2"/>
    <s v="insuficiente"/>
    <m/>
    <m/>
    <d v="2026-07-03T15:45:57"/>
    <m/>
    <n v="805"/>
    <x v="1"/>
    <n v="0"/>
    <m/>
    <d v="2026-07-03T00:00:00"/>
    <x v="0"/>
  </r>
  <r>
    <x v="175"/>
    <s v="confeccaogenesisltda@gmail.com"/>
    <n v="300272294"/>
    <n v="16547926"/>
    <x v="0"/>
    <x v="61"/>
    <n v="21"/>
    <s v="VEIO FALTANDO"/>
    <m/>
    <m/>
    <d v="2026-07-03T15:57:39"/>
    <m/>
    <n v="806"/>
    <x v="1"/>
    <n v="0"/>
    <m/>
    <d v="2026-07-03T00:00:00"/>
    <x v="0"/>
  </r>
  <r>
    <x v="37"/>
    <s v="felconfeccao@gmail.com"/>
    <n v="300276897"/>
    <n v="16222881"/>
    <x v="3"/>
    <x v="22"/>
    <n v="2"/>
    <s v="FALTOU"/>
    <m/>
    <m/>
    <d v="2026-07-03T16:11:05"/>
    <m/>
    <n v="807"/>
    <x v="1"/>
    <n v="0"/>
    <m/>
    <d v="2026-07-03T00:00:00"/>
    <x v="0"/>
  </r>
  <r>
    <x v="37"/>
    <s v="felconfeccao@gmail.com"/>
    <n v="300276897"/>
    <n v="16222881"/>
    <x v="3"/>
    <x v="12"/>
    <n v="1"/>
    <s v="FALTOU"/>
    <m/>
    <m/>
    <d v="2026-07-03T16:12:18"/>
    <m/>
    <n v="808"/>
    <x v="1"/>
    <n v="0"/>
    <m/>
    <d v="2026-07-03T00:00:00"/>
    <x v="0"/>
  </r>
  <r>
    <x v="35"/>
    <s v="lupercio-fnb@hotmail.com"/>
    <n v="300276766"/>
    <n v="16217683"/>
    <x v="2"/>
    <x v="142"/>
    <s v="22 rolos"/>
    <s v="Faltando Linha tit -36  cor- 554"/>
    <m/>
    <s v="Faltando estamos precisando pois ordem vai para que está no processo."/>
    <d v="2026-07-03T16:16:57"/>
    <m/>
    <n v="809"/>
    <x v="1"/>
    <n v="100000200780"/>
    <m/>
    <d v="2026-07-03T00:00:00"/>
    <x v="0"/>
  </r>
  <r>
    <x v="166"/>
    <s v="w.anny.k@hotmail.com"/>
    <n v="300271213"/>
    <n v="13044826"/>
    <x v="1"/>
    <x v="22"/>
    <n v="35"/>
    <s v="FALTOU PARA CONCLUIMOS A ORDEM "/>
    <m/>
    <m/>
    <d v="2026-07-03T17:03:06"/>
    <m/>
    <n v="810"/>
    <x v="1"/>
    <n v="0"/>
    <m/>
    <d v="2026-07-03T00:00:00"/>
    <x v="0"/>
  </r>
  <r>
    <x v="13"/>
    <s v="administrativo@zajaconfeccoes.com.br"/>
    <n v="300273874"/>
    <n v="16549554"/>
    <x v="0"/>
    <x v="142"/>
    <n v="10"/>
    <s v="insuficiente "/>
    <m/>
    <m/>
    <d v="2026-07-03T17:19:34"/>
    <m/>
    <n v="811"/>
    <x v="1"/>
    <n v="10000072542"/>
    <m/>
    <d v="2026-07-03T00:00:00"/>
    <x v="0"/>
  </r>
  <r>
    <x v="13"/>
    <s v="administrativo@zajaconfeccoes.com.br"/>
    <n v="300273026"/>
    <n v="16510216"/>
    <x v="0"/>
    <x v="61"/>
    <n v="20"/>
    <s v="insuficiente "/>
    <m/>
    <m/>
    <d v="2026-07-03T17:21:00"/>
    <m/>
    <n v="812"/>
    <x v="1"/>
    <n v="0"/>
    <m/>
    <d v="2026-07-03T00:00:00"/>
    <x v="0"/>
  </r>
  <r>
    <x v="21"/>
    <s v="potengitextil@outlook.com.br"/>
    <n v="300270298"/>
    <n v="16176170"/>
    <x v="2"/>
    <x v="61"/>
    <n v="52"/>
    <s v="Insuficiente pra finalizar ordem "/>
    <m/>
    <m/>
    <d v="2026-07-03T17:28:37"/>
    <m/>
    <n v="813"/>
    <x v="1"/>
    <n v="0"/>
    <m/>
    <d v="2026-07-03T00:00:00"/>
    <x v="0"/>
  </r>
  <r>
    <x v="56"/>
    <s v="idealconfecltda@gmail.com"/>
    <n v="300273783"/>
    <n v="15359492"/>
    <x v="1"/>
    <x v="6"/>
    <n v="80"/>
    <s v="enviada errada"/>
    <m/>
    <s v="Enviada errada"/>
    <d v="2026-07-03T19:16:52"/>
    <m/>
    <n v="814"/>
    <x v="1"/>
    <n v="1"/>
    <m/>
    <d v="2026-07-03T00:00:00"/>
    <x v="0"/>
  </r>
  <r>
    <x v="20"/>
    <s v="CONFECCAOSAOSEBASTIAO@GMAIL.COM"/>
    <n v="300278548"/>
    <n v="16217802"/>
    <x v="2"/>
    <x v="18"/>
    <n v="1.1000000000000001"/>
    <s v="não veio "/>
    <m/>
    <m/>
    <d v="2026-07-04T09:11:41"/>
    <m/>
    <n v="815"/>
    <x v="2"/>
    <n v="10000074062"/>
    <m/>
    <d v="2026-07-04T00:00:00"/>
    <x v="0"/>
  </r>
  <r>
    <x v="13"/>
    <s v="administrativo@zajaconfeccoes.com.br"/>
    <n v="300276274"/>
    <n v="15858367"/>
    <x v="2"/>
    <x v="13"/>
    <n v="100"/>
    <s v="insuficiente "/>
    <m/>
    <s v="faltaram 100 zíper tamanho 17"/>
    <d v="2026-07-04T09:40:07"/>
    <m/>
    <n v="816"/>
    <x v="1"/>
    <n v="64387"/>
    <m/>
    <d v="2026-07-04T00:00:00"/>
    <x v="0"/>
  </r>
  <r>
    <x v="196"/>
    <s v="samuelmedeiros074@hotmail.com"/>
    <n v="300272966"/>
    <n v="15711854"/>
    <x v="2"/>
    <x v="17"/>
    <n v="437"/>
    <s v="ENTRETELA COLADO NO LADO ERRADO"/>
    <m/>
    <s v="ENTRETELA COLADO NO LADO ERRADO"/>
    <d v="2026-07-06T07:20:37"/>
    <m/>
    <n v="817"/>
    <x v="2"/>
    <s v="."/>
    <m/>
    <d v="2026-07-06T00:00:00"/>
    <x v="0"/>
  </r>
  <r>
    <x v="196"/>
    <s v="samuelmedeiros074@hotmail.com"/>
    <n v="300272964"/>
    <n v="15711854"/>
    <x v="2"/>
    <x v="17"/>
    <n v="266"/>
    <s v="ENTRETELA COLADO NO LADO ERRADO"/>
    <m/>
    <s v="ENTRETELA COLADO NO LADO ERRADO"/>
    <d v="2026-07-06T07:24:29"/>
    <m/>
    <n v="818"/>
    <x v="2"/>
    <s v="."/>
    <m/>
    <d v="2026-07-06T00:00:00"/>
    <x v="0"/>
  </r>
  <r>
    <x v="34"/>
    <s v="dantasepaulino@gmail.com"/>
    <n v="300275031"/>
    <n v="16482204"/>
    <x v="2"/>
    <x v="159"/>
    <n v="100"/>
    <s v="Não suficiente "/>
    <m/>
    <s v="Etiqueta model short mom "/>
    <d v="2026-07-06T07:27:38"/>
    <m/>
    <n v="819"/>
    <x v="2"/>
    <n v="10000228849"/>
    <m/>
    <d v="2026-07-06T00:00:00"/>
    <x v="0"/>
  </r>
  <r>
    <x v="201"/>
    <s v="marionetemedeiros2@hotmail.com"/>
    <n v="300273718"/>
    <n v="16447786"/>
    <x v="2"/>
    <x v="1"/>
    <n v="6"/>
    <s v="Material não enviado pela Guararapes"/>
    <m/>
    <s v="Tecido para fazer as bandeiras e pregar os viés "/>
    <d v="2026-07-06T07:32:44"/>
    <m/>
    <n v="820"/>
    <x v="2"/>
    <n v="0"/>
    <m/>
    <d v="2026-07-06T00:00:00"/>
    <x v="0"/>
  </r>
  <r>
    <x v="165"/>
    <s v="freiresilvaconfeccoes@gmail.com"/>
    <n v="300275220"/>
    <n v="16544498"/>
    <x v="0"/>
    <x v="61"/>
    <n v="10"/>
    <s v="Material insuficiente para finalizar a OP."/>
    <m/>
    <s v="Material insuficiente para finalizar a OP."/>
    <d v="2026-07-06T07:36:47"/>
    <m/>
    <n v="821"/>
    <x v="1"/>
    <s v="*"/>
    <m/>
    <d v="2026-07-06T00:00:00"/>
    <x v="0"/>
  </r>
  <r>
    <x v="44"/>
    <s v="teceuzl@hotmail.com"/>
    <n v="300275188"/>
    <n v="12438235"/>
    <x v="1"/>
    <x v="142"/>
    <n v="15"/>
    <s v="Quantidade insuficiente"/>
    <m/>
    <m/>
    <d v="2026-07-06T07:48:05"/>
    <m/>
    <n v="822"/>
    <x v="1"/>
    <s v="7270-9.LI001.120.144102"/>
    <m/>
    <d v="2026-07-06T00:00:00"/>
    <x v="0"/>
  </r>
  <r>
    <x v="44"/>
    <s v="teceuzl@hotmail.com"/>
    <n v="300275188"/>
    <n v="12438235"/>
    <x v="1"/>
    <x v="11"/>
    <n v="4"/>
    <s v="Item não enviado para oficina, necessário para aplicação das etiquetas de preços "/>
    <m/>
    <m/>
    <d v="2026-07-06T07:50:16"/>
    <m/>
    <n v="823"/>
    <x v="2"/>
    <n v="0"/>
    <m/>
    <d v="2026-07-06T00:00:00"/>
    <x v="0"/>
  </r>
  <r>
    <x v="163"/>
    <s v="felconfeccao@gmail.com"/>
    <n v="300276749"/>
    <n v="16493184"/>
    <x v="2"/>
    <x v="5"/>
    <n v="880"/>
    <s v="insuficiente para finalizar ordem"/>
    <m/>
    <m/>
    <d v="2026-07-06T08:32:06"/>
    <m/>
    <n v="824"/>
    <x v="2"/>
    <s v="não informado"/>
    <m/>
    <d v="2026-07-06T00:00:00"/>
    <x v="0"/>
  </r>
  <r>
    <x v="163"/>
    <s v="felconfeccao@gmail.com"/>
    <n v="300276749"/>
    <n v="16493184"/>
    <x v="2"/>
    <x v="7"/>
    <n v="880"/>
    <s v="faltando na oficina"/>
    <m/>
    <m/>
    <d v="2026-07-06T08:37:14"/>
    <m/>
    <n v="825"/>
    <x v="2"/>
    <s v="não informado"/>
    <m/>
    <d v="2026-07-06T00:00:00"/>
    <x v="0"/>
  </r>
  <r>
    <x v="166"/>
    <s v="w.anny.k@hotmail.com"/>
    <n v="300271213"/>
    <n v="13044826"/>
    <x v="1"/>
    <x v="30"/>
    <n v="35"/>
    <s v="Faltou para concluimos a ordem mestre"/>
    <m/>
    <m/>
    <d v="2026-07-06T09:08:28"/>
    <m/>
    <n v="826"/>
    <x v="1"/>
    <n v="0"/>
    <m/>
    <d v="2026-07-06T00:00:00"/>
    <x v="0"/>
  </r>
  <r>
    <x v="74"/>
    <s v="imdeoliveirasilva-me@hotmail.com"/>
    <n v="300275030"/>
    <n v="16482204"/>
    <x v="2"/>
    <x v="17"/>
    <n v="120"/>
    <s v="QUANTIDADE INSUFICIENTE"/>
    <m/>
    <s v="NECESSITAMOS DE CÓS PARA OS TAMANHOS 48 E 46 POR ISSO COLOQUEI REPOSIÇÃO PARCIAL"/>
    <d v="2026-07-06T09:38:07"/>
    <m/>
    <n v="827"/>
    <x v="1"/>
    <n v="0"/>
    <m/>
    <d v="2026-07-06T00:00:00"/>
    <x v="0"/>
  </r>
  <r>
    <x v="167"/>
    <s v="falconconfeccoes@hotmail.com"/>
    <n v="300268640"/>
    <n v="16292898"/>
    <x v="2"/>
    <x v="142"/>
    <n v="5"/>
    <s v="insuficiente para terminar a op"/>
    <m/>
    <s v="linha 100% pes TIT.:25 C. 244"/>
    <d v="2026-07-06T09:40:26"/>
    <m/>
    <n v="828"/>
    <x v="1"/>
    <n v="10000073405"/>
    <m/>
    <d v="2026-07-06T00:00:00"/>
    <x v="0"/>
  </r>
  <r>
    <x v="74"/>
    <s v="imdeoliveirasilva-me@hotmail.com"/>
    <n v="300275030"/>
    <n v="16482204"/>
    <x v="2"/>
    <x v="43"/>
    <n v="290"/>
    <s v="QUANTIDADE INSUFICIENTE"/>
    <m/>
    <s v="SOLICITO 290 BOLSO RELOGIO PARA O TAM 36 - 120 E O TAMANHO 38 - 170"/>
    <d v="2026-07-06T09:42:17"/>
    <m/>
    <n v="829"/>
    <x v="1"/>
    <n v="0"/>
    <m/>
    <d v="2026-07-06T00:00:00"/>
    <x v="0"/>
  </r>
  <r>
    <x v="11"/>
    <s v="S.a.confeccoesind@gmail.com"/>
    <n v="300268926"/>
    <n v="15774104"/>
    <x v="2"/>
    <x v="61"/>
    <n v="6"/>
    <s v="material insuficiente para finalizar op"/>
    <m/>
    <s v="Etiqueta de composição tamanho 38"/>
    <d v="2026-07-06T09:43:11"/>
    <m/>
    <n v="830"/>
    <x v="1"/>
    <n v="0"/>
    <m/>
    <d v="2026-07-06T00:00:00"/>
    <x v="0"/>
  </r>
  <r>
    <x v="192"/>
    <s v="alvesemedeirosoficina@gmail.com"/>
    <n v="300272582"/>
    <n v="16243730"/>
    <x v="2"/>
    <x v="142"/>
    <n v="6"/>
    <s v="Insuficiente"/>
    <m/>
    <s v="o que temos será insuficiente "/>
    <d v="2026-07-06T10:04:16"/>
    <m/>
    <n v="831"/>
    <x v="1"/>
    <n v="600"/>
    <m/>
    <d v="2026-07-06T00:00:00"/>
    <x v="0"/>
  </r>
  <r>
    <x v="166"/>
    <s v="w.anny.k@hotmail.com"/>
    <n v="300274191"/>
    <n v="15359492"/>
    <x v="1"/>
    <x v="61"/>
    <n v="10"/>
    <s v="VEIO FALTANDO NA ORDEM"/>
    <m/>
    <m/>
    <d v="2026-07-06T10:19:50"/>
    <m/>
    <n v="832"/>
    <x v="1"/>
    <n v="0"/>
    <m/>
    <d v="2026-07-06T00:00:00"/>
    <x v="0"/>
  </r>
  <r>
    <x v="61"/>
    <s v="noelpazevedo@gmail.com"/>
    <n v="300273637"/>
    <n v="16440641"/>
    <x v="2"/>
    <x v="60"/>
    <n v="2440"/>
    <s v="Pede umas argolas na ponta de um cinto e não veio essas argolas "/>
    <m/>
    <s v="Essa ordem pede umas argolas na ponta do cinto e não veio junto com a ordem "/>
    <d v="2026-07-06T10:52:22"/>
    <m/>
    <n v="833"/>
    <x v="2"/>
    <s v="Nao tenho "/>
    <m/>
    <d v="2026-07-06T00:00:00"/>
    <x v="0"/>
  </r>
  <r>
    <x v="162"/>
    <s v="faccaoello@hotmail.com"/>
    <n v="300277059"/>
    <n v="16217420"/>
    <x v="2"/>
    <x v="18"/>
    <n v="738"/>
    <s v="Material não enviado pela Guararapes"/>
    <m/>
    <m/>
    <d v="2026-07-06T11:01:52"/>
    <m/>
    <n v="834"/>
    <x v="2"/>
    <n v="0"/>
    <m/>
    <d v="2026-07-06T00:00:00"/>
    <x v="0"/>
  </r>
  <r>
    <x v="162"/>
    <s v="faccaoello@hotmail.com"/>
    <n v="300277057"/>
    <n v="16217420"/>
    <x v="2"/>
    <x v="18"/>
    <n v="841"/>
    <s v="Material não enviado pela Guararapes"/>
    <m/>
    <m/>
    <d v="2026-07-06T11:04:25"/>
    <m/>
    <n v="835"/>
    <x v="2"/>
    <n v="0"/>
    <m/>
    <d v="2026-07-06T00:00:00"/>
    <x v="0"/>
  </r>
  <r>
    <x v="18"/>
    <s v="ebenezerindustriat@hotmail.com"/>
    <n v="300276892"/>
    <n v="16222954"/>
    <x v="3"/>
    <x v="7"/>
    <n v="1"/>
    <s v="ACABOU"/>
    <m/>
    <m/>
    <d v="2026-07-06T11:14:25"/>
    <m/>
    <n v="836"/>
    <x v="2"/>
    <n v="0"/>
    <m/>
    <d v="2026-07-06T00:00:00"/>
    <x v="0"/>
  </r>
  <r>
    <x v="21"/>
    <s v="potengitextil@outlook.com.br"/>
    <n v="300277359"/>
    <n v="16442857"/>
    <x v="1"/>
    <x v="61"/>
    <n v="1"/>
    <s v="Insuficiente para finalizar ordem "/>
    <m/>
    <m/>
    <d v="2026-07-06T12:57:40"/>
    <m/>
    <n v="837"/>
    <x v="1"/>
    <n v="0"/>
    <m/>
    <d v="2026-07-06T00:00:00"/>
    <x v="0"/>
  </r>
  <r>
    <x v="21"/>
    <s v="potengitextil@outlook.com.br"/>
    <n v="300270298"/>
    <n v="16176170"/>
    <x v="2"/>
    <x v="18"/>
    <s v="14 rolos "/>
    <s v="Insuficiente para finalizar ordem "/>
    <m/>
    <s v="Só veio 7 rolos, cada rolo só dá pra 16 peças. "/>
    <d v="2026-07-06T13:23:43"/>
    <m/>
    <n v="838"/>
    <x v="1"/>
    <n v="10000074054"/>
    <m/>
    <d v="2026-07-06T00:00:00"/>
    <x v="0"/>
  </r>
  <r>
    <x v="18"/>
    <s v="ebenezerindustriat@hotmail.com"/>
    <n v="300276892"/>
    <n v="16222954"/>
    <x v="3"/>
    <x v="52"/>
    <n v="20"/>
    <s v="ACABOU"/>
    <m/>
    <m/>
    <d v="2026-07-06T13:33:32"/>
    <m/>
    <n v="839"/>
    <x v="2"/>
    <n v="0"/>
    <m/>
    <d v="2026-07-06T00:00:00"/>
    <x v="0"/>
  </r>
  <r>
    <x v="63"/>
    <s v="acaritextil2801@gmail.com"/>
    <n v="300275052"/>
    <n v="16186648"/>
    <x v="2"/>
    <x v="37"/>
    <n v="202"/>
    <s v="TONALIDADE"/>
    <m/>
    <s v="VIVOS COM TONALIDADE. VAMOS ENVIAR UMA PEÇA PARA VERIFICAR "/>
    <d v="2026-07-06T14:02:34"/>
    <m/>
    <n v="840"/>
    <x v="2"/>
    <n v="0"/>
    <m/>
    <d v="2026-07-06T00:00:00"/>
    <x v="0"/>
  </r>
  <r>
    <x v="63"/>
    <s v="acaritextil2801@gmail.com"/>
    <n v="300275052"/>
    <n v="16186648"/>
    <x v="2"/>
    <x v="17"/>
    <n v="202"/>
    <s v="´TONALIDADE"/>
    <m/>
    <s v="CÓS EXTERNO DA COR DA PEÇA"/>
    <d v="2026-07-06T14:04:23"/>
    <m/>
    <n v="841"/>
    <x v="2"/>
    <n v="0"/>
    <m/>
    <d v="2026-07-06T00:00:00"/>
    <x v="0"/>
  </r>
  <r>
    <x v="176"/>
    <s v="hiconfeccao@gmail.com"/>
    <n v="300276748"/>
    <n v="16217861"/>
    <x v="2"/>
    <x v="61"/>
    <n v="40"/>
    <s v="O motivo do pedido, porque vieram insuficientes para concluir a OP."/>
    <m/>
    <s v="Pedido de Etiqueta de Composição para todos os tamanhos, sendo o pedido de 8 etiquetas de composição para cada tamanho"/>
    <d v="2026-07-06T14:24:11"/>
    <m/>
    <n v="842"/>
    <x v="2"/>
    <s v="000000010000220032/000000010000219954/000000010000220031/000000010000220033/000000010000220034"/>
    <m/>
    <d v="2026-07-06T00:00:00"/>
    <x v="0"/>
  </r>
  <r>
    <x v="63"/>
    <s v="acaritextil2801@gmail.com"/>
    <n v="300275822"/>
    <n v="16187539"/>
    <x v="2"/>
    <x v="12"/>
    <s v="38 PARES"/>
    <s v="FALTOU"/>
    <m/>
    <s v="38 PARES DE TRASEIRO TAMANHO 48"/>
    <d v="2026-07-06T14:36:12"/>
    <m/>
    <n v="843"/>
    <x v="1"/>
    <n v="0"/>
    <m/>
    <d v="2026-07-06T00:00:00"/>
    <x v="0"/>
  </r>
  <r>
    <x v="54"/>
    <s v="deboraclothing.textil@gmail.com"/>
    <n v="300000000"/>
    <n v="0"/>
    <x v="3"/>
    <x v="52"/>
    <n v="20"/>
    <s v="ACABANDO"/>
    <m/>
    <s v="Pinos acabando."/>
    <d v="2026-07-06T14:45:19"/>
    <m/>
    <n v="844"/>
    <x v="2"/>
    <n v="0"/>
    <m/>
    <d v="2026-07-06T00:00:00"/>
    <x v="0"/>
  </r>
  <r>
    <x v="209"/>
    <s v="jessicarosana823@gmail.com"/>
    <n v="300276412"/>
    <n v="16441630"/>
    <x v="3"/>
    <x v="4"/>
    <n v="1512"/>
    <s v="Faltando as etiquetas de preço, não vieram com a ordem."/>
    <m/>
    <s v="Precisamos urgente, ETIQUETA DE PREÇO. Não vieram junto com a ordem."/>
    <d v="2026-07-06T14:51:50"/>
    <m/>
    <n v="845"/>
    <x v="2"/>
    <s v="..."/>
    <m/>
    <d v="2026-07-06T00:00:00"/>
    <x v="0"/>
  </r>
  <r>
    <x v="11"/>
    <s v="S.a.confeccoesind@gmail.com"/>
    <n v="300276278"/>
    <n v="15863387"/>
    <x v="2"/>
    <x v="61"/>
    <n v="18"/>
    <s v="Material não enviado pela Guararapes"/>
    <m/>
    <s v="Etiqueta de composição tamanho 42"/>
    <d v="2026-07-06T15:18:26"/>
    <m/>
    <n v="846"/>
    <x v="1"/>
    <n v="0"/>
    <m/>
    <d v="2026-07-06T00:00:00"/>
    <x v="0"/>
  </r>
  <r>
    <x v="34"/>
    <s v="dantasepaulino@gmail.com"/>
    <n v="300275031"/>
    <n v="16482204"/>
    <x v="2"/>
    <x v="17"/>
    <n v="141"/>
    <s v="Insuficiente"/>
    <m/>
    <m/>
    <d v="2026-07-06T15:25:54"/>
    <m/>
    <n v="847"/>
    <x v="1"/>
    <n v="0"/>
    <m/>
    <d v="2026-07-06T00:00:00"/>
    <x v="0"/>
  </r>
  <r>
    <x v="197"/>
    <s v="mc.confeccoes15@gmail.com"/>
    <n v="300278545"/>
    <n v="16240944"/>
    <x v="2"/>
    <x v="5"/>
    <n v="1"/>
    <s v="Quantidade insuficiente para próxima ordem."/>
    <m/>
    <m/>
    <d v="2026-07-06T15:33:30"/>
    <m/>
    <n v="848"/>
    <x v="2"/>
    <n v="1"/>
    <m/>
    <d v="2026-07-06T00:00:00"/>
    <x v="0"/>
  </r>
  <r>
    <x v="11"/>
    <s v="S.a.confeccoesind@gmail.com"/>
    <n v="300268926"/>
    <n v="15774104"/>
    <x v="2"/>
    <x v="160"/>
    <n v="20"/>
    <s v="material insuficiente para arrumar as ordens"/>
    <m/>
    <s v="sacos para colocar nos artoks "/>
    <d v="2026-07-06T16:12:25"/>
    <m/>
    <n v="849"/>
    <x v="2"/>
    <n v="0"/>
    <m/>
    <d v="2026-07-06T00:00:00"/>
    <x v="0"/>
  </r>
  <r>
    <x v="175"/>
    <s v="confeccaogenesisltda@gmail.com"/>
    <n v="300277992"/>
    <n v="16417216"/>
    <x v="3"/>
    <x v="61"/>
    <n v="10"/>
    <s v="veio faltando"/>
    <m/>
    <s v="veio faltando"/>
    <d v="2026-07-06T16:20:57"/>
    <m/>
    <n v="850"/>
    <x v="1"/>
    <n v="0"/>
    <m/>
    <d v="2026-07-06T00:00:00"/>
    <x v="0"/>
  </r>
  <r>
    <x v="199"/>
    <s v="confeccaogenesisltda@gmail.com"/>
    <n v="300272294"/>
    <n v="16547926"/>
    <x v="0"/>
    <x v="27"/>
    <n v="350"/>
    <s v="VEIO FALTANDO"/>
    <m/>
    <m/>
    <d v="2026-07-06T16:26:30"/>
    <m/>
    <n v="851"/>
    <x v="1"/>
    <n v="10000224580"/>
    <m/>
    <d v="2026-07-06T00:00:00"/>
    <x v="0"/>
  </r>
  <r>
    <x v="184"/>
    <s v="encantopoest@gmail.com"/>
    <n v="300279915"/>
    <n v="15775615"/>
    <x v="2"/>
    <x v="17"/>
    <n v="69"/>
    <s v="NA CONFERENCIA FOI INDENTIFICADO QUE FALTOU 3 LOTES DA SEGUNDA SEQUENCIA DO TAMANHO 40"/>
    <m/>
    <s v="FALTOU 3 LOTES DE 23 PEÇAS NO TAMANHO 40."/>
    <d v="2026-07-06T16:52:58"/>
    <m/>
    <n v="852"/>
    <x v="2"/>
    <n v="0"/>
    <m/>
    <d v="2026-07-06T00:00:00"/>
    <x v="0"/>
  </r>
  <r>
    <x v="11"/>
    <s v="S.a.confeccoesind@gmail.com"/>
    <n v="300276278"/>
    <n v="15863387"/>
    <x v="2"/>
    <x v="12"/>
    <n v="12"/>
    <s v="Material não enviado pela Guararapes"/>
    <m/>
    <s v="Precisamos de 12 unidades do traseiro tamanho 50 lado direito que não veio junto com a op"/>
    <d v="2026-07-06T17:36:02"/>
    <m/>
    <n v="853"/>
    <x v="1"/>
    <n v="0"/>
    <m/>
    <d v="2026-07-06T00:00:00"/>
    <x v="0"/>
  </r>
  <r>
    <x v="201"/>
    <s v="marionetemedeiros2@hotmail.com"/>
    <n v="300273718"/>
    <n v="16447786"/>
    <x v="2"/>
    <x v="61"/>
    <n v="12"/>
    <s v="Faltou para concluir a op"/>
    <m/>
    <s v="Etiqueta de composição que prega do lado interno da calça "/>
    <d v="2026-07-06T18:06:16"/>
    <m/>
    <n v="854"/>
    <x v="1"/>
    <s v="9.ET2E2.001.000001"/>
    <m/>
    <d v="2026-07-06T00:00:00"/>
    <x v="0"/>
  </r>
  <r>
    <x v="81"/>
    <s v="Gsragazziconfeccoes@yahoo.com"/>
    <n v="300279120"/>
    <n v="16223780"/>
    <x v="3"/>
    <x v="4"/>
    <n v="80"/>
    <s v="Nao veio suficiente "/>
    <m/>
    <s v="Material insuficiente para finalizar a op"/>
    <d v="2026-07-07T07:12:44"/>
    <m/>
    <n v="855"/>
    <x v="1"/>
    <s v="."/>
    <m/>
    <d v="2026-07-07T00:00:00"/>
    <x v="0"/>
  </r>
  <r>
    <x v="50"/>
    <s v="mkdeazevedomedeiros@gmail.com"/>
    <n v="300273320"/>
    <n v="15775615"/>
    <x v="2"/>
    <x v="143"/>
    <n v="100"/>
    <s v="INSUFICIENTE PRA FINALIZAR A OP"/>
    <m/>
    <m/>
    <d v="2026-07-07T08:03:42"/>
    <m/>
    <n v="856"/>
    <x v="1"/>
    <s v="-"/>
    <m/>
    <d v="2026-07-07T00:00:00"/>
    <x v="0"/>
  </r>
  <r>
    <x v="179"/>
    <s v="faccao_sales2010@hotmail.com"/>
    <n v="300248462"/>
    <n v="16323491"/>
    <x v="3"/>
    <x v="4"/>
    <n v="390"/>
    <s v="INSUFICIENTE PRA FINALIZAR ORDEM"/>
    <m/>
    <m/>
    <d v="2026-07-07T08:07:16"/>
    <m/>
    <n v="857"/>
    <x v="2"/>
    <s v="-"/>
    <m/>
    <d v="2026-07-07T00:00:00"/>
    <x v="0"/>
  </r>
  <r>
    <x v="164"/>
    <s v="auxiforte@hotmail.com"/>
    <n v="300277300"/>
    <n v="15973050"/>
    <x v="3"/>
    <x v="4"/>
    <n v="926"/>
    <s v="MATERIAL NÃO ENVIADO PELA GUARARAPES;"/>
    <m/>
    <s v="MATERIAL NÃO ENVIADO PELA GUARARAPES;"/>
    <d v="2026-07-07T08:17:26"/>
    <m/>
    <n v="858"/>
    <x v="2"/>
    <n v="0"/>
    <m/>
    <d v="2026-07-07T00:00:00"/>
    <x v="0"/>
  </r>
  <r>
    <x v="178"/>
    <s v="faccao_sales2010@hotmail.com"/>
    <n v="300275798"/>
    <n v="16218299"/>
    <x v="2"/>
    <x v="18"/>
    <n v="378"/>
    <s v="INSUFICIENTE PRA TERMINAR A ORDEM"/>
    <m/>
    <m/>
    <d v="2026-07-07T08:27:50"/>
    <m/>
    <n v="859"/>
    <x v="1"/>
    <s v="-"/>
    <m/>
    <d v="2026-07-07T00:00:00"/>
    <x v="0"/>
  </r>
  <r>
    <x v="210"/>
    <s v="lupercio-fnb@hotmail.com"/>
    <n v="300276766"/>
    <n v="16217683"/>
    <x v="2"/>
    <x v="160"/>
    <n v="20"/>
    <s v="Faltando "/>
    <m/>
    <s v="Faltando para finalização de ordem"/>
    <d v="2026-07-07T09:25:41"/>
    <m/>
    <n v="860"/>
    <x v="1"/>
    <n v="0"/>
    <m/>
    <d v="2026-07-07T00:00:00"/>
    <x v="0"/>
  </r>
  <r>
    <x v="210"/>
    <s v="lupercio-fnb@hotmail.com"/>
    <n v="300276766"/>
    <n v="16217683"/>
    <x v="2"/>
    <x v="10"/>
    <s v="rolo"/>
    <s v="FALTANDO"/>
    <m/>
    <s v="Faltando para processo"/>
    <d v="2026-07-07T09:29:09"/>
    <m/>
    <n v="861"/>
    <x v="1"/>
    <n v="0"/>
    <m/>
    <d v="2026-07-07T00:00:00"/>
    <x v="0"/>
  </r>
  <r>
    <x v="179"/>
    <s v="faccao_sales2010@hotmail.com"/>
    <n v="300248462"/>
    <n v="16323491"/>
    <x v="3"/>
    <x v="61"/>
    <n v="390"/>
    <s v="PERCA"/>
    <m/>
    <m/>
    <d v="2026-07-07T09:36:14"/>
    <m/>
    <n v="862"/>
    <x v="2"/>
    <s v="-"/>
    <m/>
    <d v="2026-07-07T00:00:00"/>
    <x v="0"/>
  </r>
  <r>
    <x v="144"/>
    <s v="fiosdosertao01@gmail.com"/>
    <n v="300272975"/>
    <n v="16508920"/>
    <x v="2"/>
    <x v="142"/>
    <s v="10 cones intermediarios tit.36"/>
    <s v="insuficiente pra finalizar a op "/>
    <m/>
    <s v="preciso de 10 cones tit.36 cor:0333"/>
    <d v="2026-07-07T09:58:29"/>
    <m/>
    <n v="863"/>
    <x v="1"/>
    <s v="cor da linha 0333"/>
    <m/>
    <d v="2026-07-07T00:00:00"/>
    <x v="0"/>
  </r>
  <r>
    <x v="37"/>
    <s v="felconfeccao@gmail.com"/>
    <n v="300276898"/>
    <n v="16222881"/>
    <x v="3"/>
    <x v="61"/>
    <n v="8"/>
    <s v="FALTOU"/>
    <m/>
    <m/>
    <d v="2026-07-07T10:07:04"/>
    <m/>
    <n v="864"/>
    <x v="1"/>
    <n v="0"/>
    <m/>
    <d v="2026-07-07T00:00:00"/>
    <x v="0"/>
  </r>
  <r>
    <x v="20"/>
    <s v="CONFECCAOSAOSEBASTIAO@GMAIL.COM"/>
    <n v="300273774"/>
    <n v="16474090"/>
    <x v="2"/>
    <x v="13"/>
    <n v="840"/>
    <s v="não veio"/>
    <m/>
    <m/>
    <d v="2026-07-07T10:10:30"/>
    <m/>
    <n v="865"/>
    <x v="2"/>
    <s v="000000010000241456 - 9.Z0756.015.PR8001   000000010000241458 - 9.Z0756.017.PR8001           "/>
    <m/>
    <d v="2026-07-07T00:00:00"/>
    <x v="0"/>
  </r>
  <r>
    <x v="29"/>
    <s v="pea2015confeccoes@hotmail.com"/>
    <n v="300269353"/>
    <n v="15773477"/>
    <x v="2"/>
    <x v="17"/>
    <n v="45"/>
    <s v="Peças com cós enrugados, precisa serem trocados e junto com eles, também preciso de passantes."/>
    <m/>
    <s v="Preciso da reposição de cós e passantes, com quantidade para fazer 45 peças. "/>
    <d v="2026-07-07T10:33:13"/>
    <m/>
    <n v="866"/>
    <x v="1"/>
    <n v="0"/>
    <m/>
    <d v="2026-07-07T00:00:00"/>
    <x v="0"/>
  </r>
  <r>
    <x v="165"/>
    <s v="freiresilvaconfeccoes@gmail.com"/>
    <n v="300273721"/>
    <n v="16448243"/>
    <x v="2"/>
    <x v="10"/>
    <n v="1"/>
    <s v="Estamos sem material em oficina. "/>
    <m/>
    <s v="Estamos sem material em oficina. "/>
    <d v="2026-07-07T10:39:28"/>
    <m/>
    <n v="867"/>
    <x v="2"/>
    <s v="*"/>
    <m/>
    <d v="2026-07-07T00:00:00"/>
    <x v="0"/>
  </r>
  <r>
    <x v="23"/>
    <s v="reposicoesjkmodas@gmail.com"/>
    <n v="300271748"/>
    <n v="16183550"/>
    <x v="2"/>
    <x v="61"/>
    <n v="3"/>
    <s v="NÃO ENVIADO PELA GUARARAPES"/>
    <m/>
    <m/>
    <d v="2026-07-07T10:51:51"/>
    <m/>
    <n v="868"/>
    <x v="1"/>
    <n v="0"/>
    <m/>
    <d v="2026-07-07T00:00:00"/>
    <x v="0"/>
  </r>
  <r>
    <x v="32"/>
    <s v="di3confec@gmail.com"/>
    <n v="300275923"/>
    <n v="16223608"/>
    <x v="3"/>
    <x v="4"/>
    <n v="30"/>
    <s v="MATERIAL INSUFICIENTE"/>
    <m/>
    <m/>
    <d v="2026-07-07T11:21:45"/>
    <m/>
    <n v="869"/>
    <x v="1"/>
    <n v="0"/>
    <m/>
    <d v="2026-07-07T00:00:00"/>
    <x v="0"/>
  </r>
  <r>
    <x v="32"/>
    <s v="di3confec@gmail.com"/>
    <n v="300272960"/>
    <n v="15699293"/>
    <x v="2"/>
    <x v="22"/>
    <n v="4"/>
    <s v="Peças com corte assimétrico. Chamado n° 28532"/>
    <m/>
    <m/>
    <d v="2026-07-07T11:59:23"/>
    <m/>
    <n v="870"/>
    <x v="1"/>
    <n v="0"/>
    <m/>
    <d v="2026-07-07T00:00:00"/>
    <x v="0"/>
  </r>
  <r>
    <x v="32"/>
    <s v="di3confec@gmail.com"/>
    <n v="300272960"/>
    <n v="15699293"/>
    <x v="2"/>
    <x v="12"/>
    <n v="10"/>
    <s v="Peças com corte assimétrico. Chamado n° 28532"/>
    <m/>
    <m/>
    <d v="2026-07-07T12:05:28"/>
    <m/>
    <n v="871"/>
    <x v="1"/>
    <n v="0"/>
    <m/>
    <d v="2026-07-07T00:00:00"/>
    <x v="0"/>
  </r>
  <r>
    <x v="56"/>
    <s v="idealconfecltda@gmail.com"/>
    <n v="300270311"/>
    <n v="16243951"/>
    <x v="2"/>
    <x v="5"/>
    <n v="10"/>
    <s v="INSUFICIENTE PARA FINALIZAR OP"/>
    <m/>
    <s v="INSUFICIENTE PARA FUZIONAR PASSANTES "/>
    <d v="2026-07-07T12:39:42"/>
    <m/>
    <n v="872"/>
    <x v="1"/>
    <n v="0"/>
    <m/>
    <d v="2026-07-07T00:00:00"/>
    <x v="0"/>
  </r>
  <r>
    <x v="51"/>
    <s v="fc_faccao@yahoo.com.br"/>
    <n v="300274125"/>
    <n v="15359492"/>
    <x v="1"/>
    <x v="22"/>
    <n v="208"/>
    <s v="FALTA"/>
    <m/>
    <s v="FALTA DE FRENTES"/>
    <d v="2026-07-07T13:14:22"/>
    <m/>
    <n v="873"/>
    <x v="1"/>
    <n v="150"/>
    <m/>
    <d v="2026-07-07T00:00:00"/>
    <x v="0"/>
  </r>
  <r>
    <x v="183"/>
    <s v="kswconfeccoesltda@gmail.com"/>
    <n v="300271260"/>
    <n v="16320042"/>
    <x v="3"/>
    <x v="4"/>
    <n v="42"/>
    <s v="Material não enviado pela Guararapes"/>
    <m/>
    <s v="42 etiquetas de tamanho P."/>
    <d v="2026-07-07T13:18:33"/>
    <m/>
    <n v="874"/>
    <x v="1"/>
    <n v="150"/>
    <m/>
    <d v="2026-07-07T00:00:00"/>
    <x v="0"/>
  </r>
  <r>
    <x v="51"/>
    <s v="fc_faccao@yahoo.com.br"/>
    <n v="300275184"/>
    <n v="16491971"/>
    <x v="1"/>
    <x v="7"/>
    <n v="200"/>
    <s v="FALTA"/>
    <m/>
    <m/>
    <d v="2026-07-07T13:21:11"/>
    <m/>
    <n v="875"/>
    <x v="2"/>
    <n v="150"/>
    <m/>
    <d v="2026-07-07T00:00:00"/>
    <x v="0"/>
  </r>
  <r>
    <x v="21"/>
    <s v="potengitextil@outlook.com.br"/>
    <n v="300245142"/>
    <n v="16285417"/>
    <x v="2"/>
    <x v="159"/>
    <n v="980"/>
    <s v="Reprocesso de ordem "/>
    <m/>
    <s v="Ordem rejeitada, quando foi desmanchar danificou as etiquetas "/>
    <d v="2026-07-07T13:24:14"/>
    <m/>
    <n v="876"/>
    <x v="2"/>
    <n v="10000228911"/>
    <m/>
    <d v="2026-07-07T00:00:00"/>
    <x v="0"/>
  </r>
  <r>
    <x v="21"/>
    <s v="potengitextil@outlook.com.br"/>
    <n v="300245142"/>
    <n v="16285417"/>
    <x v="2"/>
    <x v="49"/>
    <n v="128"/>
    <s v="Reprocesso de ordem "/>
    <m/>
    <s v="Ordem reprovada, danificou no desmanche. "/>
    <d v="2026-07-07T13:26:13"/>
    <m/>
    <n v="877"/>
    <x v="1"/>
    <n v="10000214498"/>
    <m/>
    <d v="2026-07-07T00:00:00"/>
    <x v="0"/>
  </r>
  <r>
    <x v="21"/>
    <s v="potengitextil@outlook.com.br"/>
    <n v="300245142"/>
    <n v="16285417"/>
    <x v="2"/>
    <x v="49"/>
    <n v="196"/>
    <s v="Reprocesso de ordem "/>
    <m/>
    <s v="Ordem reprovada, danificou as etiquetas no desmanche "/>
    <d v="2026-07-07T13:27:50"/>
    <m/>
    <n v="878"/>
    <x v="1"/>
    <n v="10000214497"/>
    <m/>
    <d v="2026-07-07T00:00:00"/>
    <x v="0"/>
  </r>
  <r>
    <x v="51"/>
    <s v="fc_faccao@yahoo.com.br"/>
    <n v="300275184"/>
    <n v="16491971"/>
    <x v="1"/>
    <x v="52"/>
    <n v="10000"/>
    <s v="FALTA"/>
    <m/>
    <s v="FALTA"/>
    <d v="2026-07-07T13:28:58"/>
    <m/>
    <n v="879"/>
    <x v="2"/>
    <n v="150"/>
    <m/>
    <d v="2026-07-07T00:00:00"/>
    <x v="0"/>
  </r>
  <r>
    <x v="21"/>
    <s v="potengitextil@outlook.com.br"/>
    <n v="300245142"/>
    <n v="16285417"/>
    <x v="2"/>
    <x v="49"/>
    <n v="264"/>
    <s v="Reprocesso de ordem "/>
    <m/>
    <s v="Ordem reprovada, danificou a etiqueta no processo "/>
    <d v="2026-07-07T13:29:25"/>
    <m/>
    <n v="880"/>
    <x v="1"/>
    <n v="10000214496"/>
    <m/>
    <d v="2026-07-07T00:00:00"/>
    <x v="0"/>
  </r>
  <r>
    <x v="21"/>
    <s v="potengitextil@outlook.com.br"/>
    <n v="300245142"/>
    <n v="16285417"/>
    <x v="2"/>
    <x v="49"/>
    <n v="264"/>
    <s v="Reprocesso de ordem "/>
    <m/>
    <s v="Danificou no desmanche"/>
    <d v="2026-07-07T13:30:52"/>
    <m/>
    <n v="881"/>
    <x v="1"/>
    <n v="10000214491"/>
    <m/>
    <d v="2026-07-07T00:00:00"/>
    <x v="0"/>
  </r>
  <r>
    <x v="21"/>
    <s v="potengitextil@outlook.com.br"/>
    <n v="300245142"/>
    <n v="16285417"/>
    <x v="2"/>
    <x v="49"/>
    <n v="128"/>
    <s v="Reprocesso de ordem "/>
    <m/>
    <s v="Danificou no desmanche do cos "/>
    <d v="2026-07-07T13:32:42"/>
    <m/>
    <n v="882"/>
    <x v="1"/>
    <n v="10000214490"/>
    <m/>
    <d v="2026-07-07T00:00:00"/>
    <x v="0"/>
  </r>
  <r>
    <x v="13"/>
    <s v="administrativo@zajaconfeccoes.com.br"/>
    <n v="300273676"/>
    <n v="16547950"/>
    <x v="0"/>
    <x v="27"/>
    <n v="30"/>
    <s v="insuficiente "/>
    <m/>
    <m/>
    <d v="2026-07-07T13:33:48"/>
    <m/>
    <n v="883"/>
    <x v="1"/>
    <n v="10000156345"/>
    <m/>
    <d v="2026-07-07T00:00:00"/>
    <x v="0"/>
  </r>
  <r>
    <x v="195"/>
    <s v="limaconfeccoes78@gmail.com"/>
    <n v="300275855"/>
    <n v="15773434"/>
    <x v="2"/>
    <x v="61"/>
    <n v="40"/>
    <s v="Faltou 40 etiquetas de composição do TAM 46"/>
    <m/>
    <s v="Precisamos de 40 unidades de etiqueta de composição do tamanho 46 para concluir a ordem."/>
    <d v="2026-07-07T14:22:46"/>
    <m/>
    <n v="884"/>
    <x v="1"/>
    <n v="0"/>
    <m/>
    <d v="2026-07-07T00:00:00"/>
    <x v="0"/>
  </r>
  <r>
    <x v="195"/>
    <s v="limaconfeccoes78@gmail.com"/>
    <n v="300000000"/>
    <n v="0"/>
    <x v="2"/>
    <x v="5"/>
    <n v="20"/>
    <s v="Precisamos de plástico para fusionar passante"/>
    <m/>
    <s v="Plástico de fusionar passante"/>
    <d v="2026-07-07T14:24:37"/>
    <m/>
    <n v="885"/>
    <x v="2"/>
    <n v="0"/>
    <m/>
    <d v="2026-07-07T00:00:00"/>
    <x v="0"/>
  </r>
  <r>
    <x v="202"/>
    <s v="ferreiraaraujoconfeccoes@gmail.com"/>
    <n v="300273757"/>
    <n v="16519710"/>
    <x v="2"/>
    <x v="142"/>
    <n v="8"/>
    <s v="POUCOS CONES DE LINHA PARA A ORDEM"/>
    <m/>
    <s v="VEIO POUCAS LINHAS PARA A ORDRM, OCASIONANDO FALTA PARA MUITAS PARTES "/>
    <d v="2026-07-07T14:28:13"/>
    <m/>
    <n v="886"/>
    <x v="1"/>
    <n v="100000684234"/>
    <m/>
    <d v="2026-07-07T00:00:00"/>
    <x v="0"/>
  </r>
  <r>
    <x v="176"/>
    <s v="hiconfeccao@gmail.com"/>
    <n v="300276760"/>
    <n v="16493184"/>
    <x v="2"/>
    <x v="13"/>
    <n v="312"/>
    <s v="O pedido de Zíper, tais como:  Para o Tamanho 9-10, o pedido para a quantidade 168.  Para o Tamanho: 8-9, o pedido de quantidade: 144.  Quantidade somada dos dois tamanhos total: 312 zíper para ser solicitado.  O Tamanho do zíper para ser solicitado: 10cm, para a quantidade de 312."/>
    <m/>
    <s v="O pedido de Zíper, tais como:  Para o Tamanho 9-10, o pedido para a quantidade 168.  Para o Tamanho: 8-9, o pedido de quantidade: 144.  Quantidade somada dos dois tamanhos total: 312 zíper para ser solicitado.  O Tamanho do zíper para ser solicitado: 10cm, para a quantidade de 312."/>
    <d v="2026-07-07T14:35:41"/>
    <m/>
    <n v="887"/>
    <x v="2"/>
    <n v="300276760"/>
    <m/>
    <d v="2026-07-07T00:00:00"/>
    <x v="0"/>
  </r>
  <r>
    <x v="176"/>
    <s v="hiconfeccao@gmail.com"/>
    <n v="300242816"/>
    <n v="16217942"/>
    <x v="2"/>
    <x v="61"/>
    <n v="852"/>
    <s v="Não veio nenhuma Composição."/>
    <m/>
    <s v="Pedido de todas as Composições. Não vieram nenhum."/>
    <d v="2026-07-07T14:46:52"/>
    <m/>
    <n v="888"/>
    <x v="2"/>
    <n v="16217942"/>
    <m/>
    <d v="2026-07-07T00:00:00"/>
    <x v="0"/>
  </r>
  <r>
    <x v="13"/>
    <s v="administrativo@zajaconfeccoes.com.br"/>
    <n v="300278650"/>
    <n v="16223403"/>
    <x v="3"/>
    <x v="61"/>
    <n v="6"/>
    <s v="INSUFIENTE "/>
    <m/>
    <m/>
    <d v="2026-07-07T16:02:36"/>
    <m/>
    <n v="889"/>
    <x v="1"/>
    <n v="16223403"/>
    <m/>
    <d v="2026-07-07T00:00:00"/>
    <x v="0"/>
  </r>
  <r>
    <x v="188"/>
    <s v="tendenciaconfec@gmail.com"/>
    <n v="300278549"/>
    <n v="16217802"/>
    <x v="2"/>
    <x v="142"/>
    <n v="2"/>
    <s v="NÃO VEIO JUNTO A OP"/>
    <m/>
    <m/>
    <d v="2026-07-07T16:06:53"/>
    <m/>
    <n v="890"/>
    <x v="2"/>
    <s v="000000010000062975 - 9.LI001.080.190405; LINHA 100%PES TÍT80 S.759 190405"/>
    <m/>
    <d v="2026-07-07T00:00:00"/>
    <x v="0"/>
  </r>
  <r>
    <x v="166"/>
    <s v="w.anny.k@hotmail.com"/>
    <n v="300277086"/>
    <n v="15775496"/>
    <x v="2"/>
    <x v="61"/>
    <n v="40"/>
    <s v="VEIO FALTANDO"/>
    <m/>
    <s v="VEIO FALTANDO NA ORDEM"/>
    <d v="2026-07-07T16:13:33"/>
    <m/>
    <n v="891"/>
    <x v="1"/>
    <n v="0"/>
    <m/>
    <d v="2026-07-07T00:00:00"/>
    <x v="0"/>
  </r>
  <r>
    <x v="37"/>
    <s v="felconfeccao@gmail.com"/>
    <n v="300000000"/>
    <n v="0"/>
    <x v="3"/>
    <x v="60"/>
    <n v="10"/>
    <s v="ACABOU "/>
    <m/>
    <s v="AGULHA PARA PISTOLA DE TAGS"/>
    <d v="2026-07-07T16:41:57"/>
    <m/>
    <n v="892"/>
    <x v="1"/>
    <n v="0"/>
    <m/>
    <d v="2026-07-07T00:00:00"/>
    <x v="0"/>
  </r>
  <r>
    <x v="171"/>
    <s v="confeccoesgbdas@gmail.com"/>
    <n v="300276734"/>
    <n v="16272676"/>
    <x v="2"/>
    <x v="61"/>
    <n v="15"/>
    <s v="FALTOU ETIQUETA PARA COMPLETAR A ORDEM"/>
    <m/>
    <m/>
    <d v="2026-07-07T17:12:51"/>
    <m/>
    <n v="893"/>
    <x v="1"/>
    <n v="16272676"/>
    <m/>
    <d v="2026-07-07T00:00:00"/>
    <x v="0"/>
  </r>
  <r>
    <x v="13"/>
    <s v="administrativo@zajaconfeccoes.com.br"/>
    <n v="300273676"/>
    <n v="16547450"/>
    <x v="0"/>
    <x v="161"/>
    <n v="100"/>
    <s v="insuficiente "/>
    <m/>
    <s v="viés de cavas para 100 peças "/>
    <d v="2026-07-07T17:21:06"/>
    <m/>
    <n v="894"/>
    <x v="1"/>
    <n v="0"/>
    <m/>
    <d v="2026-07-07T00:00:00"/>
    <x v="0"/>
  </r>
  <r>
    <x v="54"/>
    <s v="deboraclothing.textil@gmail.com"/>
    <n v="300277519"/>
    <n v="16440889"/>
    <x v="3"/>
    <x v="4"/>
    <n v="134"/>
    <s v="INSUFICIENTE PARA FINALIZAR ORDEM "/>
    <m/>
    <m/>
    <d v="2026-07-07T17:41:29"/>
    <m/>
    <n v="895"/>
    <x v="1"/>
    <n v="0"/>
    <m/>
    <d v="2026-07-07T00:00:00"/>
    <x v="0"/>
  </r>
  <r>
    <x v="37"/>
    <s v="felconfeccao@gmail.com"/>
    <n v="300000000"/>
    <n v="0"/>
    <x v="3"/>
    <x v="60"/>
    <n v="10"/>
    <s v="ACABOU"/>
    <m/>
    <s v="AGULHA PARA PISTOLA DE TAGS"/>
    <d v="2026-07-08T07:15:00"/>
    <m/>
    <n v="896"/>
    <x v="2"/>
    <n v="0"/>
    <m/>
    <d v="2026-07-08T00:00:00"/>
    <x v="0"/>
  </r>
  <r>
    <x v="207"/>
    <s v="bensilvaconfeccoes@gmail.com"/>
    <n v="300273771"/>
    <n v="16463412"/>
    <x v="2"/>
    <x v="142"/>
    <s v="15 CONES "/>
    <s v="VEIO FALTANDO "/>
    <m/>
    <s v="LINHA 100%PES TIT 36 S.616 171028"/>
    <d v="2026-07-08T07:30:43"/>
    <m/>
    <n v="897"/>
    <x v="1"/>
    <n v="10000073226"/>
    <m/>
    <d v="2026-07-08T00:00:00"/>
    <x v="0"/>
  </r>
  <r>
    <x v="74"/>
    <s v="imdeoliveirasilva-me@hotmail.com"/>
    <n v="300275029"/>
    <n v="16482204"/>
    <x v="2"/>
    <x v="17"/>
    <n v="400"/>
    <s v="MATERIAL INSUFICIENTE"/>
    <m/>
    <s v="POR FAVOR NOS ENVIE A SOLICITAÇÃO FEITA POIS ESTAMOS PRECISANDO PARA CONCLUIR A ORDEM. OU NOS SINALIZE SE NAO EXISTE A MATERIA PRIMA E SE PODEMOS ENVIAR A ORDEM FALTANDO OS CÓS"/>
    <d v="2026-07-08T07:36:22"/>
    <m/>
    <n v="898"/>
    <x v="1"/>
    <n v="0"/>
    <m/>
    <d v="2026-07-08T00:00:00"/>
    <x v="0"/>
  </r>
  <r>
    <x v="13"/>
    <s v="administrativo@zajaconfeccoes.com.br"/>
    <n v="300278648"/>
    <n v="16223403"/>
    <x v="3"/>
    <x v="61"/>
    <n v="14"/>
    <s v="insuficiente "/>
    <m/>
    <m/>
    <d v="2026-07-08T07:50:57"/>
    <m/>
    <n v="899"/>
    <x v="1"/>
    <n v="0"/>
    <m/>
    <d v="2026-07-08T00:00:00"/>
    <x v="0"/>
  </r>
  <r>
    <x v="118"/>
    <s v="fjdeazevedo@hotmail.com"/>
    <n v="300268898"/>
    <n v="15774104"/>
    <x v="2"/>
    <x v="13"/>
    <n v="38"/>
    <s v="Faltou"/>
    <m/>
    <s v="Apenas que faltou essa quantidade solicitada"/>
    <d v="2026-07-08T08:26:43"/>
    <m/>
    <n v="900"/>
    <x v="1"/>
    <s v="Cod.: Tam.; 13: 10000152015, Cod.: Tam.: 14: 10000065048, Cod.: Tam.: 15, 10000152016"/>
    <m/>
    <d v="2026-07-08T00:00:00"/>
    <x v="0"/>
  </r>
  <r>
    <x v="75"/>
    <s v="maciel.dalison@hotmail.com"/>
    <n v="300273310"/>
    <n v="16520025"/>
    <x v="2"/>
    <x v="61"/>
    <n v="44"/>
    <s v="não veio"/>
    <m/>
    <s v="não veio suficiente "/>
    <d v="2026-07-08T08:36:58"/>
    <m/>
    <n v="901"/>
    <x v="1"/>
    <n v="0"/>
    <m/>
    <d v="2026-07-08T00:00:00"/>
    <x v="0"/>
  </r>
  <r>
    <x v="163"/>
    <s v="felconfeccao@gmail.com"/>
    <n v="300275795"/>
    <n v="16114159"/>
    <x v="2"/>
    <x v="18"/>
    <n v="972"/>
    <s v="MATERIAL NÃO ENVIADO"/>
    <m/>
    <m/>
    <d v="2026-07-08T09:34:33"/>
    <m/>
    <n v="902"/>
    <x v="2"/>
    <n v="10000195771"/>
    <m/>
    <d v="2026-07-08T00:00:00"/>
    <x v="0"/>
  </r>
  <r>
    <x v="35"/>
    <s v="lupercio-fnb@hotmail.com"/>
    <n v="300267144"/>
    <n v="15128288"/>
    <x v="1"/>
    <x v="22"/>
    <n v="50"/>
    <s v="Faltando para finalizar ordem"/>
    <m/>
    <s v="Precisando o mais rápido possivel."/>
    <d v="2026-07-08T09:35:09"/>
    <m/>
    <n v="903"/>
    <x v="1"/>
    <n v="0"/>
    <m/>
    <d v="2026-07-08T00:00:00"/>
    <x v="0"/>
  </r>
  <r>
    <x v="34"/>
    <s v="dantasepaulino@gmail.com"/>
    <n v="300000000"/>
    <n v="160000000"/>
    <x v="2"/>
    <x v="157"/>
    <n v="10000"/>
    <s v="Precisando "/>
    <m/>
    <s v="Plástico do passante urgente "/>
    <d v="2026-07-08T09:37:52"/>
    <m/>
    <n v="904"/>
    <x v="2"/>
    <n v="9"/>
    <m/>
    <d v="2026-07-08T00:00:00"/>
    <x v="0"/>
  </r>
  <r>
    <x v="193"/>
    <s v="ajgconfeccoes2021@gmail.com"/>
    <n v="300253545"/>
    <n v="123456789"/>
    <x v="2"/>
    <x v="5"/>
    <n v="10000"/>
    <s v="ACABOU "/>
    <m/>
    <s v="Acabou filme plástico "/>
    <d v="2026-07-08T09:53:12"/>
    <m/>
    <n v="905"/>
    <x v="2"/>
    <s v="N tem "/>
    <m/>
    <d v="2026-07-08T00:00:00"/>
    <x v="0"/>
  </r>
  <r>
    <x v="182"/>
    <s v="uniaoconfecção.me@gmail.com"/>
    <n v="300253545"/>
    <n v="123456789"/>
    <x v="2"/>
    <x v="5"/>
    <n v="10000"/>
    <s v="ACABOU "/>
    <m/>
    <s v="Acabou "/>
    <d v="2026-07-08T09:55:08"/>
    <m/>
    <n v="906"/>
    <x v="2"/>
    <s v="N tem "/>
    <m/>
    <d v="2026-07-08T00:00:00"/>
    <x v="0"/>
  </r>
  <r>
    <x v="180"/>
    <s v="lajedoconf5@gmail.com"/>
    <n v="300276640"/>
    <n v="16292898"/>
    <x v="2"/>
    <x v="157"/>
    <s v="para 1166 peças"/>
    <s v="viés de passante veio em cor e tecido diferente do restante da ordem"/>
    <m/>
    <m/>
    <d v="2026-07-08T10:06:37"/>
    <m/>
    <n v="907"/>
    <x v="2"/>
    <s v="."/>
    <m/>
    <d v="2026-07-08T00:00:00"/>
    <x v="0"/>
  </r>
  <r>
    <x v="175"/>
    <s v="confeccaogenesisltda@gmail.com"/>
    <n v="300279739"/>
    <n v="16373049"/>
    <x v="0"/>
    <x v="27"/>
    <n v="100"/>
    <s v="veio faltando"/>
    <m/>
    <m/>
    <d v="2026-07-08T10:08:56"/>
    <m/>
    <n v="908"/>
    <x v="1"/>
    <n v="10000222731"/>
    <m/>
    <d v="2026-07-08T00:00:00"/>
    <x v="0"/>
  </r>
  <r>
    <x v="173"/>
    <s v="alfaequador@gmail.com"/>
    <n v="300278801"/>
    <n v="16217780"/>
    <x v="2"/>
    <x v="61"/>
    <n v="15"/>
    <s v="INSUFICIENTE"/>
    <m/>
    <s v="QUANTIDADE INSUFICIENTE "/>
    <d v="2026-07-08T10:20:20"/>
    <m/>
    <n v="909"/>
    <x v="1"/>
    <n v="0"/>
    <m/>
    <d v="2026-07-08T00:00:00"/>
    <x v="0"/>
  </r>
  <r>
    <x v="58"/>
    <s v="Js.silva6815@gmail.com"/>
    <n v="300274650"/>
    <n v="16447735"/>
    <x v="2"/>
    <x v="10"/>
    <s v="os dois gabaritos o de marcar e o de pranchar "/>
    <s v="obs é o gabaito do bolso e o gabarito de marcar a peça "/>
    <m/>
    <s v="é o gabarito de marcar o bolso e o de pranchar "/>
    <d v="2026-07-08T10:31:22"/>
    <m/>
    <n v="910"/>
    <x v="2"/>
    <n v="0"/>
    <m/>
    <d v="2026-07-08T00:00:00"/>
    <x v="0"/>
  </r>
  <r>
    <x v="166"/>
    <s v="w.anny.k@hotmail.com"/>
    <n v="300277085"/>
    <n v="15775496"/>
    <x v="2"/>
    <x v="61"/>
    <n v="40"/>
    <s v="VEIO FALTANDO NA ORDEM"/>
    <m/>
    <m/>
    <d v="2026-07-08T10:34:36"/>
    <m/>
    <n v="911"/>
    <x v="1"/>
    <n v="0"/>
    <m/>
    <d v="2026-07-08T00:00:00"/>
    <x v="0"/>
  </r>
  <r>
    <x v="31"/>
    <s v="administrativo@zajaconfeccoes.com.br"/>
    <n v="300264322"/>
    <n v="16212878"/>
    <x v="2"/>
    <x v="1"/>
    <n v="5"/>
    <s v="insuficiente "/>
    <m/>
    <m/>
    <d v="2026-07-08T10:36:29"/>
    <m/>
    <n v="912"/>
    <x v="1"/>
    <n v="10000068897"/>
    <m/>
    <d v="2026-07-08T00:00:00"/>
    <x v="0"/>
  </r>
  <r>
    <x v="166"/>
    <s v="w.anny.k@hotmail.com"/>
    <n v="300277085"/>
    <n v="15775496"/>
    <x v="2"/>
    <x v="5"/>
    <n v="10"/>
    <s v="ESTA FALTANDO"/>
    <m/>
    <s v="ESTA FALTANDO"/>
    <d v="2026-07-08T10:37:11"/>
    <m/>
    <n v="913"/>
    <x v="1"/>
    <n v="0"/>
    <m/>
    <d v="2026-07-08T00:00:00"/>
    <x v="0"/>
  </r>
  <r>
    <x v="49"/>
    <s v="s.ramosconfeccoes@gmail.com"/>
    <n v="300273318"/>
    <n v="15775615"/>
    <x v="2"/>
    <x v="17"/>
    <n v="60"/>
    <s v="Veio faltando 60 pares de cos"/>
    <m/>
    <s v="Veio faltando 60 pares de cos, estou precisando para finalizar a ordem "/>
    <d v="2026-07-08T10:45:44"/>
    <m/>
    <n v="914"/>
    <x v="1"/>
    <n v="0"/>
    <m/>
    <d v="2026-07-08T00:00:00"/>
    <x v="0"/>
  </r>
  <r>
    <x v="211"/>
    <s v="marceloleite.mafaldo03@gmail.com"/>
    <n v="300272971"/>
    <n v="16508920"/>
    <x v="2"/>
    <x v="5"/>
    <s v="10  ROLOS "/>
    <s v="ACABOU"/>
    <m/>
    <m/>
    <d v="2026-07-08T10:48:32"/>
    <m/>
    <n v="915"/>
    <x v="1"/>
    <s v="NAO TEM"/>
    <m/>
    <d v="2026-07-08T00:00:00"/>
    <x v="0"/>
  </r>
  <r>
    <x v="191"/>
    <s v="lctextil@outlook.com.br"/>
    <n v="300276340"/>
    <n v="16311876"/>
    <x v="3"/>
    <x v="4"/>
    <n v="240"/>
    <s v="Insuficiente pra finalizar ordem"/>
    <m/>
    <m/>
    <d v="2026-07-08T10:52:48"/>
    <m/>
    <n v="916"/>
    <x v="1"/>
    <n v="0"/>
    <m/>
    <d v="2026-07-08T00:00:00"/>
    <x v="0"/>
  </r>
  <r>
    <x v="18"/>
    <s v="ebenezerindustriat@hotmail.com"/>
    <n v="300276892"/>
    <n v="16222954"/>
    <x v="3"/>
    <x v="60"/>
    <s v="1 CAIXA"/>
    <s v="ACABOU"/>
    <m/>
    <m/>
    <d v="2026-07-08T10:53:23"/>
    <m/>
    <n v="917"/>
    <x v="2"/>
    <n v="0"/>
    <m/>
    <d v="2026-07-08T00:00:00"/>
    <x v="0"/>
  </r>
  <r>
    <x v="18"/>
    <s v="ebenezerindustriat@hotmail.com"/>
    <n v="300276892"/>
    <n v="16222954"/>
    <x v="3"/>
    <x v="11"/>
    <s v="2 PISTOLAS"/>
    <s v="."/>
    <m/>
    <m/>
    <d v="2026-07-08T10:54:22"/>
    <m/>
    <n v="918"/>
    <x v="2"/>
    <n v="0"/>
    <m/>
    <d v="2026-07-08T00:00:00"/>
    <x v="0"/>
  </r>
  <r>
    <x v="191"/>
    <s v="lctextil@outlook.com.br"/>
    <n v="300277699"/>
    <n v="16466314"/>
    <x v="3"/>
    <x v="61"/>
    <n v="5"/>
    <s v="Insuficiente para finalizar ordem "/>
    <m/>
    <m/>
    <d v="2026-07-08T10:54:31"/>
    <m/>
    <n v="919"/>
    <x v="1"/>
    <n v="0"/>
    <m/>
    <d v="2026-07-08T00:00:00"/>
    <x v="0"/>
  </r>
  <r>
    <x v="191"/>
    <s v="lctextil@outlook.com.br"/>
    <n v="300277999"/>
    <n v="16466314"/>
    <x v="3"/>
    <x v="61"/>
    <n v="2"/>
    <s v="Insuficiente para finalizar ordem"/>
    <m/>
    <m/>
    <d v="2026-07-08T10:55:44"/>
    <m/>
    <n v="920"/>
    <x v="1"/>
    <n v="0"/>
    <m/>
    <d v="2026-07-08T00:00:00"/>
    <x v="0"/>
  </r>
  <r>
    <x v="184"/>
    <s v="encantopoest@gmail.com"/>
    <n v="300277185"/>
    <n v="16218620"/>
    <x v="2"/>
    <x v="49"/>
    <n v="80"/>
    <s v="NAO ENVIADO PELA GUARARAPES"/>
    <m/>
    <s v="O TAMANHO 9-10 VEIO FALTANDO 100 ETIQUETAS"/>
    <d v="2026-07-08T11:14:38"/>
    <m/>
    <n v="921"/>
    <x v="2"/>
    <n v="10000216487"/>
    <m/>
    <d v="2026-07-08T00:00:00"/>
    <x v="0"/>
  </r>
  <r>
    <x v="170"/>
    <s v="neemias.sc@hotmail.com"/>
    <n v="300277186"/>
    <n v="16243161"/>
    <x v="2"/>
    <x v="10"/>
    <n v="1081"/>
    <s v="Não temos o material"/>
    <m/>
    <m/>
    <d v="2026-07-08T11:23:05"/>
    <m/>
    <n v="922"/>
    <x v="1"/>
    <n v="10000191916"/>
    <m/>
    <d v="2026-07-08T00:00:00"/>
    <x v="0"/>
  </r>
  <r>
    <x v="170"/>
    <s v="neemias.sc@hotmail.com"/>
    <n v="300277186"/>
    <n v="16243161"/>
    <x v="2"/>
    <x v="45"/>
    <n v="376"/>
    <s v="A linha não deu para finalizar a op"/>
    <m/>
    <m/>
    <d v="2026-07-08T11:25:40"/>
    <m/>
    <n v="923"/>
    <x v="1"/>
    <n v="10000191916"/>
    <m/>
    <d v="2026-07-08T00:00:00"/>
    <x v="0"/>
  </r>
  <r>
    <x v="44"/>
    <s v="teceuzl@hotmail.com"/>
    <n v="300275188"/>
    <n v="12438235"/>
    <x v="1"/>
    <x v="61"/>
    <n v="100"/>
    <s v="QUANTIDADE INSUFICIENTE"/>
    <m/>
    <m/>
    <d v="2026-07-08T11:30:29"/>
    <m/>
    <n v="924"/>
    <x v="1"/>
    <n v="0"/>
    <m/>
    <d v="2026-07-08T00:00:00"/>
    <x v="0"/>
  </r>
  <r>
    <x v="198"/>
    <s v="afconfeccoes26@gmail.com"/>
    <n v="300267558"/>
    <n v="12416746"/>
    <x v="3"/>
    <x v="61"/>
    <s v="37 unidades"/>
    <s v="Faltou "/>
    <m/>
    <s v="37 unidades do tamanho  M  veio faltando."/>
    <d v="2026-07-08T11:52:10"/>
    <m/>
    <n v="925"/>
    <x v="1"/>
    <n v="220015"/>
    <m/>
    <d v="2026-07-08T00:00:00"/>
    <x v="0"/>
  </r>
  <r>
    <x v="188"/>
    <s v="tendenciaconfec@gmail.com"/>
    <n v="300276345"/>
    <n v="15957136"/>
    <x v="3"/>
    <x v="61"/>
    <n v="8"/>
    <s v="FALTOU PARA FINALIZAR OP"/>
    <m/>
    <m/>
    <d v="2026-07-08T13:08:44"/>
    <m/>
    <n v="926"/>
    <x v="2"/>
    <s v="ETIQUETA DE COMPOSIÇÃO"/>
    <m/>
    <d v="2026-07-08T00:00:00"/>
    <x v="0"/>
  </r>
  <r>
    <x v="37"/>
    <s v="felconfeccao@gmail.com"/>
    <n v="300276889"/>
    <n v="16222881"/>
    <x v="3"/>
    <x v="6"/>
    <n v="4"/>
    <s v="FALTOU"/>
    <m/>
    <m/>
    <d v="2026-07-08T13:29:01"/>
    <m/>
    <n v="927"/>
    <x v="1"/>
    <n v="0"/>
    <m/>
    <d v="2026-07-08T00:00:00"/>
    <x v="0"/>
  </r>
  <r>
    <x v="21"/>
    <s v="potengitextil@outlook.com.br"/>
    <n v="300270875"/>
    <n v="16426010"/>
    <x v="3"/>
    <x v="54"/>
    <n v="1363"/>
    <s v="Material não enviado pela Guararapes"/>
    <m/>
    <s v="Viés de alça e pentilho para blusa de alcinha, não veio junto da ordem. "/>
    <d v="2026-07-08T13:38:22"/>
    <m/>
    <n v="928"/>
    <x v="2"/>
    <n v="0"/>
    <m/>
    <d v="2026-07-08T00:00:00"/>
    <x v="0"/>
  </r>
  <r>
    <x v="205"/>
    <s v="Sjarlandia@hotmail.com"/>
    <n v="300274646"/>
    <n v="16319249"/>
    <x v="2"/>
    <x v="61"/>
    <n v="50"/>
    <s v="Faltou"/>
    <m/>
    <m/>
    <d v="2026-07-08T13:44:30"/>
    <m/>
    <n v="929"/>
    <x v="1"/>
    <n v="0"/>
    <m/>
    <d v="2026-07-08T00:00:00"/>
    <x v="0"/>
  </r>
  <r>
    <x v="13"/>
    <s v="administrativo@zajaconfeccoes.com.br"/>
    <n v="300276746"/>
    <n v="16210097"/>
    <x v="2"/>
    <x v="49"/>
    <n v="2"/>
    <s v="insuficiente "/>
    <m/>
    <m/>
    <d v="2026-07-08T13:46:21"/>
    <m/>
    <n v="930"/>
    <x v="1"/>
    <n v="10000216489"/>
    <m/>
    <d v="2026-07-08T00:00:00"/>
    <x v="0"/>
  </r>
  <r>
    <x v="23"/>
    <s v="reposicoesjkmodas@gmail.com"/>
    <n v="300272949"/>
    <n v="16540000"/>
    <x v="2"/>
    <x v="60"/>
    <n v="10"/>
    <s v="INSUFICIENTE PARA FINALIZAR OP"/>
    <m/>
    <m/>
    <d v="2026-07-08T13:58:35"/>
    <m/>
    <n v="931"/>
    <x v="1"/>
    <n v="10000063383"/>
    <m/>
    <d v="2026-07-08T00:00:00"/>
    <x v="0"/>
  </r>
  <r>
    <x v="23"/>
    <s v="reposicoesjkmodas@gmail.com"/>
    <n v="300275014"/>
    <n v="16503783"/>
    <x v="2"/>
    <x v="142"/>
    <n v="20"/>
    <s v="INSUFICIENTE PARA FINALIZAR OP"/>
    <m/>
    <m/>
    <d v="2026-07-08T14:01:31"/>
    <m/>
    <n v="932"/>
    <x v="1"/>
    <s v="10000062795 / 10000063371"/>
    <m/>
    <d v="2026-07-08T00:00:00"/>
    <x v="0"/>
  </r>
  <r>
    <x v="173"/>
    <s v="alfaequador@gmail.com"/>
    <n v="300271500"/>
    <n v="16473825"/>
    <x v="2"/>
    <x v="61"/>
    <n v="2"/>
    <s v="INSUFICIENTE "/>
    <m/>
    <s v="INSUFICIENTE "/>
    <d v="2026-07-08T14:08:20"/>
    <m/>
    <n v="933"/>
    <x v="1"/>
    <n v="0"/>
    <m/>
    <d v="2026-07-08T00:00:00"/>
    <x v="0"/>
  </r>
  <r>
    <x v="54"/>
    <s v="deboraclothing.textil@gmail.com"/>
    <n v="300279698"/>
    <n v="16318455"/>
    <x v="3"/>
    <x v="4"/>
    <n v="282"/>
    <s v="NÃO VEIO O TAMANHO 9-10"/>
    <m/>
    <s v="NÃO VEIO O TAMANHO 9 E 10 ANOS "/>
    <d v="2026-07-08T14:40:59"/>
    <m/>
    <n v="934"/>
    <x v="1"/>
    <n v="0"/>
    <m/>
    <d v="2026-07-08T00:00:00"/>
    <x v="0"/>
  </r>
  <r>
    <x v="203"/>
    <s v="jolitextilfabrica@gmail.com"/>
    <n v="300275906"/>
    <n v="16223608"/>
    <x v="3"/>
    <x v="12"/>
    <n v="86"/>
    <s v="Veio faltando no lote "/>
    <m/>
    <m/>
    <d v="2026-07-08T15:03:58"/>
    <m/>
    <n v="935"/>
    <x v="1"/>
    <s v="Costas"/>
    <m/>
    <d v="2026-07-08T00:00:00"/>
    <x v="0"/>
  </r>
  <r>
    <x v="70"/>
    <s v="novaconfeccoes2.0@hotmail.com"/>
    <n v="300275037"/>
    <n v="16482204"/>
    <x v="2"/>
    <x v="17"/>
    <n v="125"/>
    <s v="NÃO RECEBEMOS "/>
    <m/>
    <s v="NÃO RECEBEMOS "/>
    <d v="2026-07-08T16:06:51"/>
    <m/>
    <n v="936"/>
    <x v="1"/>
    <n v="0"/>
    <m/>
    <d v="2026-07-08T00:00:00"/>
    <x v="0"/>
  </r>
  <r>
    <x v="168"/>
    <s v="jucurututextil@gmail.com"/>
    <n v="300276803"/>
    <n v="16482395"/>
    <x v="2"/>
    <x v="5"/>
    <s v="6 rolos"/>
    <n v="1.095"/>
    <m/>
    <s v="só temos 1 rolo "/>
    <d v="2026-07-08T16:21:26"/>
    <m/>
    <n v="937"/>
    <x v="2"/>
    <n v="0"/>
    <m/>
    <d v="2026-07-08T00:00:00"/>
    <x v="0"/>
  </r>
  <r>
    <x v="168"/>
    <s v="jucurututextil@gmail.com"/>
    <n v="300276803"/>
    <n v="16482395"/>
    <x v="2"/>
    <x v="10"/>
    <n v="1.095"/>
    <s v="ACABOU"/>
    <m/>
    <s v="acabou"/>
    <d v="2026-07-08T16:25:04"/>
    <m/>
    <n v="938"/>
    <x v="2"/>
    <n v="0"/>
    <m/>
    <d v="2026-07-08T00:00:00"/>
    <x v="0"/>
  </r>
  <r>
    <x v="35"/>
    <s v="lupercio-fnb@hotmail.com"/>
    <n v="300273713"/>
    <n v="16447760"/>
    <x v="2"/>
    <x v="49"/>
    <n v="10"/>
    <s v="Faltando para finalização de ordem "/>
    <m/>
    <s v="Atenção!! Precisando com uma atenção se não ordem para."/>
    <d v="2026-07-08T16:46:13"/>
    <m/>
    <n v="939"/>
    <x v="1"/>
    <n v="0"/>
    <m/>
    <d v="2026-07-08T00:00:00"/>
    <x v="0"/>
  </r>
  <r>
    <x v="194"/>
    <s v="pn.fenix@gmail.com"/>
    <n v="300275858"/>
    <n v="15773434"/>
    <x v="2"/>
    <x v="142"/>
    <n v="6"/>
    <s v="insuficiente para finalizar a op"/>
    <m/>
    <s v="título 25"/>
    <d v="2026-07-08T17:00:47"/>
    <m/>
    <n v="940"/>
    <x v="2"/>
    <n v="10000073407"/>
    <m/>
    <d v="2026-07-08T00:00:00"/>
    <x v="0"/>
  </r>
  <r>
    <x v="194"/>
    <s v="pn.fenix@gmail.com"/>
    <n v="300275858"/>
    <n v="15773434"/>
    <x v="2"/>
    <x v="142"/>
    <n v="3"/>
    <s v="insuficiente para finalizar a op"/>
    <m/>
    <s v="título 36"/>
    <d v="2026-07-08T17:05:13"/>
    <m/>
    <n v="941"/>
    <x v="2"/>
    <n v="10000073229"/>
    <m/>
    <d v="2026-07-08T00:00:00"/>
    <x v="0"/>
  </r>
  <r>
    <x v="171"/>
    <s v="confeccoesgbdas@hotmail.com"/>
    <n v="300272643"/>
    <n v="16483898"/>
    <x v="3"/>
    <x v="61"/>
    <n v="37"/>
    <s v="FALTARAM ETIQUETAS PARA COMPLETAR A ORDEM"/>
    <m/>
    <m/>
    <d v="2026-07-08T17:08:02"/>
    <m/>
    <n v="942"/>
    <x v="1"/>
    <n v="16483898"/>
    <m/>
    <d v="2026-07-08T00:00:00"/>
    <x v="0"/>
  </r>
  <r>
    <x v="50"/>
    <s v="mkdeazevedomedeiros@gmail.com"/>
    <n v="300273320"/>
    <n v="15775615"/>
    <x v="2"/>
    <x v="17"/>
    <n v="50"/>
    <s v="ERRO NO PROCESSO"/>
    <m/>
    <m/>
    <d v="2026-07-08T17:11:27"/>
    <m/>
    <n v="943"/>
    <x v="1"/>
    <s v="-"/>
    <m/>
    <d v="2026-07-08T00:00:00"/>
    <x v="0"/>
  </r>
  <r>
    <x v="189"/>
    <s v="ldinizconfeccoes@gmail.com"/>
    <n v="300273008"/>
    <n v="16507657"/>
    <x v="2"/>
    <x v="58"/>
    <n v="200"/>
    <s v="FALTA"/>
    <m/>
    <s v="O PEDIDO É REFERENTE AO FORRO DO BOLSO DA FRENTE"/>
    <d v="2026-07-08T17:12:40"/>
    <m/>
    <n v="944"/>
    <x v="1"/>
    <n v="0"/>
    <m/>
    <d v="2026-07-08T00:00:00"/>
    <x v="0"/>
  </r>
  <r>
    <x v="171"/>
    <s v="confeccoesgbdas@hotmail.com"/>
    <n v="300277467"/>
    <n v="15773469"/>
    <x v="2"/>
    <x v="5"/>
    <n v="5"/>
    <s v="MATERIAL INSUFICIENTE PARA FINALIZAR OP"/>
    <m/>
    <m/>
    <d v="2026-07-08T17:16:10"/>
    <m/>
    <n v="945"/>
    <x v="1"/>
    <n v="15773469"/>
    <m/>
    <d v="2026-07-08T00:00:00"/>
    <x v="0"/>
  </r>
  <r>
    <x v="195"/>
    <s v="limaconfeccoes78@gmail.com"/>
    <n v="300275855"/>
    <n v="15773434"/>
    <x v="2"/>
    <x v="142"/>
    <n v="8"/>
    <s v="Insuficiente para terminar a OP"/>
    <m/>
    <s v="Preciso de 8 cones dessa linha para concluir a OP"/>
    <d v="2026-07-08T17:16:50"/>
    <m/>
    <n v="946"/>
    <x v="1"/>
    <n v="10000073407"/>
    <m/>
    <d v="2026-07-08T00:00:00"/>
    <x v="0"/>
  </r>
  <r>
    <x v="195"/>
    <s v="limaconfeccoes78@gmail.com"/>
    <n v="300000000"/>
    <n v="0"/>
    <x v="2"/>
    <x v="10"/>
    <n v="0"/>
    <n v="0"/>
    <m/>
    <s v="Precisamos de reposição do papelão para gabarito"/>
    <d v="2026-07-08T17:18:41"/>
    <m/>
    <n v="947"/>
    <x v="2"/>
    <n v="0"/>
    <m/>
    <d v="2026-07-08T00:00:00"/>
    <x v="0"/>
  </r>
  <r>
    <x v="24"/>
    <s v="maxwelaaraujo7@gmail.com"/>
    <n v="300275901"/>
    <n v="16223608"/>
    <x v="3"/>
    <x v="22"/>
    <n v="98"/>
    <s v="PEÇAS COM DEFEITOS"/>
    <m/>
    <s v="MATERIAL COM DEFEITO, CORTES. FIZ CHAMADO MAIS NÃO RECEBI NÃO RECEBI NENHUMA CONFIRMAÇÃO DO CHAMADO."/>
    <d v="2026-07-08T17:24:55"/>
    <m/>
    <n v="948"/>
    <x v="1"/>
    <n v="0"/>
    <m/>
    <d v="2026-07-08T00:00:00"/>
    <x v="0"/>
  </r>
  <r>
    <x v="200"/>
    <s v="g4confeccao@gmail.com"/>
    <n v="300271484"/>
    <n v="16380096"/>
    <x v="2"/>
    <x v="21"/>
    <n v="2"/>
    <s v="ARTOX FOI ENVIADO COM OUTRA OM"/>
    <m/>
    <s v="MOTIVO DESSA SOLICITAÇÃO FOI DEVIDO AO USO DE 2 ARTOX EM OUTRA OM ENVIADA"/>
    <d v="2026-07-08T18:07:34"/>
    <m/>
    <n v="949"/>
    <x v="1"/>
    <n v="0"/>
    <m/>
    <d v="2026-07-08T00:00:00"/>
    <x v="0"/>
  </r>
  <r>
    <x v="200"/>
    <s v="g4confeccao@gmail.com"/>
    <n v="300271484"/>
    <n v="300380096"/>
    <x v="2"/>
    <x v="161"/>
    <n v="10"/>
    <s v="QUANTIDADE INSUFICIENTE"/>
    <m/>
    <s v="QUANTIDADE DE VIÉS SERÁ INSUFICIENTE PARA FINALIZAÇÃO DA ORDEM"/>
    <d v="2026-07-08T18:11:24"/>
    <m/>
    <n v="950"/>
    <x v="1"/>
    <n v="0"/>
    <m/>
    <d v="2026-07-08T00:00:00"/>
    <x v="0"/>
  </r>
  <r>
    <x v="165"/>
    <s v="freiresilvaconfeccoes@gmail.com"/>
    <n v="300275195"/>
    <n v="12438235"/>
    <x v="1"/>
    <x v="22"/>
    <n v="22"/>
    <s v="Material insuficiente para finalizar a OP "/>
    <m/>
    <s v="**"/>
    <d v="2026-07-08T19:51:53"/>
    <m/>
    <n v="951"/>
    <x v="2"/>
    <s v="*"/>
    <m/>
    <d v="2026-07-08T00:00:00"/>
    <x v="0"/>
  </r>
  <r>
    <x v="165"/>
    <s v="freiresilvaconfeccoes@gmail.com"/>
    <n v="300275195"/>
    <n v="12438235"/>
    <x v="1"/>
    <x v="12"/>
    <n v="13"/>
    <s v="Material insuficiente para finalizar a OP."/>
    <m/>
    <s v="*"/>
    <d v="2026-07-08T19:55:54"/>
    <m/>
    <n v="952"/>
    <x v="2"/>
    <s v="*"/>
    <m/>
    <d v="2026-07-08T00:00:00"/>
    <x v="0"/>
  </r>
  <r>
    <x v="165"/>
    <s v="freiresilvaconfeccoes@gmail.com"/>
    <n v="300275195"/>
    <n v="12438235"/>
    <x v="1"/>
    <x v="61"/>
    <n v="14"/>
    <s v="Material insuficiente."/>
    <m/>
    <s v="*"/>
    <d v="2026-07-08T19:58:24"/>
    <m/>
    <n v="953"/>
    <x v="2"/>
    <s v="*"/>
    <m/>
    <d v="2026-07-08T00:00:00"/>
    <x v="0"/>
  </r>
  <r>
    <x v="34"/>
    <s v="dantasepaulino@gmail.com"/>
    <n v="300273319"/>
    <n v="15775615"/>
    <x v="2"/>
    <x v="13"/>
    <n v="107"/>
    <s v="Insuficiente p termine a op "/>
    <m/>
    <s v="Zíper 13 cm "/>
    <d v="2026-07-08T22:30:05"/>
    <m/>
    <n v="954"/>
    <x v="1"/>
    <n v="10000241454"/>
    <m/>
    <d v="2026-07-08T00:00:00"/>
    <x v="0"/>
  </r>
  <r>
    <x v="34"/>
    <s v="dantasepaulino@gmail.con"/>
    <n v="300273319"/>
    <n v="15775615"/>
    <x v="2"/>
    <x v="143"/>
    <n v="65"/>
    <s v="Imsufiente "/>
    <m/>
    <s v="65 Pertigal do tamanho 40"/>
    <d v="2026-07-08T22:33:57"/>
    <m/>
    <n v="955"/>
    <x v="1"/>
    <n v="0"/>
    <m/>
    <d v="2026-07-08T00:00:00"/>
    <x v="0"/>
  </r>
  <r>
    <x v="195"/>
    <s v="limaconfeccoes78@gmail.com"/>
    <n v="300278544"/>
    <n v="16240944"/>
    <x v="2"/>
    <x v="159"/>
    <n v="20"/>
    <s v="Insuficiente para terminar a ordem"/>
    <m/>
    <s v="Precisamos de 20 unidades de etiqueta FIT (Bermuda Slim) para concluir a op."/>
    <d v="2026-07-09T07:13:15"/>
    <m/>
    <n v="956"/>
    <x v="1"/>
    <n v="10000228847"/>
    <m/>
    <d v="2026-07-09T00:00:00"/>
    <x v="0"/>
  </r>
  <r>
    <x v="54"/>
    <s v="deboraclothing.textil@gmail.com"/>
    <n v="300278735"/>
    <n v="16441370"/>
    <x v="3"/>
    <x v="4"/>
    <n v="7"/>
    <s v="FALTA"/>
    <m/>
    <s v="INSUFICIENTE PARA FINALIZAR ORDEM "/>
    <d v="2026-07-09T07:36:56"/>
    <m/>
    <n v="957"/>
    <x v="1"/>
    <n v="0"/>
    <m/>
    <d v="2026-07-09T00:00:00"/>
    <x v="0"/>
  </r>
  <r>
    <x v="74"/>
    <s v="imdeoliveirasilva-me@hotmail.com"/>
    <n v="300273762"/>
    <n v="16473604"/>
    <x v="2"/>
    <x v="5"/>
    <s v="15 ROLOS"/>
    <s v="MATERIAL INSUFICIENTE NA EMPRESA PARA CONCLUIR A ORDEM"/>
    <m/>
    <s v="COLOQUEI REPOSIÇÃO COMPLETA PORQUE A ORDEM É MUITO GRANDE E A QUANTIDADE DE FILMA PLASTICO PARA FUSIONAR EXISTENTE NA OFICINA É MUITO POUCA"/>
    <d v="2026-07-09T07:57:06"/>
    <m/>
    <n v="958"/>
    <x v="2"/>
    <n v="0"/>
    <m/>
    <d v="2026-07-09T00:00:00"/>
    <x v="0"/>
  </r>
  <r>
    <x v="84"/>
    <s v="recanto.confeccoesjs@gmail.com"/>
    <n v="300275028"/>
    <n v="16482204"/>
    <x v="2"/>
    <x v="17"/>
    <n v="63"/>
    <s v="Veio faltando"/>
    <m/>
    <s v="Veio 3 lotes faltando e não deu pra terminar a ordem "/>
    <d v="2026-07-09T07:59:21"/>
    <m/>
    <n v="959"/>
    <x v="2"/>
    <n v="10000190447"/>
    <m/>
    <d v="2026-07-09T00:00:00"/>
    <x v="0"/>
  </r>
  <r>
    <x v="84"/>
    <s v="recanto.confeccoesjs@gmail.com"/>
    <n v="300275028"/>
    <n v="16482204"/>
    <x v="2"/>
    <x v="5"/>
    <n v="10"/>
    <s v="Falta"/>
    <m/>
    <m/>
    <d v="2026-07-09T08:01:38"/>
    <m/>
    <n v="960"/>
    <x v="2"/>
    <n v="10000"/>
    <m/>
    <d v="2026-07-09T00:00:00"/>
    <x v="0"/>
  </r>
  <r>
    <x v="189"/>
    <s v="ldinizconfeccoes@gmail.com"/>
    <n v="300273008"/>
    <n v="16507657"/>
    <x v="2"/>
    <x v="58"/>
    <n v="70"/>
    <s v="falta"/>
    <m/>
    <s v="parte interna do bolso, (forro)"/>
    <d v="2026-07-09T09:01:42"/>
    <m/>
    <n v="961"/>
    <x v="1"/>
    <n v="0"/>
    <m/>
    <d v="2026-07-09T00:00:00"/>
    <x v="0"/>
  </r>
  <r>
    <x v="31"/>
    <s v="administrativo@zajaconfeccoes.com.br"/>
    <n v="300278638"/>
    <n v="16222326"/>
    <x v="3"/>
    <x v="61"/>
    <n v="3"/>
    <s v="insuficiente "/>
    <m/>
    <m/>
    <d v="2026-07-09T09:03:49"/>
    <m/>
    <n v="962"/>
    <x v="1"/>
    <n v="0"/>
    <m/>
    <d v="2026-07-09T00:00:00"/>
    <x v="0"/>
  </r>
  <r>
    <x v="29"/>
    <s v="pea2015confeccoes@hotmail.com"/>
    <n v="300269353"/>
    <n v="15773477"/>
    <x v="2"/>
    <x v="17"/>
    <n v="100"/>
    <s v="Enrugamento."/>
    <m/>
    <s v="o pedido já foi feito, porém esqueceram uma gaiola e  a mesma chegou ontem em oficina. Foi feito a revisão e foi encontrada mais peças enrugadas, necessitando da troca do cós  e passantes. Logo Esse pedido de reposição de cós e passantes é o complementos do pedido já feito e não total."/>
    <d v="2026-07-09T09:13:37"/>
    <m/>
    <n v="963"/>
    <x v="1"/>
    <n v="0"/>
    <m/>
    <d v="2026-07-09T00:00:00"/>
    <x v="0"/>
  </r>
  <r>
    <x v="25"/>
    <s v="reposicoesjkmodas@gmail.com"/>
    <n v="300273720"/>
    <n v="16447786"/>
    <x v="2"/>
    <x v="49"/>
    <n v="15"/>
    <s v="NÃO ENVIADO PELA GUARARAPES"/>
    <m/>
    <m/>
    <d v="2026-07-09T09:16:17"/>
    <m/>
    <n v="964"/>
    <x v="1"/>
    <s v="10000218092 / 10000208288 / 10000208287"/>
    <m/>
    <d v="2026-07-09T00:00:00"/>
    <x v="0"/>
  </r>
  <r>
    <x v="163"/>
    <s v="felconfeccao@gmail.com"/>
    <n v="300275796"/>
    <n v="16114159"/>
    <x v="2"/>
    <x v="61"/>
    <n v="4"/>
    <s v="insuficiente para finalizar ordem"/>
    <m/>
    <m/>
    <d v="2026-07-09T09:39:03"/>
    <m/>
    <n v="965"/>
    <x v="1"/>
    <s v="não informado"/>
    <m/>
    <d v="2026-07-09T00:00:00"/>
    <x v="0"/>
  </r>
  <r>
    <x v="175"/>
    <s v="confeccaogenesisltda@gmail.com"/>
    <n v="300272294"/>
    <n v="16547926"/>
    <x v="0"/>
    <x v="27"/>
    <n v="90"/>
    <s v="pedi reposição e veio faltando"/>
    <m/>
    <m/>
    <d v="2026-07-09T09:51:48"/>
    <m/>
    <n v="966"/>
    <x v="1"/>
    <n v="10000224580"/>
    <m/>
    <d v="2026-07-09T00:00:00"/>
    <x v="0"/>
  </r>
  <r>
    <x v="176"/>
    <s v="hiconfeccao@gmail.com"/>
    <n v="300276760"/>
    <n v="16493184"/>
    <x v="2"/>
    <x v="61"/>
    <n v="25"/>
    <s v="Porque a quantidade é insuficiente para concluir a OP."/>
    <m/>
    <s v="Pedido de 5 Etiquetas de Composição para todos os tamanhos."/>
    <d v="2026-07-09T10:01:24"/>
    <m/>
    <n v="967"/>
    <x v="2"/>
    <s v="10000216487/10000216483/10000216484/10000216488/10000216489"/>
    <m/>
    <d v="2026-07-09T00:00:00"/>
    <x v="0"/>
  </r>
  <r>
    <x v="174"/>
    <s v="jakeline.jl.confeccoes@gmail.com"/>
    <n v="300272580"/>
    <n v="16243994"/>
    <x v="2"/>
    <x v="160"/>
    <n v="10"/>
    <s v="Insuficiente para enviar ordens"/>
    <m/>
    <s v="Insuficiente para enviar ordens"/>
    <d v="2026-07-09T10:10:33"/>
    <m/>
    <n v="968"/>
    <x v="2"/>
    <n v="0"/>
    <m/>
    <d v="2026-07-09T00:00:00"/>
    <x v="0"/>
  </r>
  <r>
    <x v="166"/>
    <s v="w.anny.k@hotmail.com"/>
    <n v="300278665"/>
    <n v="15758249"/>
    <x v="1"/>
    <x v="19"/>
    <n v="12"/>
    <s v="VEIO FALTANDO"/>
    <m/>
    <m/>
    <d v="2026-07-09T10:14:11"/>
    <m/>
    <n v="969"/>
    <x v="1"/>
    <n v="0"/>
    <m/>
    <d v="2026-07-09T00:00:00"/>
    <x v="0"/>
  </r>
  <r>
    <x v="166"/>
    <s v="w.anny.k@hotmail.com"/>
    <n v="300278665"/>
    <n v="15758249"/>
    <x v="1"/>
    <x v="142"/>
    <n v="3"/>
    <s v="VEIO FALTANDO"/>
    <m/>
    <m/>
    <d v="2026-07-09T10:16:10"/>
    <m/>
    <n v="970"/>
    <x v="1"/>
    <n v="0"/>
    <m/>
    <d v="2026-07-09T00:00:00"/>
    <x v="0"/>
  </r>
  <r>
    <x v="36"/>
    <s v="solisconfeccoes@gmail.com"/>
    <n v="300279111"/>
    <n v="16223780"/>
    <x v="3"/>
    <x v="7"/>
    <n v="100"/>
    <s v="PRECISANDO"/>
    <m/>
    <n v="0"/>
    <d v="2026-07-09T10:24:41"/>
    <m/>
    <n v="971"/>
    <x v="2"/>
    <n v="0"/>
    <m/>
    <d v="2026-07-09T00:00:00"/>
    <x v="0"/>
  </r>
  <r>
    <x v="162"/>
    <s v="faccaoello@hotmail.com"/>
    <n v="300277072"/>
    <n v="16448430"/>
    <x v="2"/>
    <x v="18"/>
    <n v="1050"/>
    <s v="Material não enviado pela Guararapes"/>
    <m/>
    <m/>
    <d v="2026-07-09T10:25:24"/>
    <m/>
    <n v="972"/>
    <x v="2"/>
    <n v="0"/>
    <m/>
    <d v="2026-07-09T00:00:00"/>
    <x v="0"/>
  </r>
  <r>
    <x v="18"/>
    <s v="ebenezerindustriat@hotmail.com"/>
    <n v="300280232"/>
    <n v="16441222"/>
    <x v="3"/>
    <x v="4"/>
    <n v="30"/>
    <s v="Material não enviado pela Guararapes"/>
    <m/>
    <m/>
    <d v="2026-07-09T10:28:15"/>
    <m/>
    <n v="973"/>
    <x v="1"/>
    <n v="0"/>
    <m/>
    <d v="2026-07-09T00:00:00"/>
    <x v="0"/>
  </r>
  <r>
    <x v="11"/>
    <s v="S.a.confeccoesind@gmail.com"/>
    <n v="300272972"/>
    <n v="15764486"/>
    <x v="2"/>
    <x v="61"/>
    <n v="40"/>
    <s v="Material não enviado pela Guararapes"/>
    <m/>
    <s v="Etiqueta de composição tamanho 48"/>
    <d v="2026-07-09T10:29:21"/>
    <m/>
    <n v="974"/>
    <x v="1"/>
    <n v="0"/>
    <m/>
    <d v="2026-07-09T00:00:00"/>
    <x v="0"/>
  </r>
  <r>
    <x v="29"/>
    <s v="pea2015confeccoes@hotmail.com"/>
    <n v="300276227"/>
    <n v="15187632"/>
    <x v="2"/>
    <x v="22"/>
    <s v="35 pares"/>
    <s v="Lote com defeito no corte (BOCADA RASA)"/>
    <m/>
    <s v="Um lote de frente com erro no corte (BOCADA RASA). Tamanho 46, 35 pares"/>
    <d v="2026-07-09T10:40:48"/>
    <m/>
    <n v="975"/>
    <x v="1"/>
    <s v="000000010000147183 - 2.I0991.PCP.BLUE00"/>
    <m/>
    <d v="2026-07-09T00:00:00"/>
    <x v="0"/>
  </r>
  <r>
    <x v="20"/>
    <s v="CONFECCAOSAOSEBASTIAO@GMAIL.COM"/>
    <n v="300278548"/>
    <n v="16217802"/>
    <x v="2"/>
    <x v="49"/>
    <n v="18"/>
    <s v="faltou"/>
    <m/>
    <m/>
    <d v="2026-07-09T10:59:10"/>
    <m/>
    <n v="976"/>
    <x v="2"/>
    <s v="000000010000248646 - 9.EIA81.14A.VERD00"/>
    <m/>
    <d v="2026-07-09T00:00:00"/>
    <x v="0"/>
  </r>
  <r>
    <x v="84"/>
    <s v="recanto.confeccoesjs@gmail.com"/>
    <n v="300273006"/>
    <n v="16507657"/>
    <x v="2"/>
    <x v="13"/>
    <n v="90"/>
    <s v="Faltando "/>
    <m/>
    <s v="Não veio "/>
    <d v="2026-07-09T11:05:31"/>
    <m/>
    <n v="977"/>
    <x v="2"/>
    <n v="10000241454"/>
    <m/>
    <d v="2026-07-09T00:00:00"/>
    <x v="0"/>
  </r>
  <r>
    <x v="32"/>
    <s v="di3confec@gmail.com"/>
    <n v="300276285"/>
    <n v="15863387"/>
    <x v="2"/>
    <x v="1"/>
    <n v="20"/>
    <s v="Material Insuficiente"/>
    <m/>
    <m/>
    <d v="2026-07-09T11:49:51"/>
    <m/>
    <n v="978"/>
    <x v="1"/>
    <n v="10000212591"/>
    <m/>
    <d v="2026-07-09T00:00:00"/>
    <x v="0"/>
  </r>
  <r>
    <x v="21"/>
    <s v="potengitextil@outlook.com.br"/>
    <n v="300277358"/>
    <n v="16442857"/>
    <x v="1"/>
    <x v="4"/>
    <n v="792"/>
    <s v="Material não enviado pela Guararapes "/>
    <m/>
    <m/>
    <d v="2026-07-09T12:33:38"/>
    <m/>
    <n v="979"/>
    <x v="2"/>
    <n v="0"/>
    <m/>
    <d v="2026-07-09T00:00:00"/>
    <x v="0"/>
  </r>
  <r>
    <x v="21"/>
    <s v="potengitextil@outlook.com.br"/>
    <n v="300277357"/>
    <n v="16442857"/>
    <x v="1"/>
    <x v="4"/>
    <n v="90"/>
    <s v="Insuficiente para finalizar ordem "/>
    <m/>
    <m/>
    <d v="2026-07-09T12:35:07"/>
    <m/>
    <n v="980"/>
    <x v="1"/>
    <n v="0"/>
    <m/>
    <d v="2026-07-09T00:00:00"/>
    <x v="0"/>
  </r>
  <r>
    <x v="212"/>
    <s v="marionetemedeiros2@hotmail.com"/>
    <n v="300276283"/>
    <n v="16217780"/>
    <x v="2"/>
    <x v="61"/>
    <n v="2"/>
    <s v="Faltou para concluir a ordem"/>
    <m/>
    <s v="Et de composição 11-12 que prega na parte interna da peça "/>
    <d v="2026-07-09T13:07:43"/>
    <m/>
    <n v="981"/>
    <x v="1"/>
    <s v="9.ET2E2.001.000001"/>
    <m/>
    <d v="2026-07-09T00:00:00"/>
    <x v="0"/>
  </r>
  <r>
    <x v="205"/>
    <s v="Sjarlandia@hotmail.com"/>
    <n v="300274646"/>
    <n v="16319249"/>
    <x v="2"/>
    <x v="61"/>
    <n v="100"/>
    <s v="Incomoleta "/>
    <m/>
    <m/>
    <d v="2026-07-09T13:10:48"/>
    <m/>
    <n v="982"/>
    <x v="1"/>
    <n v="0"/>
    <m/>
    <d v="2026-07-09T00:00:00"/>
    <x v="0"/>
  </r>
  <r>
    <x v="207"/>
    <s v="bensilvaconfeccoes@gmail.com"/>
    <n v="300273772"/>
    <n v="16463412"/>
    <x v="2"/>
    <x v="142"/>
    <s v="20 CONES "/>
    <s v="VEIO POUCAS E PRECISAMOS DE MAIS "/>
    <m/>
    <s v="LINHA 100%PES TIT36 S.616 171028"/>
    <d v="2026-07-09T13:43:45"/>
    <m/>
    <n v="983"/>
    <x v="1"/>
    <n v="10000073226"/>
    <m/>
    <d v="2026-07-09T00:00:00"/>
    <x v="0"/>
  </r>
  <r>
    <x v="178"/>
    <s v="faccao_sales2010@hotmail.com"/>
    <n v="300000000"/>
    <n v="0"/>
    <x v="3"/>
    <x v="60"/>
    <n v="4"/>
    <s v="DANIFICADA"/>
    <m/>
    <s v="AGULHA DA PISTOLA DE PREÇO"/>
    <d v="2026-07-09T14:07:16"/>
    <m/>
    <n v="984"/>
    <x v="2"/>
    <s v="-"/>
    <m/>
    <d v="2026-07-09T00:00:00"/>
    <x v="0"/>
  </r>
  <r>
    <x v="50"/>
    <s v="mkdeazevedomedeiros@gmail.com"/>
    <n v="300273320"/>
    <n v="15775615"/>
    <x v="2"/>
    <x v="17"/>
    <n v="80"/>
    <s v="INSUFICIENTE PRA FINALIZAR A OP"/>
    <m/>
    <m/>
    <d v="2026-07-09T14:46:24"/>
    <m/>
    <n v="985"/>
    <x v="1"/>
    <s v="-"/>
    <m/>
    <d v="2026-07-09T00:00:00"/>
    <x v="0"/>
  </r>
  <r>
    <x v="32"/>
    <s v="di3confec@gmail.com"/>
    <n v="300276271"/>
    <n v="15858367"/>
    <x v="2"/>
    <x v="13"/>
    <n v="67"/>
    <s v="Veio apenas a metade da quantidade necessária"/>
    <m/>
    <m/>
    <d v="2026-07-09T15:13:11"/>
    <m/>
    <n v="986"/>
    <x v="1"/>
    <n v="10000064387"/>
    <m/>
    <d v="2026-07-09T00:00:00"/>
    <x v="0"/>
  </r>
  <r>
    <x v="63"/>
    <s v="acaritextil2801@gmail.com"/>
    <n v="300000000"/>
    <n v="0"/>
    <x v="2"/>
    <x v="5"/>
    <n v="10"/>
    <s v="FALTA"/>
    <m/>
    <m/>
    <d v="2026-07-09T15:19:44"/>
    <m/>
    <n v="987"/>
    <x v="2"/>
    <n v="0"/>
    <m/>
    <d v="2026-07-09T00:00:00"/>
    <x v="0"/>
  </r>
  <r>
    <x v="56"/>
    <s v="idealconfecltda@gmail.com"/>
    <n v="300276215"/>
    <n v="16508190"/>
    <x v="2"/>
    <x v="163"/>
    <n v="10"/>
    <s v="INSUFICIENTE"/>
    <m/>
    <s v="VIES CRU"/>
    <d v="2026-07-09T15:22:00"/>
    <m/>
    <n v="988"/>
    <x v="1"/>
    <n v="0"/>
    <m/>
    <d v="2026-07-09T00:00:00"/>
    <x v="0"/>
  </r>
  <r>
    <x v="44"/>
    <s v="teceuzl@hotmail.com"/>
    <n v="300277363"/>
    <n v="16448022"/>
    <x v="1"/>
    <x v="19"/>
    <n v="10"/>
    <s v="Insuficiente "/>
    <m/>
    <m/>
    <d v="2026-07-09T15:36:24"/>
    <m/>
    <n v="989"/>
    <x v="1"/>
    <n v="0"/>
    <m/>
    <d v="2026-07-09T00:00:00"/>
    <x v="0"/>
  </r>
  <r>
    <x v="13"/>
    <s v="administrativo@zajaconfeccoes.com.br"/>
    <n v="300276745"/>
    <n v="16510097"/>
    <x v="2"/>
    <x v="49"/>
    <n v="3"/>
    <s v="insuficiente "/>
    <m/>
    <s v="ETIQUETA DE MARCA "/>
    <d v="2026-07-09T15:37:10"/>
    <m/>
    <n v="990"/>
    <x v="1"/>
    <n v="10000216487"/>
    <m/>
    <d v="2026-07-09T00:00:00"/>
    <x v="0"/>
  </r>
  <r>
    <x v="51"/>
    <s v="fc_faccao@yahoo.com.br"/>
    <n v="300274125"/>
    <n v="15359492"/>
    <x v="1"/>
    <x v="12"/>
    <n v="208"/>
    <s v="FALTA"/>
    <m/>
    <s v="FALTA"/>
    <d v="2026-07-09T15:37:13"/>
    <m/>
    <n v="991"/>
    <x v="1"/>
    <n v="150"/>
    <m/>
    <d v="2026-07-09T00:00:00"/>
    <x v="0"/>
  </r>
  <r>
    <x v="44"/>
    <s v="teceuzl@hotmail.com"/>
    <n v="300277363"/>
    <n v="16448022"/>
    <x v="1"/>
    <x v="142"/>
    <n v="10"/>
    <s v="Insuficiente para concluir"/>
    <m/>
    <m/>
    <d v="2026-07-09T15:38:08"/>
    <m/>
    <n v="992"/>
    <x v="1"/>
    <n v="0"/>
    <m/>
    <d v="2026-07-09T00:00:00"/>
    <x v="0"/>
  </r>
  <r>
    <x v="51"/>
    <s v="fc_faccao@yahoo.com.br"/>
    <n v="300274125"/>
    <n v="1539492"/>
    <x v="1"/>
    <x v="30"/>
    <n v="208"/>
    <s v="FALTA"/>
    <m/>
    <s v="FALTA"/>
    <d v="2026-07-09T15:38:36"/>
    <m/>
    <n v="993"/>
    <x v="1"/>
    <n v="150"/>
    <m/>
    <d v="2026-07-09T00:00:00"/>
    <x v="0"/>
  </r>
  <r>
    <x v="171"/>
    <s v="confeccoesgbdas@hotmail.com"/>
    <n v="300272644"/>
    <n v="16483898"/>
    <x v="3"/>
    <x v="60"/>
    <n v="5"/>
    <s v="FALTA DE AGULHA "/>
    <m/>
    <m/>
    <d v="2026-07-09T15:59:13"/>
    <m/>
    <n v="994"/>
    <x v="1"/>
    <n v="16483898"/>
    <m/>
    <d v="2026-07-09T00:00:00"/>
    <x v="0"/>
  </r>
  <r>
    <x v="184"/>
    <s v="encantopoest@gmail.com"/>
    <n v="300273315"/>
    <n v="15775615"/>
    <x v="2"/>
    <x v="163"/>
    <n v="10"/>
    <s v="nao enviado pela guararapes"/>
    <m/>
    <s v="vies de bocada na cor preta de 2,5 com"/>
    <d v="2026-07-09T16:42:56"/>
    <m/>
    <n v="995"/>
    <x v="2"/>
    <n v="0"/>
    <m/>
    <d v="2026-07-09T00:00:00"/>
    <x v="0"/>
  </r>
  <r>
    <x v="36"/>
    <s v="solisconfeccoes@gmail.com"/>
    <n v="300279113"/>
    <n v="16223780"/>
    <x v="3"/>
    <x v="4"/>
    <n v="220"/>
    <s v="ETIQUETAS COM O  PREÇO SEM O TAMANHO"/>
    <m/>
    <s v="MUITA ETIQUETAS SÓ COM O PREÇO SEM O TAMAMNHO"/>
    <d v="2026-07-09T16:42:57"/>
    <m/>
    <n v="996"/>
    <x v="1"/>
    <n v="0"/>
    <m/>
    <d v="2026-07-09T00:00:00"/>
    <x v="0"/>
  </r>
  <r>
    <x v="36"/>
    <s v="solisconfeccoes@gmail.com"/>
    <n v="300279113"/>
    <n v="16223780"/>
    <x v="3"/>
    <x v="60"/>
    <n v="5"/>
    <s v="PRECISANDO DE AGULHA PRA PISTOLA DE ETIQUETAS"/>
    <m/>
    <n v="0"/>
    <d v="2026-07-09T16:45:40"/>
    <m/>
    <n v="997"/>
    <x v="2"/>
    <n v="0"/>
    <m/>
    <d v="2026-07-09T00:00:00"/>
    <x v="0"/>
  </r>
  <r>
    <x v="176"/>
    <s v="hiconfeccao@gmail.com"/>
    <n v="300273270"/>
    <n v="16520050"/>
    <x v="2"/>
    <x v="13"/>
    <n v="476"/>
    <s v="Veio faltando."/>
    <m/>
    <s v="Pedido de 476 zíper preto,  do tamanho 15"/>
    <d v="2026-07-09T16:48:47"/>
    <m/>
    <n v="998"/>
    <x v="2"/>
    <n v="10000241456"/>
    <m/>
    <d v="2026-07-09T00:00:00"/>
    <x v="0"/>
  </r>
  <r>
    <x v="213"/>
    <s v="filialfiosdosertao@gmail.com"/>
    <n v="300268058"/>
    <n v="16473604"/>
    <x v="2"/>
    <x v="13"/>
    <n v="110"/>
    <s v="Insuficiente para finalização da OP"/>
    <m/>
    <s v="110 zipers 113 cm preto"/>
    <d v="2026-07-09T17:01:08"/>
    <m/>
    <n v="999"/>
    <x v="1"/>
    <n v="0"/>
    <m/>
    <d v="2026-07-09T00:00:00"/>
    <x v="0"/>
  </r>
  <r>
    <x v="37"/>
    <s v="felconfeccao@gmail.com"/>
    <n v="300277277"/>
    <n v="16462980"/>
    <x v="3"/>
    <x v="61"/>
    <n v="1"/>
    <s v="FALTOU "/>
    <m/>
    <m/>
    <d v="2026-07-10T07:51:03"/>
    <m/>
    <n v="1000"/>
    <x v="1"/>
    <n v="0"/>
    <m/>
    <d v="2026-07-10T00:00:00"/>
    <x v="0"/>
  </r>
  <r>
    <x v="214"/>
    <s v="flordosertaotextil2025@gmail.com"/>
    <n v="300275904"/>
    <n v="16223608"/>
    <x v="3"/>
    <x v="6"/>
    <n v="508"/>
    <s v="Insuficiente "/>
    <m/>
    <s v="Reposição viés de decote frente e traseiro ( pregado na Galoneira)"/>
    <d v="2026-07-10T08:20:47"/>
    <m/>
    <n v="1001"/>
    <x v="1"/>
    <n v="314"/>
    <m/>
    <d v="2026-07-10T00:00:00"/>
    <x v="0"/>
  </r>
  <r>
    <x v="214"/>
    <s v="flordosertaotextil2025@gmail.com"/>
    <n v="300275904"/>
    <n v="16223608"/>
    <x v="3"/>
    <x v="61"/>
    <n v="72"/>
    <s v="Quantidade para mais"/>
    <m/>
    <s v="72 peças a mais produzidas no tamanho G"/>
    <d v="2026-07-10T08:41:10"/>
    <m/>
    <n v="1002"/>
    <x v="1"/>
    <n v="314"/>
    <m/>
    <d v="2026-07-10T00:00:00"/>
    <x v="0"/>
  </r>
  <r>
    <x v="24"/>
    <s v="maxwelaaraujo7@gmail.com"/>
    <n v="300277018"/>
    <n v="13132547"/>
    <x v="1"/>
    <x v="19"/>
    <n v="10"/>
    <s v="MATERIAL INSULFICIENTE PARA FINALIZAR OM"/>
    <m/>
    <m/>
    <d v="2026-07-10T08:44:20"/>
    <m/>
    <n v="1003"/>
    <x v="1"/>
    <n v="10000071850"/>
    <m/>
    <d v="2026-07-10T00:00:00"/>
    <x v="0"/>
  </r>
  <r>
    <x v="24"/>
    <s v="maxwelaaraujo7@gmail.com"/>
    <n v="300277018"/>
    <n v="13132547"/>
    <x v="1"/>
    <x v="142"/>
    <n v="10"/>
    <s v="MATERIAL INSULFICIENTE PARA FINALIZAR OM"/>
    <m/>
    <m/>
    <d v="2026-07-10T08:46:29"/>
    <m/>
    <n v="1004"/>
    <x v="1"/>
    <n v="10000072609"/>
    <m/>
    <d v="2026-07-10T00:00:00"/>
    <x v="0"/>
  </r>
  <r>
    <x v="171"/>
    <s v="confeccoesgbdas@hotmail.com"/>
    <n v="300275626"/>
    <n v="16480457"/>
    <x v="3"/>
    <x v="18"/>
    <n v="1155"/>
    <s v="NÃO ENVIADO PELA GUARARAPES"/>
    <m/>
    <s v="MATERIAL NÃO ENVIADO PELA GUARARAPES, PRECISO DA REPOSIÇÃO URGENTE, JA ESTOU PRA INICIAR NA ORDEM"/>
    <d v="2026-07-10T08:52:55"/>
    <m/>
    <n v="1005"/>
    <x v="2"/>
    <s v="000000010000069183 - 9.EL022.030.CRU000 001-12-5202 TCX ELÁSTICO 30MM CRU"/>
    <m/>
    <d v="2026-07-10T00:00:00"/>
    <x v="0"/>
  </r>
  <r>
    <x v="171"/>
    <s v="confeccoesgbdas@hotmail.com"/>
    <n v="300275626"/>
    <n v="16480457"/>
    <x v="3"/>
    <x v="23"/>
    <n v="1155"/>
    <s v="NÃO ENVIADO PELA GUARARAPES"/>
    <m/>
    <s v="CORDÃO PARA SER PREGADO NO CÓS, PARA 1155 PEÇAS"/>
    <d v="2026-07-10T08:54:29"/>
    <m/>
    <n v="1006"/>
    <x v="2"/>
    <s v="000000010000069692 - 9.CD035.006.CRU000 001-12-5202 TCX CORDÃO CO 6MM CRU000"/>
    <m/>
    <d v="2026-07-10T00:00:00"/>
    <x v="0"/>
  </r>
  <r>
    <x v="192"/>
    <s v="ester.rodrigues@guararapes.ind.br"/>
    <n v="300000000"/>
    <n v="0"/>
    <x v="2"/>
    <x v="60"/>
    <n v="0"/>
    <s v="TESTE"/>
    <m/>
    <s v="TESTE"/>
    <d v="2026-07-10T09:10:10"/>
    <m/>
    <n v="1007"/>
    <x v="2"/>
    <n v="0"/>
    <m/>
    <d v="2026-07-10T00:00:00"/>
    <x v="0"/>
  </r>
  <r>
    <x v="192"/>
    <s v="ester.rodrigues@guararapes.ind.br"/>
    <n v="300000000"/>
    <n v="0"/>
    <x v="2"/>
    <x v="60"/>
    <n v="0"/>
    <s v="TESTE"/>
    <m/>
    <s v="TESTE"/>
    <d v="2026-07-10T09:13:01"/>
    <m/>
    <n v="1008"/>
    <x v="2"/>
    <n v="0"/>
    <m/>
    <d v="2026-07-10T00:00:00"/>
    <x v="0"/>
  </r>
  <r>
    <x v="183"/>
    <s v="kswconfeccoesltda@gmail.com"/>
    <n v="300242232"/>
    <n v="16223462"/>
    <x v="3"/>
    <x v="4"/>
    <n v="277"/>
    <s v="MAterial não enviado pela Guararapes."/>
    <m/>
    <m/>
    <d v="2026-07-10T09:31:58"/>
    <m/>
    <n v="1009"/>
    <x v="1"/>
    <n v="150"/>
    <m/>
    <d v="2026-07-10T00:00:00"/>
    <x v="0"/>
  </r>
  <r>
    <x v="13"/>
    <s v="administrativo@zajaconfeccoes.com.br"/>
    <n v="300273676"/>
    <n v="16547950"/>
    <x v="0"/>
    <x v="27"/>
    <n v="120"/>
    <s v="insuficiente "/>
    <m/>
    <m/>
    <d v="2026-07-10T09:33:16"/>
    <m/>
    <n v="1010"/>
    <x v="1"/>
    <n v="10000156345"/>
    <m/>
    <d v="2026-07-10T00:00:00"/>
    <x v="0"/>
  </r>
  <r>
    <x v="35"/>
    <s v="lupercio-fnb@hotmail.com"/>
    <n v="300273713"/>
    <n v="16447760"/>
    <x v="2"/>
    <x v="17"/>
    <n v="55"/>
    <s v="Faltando para finalização de ordem"/>
    <m/>
    <s v="Precisamos com atenção pois ordem pode parar"/>
    <d v="2026-07-10T09:44:48"/>
    <m/>
    <n v="1011"/>
    <x v="1"/>
    <n v="0"/>
    <m/>
    <d v="2026-07-10T00:00:00"/>
    <x v="0"/>
  </r>
  <r>
    <x v="192"/>
    <s v="ester.rodrigues@guararapes.ind.br"/>
    <n v="300000000"/>
    <n v="0"/>
    <x v="2"/>
    <x v="60"/>
    <n v="0"/>
    <s v="TESTE"/>
    <m/>
    <s v="TESTE"/>
    <d v="2026-07-10T09:46:05"/>
    <m/>
    <n v="1012"/>
    <x v="2"/>
    <n v="0"/>
    <m/>
    <d v="2026-07-10T00:00:00"/>
    <x v="0"/>
  </r>
  <r>
    <x v="192"/>
    <s v="ester.rodrigues@guarapes.ind.br"/>
    <n v="300000000"/>
    <n v="0"/>
    <x v="2"/>
    <x v="60"/>
    <n v="0"/>
    <n v="0"/>
    <m/>
    <n v="0"/>
    <d v="2026-07-10T09:48:03"/>
    <m/>
    <n v="1013"/>
    <x v="2"/>
    <n v="0"/>
    <m/>
    <d v="2026-07-10T00:00:00"/>
    <x v="0"/>
  </r>
  <r>
    <x v="190"/>
    <s v="EMPORIODAMODAMOSSORO@GMAIL.COM"/>
    <n v="300278566"/>
    <n v="15773485"/>
    <x v="2"/>
    <x v="142"/>
    <n v="5"/>
    <s v="insuficiente para finalizar a op"/>
    <m/>
    <m/>
    <d v="2026-07-10T09:51:16"/>
    <m/>
    <n v="1014"/>
    <x v="1"/>
    <s v="9.LI001.080.190205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0:16:44"/>
    <m/>
    <n v="1015"/>
    <x v="2"/>
    <n v="0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0:20:04"/>
    <m/>
    <n v="1016"/>
    <x v="2"/>
    <n v="0"/>
    <m/>
    <d v="2026-07-10T00:00:00"/>
    <x v="0"/>
  </r>
  <r>
    <x v="165"/>
    <s v="freiresilvaconfeccoes@gmail.com"/>
    <n v="300273873"/>
    <n v="16546490"/>
    <x v="0"/>
    <x v="61"/>
    <n v="3"/>
    <s v="Material insuficiente para finalizar a OP."/>
    <m/>
    <s v="*"/>
    <d v="2026-07-10T10:21:15"/>
    <m/>
    <n v="1017"/>
    <x v="2"/>
    <s v="*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0:29:49"/>
    <m/>
    <n v="1018"/>
    <x v="2"/>
    <n v="0"/>
    <m/>
    <d v="2026-07-10T00:00:00"/>
    <x v="0"/>
  </r>
  <r>
    <x v="170"/>
    <s v="neemias.sc@hotmail.com"/>
    <n v="300275874"/>
    <n v="15773450"/>
    <x v="2"/>
    <x v="45"/>
    <n v="208"/>
    <s v="A linha não é suficiente para finalizar a ordem."/>
    <m/>
    <s v="Se possível enviar 4 cones da linha "/>
    <d v="2026-07-10T10:38:58"/>
    <m/>
    <n v="1019"/>
    <x v="1"/>
    <n v="10000073272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0:42:18"/>
    <m/>
    <n v="1020"/>
    <x v="2"/>
    <n v="0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0:48:53"/>
    <m/>
    <n v="1021"/>
    <x v="2"/>
    <n v="0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0:49:32"/>
    <m/>
    <n v="1022"/>
    <x v="2"/>
    <n v="0"/>
    <m/>
    <d v="2026-07-10T00:00:00"/>
    <x v="0"/>
  </r>
  <r>
    <x v="192"/>
    <s v="ester.rodrigues@guararapes.ind.br"/>
    <n v="300000000"/>
    <n v="0"/>
    <x v="2"/>
    <x v="60"/>
    <n v="0"/>
    <s v="TESTE"/>
    <m/>
    <n v="0"/>
    <d v="2026-07-10T10:55:33"/>
    <m/>
    <n v="1023"/>
    <x v="2"/>
    <n v="0"/>
    <m/>
    <d v="2026-07-10T00:00:00"/>
    <x v="0"/>
  </r>
  <r>
    <x v="210"/>
    <s v="lupercio-fnb@hotmail.com"/>
    <n v="300273713"/>
    <n v="16447760"/>
    <x v="2"/>
    <x v="49"/>
    <n v="45"/>
    <s v="Faltando para finalizção de ordem"/>
    <m/>
    <s v="Atenção precisando de imediato"/>
    <d v="2026-07-10T10:57:57"/>
    <m/>
    <n v="1024"/>
    <x v="1"/>
    <n v="0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1:00:38"/>
    <m/>
    <n v="1025"/>
    <x v="2"/>
    <n v="0"/>
    <m/>
    <d v="2026-07-10T00:00:00"/>
    <x v="0"/>
  </r>
  <r>
    <x v="13"/>
    <s v="administrativo@zajaconfeccoes.com.br"/>
    <n v="300280237"/>
    <n v="16481127"/>
    <x v="0"/>
    <x v="61"/>
    <n v="10"/>
    <s v="insuficientte "/>
    <m/>
    <m/>
    <d v="2026-07-10T11:01:33"/>
    <m/>
    <n v="1026"/>
    <x v="1"/>
    <n v="0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2:58:02"/>
    <m/>
    <n v="1027"/>
    <x v="2"/>
    <n v="0"/>
    <m/>
    <d v="2026-07-10T00:00:00"/>
    <x v="0"/>
  </r>
  <r>
    <x v="192"/>
    <s v="ester.rodrigues@guararapes.ind.br"/>
    <n v="300000000"/>
    <n v="0"/>
    <x v="2"/>
    <x v="60"/>
    <n v="0"/>
    <n v="0"/>
    <m/>
    <n v="0"/>
    <d v="2026-07-10T13:34:55"/>
    <m/>
    <n v="1028"/>
    <x v="2"/>
    <n v="0"/>
    <m/>
    <d v="2026-07-10T00:00:00"/>
    <x v="0"/>
  </r>
  <r>
    <x v="37"/>
    <s v="felconfeccao@gmail.com"/>
    <n v="300277277"/>
    <n v="16462980"/>
    <x v="3"/>
    <x v="4"/>
    <n v="175"/>
    <s v="FALTOU"/>
    <m/>
    <m/>
    <d v="2026-07-10T13:41:18"/>
    <m/>
    <n v="1029"/>
    <x v="1"/>
    <n v="0"/>
    <m/>
    <d v="2026-07-10T00:00:00"/>
    <x v="0"/>
  </r>
  <r>
    <x v="37"/>
    <s v="felconfeccao@gmail.com"/>
    <n v="300277578"/>
    <n v="15260828"/>
    <x v="3"/>
    <x v="61"/>
    <n v="11"/>
    <s v="FALTOU"/>
    <m/>
    <m/>
    <d v="2026-07-10T13:42:48"/>
    <m/>
    <n v="1030"/>
    <x v="1"/>
    <n v="0"/>
    <m/>
    <d v="2026-07-10T00:00:00"/>
    <x v="0"/>
  </r>
  <r>
    <x v="203"/>
    <s v="jolitextilfabrica@gmail.com"/>
    <n v="300270795"/>
    <n v="16223608"/>
    <x v="3"/>
    <x v="30"/>
    <n v="24"/>
    <s v="Veio manga cortada no meio e precisamos dessas unidades para costurar o lote"/>
    <m/>
    <m/>
    <d v="2026-07-10T14:19:19"/>
    <m/>
    <n v="1031"/>
    <x v="1"/>
    <s v="MANGA"/>
    <m/>
    <d v="2026-07-10T00:00:00"/>
    <x v="0"/>
  </r>
  <r>
    <x v="50"/>
    <s v="mkdeazevedomedeiros@gmail.com"/>
    <n v="300273327"/>
    <n v="16523741"/>
    <x v="2"/>
    <x v="17"/>
    <n v="132"/>
    <s v="INSUFICIENTE PARA FINALIZAR A OP"/>
    <m/>
    <m/>
    <d v="2026-07-10T14:19:39"/>
    <m/>
    <n v="1032"/>
    <x v="1"/>
    <s v="-"/>
    <m/>
    <d v="2026-07-10T00:00:00"/>
    <x v="0"/>
  </r>
  <r>
    <x v="166"/>
    <s v="w.anny.k@hotmail.com"/>
    <n v="300274661"/>
    <n v="15774104"/>
    <x v="2"/>
    <x v="61"/>
    <n v="40"/>
    <s v="VEIO FALTANDO "/>
    <m/>
    <m/>
    <d v="2026-07-10T14:27:32"/>
    <m/>
    <n v="1033"/>
    <x v="1"/>
    <n v="0"/>
    <m/>
    <d v="2026-07-10T00:00:00"/>
    <x v="0"/>
  </r>
  <r>
    <x v="13"/>
    <s v="administrativo@zajaconfeccoes.com.br"/>
    <n v="300278648"/>
    <n v="16223403"/>
    <x v="3"/>
    <x v="61"/>
    <n v="10"/>
    <s v="insuficiente "/>
    <m/>
    <m/>
    <d v="2026-07-10T14:41:51"/>
    <m/>
    <n v="1034"/>
    <x v="1"/>
    <n v="0"/>
    <m/>
    <d v="2026-07-10T00:00:00"/>
    <x v="0"/>
  </r>
  <r>
    <x v="177"/>
    <s v="linealtda@gmail.com"/>
    <n v="300278802"/>
    <n v="16474570"/>
    <x v="2"/>
    <x v="22"/>
    <n v="50"/>
    <s v="Problema de corte"/>
    <m/>
    <s v="Frente lado direito tamanho 44. 50 unidades"/>
    <d v="2026-07-10T14:49:37"/>
    <m/>
    <n v="1035"/>
    <x v="1"/>
    <s v="frente lado direito"/>
    <m/>
    <d v="2026-07-10T00:00:00"/>
    <x v="0"/>
  </r>
  <r>
    <x v="11"/>
    <s v="S.a.confeccoesind@gmail.com"/>
    <n v="300272972"/>
    <n v="15764486"/>
    <x v="2"/>
    <x v="61"/>
    <n v="40"/>
    <s v="Material não enviado pela Guararapes"/>
    <m/>
    <s v="etiqueta de composição tamanho 48"/>
    <d v="2026-07-10T14:58:09"/>
    <m/>
    <n v="1036"/>
    <x v="1"/>
    <n v="0"/>
    <m/>
    <d v="2026-07-10T00:00:00"/>
    <x v="0"/>
  </r>
  <r>
    <x v="13"/>
    <s v="administrativo@zajaconfeccoes.com.br"/>
    <n v="300264323"/>
    <n v="16212878"/>
    <x v="2"/>
    <x v="49"/>
    <n v="50"/>
    <s v="insuficiente "/>
    <m/>
    <s v="ETIQUETA MARVEL "/>
    <d v="2026-07-10T15:19:13"/>
    <m/>
    <n v="1037"/>
    <x v="1"/>
    <n v="10000120172"/>
    <m/>
    <d v="2026-07-10T00:00:00"/>
    <x v="0"/>
  </r>
  <r>
    <x v="31"/>
    <s v="administrativo@zajaconfeccoes.com.br"/>
    <n v="300277528"/>
    <n v="16318404"/>
    <x v="2"/>
    <x v="159"/>
    <n v="21"/>
    <s v="insuficiente"/>
    <m/>
    <s v="ETIQUETA BANDEIROLA"/>
    <d v="2026-07-10T15:22:02"/>
    <m/>
    <n v="1038"/>
    <x v="1"/>
    <s v="10000068899;10000068898;10000068897;10000068895"/>
    <m/>
    <d v="2026-07-10T00:00:00"/>
    <x v="0"/>
  </r>
  <r>
    <x v="31"/>
    <s v="administrativo@zajaconfeccoes.com.br"/>
    <n v="300277528"/>
    <n v="16318404"/>
    <x v="2"/>
    <x v="61"/>
    <n v="2"/>
    <s v="insuficiente "/>
    <m/>
    <m/>
    <d v="2026-07-10T15:22:59"/>
    <m/>
    <n v="1039"/>
    <x v="1"/>
    <n v="0"/>
    <m/>
    <d v="2026-07-10T00:00:00"/>
    <x v="0"/>
  </r>
  <r>
    <x v="29"/>
    <s v="pea2015confeccoes@hotmail.com"/>
    <n v="300276636"/>
    <n v="16292898"/>
    <x v="2"/>
    <x v="5"/>
    <n v="0"/>
    <s v="Não vai da para terminar a ordem."/>
    <m/>
    <s v="já estou usando o último rolo em oficina."/>
    <d v="2026-07-10T15:32:43"/>
    <m/>
    <n v="1040"/>
    <x v="2"/>
    <n v="0"/>
    <m/>
    <d v="2026-07-10T00:00:00"/>
    <x v="0"/>
  </r>
  <r>
    <x v="78"/>
    <s v="ocalves3@gmail.com"/>
    <n v="300272967"/>
    <n v="15711854"/>
    <x v="2"/>
    <x v="17"/>
    <n v="608"/>
    <s v="O CÓS INTERTELADO VEIO TODA A ORDEM PELO AVESSO"/>
    <m/>
    <s v="A ORDEM VEIO COM O COS ERRADO O CÓS INTERTELADO VEIO PELO AVESSO"/>
    <d v="2026-07-10T15:45:19"/>
    <m/>
    <n v="1041"/>
    <x v="2"/>
    <s v="COS"/>
    <m/>
    <d v="2026-07-10T00:00:00"/>
    <x v="0"/>
  </r>
  <r>
    <x v="78"/>
    <s v="ocalves3@gmail.com"/>
    <n v="300269759"/>
    <n v="15864448"/>
    <x v="2"/>
    <x v="159"/>
    <n v="834"/>
    <s v="A ETIQUETA QUE PRECISO É A CASUAL MENSWEAR QUE É PREGADA NA TRASEIRA ACIMA DO BOLSO"/>
    <m/>
    <m/>
    <d v="2026-07-10T15:50:14"/>
    <m/>
    <n v="1042"/>
    <x v="2"/>
    <n v="1000021259"/>
    <m/>
    <d v="2026-07-10T00:00:00"/>
    <x v="0"/>
  </r>
  <r>
    <x v="21"/>
    <s v="potengitextil@outlook.com.br"/>
    <n v="300279127"/>
    <n v="16223780"/>
    <x v="3"/>
    <x v="6"/>
    <n v="150"/>
    <s v="Produto com defeito "/>
    <m/>
    <s v="Viés de gola, os rolos estão apresentando uma dobra dentro deles e ta instruindo muito."/>
    <d v="2026-07-10T16:16:14"/>
    <m/>
    <n v="1043"/>
    <x v="1"/>
    <n v="0"/>
    <m/>
    <d v="2026-07-10T00:00:00"/>
    <x v="0"/>
  </r>
  <r>
    <x v="23"/>
    <s v="reposicoesjkmodas@gmail.com"/>
    <n v="300273720"/>
    <n v="16447786"/>
    <x v="2"/>
    <x v="49"/>
    <n v="15"/>
    <s v="INSUFICIENTE PARA FINALIZAR OP"/>
    <m/>
    <s v="JÁ FOI SOLICITADO ESSE PEDIDO ANTERIORMENTE, ESTAMOS PEDINDO NOVAMENTE PORQUE PRECISAMOS DE MAIS 5 DE CADA TAMANHO."/>
    <d v="2026-07-10T18:37:52"/>
    <m/>
    <n v="1044"/>
    <x v="1"/>
    <s v="10000218092 / 10000208288 / 10000208287"/>
    <m/>
    <d v="2026-07-10T00:00:00"/>
    <x v="0"/>
  </r>
  <r>
    <x v="78"/>
    <s v="ocalves3@gmail.com"/>
    <n v="300276222"/>
    <n v="15859177"/>
    <x v="2"/>
    <x v="17"/>
    <n v="322"/>
    <s v="a ordem veio sem o cós interno"/>
    <m/>
    <s v="o có que veio faltando foi o interno"/>
    <d v="2026-07-11T08:42:12"/>
    <m/>
    <n v="1045"/>
    <x v="2"/>
    <n v="0"/>
    <m/>
    <d v="2026-07-11T00:00:00"/>
    <x v="0"/>
  </r>
  <r>
    <x v="182"/>
    <s v="uniaoconfeccao.me@gmail.com"/>
    <n v="300277495"/>
    <n v="16474090"/>
    <x v="2"/>
    <x v="61"/>
    <n v="26"/>
    <s v="Faltou 26 etiquetas "/>
    <m/>
    <s v="Faltou 26 etiquetas tamanho 42"/>
    <d v="2026-07-11T09:03:20"/>
    <m/>
    <n v="1046"/>
    <x v="1"/>
    <s v="N tem "/>
    <m/>
    <d v="2026-07-11T00:00:00"/>
    <x v="0"/>
  </r>
  <r>
    <x v="78"/>
    <s v="ocalves3@gmail.com"/>
    <n v="300276229"/>
    <n v="15858367"/>
    <x v="2"/>
    <x v="5"/>
    <n v="407"/>
    <s v="so restamos um rolo"/>
    <m/>
    <s v="so restamos um rolo"/>
    <d v="2026-07-11T09:58:32"/>
    <m/>
    <n v="1047"/>
    <x v="2"/>
    <n v="0"/>
    <m/>
    <d v="2026-07-11T00:00:00"/>
    <x v="0"/>
  </r>
  <r>
    <x v="193"/>
    <s v="ajgconfeccoes2021@gmail.com"/>
    <n v="300273861"/>
    <n v="16224116"/>
    <x v="3"/>
    <x v="4"/>
    <n v="26"/>
    <s v="Faltou 26 etiquetas tamanho M "/>
    <m/>
    <s v="Faltou 26 etiquetas de preço tamanho M "/>
    <d v="2026-07-11T10:13:27"/>
    <m/>
    <n v="1048"/>
    <x v="1"/>
    <s v="N tem "/>
    <m/>
    <d v="2026-07-11T00:00:00"/>
    <x v="0"/>
  </r>
  <r>
    <x v="79"/>
    <s v="artejeans23@gmail.com"/>
    <n v="300273317"/>
    <n v="15775615"/>
    <x v="2"/>
    <x v="17"/>
    <s v="96 pares internos e externos"/>
    <s v="Faltaram 96 pares de cós para o tamanho 36, interno e externo"/>
    <m/>
    <m/>
    <d v="2026-07-11T10:58:44"/>
    <m/>
    <n v="1049"/>
    <x v="1"/>
    <s v=".."/>
    <m/>
    <d v="2026-07-11T00:00:00"/>
    <x v="0"/>
  </r>
  <r>
    <x v="189"/>
    <s v="ldinizconfeccoes@gmail.com"/>
    <n v="300273008"/>
    <n v="16507657"/>
    <x v="2"/>
    <x v="17"/>
    <s v="70 UND - NUMERAÇÃO 40"/>
    <s v="FALTA"/>
    <m/>
    <s v="SOLICITO 70 UND DE COS PARA CONCLUSAO DA NUMERAÇÃO 40. QUANTIDADE RECEBIDA INSUFICIENTE "/>
    <d v="2026-07-13T07:27:17"/>
    <m/>
    <n v="1050"/>
    <x v="1"/>
    <n v="0"/>
    <m/>
    <d v="2026-07-13T00:00:00"/>
    <x v="0"/>
  </r>
  <r>
    <x v="210"/>
    <s v="lupercio-fnb@hotmail.com"/>
    <n v="300276766"/>
    <n v="16217683"/>
    <x v="2"/>
    <x v="160"/>
    <n v="30"/>
    <s v="FALTANDO"/>
    <m/>
    <s v="Foi feita os sacos vinheram pequenos, estamos precisando para envio de ordem."/>
    <d v="2026-07-13T08:14:31"/>
    <m/>
    <n v="1051"/>
    <x v="1"/>
    <n v="0"/>
    <m/>
    <d v="2026-07-13T00:00:00"/>
    <x v="0"/>
  </r>
  <r>
    <x v="36"/>
    <s v="solisconfeccoes@gmail.com"/>
    <n v="300281186"/>
    <n v="16223462"/>
    <x v="3"/>
    <x v="142"/>
    <n v="100"/>
    <s v="NÃO ENVIADO PELA GUARARAPES"/>
    <m/>
    <s v="PARA ESSA ORDEM NÃO VEIO FIO, LINHA E ETIQUETA DE PREÇO."/>
    <d v="2026-07-13T08:18:39"/>
    <m/>
    <n v="1052"/>
    <x v="2"/>
    <n v="0"/>
    <m/>
    <d v="2026-07-13T00:00:00"/>
    <x v="0"/>
  </r>
  <r>
    <x v="36"/>
    <s v="solisconfeccoes@gmail.com"/>
    <n v="300281186"/>
    <n v="16223462"/>
    <x v="3"/>
    <x v="19"/>
    <n v="100"/>
    <s v="Material não enviado pela Guararapes"/>
    <m/>
    <s v="PARA ESSA ORDEM NÃO VEIO FIO, LINHA E ETIQUETA DE PREÇO."/>
    <d v="2026-07-13T08:19:44"/>
    <m/>
    <n v="1053"/>
    <x v="2"/>
    <n v="0"/>
    <m/>
    <d v="2026-07-13T00:00:00"/>
    <x v="0"/>
  </r>
  <r>
    <x v="36"/>
    <s v="solisconfeccoes@gmail.com"/>
    <n v="300281186"/>
    <n v="16223462"/>
    <x v="3"/>
    <x v="4"/>
    <n v="1320"/>
    <s v="MATERIAL NÃO ENVIADO"/>
    <m/>
    <s v="PARA ESSA ORDEM NÃO VEIO FIO, LINHA E ETIQUETA DE PREÇO."/>
    <d v="2026-07-13T08:20:54"/>
    <m/>
    <n v="1054"/>
    <x v="2"/>
    <n v="0"/>
    <m/>
    <d v="2026-07-13T00:00:00"/>
    <x v="0"/>
  </r>
  <r>
    <x v="18"/>
    <s v="ebenezerindustriat@hotmail.com"/>
    <n v="300276886"/>
    <n v="16222954"/>
    <x v="3"/>
    <x v="11"/>
    <n v="3"/>
    <s v="QUEBROU"/>
    <m/>
    <m/>
    <d v="2026-07-13T08:23:28"/>
    <m/>
    <n v="1055"/>
    <x v="2"/>
    <n v="0"/>
    <m/>
    <d v="2026-07-13T00:00:00"/>
    <x v="0"/>
  </r>
  <r>
    <x v="215"/>
    <s v="paulaviturinoconfeccoes@gmail.com"/>
    <n v="300276414"/>
    <n v="16441630"/>
    <x v="3"/>
    <x v="6"/>
    <n v="35"/>
    <s v="quantidade insuficiente para terminar a op"/>
    <m/>
    <m/>
    <d v="2026-07-13T08:52:06"/>
    <m/>
    <n v="1056"/>
    <x v="1"/>
    <n v="100002320"/>
    <m/>
    <d v="2026-07-13T00:00:00"/>
    <x v="0"/>
  </r>
  <r>
    <x v="23"/>
    <s v="reposicoesjkmodas@gmail.com"/>
    <n v="300275426"/>
    <n v="16217861"/>
    <x v="2"/>
    <x v="61"/>
    <n v="25"/>
    <s v="NÃO ENVIADO PELA GUARARAPES"/>
    <m/>
    <m/>
    <d v="2026-07-13T09:13:42"/>
    <m/>
    <n v="1057"/>
    <x v="1"/>
    <n v="0"/>
    <m/>
    <d v="2026-07-13T00:00:00"/>
    <x v="0"/>
  </r>
  <r>
    <x v="191"/>
    <s v="lctextil@outlook.com.br"/>
    <n v="300279343"/>
    <n v="16229347"/>
    <x v="3"/>
    <x v="61"/>
    <n v="19"/>
    <s v="Insuficiente para finalizar ordem"/>
    <m/>
    <m/>
    <d v="2026-07-13T09:15:51"/>
    <m/>
    <n v="1058"/>
    <x v="1"/>
    <n v="0"/>
    <m/>
    <d v="2026-07-13T00:00:00"/>
    <x v="0"/>
  </r>
  <r>
    <x v="192"/>
    <s v="ester.rodrigues@guararapes.ind.br"/>
    <n v="300000000"/>
    <n v="0"/>
    <x v="2"/>
    <x v="60"/>
    <n v="0"/>
    <s v="TESTE"/>
    <m/>
    <n v="0"/>
    <d v="2026-07-13T09:20:22"/>
    <m/>
    <n v="1059"/>
    <x v="2"/>
    <n v="0"/>
    <m/>
    <d v="2026-07-13T00:00:00"/>
    <x v="0"/>
  </r>
  <r>
    <x v="34"/>
    <s v="dantasepaulino@gmail.com"/>
    <n v="300273319"/>
    <n v="15775615"/>
    <x v="2"/>
    <x v="143"/>
    <n v="160"/>
    <s v="Faltou o concluir a op "/>
    <m/>
    <s v="Faltou nesses dois tamanhos, op finalizada! "/>
    <d v="2026-07-13T09:26:09"/>
    <m/>
    <n v="1060"/>
    <x v="1"/>
    <n v="0"/>
    <m/>
    <d v="2026-07-13T00:00:00"/>
    <x v="0"/>
  </r>
  <r>
    <x v="21"/>
    <s v="potengitextil@outlook.com.br"/>
    <n v="300273701"/>
    <n v="16450280"/>
    <x v="2"/>
    <x v="61"/>
    <n v="20"/>
    <s v="Insuficiente para finalizar ordem "/>
    <m/>
    <m/>
    <d v="2026-07-13T09:26:23"/>
    <m/>
    <n v="1061"/>
    <x v="1"/>
    <n v="0"/>
    <m/>
    <d v="2026-07-13T00:00:00"/>
    <x v="0"/>
  </r>
  <r>
    <x v="192"/>
    <s v="ester.rodrigues@guararapes.ind.br"/>
    <n v="300000000"/>
    <n v="0"/>
    <x v="2"/>
    <x v="60"/>
    <n v="0"/>
    <s v="TESTE"/>
    <m/>
    <n v="0"/>
    <d v="2026-07-13T09:32:28"/>
    <m/>
    <n v="1062"/>
    <x v="2"/>
    <n v="0"/>
    <m/>
    <d v="2026-07-13T00:00:00"/>
    <x v="0"/>
  </r>
  <r>
    <x v="192"/>
    <s v="ester.rodrigues@guararapes.ind.br"/>
    <n v="300000000"/>
    <n v="0"/>
    <x v="2"/>
    <x v="60"/>
    <n v="0"/>
    <s v="TESTE"/>
    <m/>
    <s v="TESTE"/>
    <d v="2026-07-13T09:44:55"/>
    <m/>
    <n v="1063"/>
    <x v="2"/>
    <n v="0"/>
    <m/>
    <d v="2026-07-13T00:00:00"/>
    <x v="0"/>
  </r>
  <r>
    <x v="26"/>
    <s v="cabugiconfeccoes.adm@gmail.com"/>
    <n v="300276639"/>
    <n v="16292898"/>
    <x v="2"/>
    <x v="49"/>
    <n v="160"/>
    <s v="ETIQUETA DE MARCA - Etiqueta com falha"/>
    <m/>
    <s v="Etiqueta com falha"/>
    <d v="2026-07-13T09:46:32"/>
    <m/>
    <n v="1064"/>
    <x v="1"/>
    <n v="10000214511"/>
    <m/>
    <d v="2026-07-13T00:00:00"/>
    <x v="0"/>
  </r>
  <r>
    <x v="166"/>
    <s v="w.anny.k@hotmail.com"/>
    <n v="300277092"/>
    <n v="15774112"/>
    <x v="2"/>
    <x v="61"/>
    <n v="40"/>
    <s v="VEIO FALTANDO"/>
    <m/>
    <m/>
    <d v="2026-07-13T09:50:13"/>
    <m/>
    <n v="1065"/>
    <x v="1"/>
    <n v="0"/>
    <m/>
    <d v="2026-07-13T00:00:00"/>
    <x v="0"/>
  </r>
  <r>
    <x v="192"/>
    <s v="ester.rodrigues@guararapes.ind.br"/>
    <n v="300000000"/>
    <n v="0"/>
    <x v="2"/>
    <x v="60"/>
    <n v="0"/>
    <n v="0"/>
    <m/>
    <n v="0"/>
    <d v="2026-07-13T09:59:42"/>
    <m/>
    <n v="1066"/>
    <x v="2"/>
    <n v="0"/>
    <m/>
    <d v="2026-07-13T00:00:00"/>
    <x v="0"/>
  </r>
  <r>
    <x v="193"/>
    <s v="ajgconfeccoes2021@gmail.com"/>
    <n v="300274682"/>
    <n v="16017013"/>
    <x v="3"/>
    <x v="61"/>
    <n v="126"/>
    <s v="Faltou as etiquetas de composição "/>
    <m/>
    <s v="Não veio as etiquetas de composição "/>
    <d v="2026-07-13T10:12:19"/>
    <m/>
    <n v="1067"/>
    <x v="1"/>
    <s v="N tem "/>
    <m/>
    <d v="2026-07-13T00:00:00"/>
    <x v="0"/>
  </r>
  <r>
    <x v="193"/>
    <s v="ajgconfeccoes2021@gmail.com"/>
    <n v="300274683"/>
    <n v="16017013"/>
    <x v="3"/>
    <x v="45"/>
    <n v="274"/>
    <s v="não veio "/>
    <m/>
    <s v="Não veio as etiquetas de composição "/>
    <d v="2026-07-13T10:16:31"/>
    <m/>
    <n v="1068"/>
    <x v="2"/>
    <s v="N tem "/>
    <m/>
    <d v="2026-07-13T00:00:00"/>
    <x v="0"/>
  </r>
  <r>
    <x v="192"/>
    <s v="ester.rodrigues@guararapes.ind.br"/>
    <n v="300000000"/>
    <n v="0"/>
    <x v="2"/>
    <x v="60"/>
    <n v="0"/>
    <s v="TESTE"/>
    <m/>
    <s v="TESTE"/>
    <d v="2026-07-13T10:35:32"/>
    <m/>
    <n v="1070"/>
    <x v="2"/>
    <n v="0"/>
    <m/>
    <d v="2026-07-13T00:00:00"/>
    <x v="0"/>
  </r>
  <r>
    <x v="32"/>
    <s v="di3confec@gmail.com"/>
    <n v="300276273"/>
    <n v="15858367"/>
    <x v="2"/>
    <x v="13"/>
    <n v="100"/>
    <s v="Material insuficiente "/>
    <m/>
    <m/>
    <d v="2026-07-13T10:36:53"/>
    <m/>
    <n v="1071"/>
    <x v="1"/>
    <n v="10000064387"/>
    <m/>
    <d v="2026-07-13T00:00:00"/>
    <x v="0"/>
  </r>
  <r>
    <x v="193"/>
    <s v="ajgconfeccoes2021@gmail.com"/>
    <n v="300274589"/>
    <n v="16017013"/>
    <x v="3"/>
    <x v="61"/>
    <n v="10"/>
    <s v="Faltou 8 etiquetas de composição "/>
    <m/>
    <s v="Faltou 10 etiquetas de composição "/>
    <d v="2026-07-13T10:48:50"/>
    <m/>
    <n v="1072"/>
    <x v="1"/>
    <s v="N tem "/>
    <m/>
    <d v="2026-07-13T00:00:00"/>
    <x v="0"/>
  </r>
  <r>
    <x v="175"/>
    <s v="confeccaogenesisltda@gmail.com"/>
    <n v="300279736"/>
    <n v="16373049"/>
    <x v="0"/>
    <x v="27"/>
    <n v="150"/>
    <s v="VEIO FALTANDO"/>
    <m/>
    <m/>
    <d v="2026-07-13T11:03:26"/>
    <m/>
    <n v="1073"/>
    <x v="1"/>
    <n v="10000222731"/>
    <m/>
    <d v="2026-07-13T00:00:00"/>
    <x v="0"/>
  </r>
  <r>
    <x v="18"/>
    <s v="ebenezerindustriat@hotmail.com"/>
    <n v="300280739"/>
    <n v="16441303"/>
    <x v="3"/>
    <x v="4"/>
    <n v="986"/>
    <s v="MATERIA NÃO ENVIADO PELA GUARARAPES"/>
    <m/>
    <m/>
    <d v="2026-07-13T11:19:39"/>
    <m/>
    <n v="1074"/>
    <x v="1"/>
    <n v="0"/>
    <m/>
    <d v="2026-07-13T00:00:00"/>
    <x v="0"/>
  </r>
  <r>
    <x v="58"/>
    <s v="js.silva6815@gmail.com"/>
    <n v="300269315"/>
    <n v="16470834"/>
    <x v="2"/>
    <x v="28"/>
    <n v="117"/>
    <s v="insuficiente para finalizar ordem"/>
    <m/>
    <s v="babado BORDADO, 20 do tamanho 6 do lado esquerdo de quem veste; 47 do tamanho 5 sendo 30 do lado direito de quem veste e 17 do lado esquerdo de quem veste; 50 do tamanho 2 do lado direito de quem veste!!!! todas essas reposições são BORDADAS."/>
    <d v="2026-07-13T13:20:21"/>
    <m/>
    <n v="1075"/>
    <x v="1"/>
    <n v="0"/>
    <m/>
    <d v="2026-07-13T00:00:00"/>
    <x v="0"/>
  </r>
  <r>
    <x v="50"/>
    <s v="mkdeazevedomedeiros@gmail.com"/>
    <n v="300273729"/>
    <n v="16474570"/>
    <x v="2"/>
    <x v="163"/>
    <n v="954"/>
    <s v="NÃO ENVIADO PELA GUARARAPES"/>
    <m/>
    <s v="VIÉS DE BOCADA PRETO"/>
    <d v="2026-07-13T13:20:54"/>
    <m/>
    <n v="1076"/>
    <x v="2"/>
    <s v="-"/>
    <m/>
    <d v="2026-07-13T00:00:00"/>
    <x v="0"/>
  </r>
  <r>
    <x v="181"/>
    <s v="asaequador@gmail.com"/>
    <n v="300276213"/>
    <n v="16217799"/>
    <x v="2"/>
    <x v="61"/>
    <n v="11"/>
    <s v="faltou"/>
    <m/>
    <s v="veio faltando"/>
    <d v="2026-07-13T13:31:30"/>
    <m/>
    <n v="1077"/>
    <x v="1"/>
    <n v="0"/>
    <m/>
    <d v="2026-07-13T00:00:00"/>
    <x v="0"/>
  </r>
  <r>
    <x v="35"/>
    <s v="lupercio-fnb@hotmail.com"/>
    <n v="300276765"/>
    <n v="16217683"/>
    <x v="2"/>
    <x v="13"/>
    <n v="15"/>
    <s v="Faltando parafinalizção de ordem"/>
    <m/>
    <s v="Cor azul flesh dourado"/>
    <d v="2026-07-13T13:37:21"/>
    <m/>
    <n v="1078"/>
    <x v="1"/>
    <n v="100000247151"/>
    <m/>
    <d v="2026-07-13T00:00:00"/>
    <x v="0"/>
  </r>
  <r>
    <x v="82"/>
    <s v="vitalizeconfeccoes@gmail.com"/>
    <n v="300269503"/>
    <n v="16462947"/>
    <x v="3"/>
    <x v="61"/>
    <n v="171"/>
    <s v="AS ETIQUETA DESSA ORDEM FOI COMIDA PELA LATERAL E COBRIU A CNPJ DA GUARARAPES, PORISO PRECISO DESSA OUTRA ETIQUETA PARA TROCA. ESTOU PRECISANDO COM URGENCIA POIS JA PASSOU DO PRASO DE ENTREGA!!"/>
    <m/>
    <m/>
    <d v="2026-07-13T13:39:30"/>
    <m/>
    <n v="1079"/>
    <x v="1"/>
    <n v="0"/>
    <m/>
    <d v="2026-07-13T00:00:00"/>
    <x v="0"/>
  </r>
  <r>
    <x v="77"/>
    <s v="wag-almeida@hotmail.com"/>
    <n v="300274638"/>
    <n v="16183886"/>
    <x v="2"/>
    <x v="49"/>
    <n v="40"/>
    <s v="faltou"/>
    <m/>
    <s v="URGENTE"/>
    <d v="2026-07-13T13:53:25"/>
    <m/>
    <n v="1080"/>
    <x v="1"/>
    <n v="10000214496"/>
    <m/>
    <d v="2026-07-13T00:00:00"/>
    <x v="0"/>
  </r>
  <r>
    <x v="180"/>
    <s v="lajedoconf5@gmail.com"/>
    <n v="300276640"/>
    <n v="16292898"/>
    <x v="2"/>
    <x v="13"/>
    <n v="50"/>
    <s v="quantidade insuficiente para concluir op"/>
    <m/>
    <s v="quantidade insuficiente para concluir op"/>
    <d v="2026-07-13T14:58:51"/>
    <m/>
    <n v="1081"/>
    <x v="1"/>
    <n v="10000065169"/>
    <m/>
    <d v="2026-07-13T00:00:00"/>
    <x v="0"/>
  </r>
  <r>
    <x v="63"/>
    <s v="acaritextil2801@gmail.com"/>
    <n v="300271746"/>
    <n v="15690210"/>
    <x v="2"/>
    <x v="13"/>
    <n v="884"/>
    <s v="NÃO ENVIADO NA ORDEM "/>
    <m/>
    <s v=" 3 Tamanhos de zíperes- 15/14/13"/>
    <d v="2026-07-13T15:25:04"/>
    <m/>
    <n v="1082"/>
    <x v="1"/>
    <s v="10000064452 - 9.Z0127.015/10000189901 - 9.Z0127.014/10000065215 - 9.Z0127.013"/>
    <m/>
    <d v="2026-07-13T00:00:00"/>
    <x v="0"/>
  </r>
  <r>
    <x v="63"/>
    <s v="acaritextil2801@gmail.com"/>
    <n v="300271746"/>
    <n v="15690210"/>
    <x v="2"/>
    <x v="49"/>
    <n v="936"/>
    <s v="NÃO ENVIADO NA ORDEM "/>
    <m/>
    <s v="ETQ POOL JEANS 75X18 TAM 52/50/48/46/44/42/40/38 (TODAS)"/>
    <d v="2026-07-13T15:28:24"/>
    <m/>
    <n v="1083"/>
    <x v="2"/>
    <s v="10000214531 - 9.ETR37.052/50/48/46/44/42/40/38"/>
    <m/>
    <d v="2026-07-13T00:00:00"/>
    <x v="0"/>
  </r>
  <r>
    <x v="63"/>
    <s v="acaritextil2801@gmail.com"/>
    <n v="300271746"/>
    <n v="15690210"/>
    <x v="2"/>
    <x v="159"/>
    <n v="936"/>
    <s v="NÃO ENVIADO NA ORDEM "/>
    <m/>
    <s v="ETIQUETA RETA"/>
    <d v="2026-07-13T15:31:03"/>
    <m/>
    <n v="1084"/>
    <x v="2"/>
    <s v="10000228848 - 9.ETR38.BRA.BERRET"/>
    <m/>
    <d v="2026-07-13T00:00:00"/>
    <x v="0"/>
  </r>
  <r>
    <x v="165"/>
    <s v="freiresilvaconfeccoes@gmail.com"/>
    <n v="300271211"/>
    <n v="13044826"/>
    <x v="1"/>
    <x v="22"/>
    <n v="80"/>
    <s v="Material insuficiente para finalizar a OP.."/>
    <m/>
    <s v="Está faltando a peça completa FRENTE, COSTA e MANGA. "/>
    <d v="2026-07-13T16:06:41"/>
    <m/>
    <n v="1085"/>
    <x v="1"/>
    <s v="*"/>
    <m/>
    <d v="2026-07-13T00:00:00"/>
    <x v="0"/>
  </r>
  <r>
    <x v="118"/>
    <s v="fjdeazevedo@hotmail.com"/>
    <n v="300276046"/>
    <n v="16473825"/>
    <x v="2"/>
    <x v="61"/>
    <n v="16"/>
    <s v="DANIFICADAS NO PROCESSO DE COSTURA"/>
    <m/>
    <s v="ETIQUETAS FORAM DANIFICADAS NA COSTURA "/>
    <d v="2026-07-13T16:10:14"/>
    <m/>
    <n v="1086"/>
    <x v="1"/>
    <s v="NÃO TEM CODIGO"/>
    <m/>
    <d v="2026-07-13T00:00:00"/>
    <x v="0"/>
  </r>
  <r>
    <x v="166"/>
    <s v="w.anny.k@hotmail.com"/>
    <n v="300279771"/>
    <n v="16186621"/>
    <x v="2"/>
    <x v="61"/>
    <n v="45"/>
    <s v="VEIO FALTANDO"/>
    <m/>
    <m/>
    <d v="2026-07-13T16:13:34"/>
    <m/>
    <n v="1087"/>
    <x v="1"/>
    <n v="0"/>
    <m/>
    <d v="2026-07-13T00:00:00"/>
    <x v="0"/>
  </r>
  <r>
    <x v="13"/>
    <s v="administrativo@zajaconfeccoes.com.br"/>
    <n v="300281209"/>
    <n v="16545540"/>
    <x v="0"/>
    <x v="56"/>
    <n v="1"/>
    <s v="insuficiente"/>
    <m/>
    <s v="ETIQUETA DE MARCA "/>
    <d v="2026-07-13T16:32:34"/>
    <m/>
    <n v="1088"/>
    <x v="1"/>
    <n v="10000249359"/>
    <m/>
    <d v="2026-07-13T00:00:00"/>
    <x v="0"/>
  </r>
  <r>
    <x v="183"/>
    <s v="kswconfeccoesltda@gmail.com"/>
    <n v="300280758"/>
    <n v="15724344"/>
    <x v="3"/>
    <x v="6"/>
    <n v="79"/>
    <s v="Material não enviado pela Guararapes"/>
    <m/>
    <m/>
    <d v="2026-07-13T16:48:29"/>
    <m/>
    <n v="1089"/>
    <x v="1"/>
    <n v="150"/>
    <m/>
    <d v="2026-07-13T00:00:00"/>
    <x v="0"/>
  </r>
  <r>
    <x v="183"/>
    <s v="kswconfeccoesltda@gmail.com"/>
    <n v="300280751"/>
    <n v="15724344"/>
    <x v="3"/>
    <x v="6"/>
    <n v="169"/>
    <s v="MATERIAL NÃO ENVIADO PELA GUARARAPES."/>
    <m/>
    <m/>
    <d v="2026-07-13T16:48:29"/>
    <m/>
    <n v="1090"/>
    <x v="1"/>
    <n v="150"/>
    <m/>
    <d v="2026-07-13T00:00:00"/>
    <x v="0"/>
  </r>
  <r>
    <x v="199"/>
    <s v="confeccoesjsltda@outlook.com"/>
    <n v="300273766"/>
    <n v="16474147"/>
    <x v="2"/>
    <x v="5"/>
    <n v="20"/>
    <s v="ACABOU"/>
    <m/>
    <m/>
    <d v="2026-07-13T16:50:41"/>
    <m/>
    <n v="1091"/>
    <x v="2"/>
    <n v="260"/>
    <m/>
    <d v="2026-07-13T00:00:00"/>
    <x v="0"/>
  </r>
  <r>
    <x v="162"/>
    <s v="faccaoello@hotmail.com"/>
    <n v="300266682"/>
    <n v="16444876"/>
    <x v="2"/>
    <x v="49"/>
    <n v="840"/>
    <s v="MATERIAL MÃO ENVIADO PELA GUARARAPES"/>
    <m/>
    <m/>
    <d v="2026-07-13T17:04:22"/>
    <m/>
    <n v="1092"/>
    <x v="1"/>
    <n v="0"/>
    <m/>
    <d v="2026-07-13T00:00:00"/>
    <x v="0"/>
  </r>
  <r>
    <x v="32"/>
    <s v="di3confec@gmail.com"/>
    <n v="300279752"/>
    <n v="16222954"/>
    <x v="3"/>
    <x v="6"/>
    <n v="45"/>
    <s v="Material insuficiente "/>
    <m/>
    <s v="Não veio quantidade suficiente para finalizar a op"/>
    <d v="2026-07-13T17:28:25"/>
    <m/>
    <n v="1093"/>
    <x v="1"/>
    <n v="0"/>
    <m/>
    <d v="2026-07-13T00:00:00"/>
    <x v="0"/>
  </r>
  <r>
    <x v="54"/>
    <s v="deboraclothing.textil@gmail.com"/>
    <n v="300280762"/>
    <n v="16224116"/>
    <x v="3"/>
    <x v="61"/>
    <n v="60"/>
    <s v="insuficiente para finalizar ordem "/>
    <m/>
    <s v="insuficiente para finalizar ordem "/>
    <d v="2026-07-13T17:28:40"/>
    <m/>
    <n v="1094"/>
    <x v="1"/>
    <n v="0"/>
    <m/>
    <d v="2026-07-13T00:00:00"/>
    <x v="0"/>
  </r>
  <r>
    <x v="185"/>
    <s v="fernandoassu@gmail.com"/>
    <n v="300277463"/>
    <n v="15773469"/>
    <x v="2"/>
    <x v="163"/>
    <s v="1000 peças "/>
    <s v="Nao enviado pela guararapes"/>
    <m/>
    <s v="Reposição do vies de passante."/>
    <d v="2026-07-13T17:34:18"/>
    <m/>
    <n v="1095"/>
    <x v="1"/>
    <n v="350"/>
    <m/>
    <d v="2026-07-13T00:00:00"/>
    <x v="0"/>
  </r>
  <r>
    <x v="164"/>
    <s v="auxiforte@hotmail.com"/>
    <n v="300271262"/>
    <n v="16320042"/>
    <x v="3"/>
    <x v="30"/>
    <n v="46"/>
    <s v="Material não enviado pela Guararapes; Risco em falta - 46 UNIDADES; TAMANHO - P;"/>
    <m/>
    <s v="Material não enviado pela Guararapes; Risco em falta - 46 UNIDADES; TAMANHO - P;"/>
    <d v="2026-07-13T17:41:24"/>
    <m/>
    <n v="1096"/>
    <x v="2"/>
    <n v="0"/>
    <m/>
    <d v="2026-07-13T00:00:00"/>
    <x v="0"/>
  </r>
  <r>
    <x v="164"/>
    <s v="auxiforte@hotmail.com"/>
    <n v="300271262"/>
    <n v="16320042"/>
    <x v="3"/>
    <x v="61"/>
    <n v="2"/>
    <s v="MATERIAL ENVIADO EM QUANTIDADE INSUFICIENTE;"/>
    <m/>
    <s v="MATERIAL ENVIADO EM QUANTIDADE INSUFICIENTE;"/>
    <d v="2026-07-13T17:42:30"/>
    <m/>
    <n v="1097"/>
    <x v="1"/>
    <n v="0"/>
    <m/>
    <d v="2026-07-13T00:00:00"/>
    <x v="0"/>
  </r>
  <r>
    <x v="167"/>
    <s v="falconconfeccoes@hotmail.com"/>
    <n v="300277871"/>
    <n v="16474058"/>
    <x v="2"/>
    <x v="5"/>
    <n v="1"/>
    <s v="ACABOU"/>
    <m/>
    <s v="filme para fusionar passante"/>
    <d v="2026-07-14T07:05:49"/>
    <m/>
    <n v="1098"/>
    <x v="2"/>
    <n v="1"/>
    <m/>
    <d v="2026-07-14T00:00:00"/>
    <x v="0"/>
  </r>
  <r>
    <x v="26"/>
    <s v="cabugiconfeccoes.adm@gmail.com"/>
    <n v="300278808"/>
    <n v="16218140"/>
    <x v="2"/>
    <x v="5"/>
    <n v="5"/>
    <s v="REPOSIÇÃO"/>
    <m/>
    <s v="REPOSIÇÃO"/>
    <d v="2026-07-14T07:21:24"/>
    <m/>
    <n v="1099"/>
    <x v="2"/>
    <n v="0"/>
    <m/>
    <d v="2026-07-14T00:00:00"/>
    <x v="0"/>
  </r>
  <r>
    <x v="165"/>
    <s v="freiresilvaconfeccoes@gmail.com"/>
    <n v="300273731"/>
    <n v="16448243"/>
    <x v="2"/>
    <x v="61"/>
    <n v="31"/>
    <s v="Material insuficiente para finalizar a OP. "/>
    <m/>
    <s v="*"/>
    <d v="2026-07-14T07:28:51"/>
    <m/>
    <n v="1100"/>
    <x v="1"/>
    <s v="*"/>
    <m/>
    <d v="2026-07-14T00:00:00"/>
    <x v="0"/>
  </r>
  <r>
    <x v="37"/>
    <s v="felconfeccao@gmail.com"/>
    <n v="300280718"/>
    <n v="16491963"/>
    <x v="3"/>
    <x v="61"/>
    <n v="6"/>
    <s v="FALTOU"/>
    <m/>
    <m/>
    <d v="2026-07-14T07:57:25"/>
    <m/>
    <n v="1101"/>
    <x v="1"/>
    <n v="0"/>
    <m/>
    <d v="2026-07-14T00:00:00"/>
    <x v="0"/>
  </r>
  <r>
    <x v="75"/>
    <s v="maciel.dalison@hotmail.com"/>
    <n v="300277497"/>
    <n v="16474090"/>
    <x v="2"/>
    <x v="13"/>
    <n v="200"/>
    <s v="não veio "/>
    <m/>
    <s v="não veio "/>
    <d v="2026-07-14T08:05:56"/>
    <m/>
    <n v="1102"/>
    <x v="1"/>
    <n v="10000065700"/>
    <m/>
    <d v="2026-07-14T00:00:00"/>
    <x v="0"/>
  </r>
  <r>
    <x v="21"/>
    <s v="potengitextil@outlook.com.br"/>
    <n v="300279289"/>
    <n v="16027213"/>
    <x v="2"/>
    <x v="18"/>
    <n v="1048"/>
    <s v="Material não enviado pela Guararapes "/>
    <m/>
    <m/>
    <d v="2026-07-14T08:36:57"/>
    <m/>
    <n v="1103"/>
    <x v="2"/>
    <n v="10000195771"/>
    <m/>
    <d v="2026-07-14T00:00:00"/>
    <x v="0"/>
  </r>
  <r>
    <x v="21"/>
    <s v="potengitextil@outlook.com.br"/>
    <n v="300274233"/>
    <n v="16445422"/>
    <x v="2"/>
    <x v="142"/>
    <n v="620"/>
    <s v="Não enviado pela guararapes "/>
    <m/>
    <s v="Linha não foi enviada. "/>
    <d v="2026-07-14T08:38:56"/>
    <m/>
    <n v="1104"/>
    <x v="2"/>
    <n v="10000073317"/>
    <m/>
    <d v="2026-07-14T00:00:00"/>
    <x v="0"/>
  </r>
  <r>
    <x v="212"/>
    <s v="marionetemedeiros2@hotmail.com"/>
    <n v="300277172"/>
    <n v="16472209"/>
    <x v="2"/>
    <x v="163"/>
    <n v="1250"/>
    <s v="Viés para a bocada frente"/>
    <m/>
    <s v="Viés para interno bocada frente "/>
    <d v="2026-07-14T08:44:14"/>
    <m/>
    <n v="1105"/>
    <x v="2"/>
    <n v="0"/>
    <m/>
    <d v="2026-07-14T00:00:00"/>
    <x v="0"/>
  </r>
  <r>
    <x v="175"/>
    <s v="confeccaogenesisltda@gmail.com"/>
    <n v="300279736"/>
    <n v="16373049"/>
    <x v="0"/>
    <x v="22"/>
    <n v="26"/>
    <s v="veio faltando saia frente para 26 peças"/>
    <m/>
    <s v="SAIA FRENTE"/>
    <d v="2026-07-14T08:45:19"/>
    <m/>
    <n v="1106"/>
    <x v="1"/>
    <n v="0"/>
    <m/>
    <d v="2026-07-14T00:00:00"/>
    <x v="0"/>
  </r>
  <r>
    <x v="175"/>
    <s v="confeccaogenesisltda@gmail.com"/>
    <n v="300279736"/>
    <n v="16373049"/>
    <x v="0"/>
    <x v="12"/>
    <n v="26"/>
    <s v="VEIO FALTANDO SAIA TRASEIRO PARA 26 PEÇAS"/>
    <m/>
    <s v="SAIA TRASEIRO"/>
    <d v="2026-07-14T08:46:27"/>
    <m/>
    <n v="1107"/>
    <x v="1"/>
    <n v="0"/>
    <m/>
    <d v="2026-07-14T00:00:00"/>
    <x v="0"/>
  </r>
  <r>
    <x v="183"/>
    <s v="kswconfeccoesltda@gmail.com"/>
    <n v="300280758"/>
    <n v="15724344"/>
    <x v="3"/>
    <x v="7"/>
    <n v="100"/>
    <s v="Material não enviado pela Guararapes"/>
    <m/>
    <m/>
    <d v="2026-07-14T08:48:58"/>
    <m/>
    <n v="1108"/>
    <x v="1"/>
    <n v="150"/>
    <m/>
    <d v="2026-07-14T00:00:00"/>
    <x v="0"/>
  </r>
  <r>
    <x v="21"/>
    <s v="potengitextil@outlook.com.br"/>
    <n v="300277056"/>
    <n v="16217420"/>
    <x v="2"/>
    <x v="18"/>
    <n v="812"/>
    <s v="Material não enviado pela guararapes "/>
    <m/>
    <m/>
    <d v="2026-07-14T08:53:34"/>
    <m/>
    <n v="1109"/>
    <x v="2"/>
    <n v="10000195771"/>
    <m/>
    <d v="2026-07-14T00:00:00"/>
    <x v="0"/>
  </r>
  <r>
    <x v="175"/>
    <s v="confeccaogenesisltda@gmail.com"/>
    <n v="300279736"/>
    <n v="16373049"/>
    <x v="0"/>
    <x v="28"/>
    <n v="56"/>
    <s v="VEIO "/>
    <m/>
    <m/>
    <d v="2026-07-14T08:55:25"/>
    <m/>
    <n v="1110"/>
    <x v="1"/>
    <n v="0"/>
    <m/>
    <d v="2026-07-14T00:00:00"/>
    <x v="0"/>
  </r>
  <r>
    <x v="175"/>
    <s v="confeccaogenesisltda@gmail.com"/>
    <n v="300279736"/>
    <n v="16373049"/>
    <x v="0"/>
    <x v="28"/>
    <n v="26"/>
    <s v="VEIO FALTANDO PARA 26 PEÇAS TAMANO 1"/>
    <m/>
    <m/>
    <d v="2026-07-14T08:58:00"/>
    <m/>
    <n v="1111"/>
    <x v="1"/>
    <n v="0"/>
    <m/>
    <d v="2026-07-14T00:00:00"/>
    <x v="0"/>
  </r>
  <r>
    <x v="175"/>
    <s v="confeccaogenesisltda@gmail.com"/>
    <n v="300279736"/>
    <n v="16373049"/>
    <x v="0"/>
    <x v="45"/>
    <n v="26"/>
    <s v="VEIO FALTANDO TODAS AS PARTES PARA 26 PEÇAS"/>
    <m/>
    <s v="FALTOU O CONJUNTO COMPLETO DA PEÇA NO TAMANHO 5. NÃO FORAM ENVIADAS AS PARTES QUE COMPÕEM AS PEÇAS. SOLICITO O ENVIO COMPLETO PARA MONTAGEM DE 26 PEÇAS"/>
    <d v="2026-07-14T09:03:20"/>
    <m/>
    <n v="1112"/>
    <x v="2"/>
    <n v="0"/>
    <m/>
    <d v="2026-07-14T00:00:00"/>
    <x v="0"/>
  </r>
  <r>
    <x v="175"/>
    <s v="confeccaogenesisltda@gmail.com"/>
    <n v="300273736"/>
    <n v="16373049"/>
    <x v="0"/>
    <x v="26"/>
    <n v="26"/>
    <s v="veio faltando pala para 26 peças TAM 1"/>
    <m/>
    <s v="PALA FRENTE E PALA TRASEIRA"/>
    <d v="2026-07-14T09:08:58"/>
    <m/>
    <n v="1113"/>
    <x v="1"/>
    <n v="0"/>
    <m/>
    <d v="2026-07-14T00:00:00"/>
    <x v="0"/>
  </r>
  <r>
    <x v="61"/>
    <s v="noelpazevedo@gmail.com"/>
    <n v="300279293"/>
    <n v="16027213"/>
    <x v="2"/>
    <x v="18"/>
    <n v="1350"/>
    <s v="Não veio junto com a ordem "/>
    <m/>
    <s v="Bom dia acredito que esse elástico vem pronto é emendado na automação mais não veio junto com a ordem e até agora não recebi e-mail confirmando o envio "/>
    <d v="2026-07-14T09:29:26"/>
    <m/>
    <n v="1114"/>
    <x v="2"/>
    <s v="Não tem "/>
    <m/>
    <d v="2026-07-14T00:00:00"/>
    <x v="0"/>
  </r>
  <r>
    <x v="37"/>
    <s v="felconfeccao@gmail.com"/>
    <n v="300279357"/>
    <n v="16526422"/>
    <x v="3"/>
    <x v="4"/>
    <n v="945"/>
    <s v="VEIO TODA COM DEFEITO"/>
    <m/>
    <s v="AS ETIQUETAS VIERAM, MAS VIERAM TODAS COM DEFEITO E FOI ORIENTADO POR MAILSON PEDIR REPOSIÇÃO"/>
    <d v="2026-07-14T10:29:19"/>
    <m/>
    <n v="1115"/>
    <x v="2"/>
    <n v="0"/>
    <m/>
    <d v="2026-07-14T00:00:00"/>
    <x v="0"/>
  </r>
  <r>
    <x v="170"/>
    <s v="NEEMIAS.SC@HOTMAIL.COM"/>
    <n v="300278637"/>
    <n v="16222326"/>
    <x v="3"/>
    <x v="4"/>
    <n v="40"/>
    <s v="RECEBEMOS PENAS A FOLHA SEM IMPRESSÃO"/>
    <m/>
    <s v="ORDEM PRONTA AGUARDANDO TAGS "/>
    <d v="2026-07-14T10:30:33"/>
    <m/>
    <n v="1116"/>
    <x v="1"/>
    <s v="ETIQUETA DE TAG"/>
    <m/>
    <d v="2026-07-14T00:00:00"/>
    <x v="0"/>
  </r>
  <r>
    <x v="37"/>
    <s v="felconfeccao@gmail.com"/>
    <n v="300280226"/>
    <n v="16474228"/>
    <x v="3"/>
    <x v="61"/>
    <n v="1"/>
    <s v="FALTOU"/>
    <m/>
    <m/>
    <d v="2026-07-14T10:32:44"/>
    <m/>
    <n v="1117"/>
    <x v="1"/>
    <n v="0"/>
    <m/>
    <d v="2026-07-14T00:00:00"/>
    <x v="0"/>
  </r>
  <r>
    <x v="65"/>
    <s v="FORTETECNOLOGIATEXTIL@GMAIL.COM"/>
    <n v="300277951"/>
    <n v="16441630"/>
    <x v="3"/>
    <x v="61"/>
    <n v="168"/>
    <s v="FALTOU SER ENVIADAS"/>
    <m/>
    <s v="FALTOU SER ENVIADA PELA GUARARAPES"/>
    <d v="2026-07-14T10:56:22"/>
    <m/>
    <n v="1118"/>
    <x v="1"/>
    <n v="16441630"/>
    <m/>
    <d v="2026-07-14T00:00:00"/>
    <x v="0"/>
  </r>
  <r>
    <x v="184"/>
    <s v="encantopoest@gmail.com"/>
    <n v="300277860"/>
    <n v="15950123"/>
    <x v="2"/>
    <x v="5"/>
    <n v="10"/>
    <s v="material insuficiente "/>
    <m/>
    <s v="filme plástico do estreito "/>
    <d v="2026-07-14T11:00:37"/>
    <m/>
    <n v="1119"/>
    <x v="2"/>
    <n v="0"/>
    <m/>
    <d v="2026-07-14T00:00:00"/>
    <x v="0"/>
  </r>
  <r>
    <x v="8"/>
    <s v="tlcserranatêxtil@gmail.com"/>
    <n v="300277113"/>
    <n v="16442709"/>
    <x v="1"/>
    <x v="22"/>
    <n v="7"/>
    <s v="Frente menores e algumas com um rasgo no bordado"/>
    <m/>
    <m/>
    <d v="2026-07-14T12:14:10"/>
    <m/>
    <n v="1120"/>
    <x v="1"/>
    <n v="0"/>
    <m/>
    <d v="2026-07-14T00:00:00"/>
    <x v="0"/>
  </r>
  <r>
    <x v="170"/>
    <s v="neemias.sc@hotmail.com"/>
    <n v="300278639"/>
    <n v="16222326"/>
    <x v="3"/>
    <x v="4"/>
    <n v="40"/>
    <s v="NÃO RECEBEMOS "/>
    <m/>
    <s v="MATERIAL FALTANDO"/>
    <d v="2026-07-14T13:20:49"/>
    <m/>
    <n v="1121"/>
    <x v="1"/>
    <s v="ETIQUETAS DE TAG"/>
    <m/>
    <d v="2026-07-14T00:00:00"/>
    <x v="0"/>
  </r>
  <r>
    <x v="118"/>
    <s v="fjdeazevedo@hotmail.com"/>
    <n v="300276046"/>
    <n v="16473825"/>
    <x v="2"/>
    <x v="61"/>
    <n v="20"/>
    <s v="Danificadas na costura"/>
    <m/>
    <s v="Danificadas ao pregar o travete"/>
    <d v="2026-07-14T13:21:37"/>
    <m/>
    <n v="1122"/>
    <x v="1"/>
    <s v="sem codigo"/>
    <m/>
    <d v="2026-07-14T00:00:00"/>
    <x v="0"/>
  </r>
  <r>
    <x v="170"/>
    <s v="neemias.sc@hotmail.com"/>
    <n v="300278640"/>
    <n v="16222326"/>
    <x v="3"/>
    <x v="4"/>
    <n v="40"/>
    <s v="NÃO RECEBEMOS "/>
    <m/>
    <m/>
    <d v="2026-07-14T13:26:32"/>
    <m/>
    <n v="1123"/>
    <x v="1"/>
    <s v="ETIQUETAS DE PREÇO"/>
    <m/>
    <d v="2026-07-14T00:00:00"/>
    <x v="0"/>
  </r>
  <r>
    <x v="162"/>
    <s v="faccaoello@hotmail.com"/>
    <n v="300274223"/>
    <n v="16448421"/>
    <x v="2"/>
    <x v="61"/>
    <n v="20"/>
    <s v="Material não enviado pela Guararapes"/>
    <m/>
    <m/>
    <d v="2026-07-14T14:21:39"/>
    <m/>
    <n v="1124"/>
    <x v="1"/>
    <n v="0"/>
    <m/>
    <d v="2026-07-14T00:00:00"/>
    <x v="0"/>
  </r>
  <r>
    <x v="192"/>
    <s v="alvesemedeirosoficina@gmail.com"/>
    <n v="300000000"/>
    <n v="0"/>
    <x v="2"/>
    <x v="5"/>
    <n v="0"/>
    <s v="Insuficiente"/>
    <m/>
    <s v="Filme plástico para fusionar passantes "/>
    <d v="2026-07-14T14:26:22"/>
    <m/>
    <n v="1125"/>
    <x v="2"/>
    <n v="0"/>
    <m/>
    <d v="2026-07-14T00:00:00"/>
    <x v="0"/>
  </r>
  <r>
    <x v="177"/>
    <s v="linealtda@gmail.com"/>
    <n v="300278802"/>
    <n v="16474570"/>
    <x v="2"/>
    <x v="22"/>
    <s v="72 peças (ambos os lados)"/>
    <s v="Problemas no corte"/>
    <m/>
    <s v="Ambos os lados da frente"/>
    <d v="2026-07-14T14:26:23"/>
    <m/>
    <n v="1126"/>
    <x v="1"/>
    <n v="0"/>
    <m/>
    <d v="2026-07-14T00:00:00"/>
    <x v="0"/>
  </r>
  <r>
    <x v="190"/>
    <s v="EMPORIODAMODAMOSSORO@GMAIL.COM"/>
    <n v="300277863"/>
    <n v="15950123"/>
    <x v="2"/>
    <x v="163"/>
    <n v="981"/>
    <s v="material divergente"/>
    <m/>
    <s v="viés de passante de material divergente do restante da op"/>
    <d v="2026-07-14T14:45:06"/>
    <m/>
    <n v="1127"/>
    <x v="2"/>
    <n v="0"/>
    <m/>
    <d v="2026-07-14T00:00:00"/>
    <x v="0"/>
  </r>
  <r>
    <x v="34"/>
    <s v="dantasepaulino@gmail.com"/>
    <n v="300273319"/>
    <n v="155775615"/>
    <x v="2"/>
    <x v="17"/>
    <n v="79"/>
    <s v="Faltou o finalizar op "/>
    <m/>
    <s v="Cos do tamanho 36 faltando 79 peças "/>
    <d v="2026-07-14T14:50:40"/>
    <m/>
    <n v="1128"/>
    <x v="1"/>
    <n v="0"/>
    <m/>
    <d v="2026-07-14T00:00:00"/>
    <x v="0"/>
  </r>
  <r>
    <x v="21"/>
    <s v="potengitextil@outlook.com.br"/>
    <n v="300271538"/>
    <n v="16430301"/>
    <x v="2"/>
    <x v="18"/>
    <n v="1232"/>
    <s v="Reprocesso de ordem"/>
    <m/>
    <m/>
    <d v="2026-07-14T15:09:45"/>
    <m/>
    <n v="1129"/>
    <x v="2"/>
    <n v="10000195771"/>
    <m/>
    <d v="2026-07-14T00:00:00"/>
    <x v="0"/>
  </r>
  <r>
    <x v="16"/>
    <s v="arconfec-oes@hotmail.com"/>
    <n v="300276281"/>
    <n v="16291077"/>
    <x v="2"/>
    <x v="22"/>
    <n v="20"/>
    <s v="faltando um lote da frente"/>
    <m/>
    <s v="faltando 1 lote"/>
    <d v="2026-07-14T15:35:16"/>
    <m/>
    <n v="1130"/>
    <x v="1"/>
    <n v="0"/>
    <m/>
    <d v="2026-07-14T00:00:00"/>
    <x v="0"/>
  </r>
  <r>
    <x v="21"/>
    <s v="potengitextil@outlook.com.br"/>
    <n v="300273782"/>
    <n v="15359492"/>
    <x v="1"/>
    <x v="61"/>
    <n v="8"/>
    <s v="Insuficiente para finalizar ordem."/>
    <m/>
    <m/>
    <d v="2026-07-14T15:38:29"/>
    <m/>
    <n v="1131"/>
    <x v="1"/>
    <n v="0"/>
    <m/>
    <d v="2026-07-14T00:00:00"/>
    <x v="0"/>
  </r>
  <r>
    <x v="21"/>
    <s v="potengitextil@outlook.com.br"/>
    <n v="300271538"/>
    <n v="16430301"/>
    <x v="2"/>
    <x v="49"/>
    <n v="264"/>
    <s v="Reprocesso de ordem "/>
    <m/>
    <m/>
    <d v="2026-07-14T15:41:26"/>
    <m/>
    <n v="1132"/>
    <x v="2"/>
    <n v="10000247807"/>
    <m/>
    <d v="2026-07-14T00:00:00"/>
    <x v="0"/>
  </r>
  <r>
    <x v="21"/>
    <s v="potengitextil@outlook.com.br"/>
    <n v="300271538"/>
    <n v="16430301"/>
    <x v="2"/>
    <x v="49"/>
    <n v="264"/>
    <s v="Reprocesso de ordem"/>
    <m/>
    <m/>
    <d v="2026-07-14T15:45:58"/>
    <m/>
    <n v="1133"/>
    <x v="2"/>
    <n v="10000247811"/>
    <m/>
    <d v="2026-07-14T00:00:00"/>
    <x v="0"/>
  </r>
  <r>
    <x v="21"/>
    <s v="potengitextil@outlook.com.br"/>
    <n v="300271538"/>
    <n v="16430301"/>
    <x v="2"/>
    <x v="17"/>
    <n v="1232"/>
    <s v="Reprocesso de ordem"/>
    <m/>
    <m/>
    <d v="2026-07-14T15:47:31"/>
    <m/>
    <n v="1134"/>
    <x v="2"/>
    <n v="0"/>
    <m/>
    <d v="2026-07-14T00:00:00"/>
    <x v="0"/>
  </r>
  <r>
    <x v="21"/>
    <s v="potengitextil@outlook.com.br"/>
    <n v="300271538"/>
    <n v="16430301"/>
    <x v="2"/>
    <x v="49"/>
    <n v="176"/>
    <s v="Reprocesso de ordem "/>
    <m/>
    <m/>
    <d v="2026-07-14T15:49:00"/>
    <m/>
    <n v="1135"/>
    <x v="2"/>
    <n v="10000247752"/>
    <m/>
    <d v="2026-07-14T00:00:00"/>
    <x v="0"/>
  </r>
  <r>
    <x v="56"/>
    <s v="idealconfecltda@gmail.com"/>
    <n v="300281472"/>
    <n v="13044826"/>
    <x v="1"/>
    <x v="22"/>
    <n v="31"/>
    <s v="não veio"/>
    <m/>
    <m/>
    <d v="2026-07-14T15:49:39"/>
    <m/>
    <n v="1136"/>
    <x v="1"/>
    <n v="0"/>
    <m/>
    <d v="2026-07-14T00:00:00"/>
    <x v="0"/>
  </r>
  <r>
    <x v="21"/>
    <s v="potengitextil@outlook.com.br"/>
    <n v="300271538"/>
    <n v="16430301"/>
    <x v="2"/>
    <x v="49"/>
    <n v="264"/>
    <s v="Reprocesso de ordem"/>
    <m/>
    <m/>
    <d v="2026-07-14T15:50:08"/>
    <m/>
    <n v="1137"/>
    <x v="2"/>
    <n v="10000247753"/>
    <m/>
    <d v="2026-07-14T00:00:00"/>
    <x v="0"/>
  </r>
  <r>
    <x v="21"/>
    <s v="potengitextil@outlook.com.br"/>
    <n v="300271538"/>
    <n v="16430301"/>
    <x v="2"/>
    <x v="49"/>
    <n v="264"/>
    <s v="Reprocesso de ordem"/>
    <m/>
    <m/>
    <d v="2026-07-14T15:51:20"/>
    <m/>
    <n v="1138"/>
    <x v="2"/>
    <n v="10000247754"/>
    <m/>
    <d v="2026-07-14T00:00:00"/>
    <x v="0"/>
  </r>
  <r>
    <x v="56"/>
    <s v="idealconfecltda@gmail.com"/>
    <n v="300281472"/>
    <n v="13044826"/>
    <x v="1"/>
    <x v="4"/>
    <s v="297 unidades tamanho G"/>
    <s v="não veio"/>
    <m/>
    <m/>
    <d v="2026-07-14T15:52:09"/>
    <m/>
    <n v="1139"/>
    <x v="1"/>
    <n v="0"/>
    <m/>
    <d v="2026-07-14T00:00:00"/>
    <x v="0"/>
  </r>
  <r>
    <x v="21"/>
    <s v="potengitextil@outlook.com.br"/>
    <n v="300269799"/>
    <n v="16218230"/>
    <x v="2"/>
    <x v="17"/>
    <n v="1078"/>
    <s v="Reprocesso de ordem "/>
    <m/>
    <m/>
    <d v="2026-07-14T15:54:17"/>
    <m/>
    <n v="1140"/>
    <x v="2"/>
    <n v="0"/>
    <m/>
    <d v="2026-07-14T00:00:00"/>
    <x v="0"/>
  </r>
  <r>
    <x v="56"/>
    <s v="idealconfecltda@gmail.com"/>
    <n v="300281472"/>
    <n v="13044826"/>
    <x v="1"/>
    <x v="19"/>
    <s v="10 cones"/>
    <s v="insuficiente"/>
    <m/>
    <m/>
    <d v="2026-07-14T15:55:04"/>
    <m/>
    <n v="1141"/>
    <x v="1"/>
    <n v="72001"/>
    <m/>
    <d v="2026-07-14T00:00:00"/>
    <x v="0"/>
  </r>
  <r>
    <x v="32"/>
    <s v="di3confec@gmail.com"/>
    <n v="300280229"/>
    <n v="16441222"/>
    <x v="3"/>
    <x v="19"/>
    <n v="4"/>
    <s v="Material insuficiente "/>
    <m/>
    <m/>
    <d v="2026-07-14T15:55:16"/>
    <m/>
    <n v="1142"/>
    <x v="1"/>
    <n v="10000071727"/>
    <m/>
    <d v="2026-07-14T00:00:00"/>
    <x v="0"/>
  </r>
  <r>
    <x v="21"/>
    <s v="potengitextil@outlook.com.br"/>
    <n v="300269799"/>
    <n v="16218230"/>
    <x v="2"/>
    <x v="18"/>
    <n v="1078"/>
    <s v="Reprocesso de ordem "/>
    <m/>
    <m/>
    <d v="2026-07-14T15:56:23"/>
    <m/>
    <n v="1143"/>
    <x v="2"/>
    <n v="10000170337"/>
    <m/>
    <d v="2026-07-14T00:00:00"/>
    <x v="0"/>
  </r>
  <r>
    <x v="32"/>
    <s v="di3confec@gmail.com"/>
    <n v="300280229"/>
    <n v="16441222"/>
    <x v="3"/>
    <x v="142"/>
    <n v="4"/>
    <s v="Material insuficiente "/>
    <m/>
    <m/>
    <d v="2026-07-14T15:56:30"/>
    <m/>
    <n v="1144"/>
    <x v="1"/>
    <n v="10000072671"/>
    <m/>
    <d v="2026-07-14T00:00:00"/>
    <x v="0"/>
  </r>
  <r>
    <x v="13"/>
    <s v="administrativo@zajaconfeccoes.com.br"/>
    <n v="300280237"/>
    <n v="16481127"/>
    <x v="0"/>
    <x v="61"/>
    <n v="15"/>
    <s v="insuficiente "/>
    <m/>
    <m/>
    <d v="2026-07-14T15:58:39"/>
    <m/>
    <n v="1145"/>
    <x v="1"/>
    <n v="0"/>
    <m/>
    <d v="2026-07-14T00:00:00"/>
    <x v="0"/>
  </r>
  <r>
    <x v="163"/>
    <s v="felconfeccao@gmail.com"/>
    <n v="300277071"/>
    <n v="16218957"/>
    <x v="2"/>
    <x v="18"/>
    <n v="550"/>
    <s v="Material não enviado"/>
    <m/>
    <m/>
    <d v="2026-07-14T15:58:53"/>
    <m/>
    <n v="1146"/>
    <x v="2"/>
    <n v="10000073317"/>
    <m/>
    <d v="2026-07-14T00:00:00"/>
    <x v="0"/>
  </r>
  <r>
    <x v="21"/>
    <s v="potengitextil@outlook.com.br"/>
    <n v="300269799"/>
    <n v="16218230"/>
    <x v="2"/>
    <x v="49"/>
    <n v="147"/>
    <s v="Reprocesso de ordem "/>
    <m/>
    <m/>
    <d v="2026-07-14T16:01:29"/>
    <m/>
    <n v="1147"/>
    <x v="2"/>
    <n v="10000247752"/>
    <m/>
    <d v="2026-07-14T00:00:00"/>
    <x v="0"/>
  </r>
  <r>
    <x v="21"/>
    <s v="potengitextil@outlook.com.br"/>
    <n v="300269799"/>
    <n v="16218230"/>
    <x v="2"/>
    <x v="49"/>
    <n v="245"/>
    <s v="Reprocesso de ordem "/>
    <m/>
    <m/>
    <d v="2026-07-14T16:03:52"/>
    <m/>
    <n v="1148"/>
    <x v="2"/>
    <n v="10000247753"/>
    <m/>
    <d v="2026-07-14T00:00:00"/>
    <x v="0"/>
  </r>
  <r>
    <x v="21"/>
    <s v="potengitextil@outlook.com.br"/>
    <n v="300269799"/>
    <n v="16218230"/>
    <x v="2"/>
    <x v="49"/>
    <n v="245"/>
    <s v="Reprocesso de ordem "/>
    <m/>
    <m/>
    <d v="2026-07-14T16:05:24"/>
    <m/>
    <n v="1149"/>
    <x v="2"/>
    <n v="10000247754"/>
    <m/>
    <d v="2026-07-14T00:00:00"/>
    <x v="0"/>
  </r>
  <r>
    <x v="82"/>
    <s v="vitalizeconfeccoes@gmail.com"/>
    <n v="300278090"/>
    <n v="16488040"/>
    <x v="3"/>
    <x v="7"/>
    <n v="100"/>
    <s v="ACABOU"/>
    <m/>
    <m/>
    <d v="2026-07-14T16:07:01"/>
    <m/>
    <n v="1150"/>
    <x v="2"/>
    <n v="0"/>
    <m/>
    <d v="2026-07-14T00:00:00"/>
    <x v="0"/>
  </r>
  <r>
    <x v="21"/>
    <s v="potengitextil@outlook.com.br"/>
    <n v="300269799"/>
    <n v="16218230"/>
    <x v="2"/>
    <x v="61"/>
    <n v="245"/>
    <s v="Reprocesso de ordem"/>
    <m/>
    <m/>
    <d v="2026-07-14T16:07:08"/>
    <m/>
    <n v="1151"/>
    <x v="2"/>
    <n v="10000247807"/>
    <m/>
    <d v="2026-07-14T00:00:00"/>
    <x v="0"/>
  </r>
  <r>
    <x v="21"/>
    <s v="potengitextil@outlook.com.br"/>
    <n v="300269799"/>
    <n v="16218230"/>
    <x v="2"/>
    <x v="49"/>
    <n v="196"/>
    <s v="Reprocesso de ordem"/>
    <m/>
    <m/>
    <d v="2026-07-14T16:08:21"/>
    <m/>
    <n v="1152"/>
    <x v="2"/>
    <n v="10000247811"/>
    <m/>
    <d v="2026-07-14T00:00:00"/>
    <x v="0"/>
  </r>
  <r>
    <x v="82"/>
    <s v="vitalizeconfeccoes@gmail.com"/>
    <n v="300278094"/>
    <n v="16488040"/>
    <x v="3"/>
    <x v="163"/>
    <n v="423"/>
    <s v="INSUFICIENTE PARA FINALIZA A ORDEM "/>
    <m/>
    <s v="O VIES QUE VEIO NA ORDEM FOI POUCO, JA ESTOU PEGANDO DA OUTRA ORDEM QUE VEIO COM O MESMO MATERIAL "/>
    <d v="2026-07-14T16:15:27"/>
    <m/>
    <n v="1153"/>
    <x v="1"/>
    <n v="0"/>
    <m/>
    <d v="2026-07-14T00:00:00"/>
    <x v="0"/>
  </r>
  <r>
    <x v="206"/>
    <s v="pn.fenix@gmail.com"/>
    <n v="300278588"/>
    <n v="16299213"/>
    <x v="2"/>
    <x v="61"/>
    <n v="130"/>
    <s v="Insuficiente para finalizar op"/>
    <m/>
    <s v="Quantidade de peças divergente da guia de risco. "/>
    <d v="2026-07-14T16:16:17"/>
    <m/>
    <n v="1154"/>
    <x v="1"/>
    <n v="0"/>
    <m/>
    <d v="2026-07-14T00:00:00"/>
    <x v="0"/>
  </r>
  <r>
    <x v="54"/>
    <s v="deboraclothing.textil@gmail.com"/>
    <n v="300279698"/>
    <n v="16318455"/>
    <x v="3"/>
    <x v="4"/>
    <n v="15"/>
    <s v="FALTOU"/>
    <m/>
    <s v="INSUFICIENTE PARA FINALIZAR ORDEM "/>
    <d v="2026-07-14T16:17:30"/>
    <m/>
    <n v="1155"/>
    <x v="1"/>
    <n v="0"/>
    <m/>
    <d v="2026-07-14T00:00:00"/>
    <x v="0"/>
  </r>
  <r>
    <x v="206"/>
    <s v="pn.fenix@gmail.com"/>
    <n v="300278588"/>
    <n v="16299213"/>
    <x v="2"/>
    <x v="13"/>
    <n v="130"/>
    <s v="Insuficienta para finalizar op"/>
    <m/>
    <s v="QQuantidade de peças recebida, divergente da guia de risco"/>
    <d v="2026-07-14T16:22:34"/>
    <m/>
    <n v="1156"/>
    <x v="1"/>
    <n v="10000189901"/>
    <m/>
    <d v="2026-07-14T00:00:00"/>
    <x v="0"/>
  </r>
  <r>
    <x v="206"/>
    <s v="pn.fenix@gmail.com"/>
    <n v="300278588"/>
    <n v="16299213"/>
    <x v="2"/>
    <x v="49"/>
    <n v="130"/>
    <s v="Insuficiente para finalizar op"/>
    <m/>
    <s v="Quantidade de peças recebida divergente da guia de risco"/>
    <d v="2026-07-14T16:26:51"/>
    <m/>
    <n v="1157"/>
    <x v="1"/>
    <s v="10000214516, 10000214515, 10000214512"/>
    <m/>
    <d v="2026-07-14T00:00:00"/>
    <x v="0"/>
  </r>
  <r>
    <x v="144"/>
    <s v="fiosdosertao01@gmail.com"/>
    <n v="300276767"/>
    <n v="16507649"/>
    <x v="2"/>
    <x v="163"/>
    <n v="12"/>
    <s v="insuficiente para completar a ordem"/>
    <m/>
    <s v="Viés preto para bocada "/>
    <d v="2026-07-14T16:40:27"/>
    <m/>
    <n v="1158"/>
    <x v="1"/>
    <n v="0"/>
    <m/>
    <d v="2026-07-14T00:00:00"/>
    <x v="0"/>
  </r>
  <r>
    <x v="60"/>
    <s v="mkdeazevedomedeiros@gmail.com"/>
    <n v="300281067"/>
    <n v="16218990"/>
    <x v="2"/>
    <x v="18"/>
    <n v="1056"/>
    <s v="NÃO ENVIADO PELA GUARARAPES"/>
    <m/>
    <m/>
    <d v="2026-07-14T16:52:50"/>
    <m/>
    <n v="1159"/>
    <x v="2"/>
    <s v="-"/>
    <m/>
    <d v="2026-07-14T00:00:00"/>
    <x v="0"/>
  </r>
  <r>
    <x v="18"/>
    <s v="ebenezerindustriat@hotmail.com"/>
    <n v="300280739"/>
    <n v="16441303"/>
    <x v="3"/>
    <x v="163"/>
    <n v="992"/>
    <s v="Material não enviado pela Guararapes"/>
    <m/>
    <m/>
    <d v="2026-07-14T17:01:11"/>
    <m/>
    <n v="1160"/>
    <x v="1"/>
    <n v="0"/>
    <m/>
    <d v="2026-07-14T00:00:00"/>
    <x v="0"/>
  </r>
  <r>
    <x v="166"/>
    <s v="w.anny.k@hotmail.com"/>
    <n v="300281401"/>
    <n v="13044826"/>
    <x v="1"/>
    <x v="4"/>
    <n v="1.1439999999999999"/>
    <s v="VEIO FALTANDO NA ORDEM MESTRE"/>
    <m/>
    <m/>
    <d v="2026-07-14T17:04:21"/>
    <m/>
    <n v="1161"/>
    <x v="1"/>
    <n v="0"/>
    <m/>
    <d v="2026-07-14T00:00:00"/>
    <x v="0"/>
  </r>
  <r>
    <x v="166"/>
    <s v="w.anny.k@hotamil.com"/>
    <n v="300281014"/>
    <n v="16442660"/>
    <x v="1"/>
    <x v="19"/>
    <s v="13 CONES "/>
    <s v="VEIO FALTANDO "/>
    <m/>
    <m/>
    <d v="2026-07-14T17:07:54"/>
    <m/>
    <n v="1162"/>
    <x v="1"/>
    <s v="10000071713 FIO 100%PES S.931 151040"/>
    <m/>
    <d v="2026-07-14T00:00:00"/>
    <x v="0"/>
  </r>
  <r>
    <x v="191"/>
    <s v="lctextil@outlook.com.br"/>
    <n v="300277695"/>
    <n v="16311639"/>
    <x v="3"/>
    <x v="4"/>
    <n v="9"/>
    <s v="Insuficiente para finalizar ordem "/>
    <m/>
    <m/>
    <d v="2026-07-14T17:09:27"/>
    <m/>
    <n v="1163"/>
    <x v="1"/>
    <n v="0"/>
    <m/>
    <d v="2026-07-14T00:00:00"/>
    <x v="0"/>
  </r>
  <r>
    <x v="166"/>
    <s v="w.anny.k@hotmail.com"/>
    <n v="300281014"/>
    <n v="16442660"/>
    <x v="1"/>
    <x v="142"/>
    <s v="4 CONES "/>
    <s v="VEIO FALTANDO "/>
    <m/>
    <m/>
    <d v="2026-07-14T17:09:57"/>
    <m/>
    <n v="1164"/>
    <x v="1"/>
    <s v="10000062750 LINHA 100%PES TÍT120 C.227 151116"/>
    <m/>
    <d v="2026-07-14T00:00:00"/>
    <x v="0"/>
  </r>
  <r>
    <x v="166"/>
    <s v="w.anny.k@hotmail.com"/>
    <n v="300281014"/>
    <n v="16442660"/>
    <x v="1"/>
    <x v="4"/>
    <n v="238"/>
    <s v="VEIO FALTANDO "/>
    <m/>
    <m/>
    <d v="2026-07-14T17:12:02"/>
    <m/>
    <n v="1165"/>
    <x v="1"/>
    <n v="0"/>
    <m/>
    <d v="2026-07-14T00:00:00"/>
    <x v="0"/>
  </r>
  <r>
    <x v="178"/>
    <s v="faccao_sales2010@hotmail.com"/>
    <n v="300280201"/>
    <n v="16243340"/>
    <x v="2"/>
    <x v="49"/>
    <n v="340"/>
    <s v="ENVIADO DE TAMANHO ERRADO"/>
    <m/>
    <m/>
    <d v="2026-07-14T17:37:06"/>
    <m/>
    <n v="1166"/>
    <x v="1"/>
    <s v="9.EIA85.09A.VERD00"/>
    <m/>
    <d v="2026-07-14T00:00:00"/>
    <x v="0"/>
  </r>
  <r>
    <x v="78"/>
    <s v="ocalves3@gmail.com"/>
    <n v="300276220"/>
    <n v="15859177"/>
    <x v="2"/>
    <x v="12"/>
    <n v="28"/>
    <s v="VEIO FALTANDO TRASEIRAS"/>
    <m/>
    <s v="VEIO FALTANDO TRASEIRAS"/>
    <d v="2026-07-14T18:06:32"/>
    <m/>
    <n v="1167"/>
    <x v="1"/>
    <n v="0"/>
    <m/>
    <d v="2026-07-14T00:00:00"/>
    <x v="0"/>
  </r>
  <r>
    <x v="78"/>
    <s v="ocalves3@gmail.com"/>
    <n v="300276219"/>
    <n v="15859177"/>
    <x v="2"/>
    <x v="12"/>
    <n v="24"/>
    <s v="VEIO FALTANDO"/>
    <m/>
    <s v="veio faltando"/>
    <d v="2026-07-14T18:08:34"/>
    <m/>
    <n v="1168"/>
    <x v="1"/>
    <n v="0"/>
    <m/>
    <d v="2026-07-14T00:00:00"/>
    <x v="0"/>
  </r>
  <r>
    <x v="169"/>
    <s v="acauaconfeccoes@outlook.com"/>
    <n v="300270841"/>
    <n v="16442679"/>
    <x v="1"/>
    <x v="163"/>
    <n v="200"/>
    <s v="Viés de reforço da Gola Polo "/>
    <m/>
    <s v="Viés de reforço da Gola polo "/>
    <d v="2026-07-15T07:46:05"/>
    <m/>
    <n v="1169"/>
    <x v="1"/>
    <s v="."/>
    <m/>
    <d v="2026-07-15T00:00:00"/>
    <x v="0"/>
  </r>
  <r>
    <x v="13"/>
    <s v="administrativo@zajaconfeccoes.com.br"/>
    <n v="300279221"/>
    <n v="16223780"/>
    <x v="3"/>
    <x v="61"/>
    <n v="8"/>
    <s v="insuficiente "/>
    <m/>
    <m/>
    <d v="2026-07-15T07:57:49"/>
    <m/>
    <n v="1170"/>
    <x v="1"/>
    <n v="0"/>
    <m/>
    <d v="2026-07-15T00:00:00"/>
    <x v="0"/>
  </r>
  <r>
    <x v="18"/>
    <s v="ebenezerindustriat@hotmail.com"/>
    <n v="300275205"/>
    <n v="16320034"/>
    <x v="3"/>
    <x v="52"/>
    <n v="3"/>
    <s v="ACABOU"/>
    <m/>
    <m/>
    <d v="2026-07-15T08:28:07"/>
    <m/>
    <n v="1171"/>
    <x v="2"/>
    <n v="0"/>
    <m/>
    <d v="2026-07-15T00:00:00"/>
    <x v="0"/>
  </r>
  <r>
    <x v="188"/>
    <s v="tendenciaconfec@gmail.com"/>
    <n v="300273870"/>
    <n v="15893650"/>
    <x v="3"/>
    <x v="61"/>
    <n v="5"/>
    <s v="FALTOU PARA FINALIZAR OP"/>
    <m/>
    <m/>
    <d v="2026-07-15T08:35:51"/>
    <m/>
    <n v="1172"/>
    <x v="2"/>
    <s v="ETIQUETA DE COMPOSIÇÃO"/>
    <m/>
    <d v="2026-07-15T00:00:00"/>
    <x v="0"/>
  </r>
  <r>
    <x v="44"/>
    <s v="teceuzl@hotmail.com"/>
    <n v="300281017"/>
    <n v="13044826"/>
    <x v="1"/>
    <x v="61"/>
    <n v="40"/>
    <s v="Insuficiente para finalizar "/>
    <m/>
    <m/>
    <d v="2026-07-15T08:54:14"/>
    <m/>
    <n v="1173"/>
    <x v="1"/>
    <n v="0"/>
    <m/>
    <d v="2026-07-15T00:00:00"/>
    <x v="0"/>
  </r>
  <r>
    <x v="162"/>
    <s v="faccaoello@hotmail.com"/>
    <n v="300277059"/>
    <n v="16217420"/>
    <x v="2"/>
    <x v="49"/>
    <n v="738"/>
    <s v="Material não enviado pela Guararapes"/>
    <m/>
    <s v="NÃO VEIO O CHECK LIST"/>
    <d v="2026-07-15T08:55:42"/>
    <m/>
    <n v="1174"/>
    <x v="1"/>
    <n v="0"/>
    <m/>
    <d v="2026-07-15T00:00:00"/>
    <x v="0"/>
  </r>
  <r>
    <x v="183"/>
    <s v="kswconfeccoesltda@gmail.com"/>
    <n v="300281847"/>
    <n v="16441400"/>
    <x v="3"/>
    <x v="19"/>
    <n v="1287"/>
    <s v="MATERIAL NÃO ENVIADO PELA GUARARAPES."/>
    <m/>
    <m/>
    <d v="2026-07-15T09:15:40"/>
    <m/>
    <n v="1175"/>
    <x v="2"/>
    <n v="10000072688"/>
    <m/>
    <d v="2026-07-15T00:00:00"/>
    <x v="0"/>
  </r>
  <r>
    <x v="175"/>
    <s v="confeccaogenesisltda@gmail.com"/>
    <n v="300279739"/>
    <n v="16373049"/>
    <x v="0"/>
    <x v="61"/>
    <n v="30"/>
    <s v="VEIO SOBRANDO PEÇAS E FALTANDO ETIQUETA DE COMPOSIÇÃO"/>
    <m/>
    <m/>
    <d v="2026-07-15T10:25:07"/>
    <m/>
    <n v="1176"/>
    <x v="1"/>
    <n v="0"/>
    <m/>
    <d v="2026-07-15T00:00:00"/>
    <x v="0"/>
  </r>
  <r>
    <x v="215"/>
    <s v="paulaviturinoconfeccoes@gmail.com"/>
    <n v="300275900"/>
    <n v="16223608"/>
    <x v="3"/>
    <x v="12"/>
    <n v="64"/>
    <s v="quantidade insuficiente para terminar op."/>
    <m/>
    <m/>
    <d v="2026-07-15T10:38:19"/>
    <m/>
    <n v="1177"/>
    <x v="1"/>
    <n v="1000014782"/>
    <m/>
    <d v="2026-07-15T00:00:00"/>
    <x v="0"/>
  </r>
  <r>
    <x v="169"/>
    <s v="acauaconfeccoes@outlook.com"/>
    <n v="300270841"/>
    <n v="16442679"/>
    <x v="1"/>
    <x v="20"/>
    <n v="200"/>
    <s v="Faltando 200 Punho da Gola polo "/>
    <m/>
    <s v="Faltando 200 Punho dessa ordem da gola polo "/>
    <d v="2026-07-15T10:49:46"/>
    <m/>
    <n v="1178"/>
    <x v="1"/>
    <n v="1"/>
    <m/>
    <d v="2026-07-15T00:00:00"/>
    <x v="0"/>
  </r>
  <r>
    <x v="56"/>
    <s v="idealconfecltda@gmail.com"/>
    <n v="300281473"/>
    <n v="13044826"/>
    <x v="1"/>
    <x v="61"/>
    <n v="12"/>
    <s v="faltou"/>
    <m/>
    <m/>
    <d v="2026-07-15T11:36:26"/>
    <m/>
    <n v="1179"/>
    <x v="1"/>
    <n v="0"/>
    <m/>
    <d v="2026-07-15T00:00:00"/>
    <x v="0"/>
  </r>
  <r>
    <x v="201"/>
    <s v="marionetemedeiros2@hotmail.com"/>
    <n v="300275428"/>
    <n v="16373685"/>
    <x v="2"/>
    <x v="1"/>
    <n v="60"/>
    <s v="Quantidade insuficiente para concluir a ordem "/>
    <m/>
    <s v="Etiqueta que prega na frente perna direita acima da barra "/>
    <d v="2026-07-15T12:53:44"/>
    <m/>
    <n v="1180"/>
    <x v="1"/>
    <s v="9.ET2W1.001.BEGE00"/>
    <m/>
    <d v="2026-07-15T00:00:00"/>
    <x v="0"/>
  </r>
  <r>
    <x v="8"/>
    <s v="tlcserranatextil@gmail.com"/>
    <n v="300281474"/>
    <n v="13044826"/>
    <x v="1"/>
    <x v="22"/>
    <n v="27"/>
    <s v="não veio"/>
    <m/>
    <s v="Vieram os traseiros e mangas e faltaram as frentes"/>
    <d v="2026-07-15T12:55:10"/>
    <m/>
    <n v="1181"/>
    <x v="1"/>
    <n v="0"/>
    <m/>
    <d v="2026-07-15T00:00:00"/>
    <x v="0"/>
  </r>
  <r>
    <x v="162"/>
    <s v="faccaoello@hotmail.com"/>
    <n v="300275049"/>
    <n v="16429559"/>
    <x v="2"/>
    <x v="22"/>
    <n v="3"/>
    <s v="Material não enviado pela Guararapes"/>
    <m/>
    <m/>
    <d v="2026-07-15T13:15:56"/>
    <m/>
    <n v="1182"/>
    <x v="1"/>
    <n v="0"/>
    <m/>
    <d v="2026-07-15T00:00:00"/>
    <x v="0"/>
  </r>
  <r>
    <x v="37"/>
    <s v="felconfeccao@gmail.com"/>
    <n v="300279350"/>
    <n v="16426010"/>
    <x v="3"/>
    <x v="61"/>
    <n v="2"/>
    <s v="FALTOU"/>
    <m/>
    <m/>
    <d v="2026-07-15T13:48:56"/>
    <m/>
    <n v="1183"/>
    <x v="1"/>
    <n v="0"/>
    <m/>
    <d v="2026-07-15T00:00:00"/>
    <x v="0"/>
  </r>
  <r>
    <x v="21"/>
    <s v="potengitextil@outlook.com.br"/>
    <n v="300281370"/>
    <n v="15359492"/>
    <x v="1"/>
    <x v="27"/>
    <n v="100"/>
    <s v="Material insuficiente para finalizar ordem "/>
    <m/>
    <m/>
    <d v="2026-07-15T15:06:46"/>
    <m/>
    <n v="1184"/>
    <x v="1"/>
    <n v="10000216131"/>
    <m/>
    <d v="2026-07-15T00:00:00"/>
    <x v="0"/>
  </r>
  <r>
    <x v="13"/>
    <s v="administrativo@zajaconfeccoes.com.br"/>
    <n v="300265955"/>
    <n v="16487575"/>
    <x v="3"/>
    <x v="12"/>
    <n v="23"/>
    <s v="insufiente "/>
    <m/>
    <m/>
    <d v="2026-07-15T16:01:53"/>
    <m/>
    <n v="1185"/>
    <x v="1"/>
    <n v="0"/>
    <m/>
    <d v="2026-07-15T00:00:00"/>
    <x v="0"/>
  </r>
  <r>
    <x v="13"/>
    <s v="administrativo@zajaconfeccoes.com.br"/>
    <n v="300265955"/>
    <n v="16487575"/>
    <x v="3"/>
    <x v="30"/>
    <s v="23 pares "/>
    <s v="insuficiente "/>
    <m/>
    <s v="23 PARES DE MANGA "/>
    <d v="2026-07-15T16:03:03"/>
    <m/>
    <n v="1186"/>
    <x v="1"/>
    <n v="0"/>
    <m/>
    <d v="2026-07-15T00:00:00"/>
    <x v="0"/>
  </r>
  <r>
    <x v="13"/>
    <s v="administrativo@zajaconfeccoes.com.br"/>
    <n v="300279221"/>
    <n v="16223780"/>
    <x v="3"/>
    <x v="61"/>
    <n v="7"/>
    <s v="insuficiente "/>
    <m/>
    <m/>
    <d v="2026-07-15T16:34:01"/>
    <m/>
    <n v="1187"/>
    <x v="1"/>
    <n v="0"/>
    <m/>
    <d v="2026-07-15T00:00:00"/>
    <x v="0"/>
  </r>
  <r>
    <x v="170"/>
    <s v="neemias.sc@hotmail.com"/>
    <n v="300277500"/>
    <n v="16473825"/>
    <x v="2"/>
    <x v="61"/>
    <n v="50"/>
    <s v="QUANTIDADE ENVIADA DIVERGENTE"/>
    <m/>
    <m/>
    <d v="2026-07-15T17:02:59"/>
    <m/>
    <n v="1188"/>
    <x v="1"/>
    <s v="ETIQUETAS DE COMPOSIÇÃO "/>
    <m/>
    <d v="2026-07-15T00:00:00"/>
    <x v="0"/>
  </r>
  <r>
    <x v="181"/>
    <s v="asaequador@gmail.com"/>
    <n v="300275035"/>
    <n v="16482204"/>
    <x v="2"/>
    <x v="13"/>
    <n v="5"/>
    <s v="insuficiente pra concluir ordem"/>
    <m/>
    <s v="ziper com defeito"/>
    <d v="2026-07-15T17:15:41"/>
    <m/>
    <n v="1189"/>
    <x v="1"/>
    <n v="10000064458"/>
    <m/>
    <d v="2026-07-15T00:00:00"/>
    <x v="0"/>
  </r>
  <r>
    <x v="13"/>
    <s v="administrativo@zajaconfeccoes.com.br"/>
    <n v="300276746"/>
    <n v="16510097"/>
    <x v="2"/>
    <x v="159"/>
    <n v="65"/>
    <s v="insuficiente "/>
    <m/>
    <m/>
    <d v="2026-07-16T07:43:31"/>
    <m/>
    <n v="1190"/>
    <x v="1"/>
    <n v="10000170337"/>
    <m/>
    <d v="2026-07-16T00:00:00"/>
    <x v="0"/>
  </r>
  <r>
    <x v="82"/>
    <s v="vitalizeconfeccoes@gmail.com"/>
    <n v="300280716"/>
    <n v="16491963"/>
    <x v="3"/>
    <x v="142"/>
    <n v="5"/>
    <s v="INSUFICIENTE PERA FINALIZA A ORDEM "/>
    <m/>
    <s v="A LINHA QUE VEIO É POUCA PARA PRODUZI A ORDEM. JA REBUBINEI, MAS MESMO ASSIM NAO VAI DAR, SE POSSIVEL ENVIA ALGUNS FIOS TAMBEM "/>
    <d v="2026-07-16T07:46:52"/>
    <m/>
    <n v="1191"/>
    <x v="1"/>
    <s v="C5312"/>
    <m/>
    <d v="2026-07-16T00:00:00"/>
    <x v="0"/>
  </r>
  <r>
    <x v="13"/>
    <s v="administrativo@zajaconfeccoes.com.br"/>
    <n v="300278428"/>
    <n v="15699811"/>
    <x v="2"/>
    <x v="159"/>
    <n v="200"/>
    <s v="insuficiente "/>
    <m/>
    <m/>
    <d v="2026-07-16T07:58:51"/>
    <m/>
    <n v="1192"/>
    <x v="1"/>
    <n v="10000228848"/>
    <m/>
    <d v="2026-07-16T00:00:00"/>
    <x v="0"/>
  </r>
  <r>
    <x v="13"/>
    <s v="administrativo@zajaconfeccoes.com.br"/>
    <n v="300278428"/>
    <n v="15699811"/>
    <x v="2"/>
    <x v="61"/>
    <n v="4"/>
    <s v="insuficiente "/>
    <m/>
    <m/>
    <d v="2026-07-16T08:00:32"/>
    <m/>
    <n v="1193"/>
    <x v="1"/>
    <n v="0"/>
    <m/>
    <d v="2026-07-16T00:00:00"/>
    <x v="0"/>
  </r>
  <r>
    <x v="175"/>
    <s v="confeccaogenesisltda@gmail.com"/>
    <n v="300279696"/>
    <n v="16417216"/>
    <x v="3"/>
    <x v="61"/>
    <n v="60"/>
    <s v="VEIO SOBRANDO PEÇAS E FALTANDO ETIQUETA "/>
    <m/>
    <s v="VEIO SOBRANDO PEÇAS E FALTANDO ETIQUETA "/>
    <d v="2026-07-16T08:17:31"/>
    <m/>
    <n v="1194"/>
    <x v="1"/>
    <n v="0"/>
    <m/>
    <d v="2026-07-16T00:00:00"/>
    <x v="0"/>
  </r>
  <r>
    <x v="13"/>
    <s v="administrativo@zajaconfeccoes.com.br"/>
    <n v="300281204"/>
    <n v="16543084"/>
    <x v="0"/>
    <x v="159"/>
    <n v="1"/>
    <s v="insuficiente "/>
    <m/>
    <m/>
    <d v="2026-07-16T08:27:58"/>
    <m/>
    <n v="1195"/>
    <x v="1"/>
    <n v="10000209527"/>
    <m/>
    <d v="2026-07-16T00:00:00"/>
    <x v="0"/>
  </r>
  <r>
    <x v="162"/>
    <s v="faccaoello@hotmail.com"/>
    <n v="300275800"/>
    <n v="16218949"/>
    <x v="2"/>
    <x v="61"/>
    <n v="1"/>
    <s v="NÃO ENVIADO"/>
    <m/>
    <m/>
    <d v="2026-07-16T08:32:45"/>
    <m/>
    <n v="1196"/>
    <x v="1"/>
    <s v="NÃO TEM"/>
    <m/>
    <d v="2026-07-16T00:00:00"/>
    <x v="0"/>
  </r>
  <r>
    <x v="78"/>
    <s v="ocalves3@gmail.com"/>
    <n v="300276288"/>
    <n v="15863387"/>
    <x v="2"/>
    <x v="142"/>
    <n v="1254"/>
    <s v="não veio"/>
    <m/>
    <s v="A LINHA DE CHULIAR TITULO 50 NÃO VEIO NENHUM CONE A LINHA É NUMERO 333 E TESTURA 50"/>
    <d v="2026-07-16T08:50:46"/>
    <m/>
    <n v="1197"/>
    <x v="2"/>
    <n v="0"/>
    <m/>
    <d v="2026-07-16T00:00:00"/>
    <x v="0"/>
  </r>
  <r>
    <x v="213"/>
    <s v="seridoconfeccoes@gmail.com"/>
    <n v="300275767"/>
    <n v="16523741"/>
    <x v="2"/>
    <x v="163"/>
    <n v="10"/>
    <s v="insuficiente para finalizar a op"/>
    <m/>
    <s v="viés enviado foi insuficiente para finalizar a op "/>
    <d v="2026-07-16T09:00:10"/>
    <m/>
    <n v="1198"/>
    <x v="1"/>
    <n v="0"/>
    <m/>
    <d v="2026-07-16T00:00:00"/>
    <x v="0"/>
  </r>
  <r>
    <x v="23"/>
    <s v="reposicoesjkmodas@gmail.com"/>
    <n v="300272178"/>
    <n v="16548710"/>
    <x v="2"/>
    <x v="142"/>
    <n v="20"/>
    <s v="INSUFICIENTE PARA FINALIZAR OP"/>
    <m/>
    <m/>
    <d v="2026-07-16T09:02:55"/>
    <m/>
    <n v="1199"/>
    <x v="1"/>
    <s v="10000063135 / 10000063328"/>
    <m/>
    <d v="2026-07-16T00:00:00"/>
    <x v="0"/>
  </r>
  <r>
    <x v="65"/>
    <s v="fortetecnologiatextil@gmail.com"/>
    <n v="300277951"/>
    <n v="16441630"/>
    <x v="3"/>
    <x v="4"/>
    <n v="160"/>
    <s v="Não veio suficiente"/>
    <m/>
    <s v="etiquetas de preço veio incompleta"/>
    <d v="2026-07-16T09:51:31"/>
    <m/>
    <n v="1200"/>
    <x v="1"/>
    <n v="0"/>
    <m/>
    <d v="2026-07-16T00:00:00"/>
    <x v="0"/>
  </r>
  <r>
    <x v="166"/>
    <s v="w.anny.k@hotmail.com"/>
    <n v="300274218"/>
    <n v="15865614"/>
    <x v="2"/>
    <x v="49"/>
    <n v="20"/>
    <s v="VEIO FALTANDO"/>
    <m/>
    <s v="PESSAOL SELECIONEI ESSA OPCAO DEVIDO NAO TEM O NOME DA ETIQUETA QUE PRECISO.A ETIQUETA QUE ESTAMOS PRECISANDO E A CASUAL MENSWEAR ALL SEASON."/>
    <d v="2026-07-16T10:19:23"/>
    <m/>
    <n v="1201"/>
    <x v="1"/>
    <n v="10000212591"/>
    <m/>
    <d v="2026-07-16T00:00:00"/>
    <x v="0"/>
  </r>
  <r>
    <x v="184"/>
    <s v="encantopoest@gmail.com"/>
    <n v="300278590"/>
    <n v="16299213"/>
    <x v="2"/>
    <x v="21"/>
    <n v="4"/>
    <s v="NAO TEMOS MAIS PARA ENVIO DA OM"/>
    <m/>
    <s v="4 ARTROKS VAZIA PARA ENVIO DA OM"/>
    <d v="2026-07-16T10:33:07"/>
    <m/>
    <n v="1202"/>
    <x v="2"/>
    <n v="0"/>
    <m/>
    <d v="2026-07-16T00:00:00"/>
    <x v="0"/>
  </r>
  <r>
    <x v="13"/>
    <s v="administrativo@zajaconfeccoes.com.br"/>
    <n v="300281183"/>
    <n v="16223462"/>
    <x v="3"/>
    <x v="61"/>
    <n v="10"/>
    <s v="insuficiente "/>
    <m/>
    <m/>
    <d v="2026-07-16T10:48:10"/>
    <m/>
    <n v="1203"/>
    <x v="1"/>
    <n v="0"/>
    <m/>
    <d v="2026-07-16T00:00:00"/>
    <x v="0"/>
  </r>
  <r>
    <x v="169"/>
    <s v="acauaconfeccoes@outlook.com"/>
    <n v="300270841"/>
    <n v="16442679"/>
    <x v="1"/>
    <x v="6"/>
    <n v="50"/>
    <s v="Faltando 50 golas P da polo "/>
    <m/>
    <s v="Faltando 50 Golas P"/>
    <d v="2026-07-16T10:52:20"/>
    <m/>
    <n v="1204"/>
    <x v="1"/>
    <s v="."/>
    <m/>
    <d v="2026-07-16T00:00:00"/>
    <x v="0"/>
  </r>
  <r>
    <x v="32"/>
    <s v="di3confec@gmail.com"/>
    <n v="300280229"/>
    <n v="16441222"/>
    <x v="3"/>
    <x v="12"/>
    <n v="7"/>
    <s v="Faltando partes"/>
    <m/>
    <m/>
    <d v="2026-07-16T10:55:04"/>
    <m/>
    <n v="1205"/>
    <x v="1"/>
    <n v="0"/>
    <m/>
    <d v="2026-07-16T00:00:00"/>
    <x v="0"/>
  </r>
  <r>
    <x v="23"/>
    <s v="reposicoesjkmodas@gmail.com"/>
    <n v="300278740"/>
    <n v="16441419"/>
    <x v="2"/>
    <x v="61"/>
    <n v="4"/>
    <s v="NÃO ENVIADO PELA GUARARAPES"/>
    <m/>
    <m/>
    <d v="2026-07-16T10:55:28"/>
    <m/>
    <n v="1206"/>
    <x v="1"/>
    <n v="0"/>
    <m/>
    <d v="2026-07-16T00:00:00"/>
    <x v="0"/>
  </r>
  <r>
    <x v="181"/>
    <s v="asaequador@gmail.com"/>
    <n v="300275035"/>
    <n v="16482204"/>
    <x v="2"/>
    <x v="61"/>
    <n v="2"/>
    <s v="insuficiente pra concluir a ordem"/>
    <m/>
    <s v="veio faltando duas"/>
    <d v="2026-07-16T11:07:20"/>
    <m/>
    <n v="1207"/>
    <x v="1"/>
    <n v="0"/>
    <m/>
    <d v="2026-07-16T00:00:00"/>
    <x v="0"/>
  </r>
  <r>
    <x v="163"/>
    <s v="felconfeccao@gmail.com"/>
    <n v="300275795"/>
    <n v="16114159"/>
    <x v="2"/>
    <x v="61"/>
    <n v="3"/>
    <s v="insuficiente para finalizar op"/>
    <m/>
    <m/>
    <d v="2026-07-16T12:58:29"/>
    <m/>
    <n v="1208"/>
    <x v="1"/>
    <s v="não informado"/>
    <m/>
    <d v="2026-07-16T00:00:00"/>
    <x v="0"/>
  </r>
  <r>
    <x v="70"/>
    <s v="novaconfeccoes2.0@hotmail.com"/>
    <n v="300272945"/>
    <n v="15774112"/>
    <x v="2"/>
    <x v="5"/>
    <n v="30"/>
    <s v="ACABOU"/>
    <m/>
    <s v="plastico para passante"/>
    <d v="2026-07-16T13:18:43"/>
    <m/>
    <n v="1209"/>
    <x v="2"/>
    <n v="0"/>
    <m/>
    <d v="2026-07-16T00:00:00"/>
    <x v="0"/>
  </r>
  <r>
    <x v="70"/>
    <s v="novaconfeccoes2.0@hotmail.com"/>
    <n v="300274636"/>
    <n v="16119398"/>
    <x v="2"/>
    <x v="43"/>
    <n v="124"/>
    <s v="não recebemos"/>
    <m/>
    <s v="alem dos bolsos relogios também vai precisar de reposição de pertigal e vista para o tam 36-20 "/>
    <d v="2026-07-16T13:22:43"/>
    <m/>
    <n v="1210"/>
    <x v="1"/>
    <n v="0"/>
    <m/>
    <d v="2026-07-16T00:00:00"/>
    <x v="0"/>
  </r>
  <r>
    <x v="175"/>
    <s v="confeccaogenesisltda@gmail.com"/>
    <n v="300279696"/>
    <n v="16417216"/>
    <x v="3"/>
    <x v="61"/>
    <n v="17"/>
    <s v="PEÇAS SOBRANDO "/>
    <m/>
    <m/>
    <d v="2026-07-16T13:36:44"/>
    <m/>
    <n v="1211"/>
    <x v="1"/>
    <n v="0"/>
    <m/>
    <d v="2026-07-16T00:00:00"/>
    <x v="0"/>
  </r>
  <r>
    <x v="23"/>
    <s v="reposicoesjkmodas@gmail.com"/>
    <n v="300272949"/>
    <n v="16540000"/>
    <x v="2"/>
    <x v="40"/>
    <s v="GOLA: 45 / PÉ DE GOLA: 40"/>
    <s v="ERRO NO PROCESSO DE FABRICAÇÃO"/>
    <m/>
    <s v="FORAM ESTRAGADAS DURANTE O PROCESSO DE PRODUÇÃO."/>
    <d v="2026-07-16T13:50:04"/>
    <m/>
    <n v="1212"/>
    <x v="1"/>
    <n v="0"/>
    <m/>
    <d v="2026-07-16T00:00:00"/>
    <x v="0"/>
  </r>
  <r>
    <x v="23"/>
    <s v="reposicoesjkmodas@gmail.com"/>
    <n v="300277499"/>
    <n v="16473825"/>
    <x v="2"/>
    <x v="24"/>
    <n v="93"/>
    <s v="ERRO NO CORTE"/>
    <m/>
    <s v="A VISTA VEIO COM PROBLEMAS DE CORTE."/>
    <d v="2026-07-16T13:53:06"/>
    <m/>
    <n v="1213"/>
    <x v="1"/>
    <n v="0"/>
    <m/>
    <d v="2026-07-16T00:00:00"/>
    <x v="0"/>
  </r>
  <r>
    <x v="170"/>
    <s v="neemias.sc@hotmail.com"/>
    <n v="300280231"/>
    <n v="16441222"/>
    <x v="3"/>
    <x v="6"/>
    <n v="50"/>
    <s v="PEÇAS COM FALHAS"/>
    <m/>
    <m/>
    <d v="2026-07-16T14:23:34"/>
    <m/>
    <n v="1214"/>
    <x v="1"/>
    <s v="GOLAS RODADA"/>
    <m/>
    <d v="2026-07-16T00:00:00"/>
    <x v="0"/>
  </r>
  <r>
    <x v="144"/>
    <s v="fiosdosertao01@gmail.com"/>
    <n v="300277897"/>
    <n v="15252434"/>
    <x v="2"/>
    <x v="10"/>
    <n v="1"/>
    <s v="material insuficiente "/>
    <m/>
    <s v="Estamos sem papelão para gabarito "/>
    <d v="2026-07-16T14:41:18"/>
    <m/>
    <n v="1215"/>
    <x v="2"/>
    <n v="0"/>
    <m/>
    <d v="2026-07-16T00:00:00"/>
    <x v="0"/>
  </r>
  <r>
    <x v="70"/>
    <s v="novaconfeccoes2.0@hotmail.com"/>
    <n v="300272945"/>
    <n v="15774112"/>
    <x v="2"/>
    <x v="13"/>
    <n v="50"/>
    <s v="NÃO RECEBEMOS"/>
    <m/>
    <s v="50 ziper do tamanho 14"/>
    <d v="2026-07-16T15:02:14"/>
    <m/>
    <n v="1216"/>
    <x v="1"/>
    <n v="0"/>
    <m/>
    <d v="2026-07-16T00:00:00"/>
    <x v="0"/>
  </r>
  <r>
    <x v="144"/>
    <s v="fiosdosertao01@gmail.com"/>
    <n v="300276767"/>
    <n v="16507649"/>
    <x v="2"/>
    <x v="163"/>
    <n v="4"/>
    <s v="INSUFICIENTE PARA COMPLETAR A ORDEM"/>
    <m/>
    <s v="VIÉS PARA PASSANTE"/>
    <d v="2026-07-16T15:25:08"/>
    <m/>
    <n v="1217"/>
    <x v="1"/>
    <n v="0"/>
    <m/>
    <d v="2026-07-16T00:00:00"/>
    <x v="0"/>
  </r>
  <r>
    <x v="144"/>
    <s v="fiosdosertao01@gmail.com"/>
    <n v="300276767"/>
    <n v="16507649"/>
    <x v="2"/>
    <x v="17"/>
    <s v="PARA 200 PEÇAS"/>
    <s v="INSUFICIENTE PARA CONCLUIR A ORDEM"/>
    <m/>
    <s v="CÓS INTERNO "/>
    <d v="2026-07-16T15:29:02"/>
    <m/>
    <n v="1218"/>
    <x v="1"/>
    <n v="0"/>
    <m/>
    <d v="2026-07-16T00:00:00"/>
    <x v="0"/>
  </r>
  <r>
    <x v="177"/>
    <s v="linealtda@gmail.com"/>
    <n v="300281092"/>
    <n v="16488229"/>
    <x v="2"/>
    <x v="163"/>
    <s v="suficiente para 1482 peças"/>
    <s v="Viés de passante mais estreito do que o que pede na ficha"/>
    <m/>
    <s v="Recebemos duas ordens de mesmo material, ambas com o viés de passante mais estreito do que pede na ficha. Precisamos da reposição completa de ambas as ordens que totaliza 1482 peças."/>
    <d v="2026-07-16T15:35:21"/>
    <m/>
    <n v="1219"/>
    <x v="2"/>
    <n v="0"/>
    <m/>
    <d v="2026-07-16T00:00:00"/>
    <x v="0"/>
  </r>
  <r>
    <x v="175"/>
    <s v="confeccaogenesisltda@gmail.com"/>
    <n v="300274695"/>
    <n v="16542975"/>
    <x v="0"/>
    <x v="61"/>
    <n v="15"/>
    <s v="PEÇAS SOBRANDO E FALTANDO ETIQUETA"/>
    <m/>
    <s v="PEÇAS SOBRANDO E FALTANDO ETIQUETA"/>
    <d v="2026-07-16T15:45:44"/>
    <m/>
    <n v="1220"/>
    <x v="1"/>
    <n v="0"/>
    <m/>
    <d v="2026-07-16T00:00:00"/>
    <x v="0"/>
  </r>
  <r>
    <x v="175"/>
    <s v="confeccaogenesisltda@gmail.com"/>
    <n v="300274695"/>
    <n v="16542975"/>
    <x v="0"/>
    <x v="56"/>
    <n v="15"/>
    <s v="PEÇAS SOBRANDO E ETIQUETA FALTANDO"/>
    <m/>
    <m/>
    <d v="2026-07-16T15:48:01"/>
    <m/>
    <n v="1221"/>
    <x v="1"/>
    <n v="10000209621"/>
    <m/>
    <d v="2026-07-16T00:00:00"/>
    <x v="0"/>
  </r>
  <r>
    <x v="13"/>
    <s v="administrativo@zajaconfeccoes.com.br"/>
    <n v="300281201"/>
    <n v="16543084"/>
    <x v="0"/>
    <x v="49"/>
    <n v="1"/>
    <s v="Faltou"/>
    <m/>
    <m/>
    <d v="2026-07-16T15:49:32"/>
    <m/>
    <n v="1222"/>
    <x v="1"/>
    <n v="0"/>
    <m/>
    <d v="2026-07-16T00:00:00"/>
    <x v="0"/>
  </r>
  <r>
    <x v="35"/>
    <s v="lupercio-fnb@hotmail.com"/>
    <n v="300280949"/>
    <n v="15128288"/>
    <x v="1"/>
    <x v="22"/>
    <n v="13"/>
    <s v="FALTANDO"/>
    <m/>
    <s v="Faltando para finalização de ordem."/>
    <d v="2026-07-16T16:04:48"/>
    <m/>
    <n v="1223"/>
    <x v="1"/>
    <n v="0"/>
    <m/>
    <d v="2026-07-16T00:00:00"/>
    <x v="0"/>
  </r>
  <r>
    <x v="166"/>
    <s v="w.anny.k@hotmail.com"/>
    <n v="300280125"/>
    <n v="15943720"/>
    <x v="2"/>
    <x v="61"/>
    <n v="40"/>
    <s v="VEIO FALTANDO NA ORDEM"/>
    <m/>
    <m/>
    <d v="2026-07-16T16:04:58"/>
    <m/>
    <n v="1224"/>
    <x v="1"/>
    <n v="0"/>
    <m/>
    <d v="2026-07-16T00:00:00"/>
    <x v="0"/>
  </r>
  <r>
    <x v="35"/>
    <s v="lupercio-fnb@hotmail.com"/>
    <n v="300280949"/>
    <n v="15128288"/>
    <x v="1"/>
    <x v="12"/>
    <n v="7"/>
    <s v="Faltando para finalização de ordem"/>
    <m/>
    <s v="Faltando para finalização de ordem que está no processo"/>
    <d v="2026-07-16T16:08:22"/>
    <m/>
    <n v="1225"/>
    <x v="1"/>
    <n v="0"/>
    <m/>
    <d v="2026-07-16T00:00:00"/>
    <x v="0"/>
  </r>
  <r>
    <x v="178"/>
    <s v="faccao_sales2010@hotmail.com"/>
    <n v="300000000"/>
    <n v="0"/>
    <x v="3"/>
    <x v="11"/>
    <n v="2"/>
    <s v="QUEBRADA"/>
    <m/>
    <m/>
    <d v="2026-07-16T16:10:12"/>
    <m/>
    <n v="1226"/>
    <x v="2"/>
    <n v="0"/>
    <m/>
    <d v="2026-07-16T00:00:00"/>
    <x v="0"/>
  </r>
  <r>
    <x v="182"/>
    <s v="uniaoconfeccao.me@gmail.com"/>
    <n v="300280188"/>
    <n v="16472209"/>
    <x v="2"/>
    <x v="163"/>
    <n v="1502"/>
    <s v="Viés da bocada dos bolsos não veio "/>
    <m/>
    <s v="Não veio os viés da bocada dos bolsos "/>
    <d v="2026-07-16T16:39:01"/>
    <m/>
    <n v="1227"/>
    <x v="2"/>
    <s v="N tem "/>
    <m/>
    <d v="2026-07-16T00:00:00"/>
    <x v="0"/>
  </r>
  <r>
    <x v="13"/>
    <s v="administrativo@zajaconfeccoes.com.br"/>
    <n v="300281183"/>
    <n v="16223462"/>
    <x v="3"/>
    <x v="142"/>
    <s v="10 cones"/>
    <s v="Insuficiente para finalizar OP."/>
    <m/>
    <m/>
    <d v="2026-07-16T16:42:08"/>
    <m/>
    <n v="1228"/>
    <x v="1"/>
    <n v="10000072609"/>
    <m/>
    <d v="2026-07-16T00:00:00"/>
    <x v="0"/>
  </r>
  <r>
    <x v="32"/>
    <s v="di3confec@gmail.com"/>
    <n v="300280213"/>
    <n v="15711854"/>
    <x v="2"/>
    <x v="163"/>
    <n v="10"/>
    <s v="Material insuficiente"/>
    <m/>
    <s v="Viés tobogã 2,5cm"/>
    <d v="2026-07-16T17:29:04"/>
    <m/>
    <n v="1229"/>
    <x v="1"/>
    <n v="0"/>
    <m/>
    <d v="2026-07-16T00:00:00"/>
    <x v="0"/>
  </r>
  <r>
    <x v="70"/>
    <s v="novaconfeccoes2.0@hotmail.com"/>
    <n v="300272945"/>
    <n v="15774112"/>
    <x v="2"/>
    <x v="12"/>
    <n v="60"/>
    <s v="não recebemos "/>
    <m/>
    <s v="o tamanho 42 veio faltando um lote de 60 peças e veio com a celagem 42 so que é do tamaho do 52"/>
    <d v="2026-07-16T17:29:24"/>
    <m/>
    <n v="1230"/>
    <x v="1"/>
    <n v="0"/>
    <m/>
    <d v="2026-07-16T00:00:00"/>
    <x v="0"/>
  </r>
  <r>
    <x v="32"/>
    <s v="di3confec@gmail.com"/>
    <n v="300276273"/>
    <n v="15858367"/>
    <x v="2"/>
    <x v="12"/>
    <n v="15"/>
    <s v="Faltando partes para finalizar a op"/>
    <m/>
    <s v="CHAMADO Nº-28777"/>
    <d v="2026-07-16T17:30:33"/>
    <m/>
    <n v="1231"/>
    <x v="1"/>
    <n v="0"/>
    <m/>
    <d v="2026-07-16T00:00:00"/>
    <x v="0"/>
  </r>
  <r>
    <x v="199"/>
    <s v="sueniafazevedo@outlook.com"/>
    <n v="300268925"/>
    <n v="15774104"/>
    <x v="2"/>
    <x v="163"/>
    <s v="Todos "/>
    <s v="Os viés passantes vieram jeans e a ordem é em sarja"/>
    <m/>
    <s v="Aí vc coloca lá nas observações que os passantes vieram com a matéria prima errada ao invés de sarja veio jeans"/>
    <d v="2026-07-16T17:51:08"/>
    <m/>
    <n v="1232"/>
    <x v="2"/>
    <n v="350"/>
    <m/>
    <d v="2026-07-16T00:00:00"/>
    <x v="0"/>
  </r>
  <r>
    <x v="171"/>
    <s v="confeccoesgbdas@hotmail.com"/>
    <n v="300275628"/>
    <n v="16480457"/>
    <x v="3"/>
    <x v="61"/>
    <n v="50"/>
    <s v="FALTA DE ETIQUETA PARA FINALIZAR OP"/>
    <m/>
    <m/>
    <d v="2026-07-16T17:54:25"/>
    <m/>
    <n v="1233"/>
    <x v="1"/>
    <n v="16480457"/>
    <m/>
    <d v="2026-07-16T00:00:00"/>
    <x v="0"/>
  </r>
  <r>
    <x v="200"/>
    <s v="g4confeccao@gmail.com"/>
    <n v="300275046"/>
    <n v="16474120"/>
    <x v="2"/>
    <x v="142"/>
    <n v="50"/>
    <s v="Linhas insuficiente para finalização da ordem"/>
    <m/>
    <s v="Necessitamos dessa reposição com urgência. "/>
    <d v="2026-07-16T17:58:44"/>
    <m/>
    <n v="1234"/>
    <x v="1"/>
    <n v="10000063106"/>
    <m/>
    <d v="2026-07-16T00:00:00"/>
    <x v="0"/>
  </r>
  <r>
    <x v="195"/>
    <s v="limaconfeccoes78@gmail.com"/>
    <n v="300277902"/>
    <n v="15773477"/>
    <x v="2"/>
    <x v="44"/>
    <s v="20 peças"/>
    <s v="Não enviado pela a guararapes"/>
    <m/>
    <s v="Essa ordem faltou o bolso traseiro do tamanho 46 da 2ª sequência, o total de 20 peças."/>
    <d v="2026-07-16T18:16:44"/>
    <m/>
    <n v="1235"/>
    <x v="2"/>
    <n v="0"/>
    <m/>
    <d v="2026-07-16T00:00:00"/>
    <x v="0"/>
  </r>
  <r>
    <x v="199"/>
    <s v="confeccoesjsltda@outlook.com"/>
    <n v="300268925"/>
    <n v="15774104"/>
    <x v="2"/>
    <x v="163"/>
    <n v="1317"/>
    <s v="A ordem é sarja e os passantes vieram jeans"/>
    <m/>
    <s v="O pedido é de viés de passante pois os mesmo vieram com a matéria prima errada, a ordem é sarja e veio jeans "/>
    <d v="2026-07-17T07:45:33"/>
    <m/>
    <n v="1236"/>
    <x v="2"/>
    <n v="350"/>
    <m/>
    <d v="2026-07-17T00:00:00"/>
    <x v="0"/>
  </r>
  <r>
    <x v="165"/>
    <s v="freiresilvaconfeccoes@gmail.com"/>
    <n v="300281476"/>
    <n v="13044826"/>
    <x v="1"/>
    <x v="22"/>
    <n v="23"/>
    <s v="Peças insuficiente."/>
    <m/>
    <s v="."/>
    <d v="2026-07-17T07:48:36"/>
    <m/>
    <n v="1237"/>
    <x v="1"/>
    <s v="*"/>
    <m/>
    <d v="2026-07-17T00:00:00"/>
    <x v="0"/>
  </r>
  <r>
    <x v="165"/>
    <s v="freiresilvaconfeccoes@gmail.com"/>
    <n v="300281476"/>
    <n v="13044826"/>
    <x v="1"/>
    <x v="12"/>
    <n v="7"/>
    <s v="Peças insuficiente. "/>
    <m/>
    <s v="*"/>
    <d v="2026-07-17T07:50:31"/>
    <m/>
    <n v="1238"/>
    <x v="1"/>
    <s v="*"/>
    <m/>
    <d v="2026-07-17T00:00:00"/>
    <x v="0"/>
  </r>
  <r>
    <x v="165"/>
    <s v="freiresilvaconfeccoes@gmail.com"/>
    <n v="300281476"/>
    <n v="13044826"/>
    <x v="1"/>
    <x v="30"/>
    <n v="17"/>
    <s v="Peças insuficiente. "/>
    <m/>
    <s v="São 17 pares. "/>
    <d v="2026-07-17T07:52:49"/>
    <m/>
    <n v="1239"/>
    <x v="1"/>
    <s v="*"/>
    <m/>
    <d v="2026-07-17T00:00:00"/>
    <x v="0"/>
  </r>
  <r>
    <x v="186"/>
    <s v="bjmansourconfec@gmail.com"/>
    <n v="300276881"/>
    <n v="16222954"/>
    <x v="3"/>
    <x v="6"/>
    <n v="216"/>
    <s v="FALANTANDO OS TAMANHOS GG E XG "/>
    <m/>
    <m/>
    <d v="2026-07-17T08:06:26"/>
    <m/>
    <n v="1240"/>
    <x v="1"/>
    <n v="0"/>
    <m/>
    <d v="2026-07-17T00:00:00"/>
    <x v="0"/>
  </r>
  <r>
    <x v="13"/>
    <s v="administrativo@zajaconfeccoes.com.br"/>
    <n v="300276746"/>
    <n v="16510097"/>
    <x v="2"/>
    <x v="17"/>
    <n v="50"/>
    <s v="insuficiente "/>
    <m/>
    <s v="50 pares de cós "/>
    <d v="2026-07-17T08:27:12"/>
    <m/>
    <n v="1241"/>
    <x v="1"/>
    <n v="0"/>
    <m/>
    <d v="2026-07-17T00:00:00"/>
    <x v="0"/>
  </r>
  <r>
    <x v="21"/>
    <s v="potengitextil@outlook.com.br"/>
    <n v="300279127"/>
    <n v="16223780"/>
    <x v="3"/>
    <x v="61"/>
    <n v="1"/>
    <s v="Insuficiente para finalizar ordem"/>
    <m/>
    <m/>
    <d v="2026-07-17T08:30:02"/>
    <m/>
    <n v="1242"/>
    <x v="1"/>
    <n v="0"/>
    <m/>
    <d v="2026-07-17T00:00:00"/>
    <x v="0"/>
  </r>
  <r>
    <x v="2"/>
    <s v="oficinasantos08@outlook.com"/>
    <n v="300277867"/>
    <n v="16474058"/>
    <x v="2"/>
    <x v="61"/>
    <n v="874"/>
    <s v="não encontramos as etiquetas"/>
    <m/>
    <m/>
    <d v="2026-07-17T08:52:36"/>
    <m/>
    <n v="1243"/>
    <x v="2"/>
    <n v="0"/>
    <m/>
    <d v="2026-07-17T00:00:00"/>
    <x v="0"/>
  </r>
  <r>
    <x v="65"/>
    <s v="FORTETECNOLOGIATEXTIL@GMAIL.COM"/>
    <n v="300280719"/>
    <n v="12416746"/>
    <x v="3"/>
    <x v="11"/>
    <s v="2 PISTOLAS E AGULHAS."/>
    <s v="AS PISTOLAS ESTÃO QUEBRANDO OS PINOS. EX.: TORA 5 PINOS PARA PODER COLOCAR UMA ETIQUETA."/>
    <m/>
    <s v="2 PISTOLAS E AGULHAS "/>
    <d v="2026-07-17T08:59:52"/>
    <m/>
    <n v="1244"/>
    <x v="2"/>
    <n v="0"/>
    <m/>
    <d v="2026-07-17T00:00:00"/>
    <x v="0"/>
  </r>
  <r>
    <x v="175"/>
    <s v="confeccaogenesisltda@gmail.com"/>
    <n v="300279697"/>
    <n v="16417216"/>
    <x v="3"/>
    <x v="4"/>
    <s v="M-150"/>
    <s v="VEIO FALTANDO"/>
    <m/>
    <m/>
    <d v="2026-07-17T09:15:59"/>
    <m/>
    <n v="1245"/>
    <x v="1"/>
    <n v="0"/>
    <m/>
    <d v="2026-07-17T00:00:00"/>
    <x v="0"/>
  </r>
  <r>
    <x v="196"/>
    <s v="samuelmedeiros074@hotmail.com"/>
    <n v="300280211"/>
    <n v="15699293"/>
    <x v="2"/>
    <x v="142"/>
    <n v="1617"/>
    <s v="NÃO VEIO NADA DE LINHA FINA PARA OS CHULEADOS E TRAVETES"/>
    <m/>
    <s v="Não veio a linha fina de chuleado e travetes."/>
    <d v="2026-07-17T09:19:15"/>
    <m/>
    <n v="1246"/>
    <x v="2"/>
    <s v="NÃO SEI"/>
    <m/>
    <d v="2026-07-17T00:00:00"/>
    <x v="0"/>
  </r>
  <r>
    <x v="24"/>
    <s v="maxwelaaraujo7@gmail.com"/>
    <n v="300282560"/>
    <n v="14487004"/>
    <x v="1"/>
    <x v="19"/>
    <n v="10"/>
    <s v="MATERIAL ISULFICIENTE PARA FINALIZAR ORDEM"/>
    <m/>
    <m/>
    <d v="2026-07-17T09:58:56"/>
    <m/>
    <n v="1247"/>
    <x v="1"/>
    <n v="10000072018"/>
    <m/>
    <d v="2026-07-17T00:00:00"/>
    <x v="0"/>
  </r>
  <r>
    <x v="24"/>
    <s v="maxwelaaraujo7@gmail.com"/>
    <n v="300282560"/>
    <n v="14487004"/>
    <x v="1"/>
    <x v="142"/>
    <n v="10"/>
    <s v="MATERIAL INSULFICIENTE PARA FINALIZAR ORDEM"/>
    <m/>
    <m/>
    <d v="2026-07-17T10:00:47"/>
    <m/>
    <n v="1248"/>
    <x v="1"/>
    <n v="10000072592"/>
    <m/>
    <d v="2026-07-17T00:00:00"/>
    <x v="0"/>
  </r>
  <r>
    <x v="24"/>
    <s v="maxwelaaraujo7@gmail.com"/>
    <n v="300281011"/>
    <n v="16442660"/>
    <x v="1"/>
    <x v="19"/>
    <n v="10"/>
    <s v="MATERIAL INSULFICIENTE PARA FINALIZAR ORDEM"/>
    <m/>
    <m/>
    <d v="2026-07-17T10:03:02"/>
    <m/>
    <n v="1249"/>
    <x v="1"/>
    <n v="10000071713"/>
    <m/>
    <d v="2026-07-17T00:00:00"/>
    <x v="0"/>
  </r>
  <r>
    <x v="24"/>
    <s v="maxwelaaraujo7@gmail.com"/>
    <n v="300281011"/>
    <n v="16442660"/>
    <x v="1"/>
    <x v="142"/>
    <n v="10"/>
    <s v="MATERIAL INSULFICIENTE PARA FINALIZAR ORDEM"/>
    <m/>
    <m/>
    <d v="2026-07-17T10:04:23"/>
    <m/>
    <n v="1250"/>
    <x v="1"/>
    <n v="10000062750"/>
    <m/>
    <d v="2026-07-17T00:00:00"/>
    <x v="0"/>
  </r>
  <r>
    <x v="37"/>
    <s v="felconfeccao@gmail.com"/>
    <n v="300281662"/>
    <n v="16426010"/>
    <x v="3"/>
    <x v="61"/>
    <n v="6"/>
    <s v="FALTOU"/>
    <m/>
    <m/>
    <d v="2026-07-17T10:31:28"/>
    <m/>
    <n v="1251"/>
    <x v="1"/>
    <n v="0"/>
    <m/>
    <d v="2026-07-17T00:00:00"/>
    <x v="0"/>
  </r>
  <r>
    <x v="37"/>
    <s v="felconfeccao@gmail.com"/>
    <n v="300282446"/>
    <n v="16356780"/>
    <x v="3"/>
    <x v="4"/>
    <n v="100"/>
    <s v="FALTOU"/>
    <m/>
    <m/>
    <d v="2026-07-17T10:32:58"/>
    <m/>
    <n v="1252"/>
    <x v="1"/>
    <n v="0"/>
    <m/>
    <d v="2026-07-17T00:00:00"/>
    <x v="0"/>
  </r>
  <r>
    <x v="20"/>
    <s v="CONFECCAOSAOSEBASTIAO@GMAIL.COM"/>
    <n v="300278569"/>
    <n v="16507657"/>
    <x v="2"/>
    <x v="163"/>
    <s v="7 ROLOS, VIES BOCADA. 15 ROLOS VIES PASSANTE."/>
    <s v="não veio"/>
    <m/>
    <m/>
    <d v="2026-07-17T10:45:17"/>
    <m/>
    <n v="1253"/>
    <x v="2"/>
    <s v="VIES "/>
    <m/>
    <d v="2026-07-17T00:00:00"/>
    <x v="0"/>
  </r>
  <r>
    <x v="32"/>
    <s v="di3confec@gmail.com"/>
    <n v="300276273"/>
    <n v="15858367"/>
    <x v="2"/>
    <x v="12"/>
    <n v="2"/>
    <s v="Material insuficiente"/>
    <m/>
    <s v="CHAMADO Nº-28777"/>
    <d v="2026-07-17T10:46:39"/>
    <m/>
    <n v="1254"/>
    <x v="1"/>
    <n v="0"/>
    <m/>
    <d v="2026-07-17T00:00:00"/>
    <x v="0"/>
  </r>
  <r>
    <x v="37"/>
    <s v="felconfeccao@gmail.com"/>
    <n v="300282446"/>
    <n v="16356780"/>
    <x v="3"/>
    <x v="61"/>
    <n v="10"/>
    <s v="FALTOU"/>
    <m/>
    <m/>
    <d v="2026-07-17T10:47:15"/>
    <m/>
    <n v="1255"/>
    <x v="1"/>
    <n v="0"/>
    <m/>
    <d v="2026-07-17T00:00:00"/>
    <x v="0"/>
  </r>
  <r>
    <x v="31"/>
    <s v="administrativo@zajaconfeccoes.com.br"/>
    <n v="300280083"/>
    <n v="16223691"/>
    <x v="3"/>
    <x v="163"/>
    <n v="250"/>
    <s v="insuficiente "/>
    <m/>
    <s v="viés de degolo"/>
    <d v="2026-07-17T11:00:04"/>
    <m/>
    <n v="1256"/>
    <x v="1"/>
    <n v="0"/>
    <m/>
    <d v="2026-07-17T00:00:00"/>
    <x v="0"/>
  </r>
  <r>
    <x v="13"/>
    <s v="administrativo@zajaconfeccoes.com.br"/>
    <n v="300281183"/>
    <n v="16223462"/>
    <x v="3"/>
    <x v="61"/>
    <n v="9"/>
    <s v="insuficiente "/>
    <m/>
    <m/>
    <d v="2026-07-17T11:01:44"/>
    <m/>
    <n v="1257"/>
    <x v="1"/>
    <n v="0"/>
    <m/>
    <d v="2026-07-17T00:00:00"/>
    <x v="0"/>
  </r>
  <r>
    <x v="171"/>
    <s v="confeccoesgbdas@hotmail.com"/>
    <n v="300275626"/>
    <n v="16480457"/>
    <x v="3"/>
    <x v="61"/>
    <n v="25"/>
    <s v="FALTA DE ETIQUETA PARA FINALIZAR OP"/>
    <m/>
    <m/>
    <d v="2026-07-17T12:45:34"/>
    <m/>
    <n v="1258"/>
    <x v="1"/>
    <n v="16480457"/>
    <m/>
    <d v="2026-07-17T00:00:00"/>
    <x v="0"/>
  </r>
  <r>
    <x v="171"/>
    <s v="confeccoesgbdas@hotmail.com"/>
    <n v="300277976"/>
    <n v="16309510"/>
    <x v="3"/>
    <x v="4"/>
    <n v="15"/>
    <s v="FALTOU ETIQUETA DE PREÇO PARA FINALIZAR OP "/>
    <m/>
    <m/>
    <d v="2026-07-17T12:46:56"/>
    <m/>
    <n v="1259"/>
    <x v="1"/>
    <n v="16309510"/>
    <m/>
    <d v="2026-07-17T00:00:00"/>
    <x v="0"/>
  </r>
  <r>
    <x v="185"/>
    <s v="fernandoassu@gmail.com"/>
    <n v="300277463"/>
    <n v="15773469"/>
    <x v="2"/>
    <x v="5"/>
    <n v="1000"/>
    <s v="Não enviado pela guararapes"/>
    <m/>
    <s v="filme para fusionar passante "/>
    <d v="2026-07-17T12:52:43"/>
    <m/>
    <n v="1260"/>
    <x v="2"/>
    <n v="150"/>
    <m/>
    <d v="2026-07-17T00:00:00"/>
    <x v="0"/>
  </r>
  <r>
    <x v="181"/>
    <s v="asaequador@gmail.com"/>
    <n v="300277546"/>
    <n v="16523806"/>
    <x v="2"/>
    <x v="13"/>
    <n v="114"/>
    <s v="veio com a etiqueta errada ,a etiqueta dis tamanho 10cm ,mas não é , medir é tamanho 12cm"/>
    <m/>
    <s v="a etiqueta veio tamanho 10cm ,mas não é ."/>
    <d v="2026-07-17T13:27:49"/>
    <m/>
    <n v="1261"/>
    <x v="1"/>
    <n v="10000064831"/>
    <m/>
    <d v="2026-07-17T00:00:00"/>
    <x v="0"/>
  </r>
  <r>
    <x v="29"/>
    <s v="pea2015confeccoes@hotmail.com"/>
    <n v="300276227"/>
    <n v="15187632"/>
    <x v="2"/>
    <x v="17"/>
    <n v="35"/>
    <s v="Insuficiente para finalizar ordem."/>
    <m/>
    <s v="35 pares de cós, no tamanho 46"/>
    <d v="2026-07-17T13:51:53"/>
    <m/>
    <n v="1262"/>
    <x v="1"/>
    <n v="0"/>
    <m/>
    <d v="2026-07-17T00:00:00"/>
    <x v="0"/>
  </r>
  <r>
    <x v="60"/>
    <s v="mkdeazevedomedeiros@gmail.com"/>
    <n v="300272528"/>
    <n v="16447964"/>
    <x v="2"/>
    <x v="18"/>
    <n v="1280"/>
    <s v="REPROVAÇÃO POR MEDIDAS"/>
    <m/>
    <m/>
    <d v="2026-07-17T14:07:56"/>
    <m/>
    <n v="1263"/>
    <x v="2"/>
    <s v="-"/>
    <m/>
    <d v="2026-07-17T00:00:00"/>
    <x v="0"/>
  </r>
  <r>
    <x v="162"/>
    <s v="faccaoello@hotmail.com"/>
    <n v="300280288"/>
    <n v="16447603"/>
    <x v="2"/>
    <x v="22"/>
    <n v="16"/>
    <s v="Material não enviado pela Guararapes"/>
    <m/>
    <m/>
    <d v="2026-07-17T14:26:01"/>
    <m/>
    <n v="1264"/>
    <x v="1"/>
    <n v="0"/>
    <m/>
    <d v="2026-07-17T00:00:00"/>
    <x v="0"/>
  </r>
  <r>
    <x v="35"/>
    <s v="lupercio-fnb@hotmail.com"/>
    <n v="300280204"/>
    <n v="16243145"/>
    <x v="2"/>
    <x v="142"/>
    <n v="20"/>
    <s v="Quantidade insuficiente Enviada pela guararpes"/>
    <m/>
    <s v="Linha tit-36 cor preta."/>
    <d v="2026-07-17T14:28:55"/>
    <m/>
    <n v="1265"/>
    <x v="1"/>
    <n v="10000073313"/>
    <m/>
    <d v="2026-07-17T00:00:00"/>
    <x v="0"/>
  </r>
  <r>
    <x v="18"/>
    <s v="ebenezerindustriat@hotmail.com"/>
    <n v="300282467"/>
    <n v="16441656"/>
    <x v="3"/>
    <x v="6"/>
    <n v="117"/>
    <s v="Material não enviado pela Guararapes"/>
    <m/>
    <m/>
    <d v="2026-07-17T14:41:38"/>
    <m/>
    <n v="1266"/>
    <x v="1"/>
    <n v="0"/>
    <m/>
    <d v="2026-07-17T00:00:00"/>
    <x v="0"/>
  </r>
  <r>
    <x v="34"/>
    <s v="dantasepaulino@gmail.com"/>
    <n v="300277468"/>
    <n v="16473965"/>
    <x v="2"/>
    <x v="13"/>
    <n v="114"/>
    <s v="Faltando "/>
    <m/>
    <s v="114 zíper "/>
    <d v="2026-07-17T14:42:06"/>
    <m/>
    <n v="1267"/>
    <x v="1"/>
    <n v="10000065169"/>
    <m/>
    <d v="2026-07-17T00:00:00"/>
    <x v="0"/>
  </r>
  <r>
    <x v="34"/>
    <s v="dantasepaulino@gmail.com"/>
    <n v="300277468"/>
    <n v="16473965"/>
    <x v="2"/>
    <x v="18"/>
    <n v="75"/>
    <s v="Faltando "/>
    <m/>
    <s v="75 etiquetas "/>
    <d v="2026-07-17T14:54:14"/>
    <m/>
    <n v="1268"/>
    <x v="1"/>
    <n v="10000214499"/>
    <m/>
    <d v="2026-07-17T00:00:00"/>
    <x v="0"/>
  </r>
  <r>
    <x v="34"/>
    <s v="dantasepaulino@gmail.com"/>
    <n v="300277455"/>
    <n v="16473965"/>
    <x v="2"/>
    <x v="49"/>
    <n v="75"/>
    <s v="Faltando "/>
    <m/>
    <s v="Faltando "/>
    <d v="2026-07-17T15:15:03"/>
    <m/>
    <n v="1269"/>
    <x v="2"/>
    <n v="10000214499"/>
    <m/>
    <d v="2026-07-17T00:00:00"/>
    <x v="0"/>
  </r>
  <r>
    <x v="181"/>
    <s v="asaequador@gmaial.com"/>
    <n v="300275035"/>
    <n v="16482204"/>
    <x v="2"/>
    <x v="17"/>
    <s v="30 par"/>
    <s v="veio faltando 30 cós ext 30 cós int"/>
    <m/>
    <s v="veio faltando não dá pra concluir a ordem."/>
    <d v="2026-07-17T15:34:48"/>
    <m/>
    <n v="1270"/>
    <x v="1"/>
    <n v="0"/>
    <m/>
    <d v="2026-07-17T00:00:00"/>
    <x v="0"/>
  </r>
  <r>
    <x v="175"/>
    <s v="confeccaogenesisltda@gmail.com"/>
    <n v="300282857"/>
    <n v="16310950"/>
    <x v="0"/>
    <x v="61"/>
    <n v="16"/>
    <s v="VEIO FALTANDO"/>
    <m/>
    <m/>
    <d v="2026-07-17T15:50:47"/>
    <m/>
    <n v="1271"/>
    <x v="1"/>
    <n v="0"/>
    <m/>
    <d v="2026-07-17T00:00:00"/>
    <x v="0"/>
  </r>
  <r>
    <x v="175"/>
    <s v="confeccaogenesisltda@gmail.com"/>
    <n v="300282857"/>
    <n v="16310950"/>
    <x v="0"/>
    <x v="56"/>
    <n v="20"/>
    <s v="VEIO FALTANDO"/>
    <m/>
    <s v="ETIQUETA DE MARCA"/>
    <d v="2026-07-17T15:52:53"/>
    <m/>
    <n v="1272"/>
    <x v="1"/>
    <n v="10000209075"/>
    <m/>
    <d v="2026-07-17T00:00:00"/>
    <x v="0"/>
  </r>
  <r>
    <x v="181"/>
    <s v="asaequador@gmail.com"/>
    <n v="300275035"/>
    <n v="16482204"/>
    <x v="2"/>
    <x v="17"/>
    <s v="30 par"/>
    <s v="veio faltando30 cósext ,30int"/>
    <m/>
    <s v="tá faltando 30 par  ,pra concluir a ordem."/>
    <d v="2026-07-17T16:03:33"/>
    <m/>
    <n v="1273"/>
    <x v="1"/>
    <n v="0"/>
    <m/>
    <d v="2026-07-17T00:00:00"/>
    <x v="0"/>
  </r>
  <r>
    <x v="60"/>
    <s v="mkdeazevedomedeiros@gmail.com"/>
    <n v="300272528"/>
    <n v="16447964"/>
    <x v="2"/>
    <x v="49"/>
    <n v="1280"/>
    <s v="RETRABALHO"/>
    <m/>
    <m/>
    <d v="2026-07-17T16:16:45"/>
    <m/>
    <n v="1274"/>
    <x v="2"/>
    <s v="-"/>
    <m/>
    <d v="2026-07-17T00:00:00"/>
    <x v="0"/>
  </r>
  <r>
    <x v="60"/>
    <s v="mkdeazevedomedeiros@gmail.com"/>
    <n v="300272528"/>
    <n v="16447964"/>
    <x v="2"/>
    <x v="61"/>
    <n v="1280"/>
    <s v="RETRABALHO"/>
    <m/>
    <m/>
    <d v="2026-07-17T16:18:04"/>
    <m/>
    <n v="1275"/>
    <x v="2"/>
    <s v="-"/>
    <m/>
    <d v="2026-07-17T00:00:00"/>
    <x v="0"/>
  </r>
  <r>
    <x v="181"/>
    <s v="asaequador@gmail.com"/>
    <n v="300277546"/>
    <n v="16523806"/>
    <x v="2"/>
    <x v="5"/>
    <n v="8"/>
    <s v="estamos sem pra fazer passante"/>
    <m/>
    <s v="não temos filme pra fazer os passantes"/>
    <d v="2026-07-17T16:27:20"/>
    <m/>
    <n v="1276"/>
    <x v="2"/>
    <n v="0"/>
    <m/>
    <d v="2026-07-17T00:00:00"/>
    <x v="0"/>
  </r>
  <r>
    <x v="13"/>
    <s v="administrativo@zajaconfeccoes.com.br"/>
    <n v="300281200"/>
    <n v="16543084"/>
    <x v="0"/>
    <x v="163"/>
    <n v="216"/>
    <s v="os viés vieram cortados de forma que não conseguimos costurar"/>
    <m/>
    <m/>
    <d v="2026-07-17T16:49:21"/>
    <m/>
    <n v="1277"/>
    <x v="2"/>
    <n v="0"/>
    <m/>
    <d v="2026-07-17T00:00:00"/>
    <x v="0"/>
  </r>
  <r>
    <x v="18"/>
    <s v="ebenezerindustriat@hotmail.com"/>
    <n v="300280730"/>
    <n v="12416746"/>
    <x v="3"/>
    <x v="61"/>
    <n v="30"/>
    <s v="Material não enviado pela Guararapes"/>
    <m/>
    <m/>
    <d v="2026-07-17T16:51:11"/>
    <m/>
    <n v="1278"/>
    <x v="1"/>
    <n v="0"/>
    <m/>
    <d v="2026-07-17T00:00:00"/>
    <x v="0"/>
  </r>
  <r>
    <x v="162"/>
    <s v="faccaoello@hotmail.com"/>
    <n v="300275800"/>
    <n v="16218949"/>
    <x v="2"/>
    <x v="61"/>
    <n v="3"/>
    <s v="Material não enviado pela Guararapes"/>
    <m/>
    <m/>
    <d v="2026-07-17T17:10:58"/>
    <m/>
    <n v="1279"/>
    <x v="1"/>
    <n v="0"/>
    <m/>
    <d v="2026-07-17T00:00:00"/>
    <x v="0"/>
  </r>
  <r>
    <x v="35"/>
    <s v="lupercio-fnb@hotmail.com"/>
    <n v="300281468"/>
    <n v="13044826"/>
    <x v="1"/>
    <x v="6"/>
    <n v="70"/>
    <s v="Faltando em ordem no processo"/>
    <m/>
    <s v="Atenção, o mais breve possível "/>
    <d v="2026-07-17T17:15:31"/>
    <m/>
    <n v="1280"/>
    <x v="1"/>
    <n v="0"/>
    <m/>
    <d v="2026-07-17T00:00:00"/>
    <x v="0"/>
  </r>
  <r>
    <x v="31"/>
    <s v="administrativo@zajaconfeccoes.com.br"/>
    <n v="300281188"/>
    <n v="16017013"/>
    <x v="3"/>
    <x v="61"/>
    <n v="154"/>
    <s v="insuficiente"/>
    <m/>
    <m/>
    <d v="2026-07-18T07:27:17"/>
    <m/>
    <n v="1281"/>
    <x v="1"/>
    <n v="0"/>
    <m/>
    <d v="2026-07-18T00:00:00"/>
    <x v="0"/>
  </r>
  <r>
    <x v="26"/>
    <s v="cabugiconfeccoes.adm@gmail.com"/>
    <n v="300277904"/>
    <n v="16292987"/>
    <x v="2"/>
    <x v="142"/>
    <n v="5"/>
    <s v="QUANTIDADE ENVIADA NÃO É SUFICIENTE PARA CONCLUIR A OP"/>
    <m/>
    <s v="QUANTIDADE ENVIADA NÃO É SUFICIENTE PARA CONCLUIR A OP"/>
    <d v="2026-07-18T07:36:51"/>
    <m/>
    <n v="1282"/>
    <x v="2"/>
    <n v="10000073408"/>
    <m/>
    <d v="2026-07-18T00:00:00"/>
    <x v="0"/>
  </r>
  <r>
    <x v="44"/>
    <s v="teceuzl@hotmail.com"/>
    <n v="300281467"/>
    <n v="13044826"/>
    <x v="1"/>
    <x v="4"/>
    <n v="962"/>
    <s v="NÃO ENVIADA"/>
    <m/>
    <m/>
    <d v="2026-07-19T08:45:19"/>
    <m/>
    <n v="1283"/>
    <x v="2"/>
    <n v="0"/>
    <m/>
    <d v="2026-07-19T00:00:00"/>
    <x v="0"/>
  </r>
  <r>
    <x v="212"/>
    <s v="marionetemedeiros2@hotmail.com"/>
    <n v="300280217"/>
    <n v="16473825"/>
    <x v="2"/>
    <x v="5"/>
    <n v="3"/>
    <s v="Está acabando"/>
    <m/>
    <s v="Plástico filme para os passantes."/>
    <d v="2026-07-20T08:00:04"/>
    <m/>
    <n v="1284"/>
    <x v="1"/>
    <n v="0"/>
    <m/>
    <d v="2026-07-20T00:00:00"/>
    <x v="0"/>
  </r>
  <r>
    <x v="174"/>
    <s v="jakeline.jl.confeccoes@gmail.com"/>
    <n v="300273035"/>
    <n v="16243943"/>
    <x v="2"/>
    <x v="49"/>
    <n v="6"/>
    <s v="Insuficiente para finalizar as peças"/>
    <m/>
    <s v="Insuficiente para finalizar as peças"/>
    <d v="2026-07-20T08:27:30"/>
    <m/>
    <n v="1285"/>
    <x v="1"/>
    <s v="10000216488; 10000216487; 10000216484"/>
    <m/>
    <d v="2026-07-20T00:00:00"/>
    <x v="0"/>
  </r>
  <r>
    <x v="162"/>
    <s v="faccaoello@hotmail.com"/>
    <n v="300281903"/>
    <n v="16218990"/>
    <x v="2"/>
    <x v="18"/>
    <n v="1479"/>
    <s v="Material não enviado pela Guararapes"/>
    <m/>
    <s v="NÃO VEIO NENHUM ELASTICO E NENHUM CODIGO"/>
    <d v="2026-07-20T08:31:59"/>
    <m/>
    <n v="1286"/>
    <x v="2"/>
    <n v="0"/>
    <m/>
    <d v="2026-07-20T00:00:00"/>
    <x v="0"/>
  </r>
  <r>
    <x v="174"/>
    <s v="jakeline.jl.confeccoes@gmail.com"/>
    <n v="300280614"/>
    <n v="16243994"/>
    <x v="2"/>
    <x v="49"/>
    <n v="15"/>
    <s v="Insuficiente para finalizar as peças"/>
    <m/>
    <s v="Insuficiente para finalizar as peças"/>
    <d v="2026-07-20T08:32:55"/>
    <m/>
    <n v="1287"/>
    <x v="1"/>
    <s v="10000216488; 10000216487"/>
    <m/>
    <d v="2026-07-20T00:00:00"/>
    <x v="0"/>
  </r>
  <r>
    <x v="13"/>
    <s v="administrativo@zajaconfeccoes.com.br"/>
    <n v="300281200"/>
    <n v="16543084"/>
    <x v="0"/>
    <x v="56"/>
    <n v="6"/>
    <s v="insuficiente "/>
    <m/>
    <m/>
    <d v="2026-07-20T08:33:02"/>
    <m/>
    <n v="1288"/>
    <x v="1"/>
    <n v="10000254720"/>
    <m/>
    <d v="2026-07-20T00:00:00"/>
    <x v="0"/>
  </r>
  <r>
    <x v="191"/>
    <s v="lctextil@outlook.com.br"/>
    <n v="300283628"/>
    <n v="16229320"/>
    <x v="3"/>
    <x v="11"/>
    <n v="1"/>
    <s v="Material com defeito "/>
    <m/>
    <m/>
    <d v="2026-07-20T09:44:58"/>
    <m/>
    <n v="1289"/>
    <x v="2"/>
    <n v="0"/>
    <m/>
    <d v="2026-07-20T00:00:00"/>
    <x v="0"/>
  </r>
  <r>
    <x v="191"/>
    <s v="lctextil@outlook.com.br"/>
    <n v="300276545"/>
    <n v="16481453"/>
    <x v="3"/>
    <x v="11"/>
    <n v="1"/>
    <s v="Material com defeito "/>
    <m/>
    <m/>
    <d v="2026-07-20T09:46:03"/>
    <m/>
    <n v="1290"/>
    <x v="2"/>
    <n v="0"/>
    <m/>
    <d v="2026-07-20T00:00:00"/>
    <x v="0"/>
  </r>
  <r>
    <x v="178"/>
    <s v="faccao_sales2010@hotmail.com"/>
    <n v="300275623"/>
    <n v="16462980"/>
    <x v="3"/>
    <x v="4"/>
    <n v="120"/>
    <s v="REPROVADA"/>
    <m/>
    <m/>
    <d v="2026-07-20T09:57:27"/>
    <m/>
    <n v="1291"/>
    <x v="1"/>
    <s v="-"/>
    <m/>
    <d v="2026-07-20T00:00:00"/>
    <x v="0"/>
  </r>
  <r>
    <x v="185"/>
    <s v="fernandoassu@gmail.com"/>
    <n v="300281921"/>
    <n v="16561392"/>
    <x v="2"/>
    <x v="61"/>
    <s v="40 - TAM 9-10"/>
    <s v="NÃO ENVIADO PELA GUARARAPES"/>
    <m/>
    <m/>
    <d v="2026-07-20T10:33:46"/>
    <m/>
    <n v="1292"/>
    <x v="1"/>
    <n v="150"/>
    <m/>
    <d v="2026-07-20T00:00:00"/>
    <x v="0"/>
  </r>
  <r>
    <x v="13"/>
    <s v="administrativo@zajaconfeccoes.com.br"/>
    <n v="300281191"/>
    <n v="16017013"/>
    <x v="3"/>
    <x v="4"/>
    <n v="80"/>
    <s v="insuficiente "/>
    <m/>
    <m/>
    <d v="2026-07-20T10:36:25"/>
    <m/>
    <n v="1293"/>
    <x v="1"/>
    <n v="0"/>
    <m/>
    <d v="2026-07-20T00:00:00"/>
    <x v="0"/>
  </r>
  <r>
    <x v="170"/>
    <s v="neemias.sc@hotmail.com"/>
    <n v="300280215"/>
    <n v="16473825"/>
    <x v="2"/>
    <x v="45"/>
    <n v="173"/>
    <s v="QUANTIDADE INSUFICIENTE"/>
    <m/>
    <m/>
    <d v="2026-07-20T10:37:25"/>
    <m/>
    <n v="1294"/>
    <x v="1"/>
    <n v="10000073235"/>
    <m/>
    <d v="2026-07-20T00:00:00"/>
    <x v="0"/>
  </r>
  <r>
    <x v="165"/>
    <s v="freiresilvaconfeccoes@gmail.com"/>
    <n v="300282530"/>
    <n v="15238385"/>
    <x v="1"/>
    <x v="4"/>
    <n v="630"/>
    <s v="Não foi enviado pela GUARARAPES."/>
    <m/>
    <s v="*"/>
    <d v="2026-07-20T11:13:40"/>
    <m/>
    <n v="1295"/>
    <x v="1"/>
    <s v="*"/>
    <m/>
    <d v="2026-07-20T00:00:00"/>
    <x v="0"/>
  </r>
  <r>
    <x v="175"/>
    <s v="confeccaogenesisltda@gmail.com"/>
    <n v="300282856"/>
    <n v="16310950"/>
    <x v="0"/>
    <x v="61"/>
    <n v="21"/>
    <s v="VEIO FALTANDO"/>
    <m/>
    <m/>
    <d v="2026-07-20T11:20:22"/>
    <m/>
    <n v="1296"/>
    <x v="1"/>
    <n v="0"/>
    <m/>
    <d v="2026-07-20T00:00:00"/>
    <x v="0"/>
  </r>
  <r>
    <x v="185"/>
    <s v="fernandoassu@gmail.com"/>
    <n v="300283152"/>
    <n v="16218019"/>
    <x v="2"/>
    <x v="61"/>
    <s v="60 etiquetas - tam 13-14"/>
    <s v="Não enviado pela guararapes "/>
    <m/>
    <m/>
    <d v="2026-07-20T12:47:51"/>
    <m/>
    <n v="1297"/>
    <x v="1"/>
    <n v="150"/>
    <m/>
    <d v="2026-07-20T00:00:00"/>
    <x v="0"/>
  </r>
  <r>
    <x v="185"/>
    <s v="fernandoassu@gmail.com"/>
    <n v="300281921"/>
    <n v="16561392"/>
    <x v="2"/>
    <x v="13"/>
    <s v="70 ziper 10 cm/ TAM 8-9"/>
    <s v="não veio "/>
    <m/>
    <m/>
    <d v="2026-07-20T13:17:43"/>
    <m/>
    <n v="1298"/>
    <x v="1"/>
    <n v="150"/>
    <m/>
    <d v="2026-07-20T00:00:00"/>
    <x v="0"/>
  </r>
  <r>
    <x v="185"/>
    <s v="fernandoassu@gmail.com"/>
    <n v="300281921"/>
    <n v="16561392"/>
    <x v="2"/>
    <x v="55"/>
    <s v="70 tam 8-9"/>
    <s v="Não enviado "/>
    <m/>
    <m/>
    <d v="2026-07-20T13:19:54"/>
    <m/>
    <n v="1299"/>
    <x v="1"/>
    <n v="150"/>
    <m/>
    <d v="2026-07-20T00:00:00"/>
    <x v="0"/>
  </r>
  <r>
    <x v="185"/>
    <s v="fernandoassu@gmail.com"/>
    <n v="300281921"/>
    <n v="16561392"/>
    <x v="2"/>
    <x v="143"/>
    <s v="70 tam 8-9"/>
    <s v="Não enviado "/>
    <m/>
    <m/>
    <d v="2026-07-20T13:21:09"/>
    <m/>
    <n v="1300"/>
    <x v="1"/>
    <n v="150"/>
    <m/>
    <d v="2026-07-20T00:00:00"/>
    <x v="0"/>
  </r>
  <r>
    <x v="82"/>
    <s v="vitalizeconfeccoes@gmail.com"/>
    <n v="300280716"/>
    <n v="16491963"/>
    <x v="3"/>
    <x v="6"/>
    <n v="15"/>
    <s v="insuficiente para finaliza a ordem "/>
    <m/>
    <m/>
    <d v="2026-07-20T13:28:39"/>
    <m/>
    <n v="1301"/>
    <x v="1"/>
    <n v="0"/>
    <m/>
    <d v="2026-07-20T00:00:00"/>
    <x v="0"/>
  </r>
  <r>
    <x v="200"/>
    <s v="g4confeccao@gmail.com"/>
    <n v="300280652"/>
    <n v="16522885"/>
    <x v="2"/>
    <x v="142"/>
    <n v="80000"/>
    <s v="Não veio suficiente"/>
    <m/>
    <s v="Precisamos dessa linha com urgência"/>
    <d v="2026-07-20T13:45:24"/>
    <m/>
    <n v="1302"/>
    <x v="1"/>
    <n v="10000073313"/>
    <m/>
    <d v="2026-07-20T00:00:00"/>
    <x v="0"/>
  </r>
  <r>
    <x v="166"/>
    <s v="w.anny.k@hotmail.com"/>
    <n v="300280121"/>
    <n v="15943720"/>
    <x v="2"/>
    <x v="61"/>
    <n v="40"/>
    <s v="VEIO FALTANDO"/>
    <m/>
    <m/>
    <d v="2026-07-20T13:45:41"/>
    <m/>
    <n v="1303"/>
    <x v="1"/>
    <n v="0"/>
    <m/>
    <d v="2026-07-20T00:00:00"/>
    <x v="0"/>
  </r>
  <r>
    <x v="185"/>
    <s v="fernandoassu@gmail.com"/>
    <n v="300281921"/>
    <n v="16561392"/>
    <x v="2"/>
    <x v="17"/>
    <s v="40 tam 8-9"/>
    <s v="Não enviado "/>
    <m/>
    <m/>
    <d v="2026-07-20T13:56:37"/>
    <m/>
    <n v="1304"/>
    <x v="1"/>
    <n v="150"/>
    <m/>
    <d v="2026-07-20T00:00:00"/>
    <x v="0"/>
  </r>
  <r>
    <x v="180"/>
    <s v="lajedoconf5@gmail.com"/>
    <n v="300280668"/>
    <n v="16522885"/>
    <x v="2"/>
    <x v="26"/>
    <n v="96"/>
    <s v="não veio junto com a ordem"/>
    <m/>
    <s v="estamos precisando com urgência , ordem esta no processo"/>
    <d v="2026-07-20T14:03:35"/>
    <m/>
    <n v="1305"/>
    <x v="1"/>
    <n v="0"/>
    <m/>
    <d v="2026-07-20T00:00:00"/>
    <x v="0"/>
  </r>
  <r>
    <x v="49"/>
    <s v="s.ramosconfeccoes@gmail.com"/>
    <n v="300281069"/>
    <n v="16218159"/>
    <x v="2"/>
    <x v="13"/>
    <n v="120"/>
    <s v="Veio faltando120 ziper"/>
    <m/>
    <s v="Veio faltando, e estou precisando para finalizar a ordem"/>
    <d v="2026-07-20T14:44:16"/>
    <m/>
    <n v="1306"/>
    <x v="1"/>
    <n v="10000211550"/>
    <m/>
    <d v="2026-07-20T00:00:00"/>
    <x v="0"/>
  </r>
  <r>
    <x v="11"/>
    <s v="S.a.confeccoesind@gmail.com"/>
    <n v="300280667"/>
    <n v="16187539"/>
    <x v="2"/>
    <x v="5"/>
    <n v="100000"/>
    <s v="material insuficiente para finalizar op"/>
    <m/>
    <s v="Plástico de fusionar passante"/>
    <d v="2026-07-20T14:46:51"/>
    <m/>
    <n v="1307"/>
    <x v="1"/>
    <n v="0"/>
    <m/>
    <d v="2026-07-20T00:00:00"/>
    <x v="0"/>
  </r>
  <r>
    <x v="213"/>
    <s v="seridoconfeccoes@gmail.com"/>
    <n v="300273316"/>
    <n v="15775615"/>
    <x v="2"/>
    <x v="143"/>
    <n v="70"/>
    <s v="corte acimetrico"/>
    <m/>
    <s v="perdigal veio com o corte errado, na parte de baixo com apenas 3,5 cm. fica impossível de fazer o jota com a largura correta"/>
    <d v="2026-07-20T15:14:36"/>
    <m/>
    <n v="1308"/>
    <x v="1"/>
    <n v="0"/>
    <m/>
    <d v="2026-07-20T00:00:00"/>
    <x v="0"/>
  </r>
  <r>
    <x v="185"/>
    <s v="fernandoassu@gmail.com"/>
    <n v="300281920"/>
    <n v="16561392"/>
    <x v="2"/>
    <x v="49"/>
    <s v="70 tam 9-10"/>
    <s v="não enviado "/>
    <m/>
    <m/>
    <d v="2026-07-20T15:22:25"/>
    <m/>
    <n v="1309"/>
    <x v="1"/>
    <n v="150"/>
    <m/>
    <d v="2026-07-20T00:00:00"/>
    <x v="0"/>
  </r>
  <r>
    <x v="162"/>
    <s v="faccaoello@hotmail.com"/>
    <n v="300277057"/>
    <n v="16217420"/>
    <x v="2"/>
    <x v="24"/>
    <n v="145"/>
    <s v="Material não enviado pela Guararapes"/>
    <m/>
    <m/>
    <d v="2026-07-20T15:23:12"/>
    <m/>
    <n v="1310"/>
    <x v="1"/>
    <n v="0"/>
    <m/>
    <d v="2026-07-20T00:00:00"/>
    <x v="0"/>
  </r>
  <r>
    <x v="191"/>
    <s v="lctextil@outlook.com.br"/>
    <n v="300281896"/>
    <n v="16099834"/>
    <x v="3"/>
    <x v="6"/>
    <n v="80"/>
    <s v="Material com defeito "/>
    <m/>
    <m/>
    <d v="2026-07-20T15:40:03"/>
    <m/>
    <n v="1311"/>
    <x v="1"/>
    <n v="0"/>
    <m/>
    <d v="2026-07-20T00:00:00"/>
    <x v="0"/>
  </r>
  <r>
    <x v="178"/>
    <s v="faccao_sales2010@hotmail.com"/>
    <n v="300282880"/>
    <n v="16443136"/>
    <x v="3"/>
    <x v="22"/>
    <n v="104"/>
    <s v="NAO ENVIADO PELA GUARARAPES"/>
    <m/>
    <m/>
    <d v="2026-07-20T15:40:12"/>
    <m/>
    <n v="1312"/>
    <x v="1"/>
    <s v="-"/>
    <m/>
    <d v="2026-07-20T00:00:00"/>
    <x v="0"/>
  </r>
  <r>
    <x v="188"/>
    <s v="tendenciaconfec@gmail.com"/>
    <n v="300280185"/>
    <n v="15775496"/>
    <x v="2"/>
    <x v="61"/>
    <n v="6"/>
    <s v="FALTA PARA FINALIZAR OP"/>
    <m/>
    <m/>
    <d v="2026-07-20T15:42:59"/>
    <m/>
    <n v="1313"/>
    <x v="1"/>
    <s v="ETIQUETA DE COMPOSIÇÃO"/>
    <m/>
    <d v="2026-07-20T00:00:00"/>
    <x v="0"/>
  </r>
  <r>
    <x v="63"/>
    <s v="acaritextil2801@gmail.com"/>
    <n v="300276223"/>
    <n v="15859177"/>
    <x v="2"/>
    <x v="142"/>
    <n v="10000"/>
    <s v="INSUFICIENTE "/>
    <m/>
    <s v="LINHA 100%CO TIT40 C.0CRUA"/>
    <d v="2026-07-20T16:27:34"/>
    <m/>
    <n v="1314"/>
    <x v="1"/>
    <n v="10000064069"/>
    <m/>
    <d v="2026-07-20T00:00:00"/>
    <x v="0"/>
  </r>
  <r>
    <x v="181"/>
    <s v="asaequador@gmail.com"/>
    <n v="300282285"/>
    <n v="16488393"/>
    <x v="2"/>
    <x v="142"/>
    <s v="pra ordem toda"/>
    <s v="não veio"/>
    <m/>
    <s v="nãorecebemos a linha tit 50 c.35"/>
    <d v="2026-07-20T16:29:00"/>
    <m/>
    <n v="1315"/>
    <x v="1"/>
    <n v="10000062569"/>
    <m/>
    <d v="2026-07-20T00:00:00"/>
    <x v="0"/>
  </r>
  <r>
    <x v="63"/>
    <s v="acaritextil2801@gmail.com"/>
    <n v="300276223"/>
    <n v="15859177"/>
    <x v="2"/>
    <x v="142"/>
    <n v="40000"/>
    <s v="INSUFICIENTE "/>
    <m/>
    <s v="LINHA 100%C0 TIT20  C.0CRUA"/>
    <d v="2026-07-20T16:32:03"/>
    <m/>
    <n v="1316"/>
    <x v="1"/>
    <n v="10000064067"/>
    <m/>
    <d v="2026-07-20T00:00:00"/>
    <x v="0"/>
  </r>
  <r>
    <x v="176"/>
    <s v="hiconfeccao@gmail.com"/>
    <n v="300275423"/>
    <n v="16217861"/>
    <x v="2"/>
    <x v="61"/>
    <n v="21"/>
    <s v="Porque o que  veio, é insuficiente para concluir a OP."/>
    <m/>
    <s v="Pedido de Etiquetas de Composição."/>
    <d v="2026-07-20T16:40:38"/>
    <m/>
    <n v="1317"/>
    <x v="1"/>
    <s v="10000220032/10000220031/10000219954"/>
    <m/>
    <d v="2026-07-20T00:00:00"/>
    <x v="0"/>
  </r>
  <r>
    <x v="21"/>
    <s v="potengitextil@outlook.com.br"/>
    <n v="300279289"/>
    <n v="16027213"/>
    <x v="2"/>
    <x v="61"/>
    <n v="6"/>
    <s v="Faltou na ordem"/>
    <m/>
    <m/>
    <d v="2026-07-20T16:49:22"/>
    <m/>
    <n v="1318"/>
    <x v="1"/>
    <n v="0"/>
    <m/>
    <d v="2026-07-20T00:00:00"/>
    <x v="0"/>
  </r>
  <r>
    <x v="181"/>
    <s v="asaequador@gmail.com"/>
    <n v="300277546"/>
    <n v="16523806"/>
    <x v="2"/>
    <x v="61"/>
    <n v="10"/>
    <s v="veio faltando"/>
    <m/>
    <s v="insuficiente pra concluir ordem"/>
    <d v="2026-07-20T19:19:49"/>
    <m/>
    <n v="1319"/>
    <x v="1"/>
    <n v="0"/>
    <m/>
    <d v="2026-07-20T00:00:00"/>
    <x v="0"/>
  </r>
  <r>
    <x v="21"/>
    <s v="potengitextil@outlook.com.br"/>
    <n v="300281896"/>
    <n v="16099834"/>
    <x v="3"/>
    <x v="4"/>
    <n v="50"/>
    <s v="Insuficiente para finalizar ordem "/>
    <m/>
    <m/>
    <d v="2026-07-21T07:35:34"/>
    <m/>
    <n v="1320"/>
    <x v="1"/>
    <n v="0"/>
    <m/>
    <d v="2026-07-21T00:00:00"/>
    <x v="0"/>
  </r>
  <r>
    <x v="166"/>
    <s v="w.anny.k@hotmail.com"/>
    <n v="300280444"/>
    <n v="16557654"/>
    <x v="2"/>
    <x v="61"/>
    <n v="35"/>
    <s v="VEIO FALTANDO NA ORDEM "/>
    <m/>
    <m/>
    <d v="2026-07-21T07:40:14"/>
    <m/>
    <n v="1321"/>
    <x v="1"/>
    <n v="0"/>
    <m/>
    <d v="2026-07-21T00:00:00"/>
    <x v="0"/>
  </r>
  <r>
    <x v="166"/>
    <s v="w.anny.k@hotmail.com"/>
    <n v="300280446"/>
    <n v="16557654"/>
    <x v="2"/>
    <x v="61"/>
    <n v="35"/>
    <s v="VEIO FALTANDO NA ORDEM "/>
    <m/>
    <m/>
    <d v="2026-07-21T07:45:05"/>
    <m/>
    <n v="1322"/>
    <x v="1"/>
    <n v="0"/>
    <m/>
    <d v="2026-07-21T00:00:00"/>
    <x v="0"/>
  </r>
  <r>
    <x v="13"/>
    <s v="administrativo@zajaconfeccoes.com.br"/>
    <n v="300281065"/>
    <n v="15859215"/>
    <x v="2"/>
    <x v="49"/>
    <n v="5"/>
    <s v="insuficiente "/>
    <m/>
    <m/>
    <d v="2026-07-21T08:09:45"/>
    <m/>
    <n v="1323"/>
    <x v="1"/>
    <s v="10000214531-10000214511"/>
    <m/>
    <d v="2026-07-21T00:00:00"/>
    <x v="0"/>
  </r>
  <r>
    <x v="207"/>
    <s v="bensilvaconfeccoes@gmail.com"/>
    <n v="300277493"/>
    <n v="16474090"/>
    <x v="2"/>
    <x v="61"/>
    <n v="7"/>
    <s v="VEIO FALTANDO "/>
    <m/>
    <s v="VEIO FALTANDO UMA ETIQ NO TAMANHO  38 E 6 ETIQ NO TAMANHO 40"/>
    <d v="2026-07-21T08:10:35"/>
    <m/>
    <n v="1324"/>
    <x v="1"/>
    <s v="N TEMOS "/>
    <m/>
    <d v="2026-07-21T00:00:00"/>
    <x v="0"/>
  </r>
  <r>
    <x v="13"/>
    <s v="administrativo@zajaconfeccoes.com.br"/>
    <n v="300281065"/>
    <n v="15859215"/>
    <x v="2"/>
    <x v="61"/>
    <n v="30"/>
    <s v="insuficiente"/>
    <m/>
    <m/>
    <d v="2026-07-21T08:10:46"/>
    <m/>
    <n v="1325"/>
    <x v="1"/>
    <n v="0"/>
    <m/>
    <d v="2026-07-21T00:00:00"/>
    <x v="0"/>
  </r>
  <r>
    <x v="169"/>
    <s v="acauaconfeccoes@outlook.com"/>
    <n v="300281642"/>
    <n v="16441427"/>
    <x v="3"/>
    <x v="4"/>
    <n v="712"/>
    <s v="Faltando as etiquetas de preço G e M"/>
    <m/>
    <s v="Faltando as etiquetas de preço G e M"/>
    <d v="2026-07-21T08:12:11"/>
    <m/>
    <n v="1326"/>
    <x v="1"/>
    <n v="1"/>
    <m/>
    <d v="2026-07-21T00:00:00"/>
    <x v="0"/>
  </r>
  <r>
    <x v="169"/>
    <s v="acauaconfeccoes@outlook.com"/>
    <n v="300000000"/>
    <n v="1"/>
    <x v="3"/>
    <x v="60"/>
    <n v="3"/>
    <s v="Estamos precisando de 3 agulhas para as pistolas de pregar etiquetas de preço "/>
    <m/>
    <s v="Precisando de 3 agulhas para as pistolas de etiquetas de preço "/>
    <d v="2026-07-21T08:26:13"/>
    <m/>
    <n v="1327"/>
    <x v="2"/>
    <n v="1"/>
    <m/>
    <d v="2026-07-21T00:00:00"/>
    <x v="0"/>
  </r>
  <r>
    <x v="84"/>
    <s v="recanto.confeccoesjs@gmail.com"/>
    <n v="300278585"/>
    <n v="16507657"/>
    <x v="2"/>
    <x v="163"/>
    <n v="1628"/>
    <s v="não veio "/>
    <m/>
    <s v="Não veio na ordem os viés de bocada "/>
    <d v="2026-07-21T08:39:51"/>
    <m/>
    <n v="1328"/>
    <x v="2"/>
    <n v="10000225612"/>
    <m/>
    <d v="2026-07-21T00:00:00"/>
    <x v="0"/>
  </r>
  <r>
    <x v="165"/>
    <s v="freiresilvaconfeccoes@gmail.com"/>
    <n v="300279748"/>
    <n v="15572528"/>
    <x v="0"/>
    <x v="142"/>
    <n v="6"/>
    <s v="Insuficiente para finalizar a OP. "/>
    <m/>
    <s v="*"/>
    <d v="2026-07-21T08:50:51"/>
    <m/>
    <n v="1329"/>
    <x v="1"/>
    <n v="10000072621"/>
    <m/>
    <d v="2026-07-21T00:00:00"/>
    <x v="0"/>
  </r>
  <r>
    <x v="205"/>
    <s v="sjarlandia@hotmail.com"/>
    <n v="300281902"/>
    <n v="16218990"/>
    <x v="2"/>
    <x v="5"/>
    <n v="5"/>
    <s v="nao veio "/>
    <m/>
    <m/>
    <d v="2026-07-21T08:58:14"/>
    <m/>
    <n v="1330"/>
    <x v="2"/>
    <n v="0"/>
    <m/>
    <d v="2026-07-21T00:00:00"/>
    <x v="0"/>
  </r>
  <r>
    <x v="166"/>
    <s v="w.anny.k@hotmail.com"/>
    <n v="300280446"/>
    <n v="16557654"/>
    <x v="2"/>
    <x v="13"/>
    <s v="PRECISAMOS DE 100 ZÍPER PARA O TAMANHO 15CM "/>
    <s v="MATERIAL VEIO INCOMPLETO "/>
    <m/>
    <m/>
    <d v="2026-07-21T09:40:01"/>
    <m/>
    <n v="1331"/>
    <x v="1"/>
    <s v="10000211585 ZÍPER INOX METAL MEDIO AZUL 15CM "/>
    <m/>
    <d v="2026-07-21T00:00:00"/>
    <x v="0"/>
  </r>
  <r>
    <x v="171"/>
    <s v="confeccoesgbdas@hotmail.com"/>
    <n v="300277892"/>
    <n v="16472217"/>
    <x v="2"/>
    <x v="160"/>
    <n v="15"/>
    <s v="FALTA DE SACOS PARA EMBALAR OP"/>
    <m/>
    <m/>
    <d v="2026-07-21T09:41:12"/>
    <m/>
    <n v="1332"/>
    <x v="1"/>
    <n v="16472217"/>
    <m/>
    <d v="2026-07-21T00:00:00"/>
    <x v="0"/>
  </r>
  <r>
    <x v="178"/>
    <s v="faccao_sales2010@hotmail.com"/>
    <n v="300280201"/>
    <n v="16243340"/>
    <x v="2"/>
    <x v="18"/>
    <n v="340"/>
    <s v="INSUFICIENTE PARA FINALIZAR OP"/>
    <m/>
    <m/>
    <d v="2026-07-21T09:50:39"/>
    <m/>
    <n v="1333"/>
    <x v="1"/>
    <s v="9.EL238.050.CRU000"/>
    <m/>
    <d v="2026-07-21T00:00:00"/>
    <x v="0"/>
  </r>
  <r>
    <x v="213"/>
    <s v="seridoconfeccoes@gmail.com"/>
    <n v="300273316"/>
    <n v="15775615"/>
    <x v="2"/>
    <x v="17"/>
    <n v="70"/>
    <s v="corte acimetrico no cos "/>
    <m/>
    <s v="veio com o cos mais fino estourando durante a costura. "/>
    <d v="2026-07-21T10:33:31"/>
    <m/>
    <n v="1334"/>
    <x v="1"/>
    <n v="0"/>
    <m/>
    <d v="2026-07-21T00:00:00"/>
    <x v="0"/>
  </r>
  <r>
    <x v="21"/>
    <s v="potengitextil@outlook.com.br"/>
    <n v="300281371"/>
    <n v="15359492"/>
    <x v="1"/>
    <x v="61"/>
    <n v="1"/>
    <s v="Insuficiente para finalizar ordem "/>
    <m/>
    <m/>
    <d v="2026-07-21T10:37:45"/>
    <m/>
    <n v="1335"/>
    <x v="1"/>
    <n v="0"/>
    <m/>
    <d v="2026-07-21T00:00:00"/>
    <x v="0"/>
  </r>
  <r>
    <x v="21"/>
    <s v="potengitextil@outlook.com.br"/>
    <n v="300282838"/>
    <n v="15238385"/>
    <x v="1"/>
    <x v="22"/>
    <n v="21"/>
    <s v="Lote não enviado pela guararapes "/>
    <m/>
    <s v="Frente de camisa polo, vim com o pentilho feito "/>
    <d v="2026-07-21T10:39:19"/>
    <m/>
    <n v="1336"/>
    <x v="1"/>
    <n v="0"/>
    <m/>
    <d v="2026-07-21T00:00:00"/>
    <x v="0"/>
  </r>
  <r>
    <x v="21"/>
    <s v="potengitextil@outlook.com.br"/>
    <n v="300282838"/>
    <n v="15238385"/>
    <x v="1"/>
    <x v="30"/>
    <n v="21"/>
    <s v="Lote não enviado pela guararapes "/>
    <m/>
    <s v="São 21 pares de manga "/>
    <d v="2026-07-21T10:40:27"/>
    <m/>
    <n v="1337"/>
    <x v="1"/>
    <n v="0"/>
    <m/>
    <d v="2026-07-21T00:00:00"/>
    <x v="0"/>
  </r>
  <r>
    <x v="21"/>
    <s v="potengitextil@outlook.com.br"/>
    <n v="300282838"/>
    <n v="15238385"/>
    <x v="1"/>
    <x v="12"/>
    <n v="21"/>
    <s v="Lote não enviado pela guararapes "/>
    <m/>
    <m/>
    <d v="2026-07-21T10:41:53"/>
    <m/>
    <n v="1338"/>
    <x v="1"/>
    <n v="0"/>
    <m/>
    <d v="2026-07-21T00:00:00"/>
    <x v="0"/>
  </r>
  <r>
    <x v="174"/>
    <s v="jakeline.jl.confeccoes@gmail.com"/>
    <n v="300278033"/>
    <n v="16488032"/>
    <x v="2"/>
    <x v="49"/>
    <n v="12"/>
    <s v="Insuficiente para terminar a produção"/>
    <m/>
    <s v="Insuficiente para terminar a produção"/>
    <d v="2026-07-21T10:42:39"/>
    <m/>
    <n v="1339"/>
    <x v="1"/>
    <s v="10000218092; 10000208287"/>
    <m/>
    <d v="2026-07-21T00:00:00"/>
    <x v="0"/>
  </r>
  <r>
    <x v="82"/>
    <s v="vitalizeconfeccoes@gmail.com"/>
    <n v="300281898"/>
    <n v="16099834"/>
    <x v="3"/>
    <x v="6"/>
    <n v="1.02"/>
    <s v="A ORDEM VEIO COM A GOLA ERRADA, JA FALEI COM O PESSOAU DO CORTE E ELES ACONSELHARAM A PEDIR REPOÇISAO "/>
    <m/>
    <m/>
    <d v="2026-07-21T10:50:59"/>
    <m/>
    <n v="1340"/>
    <x v="1"/>
    <n v="0"/>
    <m/>
    <d v="2026-07-21T00:00:00"/>
    <x v="0"/>
  </r>
  <r>
    <x v="51"/>
    <s v="fc_faccao@yahoo.com.br"/>
    <n v="300280748"/>
    <n v="15724344"/>
    <x v="3"/>
    <x v="12"/>
    <n v="72"/>
    <s v="falta"/>
    <m/>
    <s v="FALTA MATERIAL PARA CONCLUIR OP"/>
    <d v="2026-07-21T12:09:38"/>
    <m/>
    <n v="1341"/>
    <x v="1"/>
    <n v="150"/>
    <m/>
    <d v="2026-07-21T00:00:00"/>
    <x v="0"/>
  </r>
  <r>
    <x v="163"/>
    <s v="felconfeccao@gmail.com"/>
    <n v="300277070"/>
    <n v="16218957"/>
    <x v="2"/>
    <x v="61"/>
    <n v="4"/>
    <s v="insuficiente para finalizar ordem"/>
    <m/>
    <m/>
    <d v="2026-07-21T13:07:20"/>
    <m/>
    <n v="1342"/>
    <x v="1"/>
    <s v="não informado"/>
    <m/>
    <d v="2026-07-21T00:00:00"/>
    <x v="0"/>
  </r>
  <r>
    <x v="188"/>
    <s v="tendenciaconfec@gmail.com"/>
    <n v="300274354"/>
    <n v="15898008"/>
    <x v="3"/>
    <x v="11"/>
    <n v="1"/>
    <s v="QUEBROU"/>
    <m/>
    <m/>
    <d v="2026-07-21T13:24:26"/>
    <m/>
    <n v="1343"/>
    <x v="2"/>
    <s v="PISTOLA PARA COLOCAR ETIQUETA"/>
    <m/>
    <d v="2026-07-21T00:00:00"/>
    <x v="0"/>
  </r>
  <r>
    <x v="188"/>
    <s v="tendenciaconfec@gmail.com"/>
    <n v="300274354"/>
    <n v="15898008"/>
    <x v="3"/>
    <x v="60"/>
    <n v="2"/>
    <s v="QUEBROU"/>
    <m/>
    <m/>
    <d v="2026-07-21T13:25:56"/>
    <m/>
    <n v="1344"/>
    <x v="2"/>
    <s v="Pistola"/>
    <m/>
    <d v="2026-07-21T00:00:00"/>
    <x v="0"/>
  </r>
  <r>
    <x v="175"/>
    <s v="confeccaogenesisltda@gmail.com"/>
    <n v="300282856"/>
    <n v="16310950"/>
    <x v="0"/>
    <x v="22"/>
    <n v="39"/>
    <s v="AS PEÇAS VIERAM DANIFICADAS"/>
    <m/>
    <s v="LADO DIREITO FRENTE"/>
    <d v="2026-07-21T13:43:35"/>
    <m/>
    <n v="1345"/>
    <x v="1"/>
    <n v="0"/>
    <m/>
    <d v="2026-07-21T00:00:00"/>
    <x v="0"/>
  </r>
  <r>
    <x v="50"/>
    <s v="mkdeazevedomedeiros@gmail.com"/>
    <n v="300283156"/>
    <n v="16472217"/>
    <x v="2"/>
    <x v="16"/>
    <n v="964"/>
    <s v="NÃO ENVIADO PELA GUARARAPES"/>
    <m/>
    <m/>
    <d v="2026-07-21T14:18:23"/>
    <m/>
    <n v="1346"/>
    <x v="1"/>
    <s v="-"/>
    <m/>
    <d v="2026-07-21T00:00:00"/>
    <x v="0"/>
  </r>
  <r>
    <x v="50"/>
    <s v="mkdeazevedomedeiros@gmail.com"/>
    <n v="300283156"/>
    <n v="16472217"/>
    <x v="2"/>
    <x v="163"/>
    <n v="964"/>
    <s v="NÃO ENVIADO PELA GUARARAPES"/>
    <m/>
    <s v="VIÉS DE BOCADA"/>
    <d v="2026-07-21T14:19:36"/>
    <m/>
    <n v="1347"/>
    <x v="1"/>
    <s v="-"/>
    <m/>
    <d v="2026-07-21T00:00:00"/>
    <x v="0"/>
  </r>
  <r>
    <x v="32"/>
    <s v="di3confec@gmail.com"/>
    <n v="300283435"/>
    <n v="15206637"/>
    <x v="3"/>
    <x v="164"/>
    <n v="32"/>
    <s v="Identificamos a falta de 32 peças e vários pedaços que não casam. Foi aberto chamado n° 28865"/>
    <m/>
    <s v="chamado n° 28865"/>
    <d v="2026-07-21T15:22:50"/>
    <m/>
    <n v="1348"/>
    <x v="1"/>
    <n v="0"/>
    <m/>
    <d v="2026-07-21T00:00:00"/>
    <x v="0"/>
  </r>
  <r>
    <x v="177"/>
    <s v="linealtda@gmail.com"/>
    <n v="300281093"/>
    <n v="16488229"/>
    <x v="2"/>
    <x v="142"/>
    <n v="10"/>
    <s v="Linhas insuficientes para conclusão da ordem"/>
    <m/>
    <m/>
    <d v="2026-07-21T15:34:34"/>
    <m/>
    <n v="1349"/>
    <x v="1"/>
    <s v="9.LI001.080.165804"/>
    <m/>
    <d v="2026-07-21T00:00:00"/>
    <x v="0"/>
  </r>
  <r>
    <x v="198"/>
    <s v="afconfeccoes26@gmail.com"/>
    <n v="300269047"/>
    <n v="14700328"/>
    <x v="3"/>
    <x v="6"/>
    <n v="760"/>
    <s v="Falta de material"/>
    <m/>
    <s v="Por favor, nos enviar o quanto antes. Ficamos no aguardo! "/>
    <d v="2026-07-21T16:23:59"/>
    <m/>
    <n v="1350"/>
    <x v="1"/>
    <n v="720"/>
    <m/>
    <d v="2026-07-21T00:00:00"/>
    <x v="0"/>
  </r>
  <r>
    <x v="173"/>
    <s v="alfaequador@gmail.com"/>
    <n v="300280216"/>
    <n v="16473825"/>
    <x v="2"/>
    <x v="5"/>
    <n v="1"/>
    <s v="MATERIAL FALTANDO "/>
    <m/>
    <s v="MATERIAL FALTANDO"/>
    <d v="2026-07-21T16:37:58"/>
    <m/>
    <n v="1351"/>
    <x v="1"/>
    <n v="0"/>
    <m/>
    <d v="2026-07-21T00:00:00"/>
    <x v="0"/>
  </r>
  <r>
    <x v="36"/>
    <s v="solisconfeccoes@gmail.com"/>
    <n v="300281895"/>
    <n v="16099834"/>
    <x v="3"/>
    <x v="163"/>
    <n v="200"/>
    <s v="INSUFICIENTE PRA FINALIZAR OP"/>
    <m/>
    <s v="INSUFICIENTE PRA FINALIZAR OP"/>
    <d v="2026-07-21T16:40:13"/>
    <m/>
    <n v="1352"/>
    <x v="1"/>
    <n v="0"/>
    <m/>
    <d v="2026-07-21T00:00:00"/>
    <x v="0"/>
  </r>
  <r>
    <x v="60"/>
    <s v="mkdeazevedomedeiros@gmail.com"/>
    <n v="300279716"/>
    <n v="16513649"/>
    <x v="2"/>
    <x v="18"/>
    <n v="500"/>
    <s v="INSUFICIENTE PARA FINALIZAR A ORDEM"/>
    <m/>
    <m/>
    <d v="2026-07-21T17:17:57"/>
    <m/>
    <n v="1353"/>
    <x v="1"/>
    <s v="9.EL238.050.CRU000"/>
    <m/>
    <d v="2026-07-21T00:00:00"/>
    <x v="0"/>
  </r>
  <r>
    <x v="49"/>
    <s v="s.ramosconfeccoes@gmail.com"/>
    <n v="300281094"/>
    <n v="16488229"/>
    <x v="2"/>
    <x v="5"/>
    <n v="912"/>
    <s v="Estou precisando de filme plástico para passante "/>
    <m/>
    <s v="Estou sem filme plástico para passante "/>
    <d v="2026-07-21T17:18:04"/>
    <m/>
    <n v="1354"/>
    <x v="2"/>
    <n v="0"/>
    <m/>
    <d v="2026-07-21T00:00:00"/>
    <x v="0"/>
  </r>
  <r>
    <x v="60"/>
    <s v="mkdeazevedomedeiros@gmail.com"/>
    <n v="300279716"/>
    <n v="16513649"/>
    <x v="2"/>
    <x v="61"/>
    <n v="15"/>
    <s v="INSUFICIENTE PARA FINALIZAR A ORDEM"/>
    <m/>
    <m/>
    <d v="2026-07-21T17:19:26"/>
    <m/>
    <n v="1355"/>
    <x v="1"/>
    <s v="-"/>
    <m/>
    <d v="2026-07-21T00:00:00"/>
    <x v="0"/>
  </r>
  <r>
    <x v="165"/>
    <s v="freiresilvaconfeccoes@gmail.com"/>
    <n v="300282558"/>
    <n v="14487004"/>
    <x v="1"/>
    <x v="4"/>
    <n v="260"/>
    <s v="Material insuficiente para finalizar a OP."/>
    <m/>
    <s v="*"/>
    <d v="2026-07-21T17:46:26"/>
    <m/>
    <n v="1356"/>
    <x v="1"/>
    <s v="*"/>
    <m/>
    <d v="2026-07-21T00:00:00"/>
    <x v="0"/>
  </r>
  <r>
    <x v="171"/>
    <s v="confeccoesgbdas@hotmail.com"/>
    <n v="300277976"/>
    <n v="16477324"/>
    <x v="3"/>
    <x v="61"/>
    <n v="78"/>
    <s v="MATERIAL NAO ENVIADO PELA GUARARAPES"/>
    <m/>
    <s v="TRASEIRO É COMPLETO (OS DOIS LADOS)"/>
    <d v="2026-07-21T17:57:30"/>
    <m/>
    <n v="1357"/>
    <x v="1"/>
    <n v="16477324"/>
    <m/>
    <d v="2026-07-21T00:00:00"/>
    <x v="0"/>
  </r>
  <r>
    <x v="171"/>
    <s v="confeccoesgbdas@hotmail.com"/>
    <n v="300283153"/>
    <n v="16218019"/>
    <x v="2"/>
    <x v="61"/>
    <n v="18"/>
    <s v="FALTA DE ETIQUETA PARA FINALIZAR A ORDEM"/>
    <m/>
    <m/>
    <d v="2026-07-21T17:59:36"/>
    <m/>
    <n v="1358"/>
    <x v="1"/>
    <n v="16218019"/>
    <m/>
    <d v="2026-07-21T00:00:00"/>
    <x v="0"/>
  </r>
  <r>
    <x v="171"/>
    <s v="confeccoesgbdas@hotmail.com"/>
    <n v="300277976"/>
    <n v="16309510"/>
    <x v="3"/>
    <x v="12"/>
    <n v="78"/>
    <s v="MATERIAL NAO ENVIADO PELA GUARARAPES"/>
    <m/>
    <s v="O TRASEIRO É COMPLETO (OS DOIS LADOS)"/>
    <d v="2026-07-21T18:04:12"/>
    <m/>
    <n v="1359"/>
    <x v="1"/>
    <n v="16309510"/>
    <m/>
    <d v="2026-07-21T00:00:00"/>
    <x v="0"/>
  </r>
  <r>
    <x v="166"/>
    <s v="w.anny.k@hotmail.com"/>
    <n v="300280444"/>
    <n v="16557654"/>
    <x v="2"/>
    <x v="23"/>
    <s v="FALTOU CADARÇO PARA 500 PEÇAS, POR ISSO ESTAMOS SOLICITANDO A REPOSIÇÃO."/>
    <s v="VEIO FALTANDO NA OM "/>
    <m/>
    <m/>
    <d v="2026-07-22T07:33:26"/>
    <m/>
    <n v="1360"/>
    <x v="1"/>
    <s v="10000068708 - CADARÇO CO 10MM MULTIC "/>
    <m/>
    <d v="2026-07-22T00:00:00"/>
    <x v="0"/>
  </r>
  <r>
    <x v="166"/>
    <s v="w.anny.k@hotmail.com"/>
    <n v="300280446"/>
    <n v="16557654"/>
    <x v="2"/>
    <x v="23"/>
    <s v="400 CADARÇO "/>
    <s v="FALTOU CADARÇO PARA 400 PEÇAS, POR ISSO ESTAMOS SOLICITANDO A REPOSIÇÃO."/>
    <m/>
    <m/>
    <d v="2026-07-22T07:39:42"/>
    <m/>
    <n v="1361"/>
    <x v="1"/>
    <s v="10000068708 CADARÇO CO 10MM MULTIC "/>
    <m/>
    <d v="2026-07-22T00:00:00"/>
    <x v="0"/>
  </r>
  <r>
    <x v="175"/>
    <s v="confeccaogenesisltda@gmail.com"/>
    <n v="300282850"/>
    <n v="16484690"/>
    <x v="0"/>
    <x v="61"/>
    <n v="44"/>
    <s v="VEIO FALTANDO"/>
    <m/>
    <m/>
    <d v="2026-07-22T07:42:15"/>
    <m/>
    <n v="1362"/>
    <x v="1"/>
    <n v="0"/>
    <m/>
    <d v="2026-07-22T00:00:00"/>
    <x v="0"/>
  </r>
  <r>
    <x v="166"/>
    <s v="w.anny.k@hotmail.com"/>
    <n v="300280121"/>
    <n v="15943720"/>
    <x v="2"/>
    <x v="5"/>
    <n v="10"/>
    <s v="ESTAMOS PRECISANDO PARA AS ORDENS "/>
    <m/>
    <m/>
    <d v="2026-07-22T07:42:38"/>
    <m/>
    <n v="1363"/>
    <x v="1"/>
    <n v="0"/>
    <m/>
    <d v="2026-07-22T00:00:00"/>
    <x v="0"/>
  </r>
  <r>
    <x v="27"/>
    <s v="ffconfeccoesobrn@hotmail.com"/>
    <n v="300280214"/>
    <n v="16473825"/>
    <x v="2"/>
    <x v="17"/>
    <s v="90 tamanho 34 e 50 tamanho 36"/>
    <s v="insuficiente para finalizar a ordem"/>
    <m/>
    <s v="os mesmos vieram faltando "/>
    <d v="2026-07-22T08:11:02"/>
    <m/>
    <n v="1364"/>
    <x v="1"/>
    <n v="0"/>
    <m/>
    <d v="2026-07-22T00:00:00"/>
    <x v="0"/>
  </r>
  <r>
    <x v="27"/>
    <s v="ffconfeccoesobrn@hotmail.com"/>
    <n v="300280214"/>
    <n v="16473825"/>
    <x v="2"/>
    <x v="13"/>
    <n v="20"/>
    <s v="veio faltando "/>
    <m/>
    <s v="precisamos para finalizar a ordem"/>
    <d v="2026-07-22T08:13:59"/>
    <m/>
    <n v="1365"/>
    <x v="1"/>
    <n v="10000211585"/>
    <m/>
    <d v="2026-07-22T00:00:00"/>
    <x v="0"/>
  </r>
  <r>
    <x v="82"/>
    <s v="vitalizeconfeccoes@gmail.com"/>
    <n v="300281898"/>
    <n v="16099834"/>
    <x v="3"/>
    <x v="163"/>
    <n v="368"/>
    <s v="COMO PRECISEI DESMANCHAR AS GOLA DO TAMANHO GG E G, TIVE QUE DESMANCHA TBM O VIES DE REFORÇO E PORISO NAO VOU TE SUFICIENTE PARA FINALIZA A ORDEM  "/>
    <m/>
    <s v="VIES DE OMBRO A OMBRO "/>
    <d v="2026-07-22T08:29:39"/>
    <m/>
    <n v="1366"/>
    <x v="1"/>
    <n v="0"/>
    <m/>
    <d v="2026-07-22T00:00:00"/>
    <x v="0"/>
  </r>
  <r>
    <x v="179"/>
    <s v="faccao_sales2010@hotmail.com"/>
    <n v="300276802"/>
    <n v="16482395"/>
    <x v="2"/>
    <x v="16"/>
    <n v="285"/>
    <s v="ORDEM REJEITADA, VAI SER PRECISO A RETIRADA DOS PASSANTES"/>
    <m/>
    <m/>
    <d v="2026-07-22T09:04:36"/>
    <m/>
    <n v="1367"/>
    <x v="1"/>
    <s v="-"/>
    <m/>
    <d v="2026-07-22T00:00:00"/>
    <x v="0"/>
  </r>
  <r>
    <x v="202"/>
    <s v="Ferreiraaraujoconfeccoes@gmail.com"/>
    <n v="300273004"/>
    <n v="16507657"/>
    <x v="2"/>
    <x v="5"/>
    <n v="8000"/>
    <s v="Estou precisando "/>
    <m/>
    <s v="Estou precisando "/>
    <d v="2026-07-22T09:52:17"/>
    <m/>
    <n v="1368"/>
    <x v="2"/>
    <n v="0"/>
    <m/>
    <d v="2026-07-22T00:00:00"/>
    <x v="0"/>
  </r>
  <r>
    <x v="194"/>
    <s v="pn.fenix@gmail.com"/>
    <n v="300281496"/>
    <n v="16507649"/>
    <x v="2"/>
    <x v="5"/>
    <n v="0"/>
    <s v="insuficiente "/>
    <m/>
    <s v="Filme Plástico"/>
    <d v="2026-07-22T09:52:55"/>
    <m/>
    <n v="1369"/>
    <x v="2"/>
    <n v="0"/>
    <m/>
    <d v="2026-07-22T00:00:00"/>
    <x v="0"/>
  </r>
  <r>
    <x v="206"/>
    <s v="pn.fenix@gmail.com"/>
    <n v="300280701"/>
    <n v="16217799"/>
    <x v="2"/>
    <x v="5"/>
    <n v="0"/>
    <s v="insuficiente "/>
    <m/>
    <s v="Filme Plástico"/>
    <d v="2026-07-22T09:58:15"/>
    <m/>
    <n v="1370"/>
    <x v="2"/>
    <n v="0"/>
    <m/>
    <d v="2026-07-22T00:00:00"/>
    <x v="0"/>
  </r>
  <r>
    <x v="118"/>
    <s v="FJDEAZEVEDO@HOTMAIL.COM"/>
    <n v="300285758"/>
    <n v="16505956"/>
    <x v="2"/>
    <x v="5"/>
    <n v="1"/>
    <s v="NÃO TEM ESSE FILME COM LARGURA DE 03CM"/>
    <m/>
    <s v="FIME PLÁSTICO COM LARGURA DE 3,50CM, POIS A FITA É COM ENTRADA DE 5,50 E SAÍDA 1,50CM"/>
    <d v="2026-07-22T10:04:50"/>
    <m/>
    <n v="1371"/>
    <x v="2"/>
    <s v="NÃO TEM CÓDIGO"/>
    <m/>
    <d v="2026-07-22T00:00:00"/>
    <x v="0"/>
  </r>
  <r>
    <x v="37"/>
    <s v="felconfeccao@gmail.com"/>
    <n v="300281187"/>
    <n v="1601713"/>
    <x v="3"/>
    <x v="22"/>
    <n v="7"/>
    <s v="FALTOU"/>
    <m/>
    <m/>
    <d v="2026-07-22T10:19:58"/>
    <m/>
    <n v="1372"/>
    <x v="1"/>
    <n v="0"/>
    <m/>
    <d v="2026-07-22T00:00:00"/>
    <x v="0"/>
  </r>
  <r>
    <x v="37"/>
    <s v="felconfeccao@gmail.com"/>
    <n v="300281187"/>
    <n v="1601713"/>
    <x v="3"/>
    <x v="12"/>
    <n v="2"/>
    <s v="FALTOU"/>
    <m/>
    <m/>
    <d v="2026-07-22T10:21:19"/>
    <m/>
    <n v="1373"/>
    <x v="1"/>
    <n v="0"/>
    <m/>
    <d v="2026-07-22T00:00:00"/>
    <x v="0"/>
  </r>
  <r>
    <x v="37"/>
    <s v="felconfeccao@gmail.com"/>
    <n v="300281893"/>
    <n v="16099834"/>
    <x v="3"/>
    <x v="12"/>
    <n v="9"/>
    <s v="FALTOU"/>
    <m/>
    <m/>
    <d v="2026-07-22T10:22:50"/>
    <m/>
    <n v="1374"/>
    <x v="1"/>
    <n v="0"/>
    <m/>
    <d v="2026-07-22T00:00:00"/>
    <x v="0"/>
  </r>
  <r>
    <x v="37"/>
    <s v="felconfeccao@gmail.com"/>
    <n v="300281893"/>
    <n v="16099834"/>
    <x v="3"/>
    <x v="22"/>
    <n v="4"/>
    <s v="FALTOU"/>
    <m/>
    <m/>
    <d v="2026-07-22T10:23:58"/>
    <m/>
    <n v="1375"/>
    <x v="1"/>
    <n v="0"/>
    <m/>
    <d v="2026-07-22T00:00:00"/>
    <x v="0"/>
  </r>
  <r>
    <x v="37"/>
    <s v="felconfeccao@gmail.com"/>
    <n v="300281893"/>
    <n v="16099834"/>
    <x v="3"/>
    <x v="30"/>
    <n v="10"/>
    <s v="FALTOU"/>
    <m/>
    <m/>
    <d v="2026-07-22T10:25:23"/>
    <m/>
    <n v="1376"/>
    <x v="1"/>
    <n v="0"/>
    <m/>
    <d v="2026-07-22T00:00:00"/>
    <x v="0"/>
  </r>
  <r>
    <x v="63"/>
    <s v="acaritextil2801@gmail.com"/>
    <n v="300000000"/>
    <n v="0"/>
    <x v="2"/>
    <x v="5"/>
    <n v="10"/>
    <s v="INSUFICIENTE "/>
    <m/>
    <s v="ENVIAR MAIOR QUANTIDADE, DEVIDO PRODUÇÃO DIÁRIA SER ALTA "/>
    <d v="2026-07-22T10:26:13"/>
    <m/>
    <n v="1377"/>
    <x v="2"/>
    <n v="0"/>
    <m/>
    <d v="2026-07-22T00:00:00"/>
    <x v="0"/>
  </r>
  <r>
    <x v="37"/>
    <s v="felconfeccao@gmail.com"/>
    <n v="300281670"/>
    <n v="16017315"/>
    <x v="3"/>
    <x v="61"/>
    <n v="13"/>
    <s v="FALTOU"/>
    <m/>
    <m/>
    <d v="2026-07-22T10:26:45"/>
    <m/>
    <n v="1378"/>
    <x v="1"/>
    <n v="0"/>
    <m/>
    <d v="2026-07-22T00:00:00"/>
    <x v="0"/>
  </r>
  <r>
    <x v="196"/>
    <s v="samuelmedeiros074@hotmail.com"/>
    <n v="300284291"/>
    <n v="15864448"/>
    <x v="2"/>
    <x v="5"/>
    <n v="1122"/>
    <s v="FALTANDO"/>
    <m/>
    <m/>
    <d v="2026-07-22T11:20:58"/>
    <m/>
    <n v="1379"/>
    <x v="2"/>
    <s v="."/>
    <m/>
    <d v="2026-07-22T00:00:00"/>
    <x v="0"/>
  </r>
  <r>
    <x v="171"/>
    <s v="confeccoesgbdas@hotmail.com"/>
    <n v="300283153"/>
    <n v="16218019"/>
    <x v="2"/>
    <x v="5"/>
    <n v="5"/>
    <s v="MATERIAL INSUFICIENTE PARA FINALIZAR OP"/>
    <m/>
    <m/>
    <d v="2026-07-22T13:31:02"/>
    <m/>
    <n v="1380"/>
    <x v="1"/>
    <n v="16218019"/>
    <m/>
    <d v="2026-07-22T00:00:00"/>
    <x v="0"/>
  </r>
  <r>
    <x v="201"/>
    <s v="marionetemedeiros2@hotmail.com"/>
    <n v="300279709"/>
    <n v="16027213"/>
    <x v="2"/>
    <x v="18"/>
    <n v="1040"/>
    <s v="Não veio junto a ordem "/>
    <m/>
    <s v="Elástico para o cos da calça "/>
    <d v="2026-07-22T14:09:32"/>
    <m/>
    <n v="1381"/>
    <x v="1"/>
    <s v="9.EL238.050.CRU000"/>
    <m/>
    <d v="2026-07-22T00:00:00"/>
    <x v="0"/>
  </r>
  <r>
    <x v="201"/>
    <s v="marionetemedeiros2@hotmail.com"/>
    <n v="300279709"/>
    <n v="16027213"/>
    <x v="2"/>
    <x v="163"/>
    <n v="1040"/>
    <s v="Não veio junto a ordem "/>
    <m/>
    <s v="Viés para a bocada bolso dianteiro"/>
    <d v="2026-07-22T14:12:40"/>
    <m/>
    <n v="1382"/>
    <x v="1"/>
    <n v="0"/>
    <m/>
    <d v="2026-07-22T00:00:00"/>
    <x v="0"/>
  </r>
  <r>
    <x v="21"/>
    <s v="potengitextil@outlook.com.br"/>
    <n v="300281371"/>
    <n v="15359492"/>
    <x v="1"/>
    <x v="61"/>
    <n v="9"/>
    <s v="Insuficiente para finalizar ordem "/>
    <m/>
    <m/>
    <d v="2026-07-22T14:13:30"/>
    <m/>
    <n v="1383"/>
    <x v="1"/>
    <n v="0"/>
    <m/>
    <d v="2026-07-22T00:00:00"/>
    <x v="0"/>
  </r>
  <r>
    <x v="191"/>
    <s v="lctextil@outlook.com.br"/>
    <n v="300281208"/>
    <n v="15973050"/>
    <x v="3"/>
    <x v="61"/>
    <n v="169"/>
    <s v="Insuficiente para finalizar ordem "/>
    <m/>
    <m/>
    <d v="2026-07-22T14:19:34"/>
    <m/>
    <n v="1384"/>
    <x v="1"/>
    <n v="0"/>
    <m/>
    <d v="2026-07-22T00:00:00"/>
    <x v="0"/>
  </r>
  <r>
    <x v="37"/>
    <s v="felconfeccao@gmail.com"/>
    <n v="300280223"/>
    <n v="16491998"/>
    <x v="3"/>
    <x v="61"/>
    <n v="6"/>
    <s v="FALTOU"/>
    <m/>
    <m/>
    <d v="2026-07-22T14:30:11"/>
    <m/>
    <n v="1385"/>
    <x v="1"/>
    <n v="0"/>
    <m/>
    <d v="2026-07-22T00:00:00"/>
    <x v="0"/>
  </r>
  <r>
    <x v="49"/>
    <s v="s.ramosconfeccoes@gmail.com"/>
    <n v="300281094"/>
    <n v="16488229"/>
    <x v="2"/>
    <x v="16"/>
    <n v="912"/>
    <s v="Ficha pedi para ser com 3 cm e veio cortado com 2 5 cm"/>
    <m/>
    <s v="Diante a situação que recebemos a ordem e veio com a fita do passante menor, abrimos chamado e o rapaz disse que solicitassemos reposição, por que na ficha estava pedindo com 3cm.  o que cebemos veio com 2,5.  então fizemos a solicitação via email  na segunda feira dia 20.07.2026 por que não tinha essa opção aqui no link de reposição e ate o momento não recebemos nenhum posicionamento."/>
    <d v="2026-07-22T14:35:39"/>
    <m/>
    <n v="1386"/>
    <x v="1"/>
    <n v="0"/>
    <m/>
    <d v="2026-07-22T00:00:00"/>
    <x v="0"/>
  </r>
  <r>
    <x v="213"/>
    <s v="seridoconfeccoes@gmail.com"/>
    <n v="300281117"/>
    <n v="16507665"/>
    <x v="2"/>
    <x v="142"/>
    <s v="20 cones"/>
    <s v="linha insuficente para finalizar a ordem"/>
    <m/>
    <s v="20 cones de linha text.36 cor 9701"/>
    <d v="2026-07-22T14:38:42"/>
    <m/>
    <n v="1387"/>
    <x v="1"/>
    <n v="0"/>
    <m/>
    <d v="2026-07-22T00:00:00"/>
    <x v="0"/>
  </r>
  <r>
    <x v="207"/>
    <s v="bensilvaconfeccoes@gmail.com"/>
    <n v="300277470"/>
    <n v="16473965"/>
    <x v="2"/>
    <x v="21"/>
    <n v="10"/>
    <s v="estamos sem na oficina "/>
    <m/>
    <m/>
    <d v="2026-07-22T14:43:12"/>
    <m/>
    <n v="1388"/>
    <x v="2"/>
    <s v="n temos "/>
    <m/>
    <d v="2026-07-22T00:00:00"/>
    <x v="0"/>
  </r>
  <r>
    <x v="207"/>
    <s v="bensilvaconfeccoes@gmail.com"/>
    <n v="300277470"/>
    <n v="16473965"/>
    <x v="2"/>
    <x v="160"/>
    <n v="30"/>
    <s v="estamos precisando "/>
    <m/>
    <m/>
    <d v="2026-07-22T14:44:11"/>
    <m/>
    <n v="1389"/>
    <x v="2"/>
    <s v="n tem"/>
    <m/>
    <d v="2026-07-22T00:00:00"/>
    <x v="0"/>
  </r>
  <r>
    <x v="24"/>
    <s v="maxwelaaraujo7@gmail.com"/>
    <n v="300282831"/>
    <n v="15238385"/>
    <x v="1"/>
    <x v="163"/>
    <n v="700"/>
    <s v="MATERIAL INSUFUCIENTE PARA FINALIZAR OP"/>
    <m/>
    <s v="FOI ENVIADO UMA PEÇA PRA TESTE DE TONALIDADE, AOS CUIDADOS DE RANIERE"/>
    <d v="2026-07-22T14:51:59"/>
    <m/>
    <n v="1390"/>
    <x v="1"/>
    <n v="0"/>
    <m/>
    <d v="2026-07-22T00:00:00"/>
    <x v="0"/>
  </r>
  <r>
    <x v="31"/>
    <s v="administrativo@zajaconfeccoes.com.br"/>
    <n v="300279354"/>
    <n v="15363546"/>
    <x v="3"/>
    <x v="4"/>
    <n v="31"/>
    <s v="insuficiente "/>
    <m/>
    <m/>
    <d v="2026-07-22T15:19:53"/>
    <m/>
    <n v="1391"/>
    <x v="1"/>
    <n v="0"/>
    <m/>
    <d v="2026-07-22T00:00:00"/>
    <x v="0"/>
  </r>
  <r>
    <x v="60"/>
    <s v="acauaconfeccoes@outlook.com"/>
    <n v="300281953"/>
    <n v="16507975"/>
    <x v="2"/>
    <x v="18"/>
    <n v="896"/>
    <s v="O elástico não veio "/>
    <m/>
    <s v="O elástico não foi enviado "/>
    <d v="2026-07-22T15:26:28"/>
    <m/>
    <n v="1392"/>
    <x v="1"/>
    <n v="1"/>
    <m/>
    <d v="2026-07-22T00:00:00"/>
    <x v="0"/>
  </r>
  <r>
    <x v="2"/>
    <s v="oficinasantos08@outlook.com"/>
    <n v="300000000"/>
    <n v="0"/>
    <x v="2"/>
    <x v="5"/>
    <n v="3"/>
    <s v="o que temos está acabando"/>
    <m/>
    <m/>
    <d v="2026-07-22T15:39:53"/>
    <m/>
    <n v="1393"/>
    <x v="1"/>
    <n v="0"/>
    <m/>
    <d v="2026-07-22T00:00:00"/>
    <x v="0"/>
  </r>
  <r>
    <x v="162"/>
    <s v="faccaoello@hotmail.com"/>
    <n v="300277057"/>
    <n v="16217420"/>
    <x v="2"/>
    <x v="61"/>
    <n v="1"/>
    <s v="Material não enviado pela Guararapes"/>
    <m/>
    <m/>
    <d v="2026-07-22T15:40:23"/>
    <m/>
    <n v="1394"/>
    <x v="1"/>
    <n v="0"/>
    <m/>
    <d v="2026-07-22T00:00:00"/>
    <x v="0"/>
  </r>
  <r>
    <x v="32"/>
    <s v="di3confec@gmail.com"/>
    <n v="300283432"/>
    <n v="15206637"/>
    <x v="3"/>
    <x v="22"/>
    <n v="1"/>
    <s v="Material insuficiente para finalizar a op"/>
    <m/>
    <m/>
    <d v="2026-07-22T15:40:46"/>
    <m/>
    <n v="1395"/>
    <x v="1"/>
    <n v="0"/>
    <m/>
    <d v="2026-07-22T00:00:00"/>
    <x v="0"/>
  </r>
  <r>
    <x v="31"/>
    <s v="administrativo@zajaconfeccoes.com"/>
    <n v="300283983"/>
    <n v="14938570"/>
    <x v="3"/>
    <x v="61"/>
    <n v="10"/>
    <s v="insuficiente"/>
    <m/>
    <m/>
    <d v="2026-07-22T15:45:56"/>
    <m/>
    <n v="1396"/>
    <x v="1"/>
    <n v="0"/>
    <m/>
    <d v="2026-07-22T00:00:00"/>
    <x v="0"/>
  </r>
  <r>
    <x v="61"/>
    <s v="noelpazevedo@gmail.com"/>
    <n v="300279305"/>
    <n v="16513649"/>
    <x v="2"/>
    <x v="18"/>
    <n v="700"/>
    <s v="Material não veio junto com a ordem "/>
    <m/>
    <s v="Essa ordem o elástico vem pronto já emendado,só que não veio junto com a ordem e preciso com urgência "/>
    <d v="2026-07-22T15:51:57"/>
    <m/>
    <n v="1397"/>
    <x v="2"/>
    <s v="Não tenho "/>
    <m/>
    <d v="2026-07-22T00:00:00"/>
    <x v="0"/>
  </r>
  <r>
    <x v="21"/>
    <s v="potengitextil@outlook.com.br"/>
    <n v="300281417"/>
    <n v="16447964"/>
    <x v="2"/>
    <x v="61"/>
    <n v="30"/>
    <s v="Insuficiente pra finalizar ordem "/>
    <m/>
    <m/>
    <d v="2026-07-22T16:20:22"/>
    <m/>
    <n v="1398"/>
    <x v="1"/>
    <n v="0"/>
    <m/>
    <d v="2026-07-22T00:00:00"/>
    <x v="0"/>
  </r>
  <r>
    <x v="199"/>
    <s v="confeccoesjsltda@outlook.com"/>
    <n v="300273321"/>
    <n v="15775615"/>
    <x v="2"/>
    <x v="17"/>
    <n v="30"/>
    <s v="Veio faltando "/>
    <m/>
    <s v="Faltou 39 cos tamanho 40"/>
    <d v="2026-07-22T16:41:23"/>
    <m/>
    <n v="1399"/>
    <x v="1"/>
    <n v="350"/>
    <m/>
    <d v="2026-07-22T00:00:00"/>
    <x v="0"/>
  </r>
  <r>
    <x v="199"/>
    <s v="confeccoesjsltda@outlook.com"/>
    <n v="300273321"/>
    <n v="15775615"/>
    <x v="2"/>
    <x v="61"/>
    <n v="14"/>
    <s v="Veio faltando "/>
    <m/>
    <s v="Material não veio"/>
    <d v="2026-07-22T16:55:29"/>
    <m/>
    <n v="1400"/>
    <x v="1"/>
    <n v="350"/>
    <m/>
    <d v="2026-07-22T00:00:00"/>
    <x v="0"/>
  </r>
  <r>
    <x v="178"/>
    <s v="faccao_sales2010@hotmail.com"/>
    <n v="300282791"/>
    <n v="16431952"/>
    <x v="2"/>
    <x v="142"/>
    <n v="500"/>
    <s v="INSUFICIENTE PARA FINALIZAR A OP"/>
    <m/>
    <m/>
    <d v="2026-07-22T17:14:06"/>
    <m/>
    <n v="1401"/>
    <x v="1"/>
    <s v="9.LI001.036.PR8001"/>
    <m/>
    <d v="2026-07-22T00:00:00"/>
    <x v="0"/>
  </r>
  <r>
    <x v="51"/>
    <s v="fc_faccao@yahoo.com.br"/>
    <n v="300282098"/>
    <n v="15359492"/>
    <x v="1"/>
    <x v="165"/>
    <n v="250"/>
    <s v="FALTA "/>
    <m/>
    <s v="FALTA"/>
    <d v="2026-07-22T17:19:28"/>
    <m/>
    <n v="1402"/>
    <x v="1"/>
    <n v="150"/>
    <m/>
    <d v="2026-07-22T00:00:00"/>
    <x v="0"/>
  </r>
  <r>
    <x v="181"/>
    <s v="asaequador@gmail.com"/>
    <n v="300277546"/>
    <n v="16523806"/>
    <x v="2"/>
    <x v="17"/>
    <s v="120 pçs"/>
    <s v="cos com entrada de faca"/>
    <m/>
    <s v="esses cos vinheram com uma entrada de faca"/>
    <d v="2026-07-22T18:12:34"/>
    <m/>
    <n v="1403"/>
    <x v="1"/>
    <n v="0"/>
    <m/>
    <d v="2026-07-22T00:00:00"/>
    <x v="0"/>
  </r>
  <r>
    <x v="11"/>
    <s v="S.a.confeccoesind@gmail.com"/>
    <n v="300280109"/>
    <n v="15943720"/>
    <x v="2"/>
    <x v="61"/>
    <n v="10"/>
    <s v="Danificada no processo"/>
    <m/>
    <s v="8 etiquetas de composição tamanho 42 e 2 etiquetas de composição tamanho 40"/>
    <d v="2026-07-22T18:15:08"/>
    <m/>
    <n v="1404"/>
    <x v="1"/>
    <n v="0"/>
    <m/>
    <d v="2026-07-22T00:00:00"/>
    <x v="0"/>
  </r>
  <r>
    <x v="181"/>
    <s v="asaequado@gmail.com"/>
    <n v="300277546"/>
    <n v="16523806"/>
    <x v="2"/>
    <x v="12"/>
    <n v="7"/>
    <s v="não veio os traseiro e nem as palas , e essa ordem veio ja com os bolso pregado.  "/>
    <m/>
    <s v="veio as frentes sobrando"/>
    <d v="2026-07-22T18:23:24"/>
    <m/>
    <n v="1405"/>
    <x v="1"/>
    <n v="0"/>
    <m/>
    <d v="2026-07-22T00:00:00"/>
    <x v="0"/>
  </r>
  <r>
    <x v="166"/>
    <s v="w.anny.k@hotmail.com"/>
    <n v="300283294"/>
    <n v="16448022"/>
    <x v="1"/>
    <x v="19"/>
    <n v="10"/>
    <s v="VEIO FALTANDO  NA ORDEM "/>
    <m/>
    <m/>
    <d v="2026-07-23T08:10:13"/>
    <m/>
    <n v="1406"/>
    <x v="1"/>
    <s v="10000072012 FIO 100%PES S.906 194118"/>
    <m/>
    <d v="2026-07-23T00:00:00"/>
    <x v="0"/>
  </r>
  <r>
    <x v="166"/>
    <s v="w.anny.k@hotmail.com"/>
    <n v="300283294"/>
    <n v="16448022"/>
    <x v="1"/>
    <x v="142"/>
    <n v="5"/>
    <s v="VEIO FALTANDO NA ORDEM "/>
    <m/>
    <m/>
    <d v="2026-07-23T08:12:20"/>
    <m/>
    <n v="1407"/>
    <x v="1"/>
    <s v="10000072584 LINHA 100%PES TÍT120 C.93 S.425 194118"/>
    <m/>
    <d v="2026-07-23T00:00:00"/>
    <x v="0"/>
  </r>
  <r>
    <x v="24"/>
    <s v="maxwelaaraujo7@gmail.com"/>
    <n v="300279121"/>
    <n v="16223780"/>
    <x v="3"/>
    <x v="142"/>
    <n v="10"/>
    <s v="MATERIAL ISUFUCIENTE PARA FINALIZAR OP"/>
    <m/>
    <m/>
    <d v="2026-07-23T08:19:26"/>
    <m/>
    <n v="1408"/>
    <x v="1"/>
    <n v="10000072593"/>
    <m/>
    <d v="2026-07-23T00:00:00"/>
    <x v="0"/>
  </r>
  <r>
    <x v="166"/>
    <s v="w.anny.k@hotmail.com"/>
    <n v="300284027"/>
    <n v="16442563"/>
    <x v="1"/>
    <x v="19"/>
    <n v="10"/>
    <s v="VEIO FALTANDO NA ORDEM "/>
    <m/>
    <m/>
    <d v="2026-07-23T08:21:18"/>
    <m/>
    <n v="1409"/>
    <x v="1"/>
    <s v="10000071718 FIO 100%PES S.910 152214"/>
    <m/>
    <d v="2026-07-23T00:00:00"/>
    <x v="0"/>
  </r>
  <r>
    <x v="24"/>
    <s v="maxwelaaraujo7@gmail.com"/>
    <n v="300279121"/>
    <n v="16223780"/>
    <x v="3"/>
    <x v="19"/>
    <n v="10"/>
    <s v="MATERIAL INSUFICIENTE PARA FINALIZAR OP"/>
    <m/>
    <m/>
    <d v="2026-07-23T08:21:31"/>
    <m/>
    <n v="1410"/>
    <x v="1"/>
    <n v="10000072019"/>
    <m/>
    <d v="2026-07-23T00:00:00"/>
    <x v="0"/>
  </r>
  <r>
    <x v="166"/>
    <s v="w.anny.k@hotmail.com"/>
    <n v="300284027"/>
    <n v="16442563"/>
    <x v="1"/>
    <x v="142"/>
    <n v="4"/>
    <s v="VEIO FALTANDO NA ORDEM "/>
    <m/>
    <m/>
    <d v="2026-07-23T08:23:32"/>
    <m/>
    <n v="1411"/>
    <x v="1"/>
    <s v="10000072658 LINHA 100%PES TÍT120 C.88 152214"/>
    <m/>
    <d v="2026-07-23T00:00:00"/>
    <x v="0"/>
  </r>
  <r>
    <x v="189"/>
    <s v="ldinizconfeccoes@gmail.com"/>
    <n v="300281502"/>
    <n v="16507657"/>
    <x v="2"/>
    <x v="13"/>
    <n v="200"/>
    <s v="FALTA"/>
    <m/>
    <s v="Solicito a reposição dos seguintes zíperes para produção:  Zíper 14 cm – 100 unidades Código: 10000241455 Zíper 13 cm – 100 unidades Código: 10000241454"/>
    <d v="2026-07-23T08:25:21"/>
    <m/>
    <n v="1412"/>
    <x v="1"/>
    <n v="10000241455"/>
    <m/>
    <d v="2026-07-23T00:00:00"/>
    <x v="0"/>
  </r>
  <r>
    <x v="166"/>
    <s v="w.anny.k@hotmail.com"/>
    <n v="300282834"/>
    <n v="15238385"/>
    <x v="1"/>
    <x v="19"/>
    <n v="7"/>
    <s v="VEIO FALTANDO NA ORDEM "/>
    <m/>
    <m/>
    <d v="2026-07-23T08:25:49"/>
    <m/>
    <n v="1413"/>
    <x v="1"/>
    <s v="10000072019 FIO 100%PES S.998 PR8001"/>
    <m/>
    <d v="2026-07-23T00:00:00"/>
    <x v="0"/>
  </r>
  <r>
    <x v="13"/>
    <s v="administrativo@zajaconfeccoes.com.br"/>
    <n v="300276371"/>
    <n v="16419839"/>
    <x v="0"/>
    <x v="142"/>
    <n v="10"/>
    <s v="insuficiente "/>
    <m/>
    <m/>
    <d v="2026-07-23T08:26:33"/>
    <m/>
    <n v="1414"/>
    <x v="1"/>
    <n v="10000072709"/>
    <m/>
    <d v="2026-07-23T00:00:00"/>
    <x v="0"/>
  </r>
  <r>
    <x v="13"/>
    <s v="administrativo@zajaconfeccoes.com.br"/>
    <n v="300276370"/>
    <n v="16419839"/>
    <x v="0"/>
    <x v="142"/>
    <n v="10"/>
    <s v="insuficiente"/>
    <m/>
    <m/>
    <d v="2026-07-23T08:27:41"/>
    <m/>
    <n v="1415"/>
    <x v="1"/>
    <n v="10000072709"/>
    <m/>
    <d v="2026-07-23T00:00:00"/>
    <x v="0"/>
  </r>
  <r>
    <x v="166"/>
    <s v="w.anny.k@hotmail.com"/>
    <n v="300282834"/>
    <n v="15238385"/>
    <x v="1"/>
    <x v="142"/>
    <n v="4"/>
    <s v="VEIO FALTANDO NA ORDEM "/>
    <m/>
    <m/>
    <d v="2026-07-23T08:28:00"/>
    <m/>
    <n v="1416"/>
    <x v="1"/>
    <s v="10000072593 LINHA 100%PES TÍT120 C.PT S.998 PR8001"/>
    <m/>
    <d v="2026-07-23T00:00:00"/>
    <x v="0"/>
  </r>
  <r>
    <x v="180"/>
    <s v="lajedoconf5@gmail.com"/>
    <n v="300280668"/>
    <n v="16532885"/>
    <x v="2"/>
    <x v="16"/>
    <s v="690 peças"/>
    <s v="quantidade insuficiente para concluir a ordem"/>
    <m/>
    <s v="solicitamos reposição de viés de passante para 690 peças "/>
    <d v="2026-07-23T08:28:24"/>
    <m/>
    <n v="1417"/>
    <x v="1"/>
    <n v="0"/>
    <m/>
    <d v="2026-07-23T00:00:00"/>
    <x v="0"/>
  </r>
  <r>
    <x v="189"/>
    <s v="ldinizconfeccoes@gmail.com"/>
    <n v="300000000"/>
    <n v="1000000"/>
    <x v="2"/>
    <x v="5"/>
    <s v="10 UND"/>
    <s v="FALTA"/>
    <m/>
    <m/>
    <d v="2026-07-23T08:30:07"/>
    <m/>
    <n v="1418"/>
    <x v="2"/>
    <n v="0"/>
    <m/>
    <d v="2026-07-23T00:00:00"/>
    <x v="0"/>
  </r>
  <r>
    <x v="13"/>
    <s v="administrativo@zajaconfeccoes.com.br"/>
    <n v="300279800"/>
    <n v="15711854"/>
    <x v="2"/>
    <x v="142"/>
    <n v="20"/>
    <s v="insuficiente "/>
    <m/>
    <m/>
    <d v="2026-07-23T08:31:11"/>
    <m/>
    <n v="1419"/>
    <x v="1"/>
    <n v="10000062849"/>
    <m/>
    <d v="2026-07-23T00:00:00"/>
    <x v="0"/>
  </r>
  <r>
    <x v="181"/>
    <s v="asaequador@gmail.com"/>
    <n v="300277546"/>
    <n v="16523806"/>
    <x v="2"/>
    <x v="12"/>
    <n v="7"/>
    <s v="veio faltando os traseiro  palas"/>
    <m/>
    <s v="essa ordem ja veio com os bolsos pregados , e veio faltando 3 traseiros e as palas 13/14  , 2-8/9  ,2 -6/72"/>
    <d v="2026-07-23T08:59:26"/>
    <m/>
    <n v="1420"/>
    <x v="1"/>
    <n v="0"/>
    <m/>
    <d v="2026-07-23T00:00:00"/>
    <x v="0"/>
  </r>
  <r>
    <x v="175"/>
    <s v="confeccaogenesisltda@gmail.com"/>
    <n v="300282856"/>
    <n v="16310950"/>
    <x v="0"/>
    <x v="45"/>
    <n v="27"/>
    <s v="VEIO PARTES DAS PEÇAS FURADAS E FALTOU TODAS AS PARTES PARA 27 PEÇAS"/>
    <m/>
    <s v="PARTES FALTANTES BOLSO, FRENTE E TRASEIRO"/>
    <d v="2026-07-23T09:09:46"/>
    <m/>
    <n v="1421"/>
    <x v="1"/>
    <n v="0"/>
    <m/>
    <d v="2026-07-23T00:00:00"/>
    <x v="0"/>
  </r>
  <r>
    <x v="11"/>
    <s v="S.a.confeccoesind@gmail.com"/>
    <n v="300276278"/>
    <n v="1586387"/>
    <x v="2"/>
    <x v="61"/>
    <n v="2"/>
    <s v="Danificada na produção"/>
    <m/>
    <s v="etiqueta de composição tamanho 40"/>
    <d v="2026-07-23T09:28:32"/>
    <m/>
    <n v="1422"/>
    <x v="1"/>
    <n v="0"/>
    <m/>
    <d v="2026-07-23T00:00:00"/>
    <x v="0"/>
  </r>
  <r>
    <x v="180"/>
    <s v="lajedoconf5@gmail.com"/>
    <n v="300280668"/>
    <n v="16532885"/>
    <x v="2"/>
    <x v="163"/>
    <n v="690"/>
    <s v="quantidade insuficiente para concluir a ordem"/>
    <m/>
    <s v="reposição de viés para 690 peças "/>
    <d v="2026-07-23T10:17:39"/>
    <m/>
    <n v="1423"/>
    <x v="1"/>
    <n v="0"/>
    <m/>
    <d v="2026-07-23T00:00:00"/>
    <x v="0"/>
  </r>
  <r>
    <x v="13"/>
    <s v="administrativo@zajaconfeccoes.com.br"/>
    <n v="300281065"/>
    <n v="15859215"/>
    <x v="2"/>
    <x v="61"/>
    <n v="20"/>
    <s v="insuficiente "/>
    <m/>
    <m/>
    <d v="2026-07-23T10:58:12"/>
    <m/>
    <n v="1424"/>
    <x v="1"/>
    <n v="0"/>
    <m/>
    <d v="2026-07-23T00:00:00"/>
    <x v="0"/>
  </r>
  <r>
    <x v="197"/>
    <s v="mc.confeccoes15@gmail.com"/>
    <n v="300282333"/>
    <n v="15773450"/>
    <x v="2"/>
    <x v="12"/>
    <s v="19 peças"/>
    <s v="Material não enviado."/>
    <m/>
    <s v="Após várias contagens foi constatado que faltou 1 lote com 19 peças tamanho 42 da terceira sequência."/>
    <d v="2026-07-23T10:59:34"/>
    <m/>
    <n v="1425"/>
    <x v="1"/>
    <n v="0"/>
    <m/>
    <d v="2026-07-23T00:00:00"/>
    <x v="0"/>
  </r>
  <r>
    <x v="13"/>
    <s v="administrativo@zajaconfeccoes.com.br"/>
    <n v="300281065"/>
    <n v="15859215"/>
    <x v="2"/>
    <x v="49"/>
    <n v="20"/>
    <s v="insuficiente"/>
    <m/>
    <m/>
    <d v="2026-07-23T10:59:54"/>
    <m/>
    <n v="1426"/>
    <x v="1"/>
    <n v="10000214516"/>
    <m/>
    <d v="2026-07-23T00:00:00"/>
    <x v="0"/>
  </r>
  <r>
    <x v="198"/>
    <s v="afconfeccoes26@gmail.com"/>
    <n v="300269047"/>
    <n v="14700328"/>
    <x v="3"/>
    <x v="6"/>
    <n v="616"/>
    <s v="Veio faltando"/>
    <m/>
    <s v="Só aguardando a reposição pra concluir a ordem."/>
    <d v="2026-07-23T12:35:20"/>
    <m/>
    <n v="1427"/>
    <x v="1"/>
    <n v="10000072006"/>
    <m/>
    <d v="2026-07-23T00:00:00"/>
    <x v="0"/>
  </r>
  <r>
    <x v="20"/>
    <s v="CONFECCAOSAOSEBASTIAO@GMAIL.COM"/>
    <n v="300281114"/>
    <n v="16508920"/>
    <x v="2"/>
    <x v="163"/>
    <n v="1484"/>
    <s v="não veio"/>
    <m/>
    <m/>
    <d v="2026-07-23T13:40:51"/>
    <m/>
    <n v="1428"/>
    <x v="1"/>
    <s v="nao tem"/>
    <m/>
    <d v="2026-07-23T00:00:00"/>
    <x v="0"/>
  </r>
  <r>
    <x v="184"/>
    <s v="encantopoest@gmail.com"/>
    <n v="300281495"/>
    <n v="16507649"/>
    <x v="2"/>
    <x v="61"/>
    <n v="21"/>
    <s v="faltando etiqueta para complementar a quantidade das peças"/>
    <m/>
    <s v="3 etiquetas de composição de todos tamanhos."/>
    <d v="2026-07-23T13:59:32"/>
    <m/>
    <n v="1429"/>
    <x v="1"/>
    <n v="0"/>
    <m/>
    <d v="2026-07-23T00:00:00"/>
    <x v="0"/>
  </r>
  <r>
    <x v="31"/>
    <s v="administrativo@zajaconfeccoes.com.br"/>
    <n v="300283982"/>
    <n v="14938570"/>
    <x v="3"/>
    <x v="6"/>
    <n v="1.131"/>
    <s v="ribana com tonalidade "/>
    <m/>
    <m/>
    <d v="2026-07-23T14:02:39"/>
    <m/>
    <n v="1430"/>
    <x v="1"/>
    <n v="0"/>
    <m/>
    <d v="2026-07-23T00:00:00"/>
    <x v="0"/>
  </r>
  <r>
    <x v="31"/>
    <s v="administrativo@zajaconfeccoes.com.br"/>
    <n v="300283982"/>
    <n v="14938570"/>
    <x v="3"/>
    <x v="163"/>
    <n v="1.131"/>
    <s v="tonalidade na gola, vamos ter que desmanchar e consequentemente teremos que repor o viés de reforço"/>
    <m/>
    <m/>
    <d v="2026-07-23T14:07:06"/>
    <m/>
    <n v="1431"/>
    <x v="1"/>
    <n v="0"/>
    <m/>
    <d v="2026-07-23T00:00:00"/>
    <x v="0"/>
  </r>
  <r>
    <x v="35"/>
    <s v="Lupercio-fnb@hotmail.com"/>
    <n v="300281470"/>
    <n v="13044826"/>
    <x v="1"/>
    <x v="20"/>
    <n v="200"/>
    <s v="Faltando para finalização de ordem, precisamos o mais breve possível"/>
    <m/>
    <s v="Precisamos o mais breve possivel, Atenção."/>
    <d v="2026-07-23T14:10:09"/>
    <m/>
    <n v="1432"/>
    <x v="1"/>
    <n v="0"/>
    <m/>
    <d v="2026-07-23T00:00:00"/>
    <x v="0"/>
  </r>
  <r>
    <x v="34"/>
    <s v="dantasepaulino@gmail.com"/>
    <n v="300278891"/>
    <n v="16293274"/>
    <x v="2"/>
    <x v="142"/>
    <s v="6 cones"/>
    <s v="insuficiente para finalizar a op "/>
    <m/>
    <s v="6 cones dessa linha"/>
    <d v="2026-07-23T14:14:04"/>
    <m/>
    <n v="1433"/>
    <x v="1"/>
    <n v="10000227632"/>
    <m/>
    <d v="2026-07-23T00:00:00"/>
    <x v="0"/>
  </r>
  <r>
    <x v="32"/>
    <s v="di3confec@gmail.com"/>
    <n v="300283981"/>
    <n v="14938570"/>
    <x v="3"/>
    <x v="61"/>
    <n v="10"/>
    <s v="Material insuficiente para finalizar a op"/>
    <m/>
    <m/>
    <d v="2026-07-23T14:15:08"/>
    <m/>
    <n v="1434"/>
    <x v="1"/>
    <n v="0"/>
    <m/>
    <d v="2026-07-23T00:00:00"/>
    <x v="0"/>
  </r>
  <r>
    <x v="15"/>
    <s v="spauloazevedo@bol.com.br"/>
    <n v="300274693"/>
    <n v="16542975"/>
    <x v="0"/>
    <x v="163"/>
    <s v="350 pçs"/>
    <s v="A conta do consumo do viés foi feito errado"/>
    <m/>
    <s v="Viés de cavas e decote para 350 pçs"/>
    <d v="2026-07-23T14:30:39"/>
    <m/>
    <n v="1435"/>
    <x v="1"/>
    <s v="viés de cava e decote"/>
    <m/>
    <d v="2026-07-23T00:00:00"/>
    <x v="0"/>
  </r>
  <r>
    <x v="34"/>
    <s v="dantasepaulino@gmail.com"/>
    <n v="300278891"/>
    <n v="16293274"/>
    <x v="2"/>
    <x v="142"/>
    <s v="4 cones"/>
    <s v="insuficiente para finalizar a op "/>
    <m/>
    <s v="4 cones desta linha"/>
    <d v="2026-07-23T14:42:15"/>
    <m/>
    <n v="1436"/>
    <x v="1"/>
    <n v="10000063189"/>
    <m/>
    <d v="2026-07-23T00:00:00"/>
    <x v="0"/>
  </r>
  <r>
    <x v="34"/>
    <s v="dantasepaulino@gmail.com"/>
    <n v="300278891"/>
    <n v="16293274"/>
    <x v="2"/>
    <x v="143"/>
    <n v="36"/>
    <s v="insuficiente para finalizar a op "/>
    <m/>
    <s v="36 do tamanho 50"/>
    <d v="2026-07-23T14:44:59"/>
    <m/>
    <n v="1437"/>
    <x v="1"/>
    <n v="0"/>
    <m/>
    <d v="2026-07-23T00:00:00"/>
    <x v="0"/>
  </r>
  <r>
    <x v="21"/>
    <s v="potengitextil@outlook.com.br"/>
    <n v="300283772"/>
    <n v="15957055"/>
    <x v="3"/>
    <x v="61"/>
    <n v="9"/>
    <s v="Insuficiente para finalizar ordem "/>
    <m/>
    <m/>
    <d v="2026-07-23T15:12:25"/>
    <m/>
    <n v="1438"/>
    <x v="1"/>
    <n v="0"/>
    <m/>
    <d v="2026-07-23T00:00:00"/>
    <x v="0"/>
  </r>
  <r>
    <x v="27"/>
    <s v="ffconfeccoesobrn@hotmail.com"/>
    <n v="300281877"/>
    <n v="16431960"/>
    <x v="2"/>
    <x v="45"/>
    <n v="1.0229999999999999"/>
    <s v="Ordem molhada"/>
    <m/>
    <s v="A ordem chegou molhada na oficina "/>
    <d v="2026-07-23T15:22:51"/>
    <m/>
    <n v="1439"/>
    <x v="2"/>
    <s v="O"/>
    <m/>
    <d v="2026-07-23T00:00:00"/>
    <x v="0"/>
  </r>
  <r>
    <x v="32"/>
    <s v="di3confec@gmail.com"/>
    <n v="300283443"/>
    <n v="14938570"/>
    <x v="3"/>
    <x v="61"/>
    <n v="10"/>
    <s v="Material insuficiente"/>
    <m/>
    <m/>
    <d v="2026-07-23T15:41:44"/>
    <m/>
    <n v="1440"/>
    <x v="1"/>
    <n v="0"/>
    <m/>
    <d v="2026-07-23T00:00:00"/>
    <x v="0"/>
  </r>
  <r>
    <x v="162"/>
    <s v="faccaoello@hotmail.com"/>
    <n v="300278804"/>
    <n v="16217470"/>
    <x v="2"/>
    <x v="61"/>
    <n v="1"/>
    <s v="MATEROAL NÃO ENVIADO PELA GUARARSPES"/>
    <m/>
    <m/>
    <d v="2026-07-23T15:49:17"/>
    <m/>
    <n v="1441"/>
    <x v="1"/>
    <n v="0"/>
    <m/>
    <d v="2026-07-23T00:00:00"/>
    <x v="0"/>
  </r>
  <r>
    <x v="20"/>
    <s v="CONFECCAOSAOSEBASTIAO@GMAIL.COM"/>
    <n v="300278591"/>
    <n v="16507665"/>
    <x v="2"/>
    <x v="38"/>
    <n v="354"/>
    <s v="não veio"/>
    <m/>
    <m/>
    <d v="2026-07-23T15:57:56"/>
    <m/>
    <n v="1442"/>
    <x v="1"/>
    <s v="não tem codigo"/>
    <m/>
    <d v="2026-07-23T00:00:00"/>
    <x v="0"/>
  </r>
  <r>
    <x v="20"/>
    <s v="CONFECCAOSAOSEBASTIAO@GMAIL.COM"/>
    <n v="300278795"/>
    <n v="16508203"/>
    <x v="2"/>
    <x v="13"/>
    <n v="66"/>
    <s v="faltou"/>
    <m/>
    <m/>
    <d v="2026-07-23T16:05:43"/>
    <m/>
    <n v="1443"/>
    <x v="1"/>
    <n v="100002452"/>
    <m/>
    <d v="2026-07-23T00:00:00"/>
    <x v="0"/>
  </r>
  <r>
    <x v="21"/>
    <s v="potengitextil@outlook.com.br"/>
    <n v="300282839"/>
    <n v="15238385"/>
    <x v="1"/>
    <x v="27"/>
    <n v="100"/>
    <s v="Insuficiente para finalizar ordem "/>
    <m/>
    <m/>
    <d v="2026-07-23T16:14:18"/>
    <m/>
    <n v="1444"/>
    <x v="1"/>
    <n v="10000216134"/>
    <m/>
    <d v="2026-07-23T00:00:00"/>
    <x v="0"/>
  </r>
  <r>
    <x v="82"/>
    <s v="vitalizeconfeccoes@gmail.com"/>
    <n v="300281892"/>
    <n v="16465164"/>
    <x v="3"/>
    <x v="61"/>
    <n v="65"/>
    <s v="VEIO FALTANDO "/>
    <m/>
    <m/>
    <d v="2026-07-23T16:21:03"/>
    <m/>
    <n v="1445"/>
    <x v="1"/>
    <n v="0"/>
    <m/>
    <d v="2026-07-23T00:00:00"/>
    <x v="0"/>
  </r>
  <r>
    <x v="170"/>
    <s v="NEEMIAS.SC@HOTMAIL.COM"/>
    <n v="300280745"/>
    <n v="15724344"/>
    <x v="3"/>
    <x v="6"/>
    <n v="6"/>
    <s v="FALTA "/>
    <m/>
    <m/>
    <d v="2026-07-23T16:32:24"/>
    <m/>
    <n v="1446"/>
    <x v="1"/>
    <s v="GOLA RODADA "/>
    <m/>
    <d v="2026-07-23T00:00:00"/>
    <x v="0"/>
  </r>
  <r>
    <x v="56"/>
    <s v="idealconfecltda@gmail.com"/>
    <n v="300278812"/>
    <n v="16273311"/>
    <x v="2"/>
    <x v="49"/>
    <s v="276 und"/>
    <s v="Material não enviado pela Guararapes"/>
    <m/>
    <s v="Material não enviado completo"/>
    <d v="2026-07-23T16:32:25"/>
    <m/>
    <n v="1447"/>
    <x v="1"/>
    <n v="0"/>
    <m/>
    <d v="2026-07-23T00:00:00"/>
    <x v="0"/>
  </r>
  <r>
    <x v="37"/>
    <s v="felconfeccao@gmail.com"/>
    <n v="300280742"/>
    <n v="16441303"/>
    <x v="3"/>
    <x v="4"/>
    <n v="1008"/>
    <s v="NÃO FOI ENVIADO"/>
    <m/>
    <m/>
    <d v="2026-07-23T16:33:17"/>
    <m/>
    <n v="1448"/>
    <x v="1"/>
    <n v="0"/>
    <m/>
    <d v="2026-07-23T00:00:00"/>
    <x v="0"/>
  </r>
  <r>
    <x v="37"/>
    <s v="felconfeccao@gmail.com"/>
    <n v="300281670"/>
    <n v="16017315"/>
    <x v="3"/>
    <x v="61"/>
    <n v="4"/>
    <s v="FALTOU"/>
    <m/>
    <m/>
    <d v="2026-07-23T16:34:40"/>
    <m/>
    <n v="1449"/>
    <x v="1"/>
    <n v="0"/>
    <m/>
    <d v="2026-07-23T00:00:00"/>
    <x v="0"/>
  </r>
  <r>
    <x v="171"/>
    <s v="confeccoesgbdas@hotmail.com"/>
    <n v="300281922"/>
    <n v="16561392"/>
    <x v="2"/>
    <x v="61"/>
    <n v="30"/>
    <s v="FALTA DE COMPOSIÇÃO PARA FINALIZAR OP"/>
    <m/>
    <m/>
    <d v="2026-07-23T18:01:36"/>
    <m/>
    <n v="1450"/>
    <x v="1"/>
    <n v="16561392"/>
    <m/>
    <d v="2026-07-23T00:00:00"/>
    <x v="0"/>
  </r>
  <r>
    <x v="163"/>
    <s v="felconfeccao@gmail.com"/>
    <n v="300277486"/>
    <n v="16217470"/>
    <x v="2"/>
    <x v="49"/>
    <n v="1"/>
    <s v="insuficiente para finalizar op"/>
    <m/>
    <m/>
    <d v="2026-07-24T06:59:46"/>
    <m/>
    <n v="1451"/>
    <x v="1"/>
    <n v="10000247753"/>
    <m/>
    <d v="2026-07-24T00:00:00"/>
    <x v="0"/>
  </r>
  <r>
    <x v="163"/>
    <s v="felconfeccao@gmail.com"/>
    <n v="300277486"/>
    <n v="16217470"/>
    <x v="2"/>
    <x v="61"/>
    <n v="3"/>
    <s v="insuficiente para finalizar op"/>
    <m/>
    <m/>
    <d v="2026-07-24T07:03:15"/>
    <m/>
    <n v="1452"/>
    <x v="1"/>
    <s v="não informado"/>
    <m/>
    <d v="2026-07-24T00:00:00"/>
    <x v="0"/>
  </r>
  <r>
    <x v="31"/>
    <s v="administrativo@zajaconfeccoes.com.br"/>
    <n v="300282777"/>
    <n v="15243153"/>
    <x v="2"/>
    <x v="24"/>
    <n v="32"/>
    <s v="insuficiente "/>
    <m/>
    <s v="O PEDIDO É DE REFORÇO DE BOLSO. NAS OPÇÕES NÃO ENCONTREI, DEVERIA TER A OPÇÃO OUTROS PARA PARTES QUE NÃO CONTÉM NA LISTA. "/>
    <d v="2026-07-24T07:29:36"/>
    <m/>
    <n v="1453"/>
    <x v="1"/>
    <n v="0"/>
    <m/>
    <d v="2026-07-24T00:00:00"/>
    <x v="0"/>
  </r>
  <r>
    <x v="166"/>
    <s v="w.anny.k@hotmail.com"/>
    <n v="300283297"/>
    <n v="15359492"/>
    <x v="1"/>
    <x v="163"/>
    <s v="5 ROLOS "/>
    <s v="FALTOU VÍES DA GOLA NESSA ORDEM "/>
    <m/>
    <m/>
    <d v="2026-07-24T07:47:17"/>
    <m/>
    <n v="1454"/>
    <x v="1"/>
    <n v="0"/>
    <m/>
    <d v="2026-07-24T00:00:00"/>
    <x v="0"/>
  </r>
  <r>
    <x v="188"/>
    <s v="tendenciaconfec@gmail.com"/>
    <n v="300284288"/>
    <n v="15864448"/>
    <x v="2"/>
    <x v="5"/>
    <n v="8"/>
    <s v="Faltou"/>
    <m/>
    <m/>
    <d v="2026-07-24T07:50:27"/>
    <m/>
    <n v="1455"/>
    <x v="1"/>
    <s v="filma plastico do passante "/>
    <m/>
    <d v="2026-07-24T00:00:00"/>
    <x v="0"/>
  </r>
  <r>
    <x v="166"/>
    <s v="w.anny.k@hotmail.com"/>
    <n v="300284286"/>
    <n v="15864448"/>
    <x v="2"/>
    <x v="61"/>
    <n v="35"/>
    <s v="VEIO FALTANDO NA ORDEM "/>
    <m/>
    <m/>
    <d v="2026-07-24T07:51:47"/>
    <m/>
    <n v="1456"/>
    <x v="1"/>
    <n v="0"/>
    <m/>
    <d v="2026-07-24T00:00:00"/>
    <x v="0"/>
  </r>
  <r>
    <x v="166"/>
    <s v="w.anny.k@hotmail.com"/>
    <n v="300284286"/>
    <n v="15864448"/>
    <x v="2"/>
    <x v="159"/>
    <n v="20"/>
    <s v="FALTOU ETIQUETA CASUAL PARA ESTA ORDEM "/>
    <m/>
    <m/>
    <d v="2026-07-24T08:06:14"/>
    <m/>
    <n v="1457"/>
    <x v="1"/>
    <s v="10000212591 ETIQUETA CASUAL MENSWEAR ALL SEASON "/>
    <m/>
    <d v="2026-07-24T00:00:00"/>
    <x v="0"/>
  </r>
  <r>
    <x v="185"/>
    <s v="fernandoassu@gmail.com"/>
    <n v="300281921"/>
    <n v="16561392"/>
    <x v="2"/>
    <x v="61"/>
    <s v="40 tam 9-10"/>
    <s v="Foi enviada errada "/>
    <m/>
    <m/>
    <d v="2026-07-24T08:10:16"/>
    <m/>
    <n v="1458"/>
    <x v="1"/>
    <n v="150"/>
    <m/>
    <d v="2026-07-24T00:00:00"/>
    <x v="0"/>
  </r>
  <r>
    <x v="162"/>
    <s v="faccaoello@hotmail.com"/>
    <n v="300283561"/>
    <n v="16244087"/>
    <x v="2"/>
    <x v="18"/>
    <n v="1080"/>
    <s v="NÃO ENVIADO PELA GUARARAPES"/>
    <m/>
    <s v="NÃO VEIO O CÓDIGO"/>
    <d v="2026-07-24T08:24:38"/>
    <m/>
    <n v="1459"/>
    <x v="1"/>
    <n v="0"/>
    <m/>
    <d v="2026-07-24T00:00:00"/>
    <x v="0"/>
  </r>
  <r>
    <x v="188"/>
    <s v="tendenciaconfec@gmail.com"/>
    <n v="300274357"/>
    <n v="15898008"/>
    <x v="3"/>
    <x v="56"/>
    <n v="30"/>
    <s v="Faltou"/>
    <m/>
    <s v="Faltou 30 etiquetas de gola, tamanho M"/>
    <d v="2026-07-24T08:26:56"/>
    <m/>
    <n v="1460"/>
    <x v="1"/>
    <s v="000000010000247914 - 9.EIA22.00M.VERD00, ETIQUETA RIA CLIP TOP VERDE M"/>
    <m/>
    <d v="2026-07-24T00:00:00"/>
    <x v="0"/>
  </r>
  <r>
    <x v="162"/>
    <s v="faccaoello@hotmail.com"/>
    <n v="300283560"/>
    <n v="16244087"/>
    <x v="2"/>
    <x v="18"/>
    <n v="1080"/>
    <s v="NÃO ENVIADO PELA GUARARAPES"/>
    <m/>
    <s v="NÃO VEIO O CÓDIGO"/>
    <d v="2026-07-24T08:32:44"/>
    <m/>
    <n v="1461"/>
    <x v="1"/>
    <n v="0"/>
    <m/>
    <d v="2026-07-24T00:00:00"/>
    <x v="0"/>
  </r>
  <r>
    <x v="162"/>
    <s v="faccaoello@hotmail.com"/>
    <n v="300283559"/>
    <n v="16244087"/>
    <x v="2"/>
    <x v="18"/>
    <n v="840"/>
    <s v="NÃO ENVIADO PELA GUARARAPES"/>
    <m/>
    <s v="NÃO VEIO CÓDIGO"/>
    <d v="2026-07-24T08:44:26"/>
    <m/>
    <n v="1462"/>
    <x v="1"/>
    <n v="0"/>
    <m/>
    <d v="2026-07-24T00:00:00"/>
    <x v="0"/>
  </r>
  <r>
    <x v="166"/>
    <s v="w.anny.k@hotmail.com"/>
    <n v="300284286"/>
    <n v="15864448"/>
    <x v="2"/>
    <x v="13"/>
    <n v="15"/>
    <s v="VEIO FALTANDO NA ORDEM "/>
    <m/>
    <m/>
    <d v="2026-07-24T08:45:47"/>
    <m/>
    <n v="1463"/>
    <x v="1"/>
    <s v="10000065077 - ZÍPER MT MÉDIO NIQ FIXO 13CM 190912"/>
    <m/>
    <d v="2026-07-24T00:00:00"/>
    <x v="0"/>
  </r>
  <r>
    <x v="166"/>
    <s v="w.anny.k@hotmail.com"/>
    <n v="300284286"/>
    <n v="15864448"/>
    <x v="2"/>
    <x v="13"/>
    <n v="15"/>
    <s v="VEIO FALTANDO NA ORDEM"/>
    <m/>
    <m/>
    <d v="2026-07-24T08:48:12"/>
    <m/>
    <n v="1464"/>
    <x v="1"/>
    <s v="10000064370 ZÍPER MT MEDIO FIXO 17CM 190912"/>
    <m/>
    <d v="2026-07-24T00:00:00"/>
    <x v="0"/>
  </r>
  <r>
    <x v="175"/>
    <s v="confeccaogenesisltda@gmail.com"/>
    <n v="300283147"/>
    <n v="16457897"/>
    <x v="0"/>
    <x v="142"/>
    <n v="5"/>
    <s v="QUANTIDADE INSUFICIENTE PARA DISTRIBUIR NAS MÁQUINAS"/>
    <m/>
    <m/>
    <d v="2026-07-24T09:01:21"/>
    <m/>
    <n v="1465"/>
    <x v="1"/>
    <n v="0"/>
    <m/>
    <d v="2026-07-24T00:00:00"/>
    <x v="0"/>
  </r>
  <r>
    <x v="175"/>
    <s v="confeccaogenesisltda@gmail.com"/>
    <n v="300282850"/>
    <n v="16481690"/>
    <x v="0"/>
    <x v="142"/>
    <n v="10"/>
    <s v="LINHAS INSUFICIENTES PARA FINALIZAR A ORDEM"/>
    <m/>
    <m/>
    <d v="2026-07-24T09:10:51"/>
    <m/>
    <n v="1466"/>
    <x v="1"/>
    <n v="0"/>
    <m/>
    <d v="2026-07-24T00:00:00"/>
    <x v="0"/>
  </r>
  <r>
    <x v="188"/>
    <s v="tendenciaconfec@gmail.com"/>
    <n v="300284288"/>
    <n v="15864448"/>
    <x v="2"/>
    <x v="166"/>
    <n v="55"/>
    <s v="Não veio junto OP"/>
    <m/>
    <s v="Faltou 55 revel do bolso frente, tamanho 44"/>
    <d v="2026-07-24T09:31:39"/>
    <m/>
    <n v="1467"/>
    <x v="1"/>
    <s v="revel 44 017 M1 1S 55F B"/>
    <m/>
    <d v="2026-07-24T00:00:00"/>
    <x v="0"/>
  </r>
  <r>
    <x v="27"/>
    <s v="ffconfeccoesobrn@hotmail.com"/>
    <n v="300279366"/>
    <n v="16431960"/>
    <x v="2"/>
    <x v="142"/>
    <n v="15"/>
    <s v="insuficiente para finalizar a op"/>
    <m/>
    <s v="linha insuficiente"/>
    <d v="2026-07-24T09:59:35"/>
    <m/>
    <n v="1468"/>
    <x v="1"/>
    <s v="10000062491 e 10000063284"/>
    <m/>
    <d v="2026-07-24T00:00:00"/>
    <x v="0"/>
  </r>
  <r>
    <x v="162"/>
    <s v="faccaoello@hotmail.com"/>
    <n v="300277059"/>
    <n v="16217420"/>
    <x v="2"/>
    <x v="61"/>
    <n v="1"/>
    <s v="Material não enviado pela Guararapes"/>
    <m/>
    <m/>
    <d v="2026-07-24T10:20:06"/>
    <m/>
    <n v="1469"/>
    <x v="1"/>
    <n v="0"/>
    <m/>
    <d v="2026-07-24T00:00:00"/>
    <x v="0"/>
  </r>
  <r>
    <x v="166"/>
    <s v="w.anny.k@hotmail.com"/>
    <n v="300284286"/>
    <n v="15864448"/>
    <x v="2"/>
    <x v="17"/>
    <n v="1.4039999999999999"/>
    <s v="OS CÓS VIERAM COM A ENTRETELA ERRADA"/>
    <m/>
    <m/>
    <d v="2026-07-24T10:20:58"/>
    <m/>
    <n v="1470"/>
    <x v="1"/>
    <n v="0"/>
    <m/>
    <d v="2026-07-24T00:00:00"/>
    <x v="0"/>
  </r>
  <r>
    <x v="27"/>
    <s v="ffconfeccoesobrn@hotmail.com"/>
    <n v="300279366"/>
    <n v="16431960"/>
    <x v="2"/>
    <x v="142"/>
    <n v="10"/>
    <s v="insuficiente"/>
    <m/>
    <s v="insuficiente para finalizar a ordem"/>
    <d v="2026-07-24T10:30:52"/>
    <m/>
    <n v="1471"/>
    <x v="1"/>
    <n v="10000073230"/>
    <m/>
    <d v="2026-07-24T00:00:00"/>
    <x v="0"/>
  </r>
  <r>
    <x v="178"/>
    <s v="faccao_sales2010@hotmail.com"/>
    <n v="300282423"/>
    <n v="16242408"/>
    <x v="3"/>
    <x v="163"/>
    <n v="776"/>
    <s v="INSUFICIENTE PARA FINALIZAR A OP"/>
    <m/>
    <m/>
    <d v="2026-07-24T10:34:53"/>
    <m/>
    <n v="1472"/>
    <x v="1"/>
    <s v="-"/>
    <m/>
    <d v="2026-07-24T00:00:00"/>
    <x v="0"/>
  </r>
  <r>
    <x v="60"/>
    <s v="acauaconfeccoes@outlook.com"/>
    <n v="300281954"/>
    <n v="16507975"/>
    <x v="2"/>
    <x v="18"/>
    <n v="320"/>
    <s v="Material não enviado pela Guararapes "/>
    <m/>
    <s v="Material não enviado pela Guararapes "/>
    <d v="2026-07-24T10:50:52"/>
    <m/>
    <n v="1473"/>
    <x v="1"/>
    <n v="1"/>
    <m/>
    <d v="2026-07-24T00:00:00"/>
    <x v="0"/>
  </r>
  <r>
    <x v="60"/>
    <s v="mkdeazevedomedeiros@gmail.com"/>
    <n v="300279716"/>
    <n v="16513649"/>
    <x v="2"/>
    <x v="18"/>
    <n v="500"/>
    <s v="INSUFICIENTE PARA FINALIZAR A OP"/>
    <m/>
    <m/>
    <d v="2026-07-24T10:59:04"/>
    <m/>
    <n v="1474"/>
    <x v="1"/>
    <s v="-"/>
    <m/>
    <d v="2026-07-24T00:00:00"/>
    <x v="0"/>
  </r>
  <r>
    <x v="181"/>
    <s v="asaequador@gmail.com"/>
    <n v="300284279"/>
    <n v="16497767"/>
    <x v="2"/>
    <x v="17"/>
    <n v="135"/>
    <s v="VEIO FALTANDO"/>
    <m/>
    <s v="VEIO FALTANDO ESSE LOTES"/>
    <d v="2026-07-24T11:09:07"/>
    <m/>
    <n v="1475"/>
    <x v="1"/>
    <n v="0"/>
    <m/>
    <d v="2026-07-24T00:00:00"/>
    <x v="0"/>
  </r>
  <r>
    <x v="58"/>
    <s v="js.silva6815@gmail.com"/>
    <n v="300281904"/>
    <n v="16218990"/>
    <x v="2"/>
    <x v="18"/>
    <n v="1428"/>
    <s v="elastico de cós não veio junto com a ordem"/>
    <m/>
    <s v="elastico para o cós"/>
    <d v="2026-07-24T11:16:17"/>
    <m/>
    <n v="1476"/>
    <x v="1"/>
    <n v="0"/>
    <m/>
    <d v="2026-07-24T00:00:00"/>
    <x v="0"/>
  </r>
  <r>
    <x v="63"/>
    <s v="acaritextil2801@gmail.com"/>
    <n v="300284283"/>
    <n v="15864448"/>
    <x v="2"/>
    <x v="22"/>
    <s v="102 PARES - 2 ALTURAS"/>
    <s v="NÃO FOI ENVIADO"/>
    <m/>
    <s v="São duas alturas de 51 peças, 102 pares.  Tamanho 46"/>
    <d v="2026-07-24T13:17:56"/>
    <m/>
    <n v="1477"/>
    <x v="1"/>
    <n v="0"/>
    <m/>
    <d v="2026-07-24T00:00:00"/>
    <x v="0"/>
  </r>
  <r>
    <x v="15"/>
    <s v="spauloazevedo@bol.com.br"/>
    <n v="300283683"/>
    <n v="16489128"/>
    <x v="0"/>
    <x v="142"/>
    <s v="2 cones"/>
    <s v="Veio faltando"/>
    <m/>
    <s v="A linha não deu pra concluí a ordem"/>
    <d v="2026-07-24T13:47:53"/>
    <m/>
    <n v="1478"/>
    <x v="1"/>
    <n v="10000062479"/>
    <m/>
    <d v="2026-07-24T00:00:00"/>
    <x v="0"/>
  </r>
  <r>
    <x v="192"/>
    <s v="alvesemedeirosoficina@gmail.com"/>
    <n v="300281878"/>
    <n v="16218230"/>
    <x v="2"/>
    <x v="38"/>
    <n v="977"/>
    <s v="Peças molhadas e manchadas"/>
    <m/>
    <m/>
    <d v="2026-07-24T13:57:10"/>
    <m/>
    <n v="1479"/>
    <x v="1"/>
    <n v="0"/>
    <m/>
    <d v="2026-07-24T00:00:00"/>
    <x v="0"/>
  </r>
  <r>
    <x v="173"/>
    <s v="alfaequador@gmail.com"/>
    <n v="300280202"/>
    <n v="16243200"/>
    <x v="2"/>
    <x v="61"/>
    <n v="2"/>
    <s v="QUANTIDADE INSUFICIENTE"/>
    <m/>
    <s v="QUANTIDADE INSUFICIENTE"/>
    <d v="2026-07-24T13:58:08"/>
    <m/>
    <n v="1480"/>
    <x v="1"/>
    <n v="0"/>
    <m/>
    <d v="2026-07-24T00:00:00"/>
    <x v="0"/>
  </r>
  <r>
    <x v="192"/>
    <s v="alvesemedeirosoficina@gmail.com"/>
    <n v="300281878"/>
    <n v="16218230"/>
    <x v="2"/>
    <x v="17"/>
    <n v="315"/>
    <s v="peças molhadas e manchadas "/>
    <m/>
    <m/>
    <d v="2026-07-24T13:59:40"/>
    <m/>
    <n v="1481"/>
    <x v="1"/>
    <n v="0"/>
    <m/>
    <d v="2026-07-24T00:00:00"/>
    <x v="0"/>
  </r>
  <r>
    <x v="192"/>
    <s v="alvesemedeirosoficina@gmail.com"/>
    <n v="300281878"/>
    <n v="16218230"/>
    <x v="2"/>
    <x v="44"/>
    <n v="630"/>
    <s v="peças molhadas e manchadas "/>
    <m/>
    <m/>
    <d v="2026-07-24T14:01:04"/>
    <m/>
    <n v="1482"/>
    <x v="1"/>
    <n v="0"/>
    <m/>
    <d v="2026-07-24T00:00:00"/>
    <x v="0"/>
  </r>
  <r>
    <x v="32"/>
    <s v="di3confec@gmail.com"/>
    <n v="300281956"/>
    <n v="16504615"/>
    <x v="2"/>
    <x v="61"/>
    <n v="15"/>
    <s v="Material insuficiente"/>
    <m/>
    <m/>
    <d v="2026-07-24T14:34:57"/>
    <m/>
    <n v="1483"/>
    <x v="1"/>
    <n v="0"/>
    <m/>
    <d v="2026-07-24T00:00:00"/>
    <x v="0"/>
  </r>
  <r>
    <x v="15"/>
    <s v="spauloazevedo@bol.com.br"/>
    <n v="300283683"/>
    <n v="0"/>
    <x v="0"/>
    <x v="56"/>
    <n v="94"/>
    <s v="As etq tamanho 6-7 não veio na ordem"/>
    <m/>
    <s v="As etq tamanho 6-7 não veio na ordem"/>
    <d v="2026-07-24T14:48:44"/>
    <m/>
    <n v="1484"/>
    <x v="1"/>
    <n v="10000247716"/>
    <m/>
    <d v="2026-07-24T00:00:00"/>
    <x v="0"/>
  </r>
  <r>
    <x v="13"/>
    <s v="administrativo@zajaconfeccoes.com.br"/>
    <n v="300280189"/>
    <n v="16387945"/>
    <x v="2"/>
    <x v="18"/>
    <n v="572"/>
    <s v="insuficiente "/>
    <m/>
    <m/>
    <d v="2026-07-24T14:58:50"/>
    <m/>
    <n v="1485"/>
    <x v="2"/>
    <n v="10000195771"/>
    <m/>
    <d v="2026-07-24T00:00:00"/>
    <x v="0"/>
  </r>
  <r>
    <x v="21"/>
    <s v="potengitextil@outlook.com.br"/>
    <n v="300270875"/>
    <n v="16426010"/>
    <x v="3"/>
    <x v="61"/>
    <n v="8"/>
    <s v="Insuficiente para finalizar ordem "/>
    <m/>
    <m/>
    <d v="2026-07-24T15:00:28"/>
    <m/>
    <n v="1486"/>
    <x v="1"/>
    <n v="0"/>
    <m/>
    <d v="2026-07-24T00:00:00"/>
    <x v="0"/>
  </r>
  <r>
    <x v="13"/>
    <s v="administrativo@zajaconfeccoes.com.br"/>
    <n v="300280189"/>
    <n v="16387945"/>
    <x v="2"/>
    <x v="163"/>
    <n v="572"/>
    <s v="insuficiente "/>
    <m/>
    <s v="viés de bocada "/>
    <d v="2026-07-24T15:00:56"/>
    <m/>
    <n v="1487"/>
    <x v="2"/>
    <n v="0"/>
    <m/>
    <d v="2026-07-24T00:00:00"/>
    <x v="0"/>
  </r>
  <r>
    <x v="21"/>
    <s v="potengitextil@outlook.com.br"/>
    <n v="300283693"/>
    <n v="16443004"/>
    <x v="1"/>
    <x v="6"/>
    <n v="5"/>
    <s v="Insuficiente para finalizar ordem "/>
    <m/>
    <m/>
    <d v="2026-07-24T15:02:48"/>
    <m/>
    <n v="1488"/>
    <x v="1"/>
    <n v="0"/>
    <m/>
    <d v="2026-07-24T00:00:00"/>
    <x v="0"/>
  </r>
  <r>
    <x v="193"/>
    <s v="ajgconfeccoes2021@gmail.com"/>
    <n v="300278589"/>
    <n v="16507665"/>
    <x v="2"/>
    <x v="12"/>
    <n v="60"/>
    <s v="FALTOU 3 LOTES DE TRASEIROS "/>
    <m/>
    <s v="FALTOU 3 LOTES COM 60 PEÇAS TRASEIROS "/>
    <d v="2026-07-24T15:25:41"/>
    <m/>
    <n v="1489"/>
    <x v="1"/>
    <s v="N TEM"/>
    <m/>
    <d v="2026-07-24T00:00:00"/>
    <x v="0"/>
  </r>
  <r>
    <x v="63"/>
    <s v="acaritextil2801@gmail.com"/>
    <n v="300285046"/>
    <n v="15859096"/>
    <x v="2"/>
    <x v="142"/>
    <n v="100000"/>
    <s v="NÃO FOI ENVIADO NA ORDEM "/>
    <m/>
    <s v="LINHA 100% PES TIT80 S.623"/>
    <d v="2026-07-24T15:27:06"/>
    <m/>
    <n v="1490"/>
    <x v="2"/>
    <s v="10000063107-9LI001.080"/>
    <m/>
    <d v="2026-07-24T00:00:00"/>
    <x v="0"/>
  </r>
  <r>
    <x v="182"/>
    <s v="uniaoconfeccao.me@gmail.com"/>
    <n v="300280219"/>
    <n v="16473825"/>
    <x v="2"/>
    <x v="142"/>
    <n v="6"/>
    <s v="VAI FALTAR PRA FINALIZAR ORDEM "/>
    <m/>
    <s v="FALTOU LINHAS "/>
    <d v="2026-07-24T15:29:23"/>
    <m/>
    <n v="1491"/>
    <x v="1"/>
    <n v="10000073235"/>
    <m/>
    <d v="2026-07-24T00:00:00"/>
    <x v="0"/>
  </r>
  <r>
    <x v="3"/>
    <s v="qualidade@solybrasil.com.br"/>
    <n v="300283688"/>
    <n v="16502426"/>
    <x v="3"/>
    <x v="163"/>
    <n v="1170"/>
    <s v="VIES PARA TIRA DE REFORÇO "/>
    <m/>
    <s v="FALTOU VIES DE TIRA DE REFORÇO PARA A OP COMPLETA "/>
    <d v="2026-07-24T15:39:13"/>
    <m/>
    <n v="1492"/>
    <x v="1"/>
    <s v="VIES PARA TIRA DE REFORÇO "/>
    <m/>
    <d v="2026-07-24T00:00:00"/>
    <x v="0"/>
  </r>
  <r>
    <x v="32"/>
    <s v="di3confec@gmail.com"/>
    <n v="300281956"/>
    <n v="16504615"/>
    <x v="2"/>
    <x v="61"/>
    <n v="60"/>
    <s v="Material insuficiente"/>
    <m/>
    <m/>
    <d v="2026-07-24T16:05:41"/>
    <m/>
    <n v="1493"/>
    <x v="1"/>
    <n v="0"/>
    <m/>
    <d v="2026-07-24T00:00:00"/>
    <x v="0"/>
  </r>
  <r>
    <x v="11"/>
    <s v="S.a.confeccoesind@gmail.com"/>
    <n v="300280184"/>
    <n v="15775496"/>
    <x v="2"/>
    <x v="16"/>
    <n v="300"/>
    <s v="Erro na produção"/>
    <m/>
    <s v="Viés de passante."/>
    <d v="2026-07-24T16:19:44"/>
    <m/>
    <n v="1494"/>
    <x v="1"/>
    <n v="0"/>
    <m/>
    <d v="2026-07-24T00:00:00"/>
    <x v="0"/>
  </r>
  <r>
    <x v="162"/>
    <s v="faccaoello@hotmail.com"/>
    <n v="300283561"/>
    <n v="16244087"/>
    <x v="2"/>
    <x v="142"/>
    <n v="1080"/>
    <s v="Material não enviado pela Guararapes"/>
    <m/>
    <s v="LINHA 80"/>
    <d v="2026-07-24T16:24:14"/>
    <m/>
    <n v="1495"/>
    <x v="2"/>
    <s v="000 LINHA 80"/>
    <m/>
    <d v="2026-07-24T00:00:00"/>
    <x v="0"/>
  </r>
  <r>
    <x v="191"/>
    <s v="lctextil@outlook.com.br"/>
    <n v="300281208"/>
    <n v="15973050"/>
    <x v="3"/>
    <x v="4"/>
    <n v="30"/>
    <s v="Insuficiente para finalizar ordem "/>
    <m/>
    <m/>
    <d v="2026-07-24T16:26:26"/>
    <m/>
    <n v="1496"/>
    <x v="1"/>
    <n v="0"/>
    <m/>
    <d v="2026-07-24T00:00:00"/>
    <x v="0"/>
  </r>
  <r>
    <x v="21"/>
    <s v="potengitextil@outlook.com.br"/>
    <n v="300281417"/>
    <n v="16447964"/>
    <x v="2"/>
    <x v="13"/>
    <n v="10"/>
    <s v="Insuficiente para finalizar ordem "/>
    <m/>
    <m/>
    <d v="2026-07-24T16:28:46"/>
    <m/>
    <n v="1497"/>
    <x v="1"/>
    <n v="10000064831"/>
    <m/>
    <d v="2026-07-24T00:00:00"/>
    <x v="0"/>
  </r>
  <r>
    <x v="162"/>
    <s v="faccaoello@hotmail.com"/>
    <n v="300283560"/>
    <n v="16244087"/>
    <x v="2"/>
    <x v="142"/>
    <n v="1080"/>
    <s v="Material não enviado pela Guararapes"/>
    <m/>
    <s v="LINHA 80"/>
    <d v="2026-07-24T16:28:47"/>
    <m/>
    <n v="1498"/>
    <x v="2"/>
    <s v="000 LINHA 80"/>
    <m/>
    <d v="2026-07-24T00:00:00"/>
    <x v="0"/>
  </r>
  <r>
    <x v="21"/>
    <s v="potengitextil@outlook.com.br"/>
    <n v="300281417"/>
    <n v="16447964"/>
    <x v="2"/>
    <x v="13"/>
    <n v="10"/>
    <s v="Insuficiente para finalizar ordem "/>
    <m/>
    <m/>
    <d v="2026-07-24T16:30:22"/>
    <m/>
    <n v="1499"/>
    <x v="1"/>
    <n v="10000064815"/>
    <m/>
    <d v="2026-07-24T00:00:00"/>
    <x v="0"/>
  </r>
  <r>
    <x v="162"/>
    <s v="faccaoello@hotmail.com"/>
    <n v="300283559"/>
    <n v="16244087"/>
    <x v="2"/>
    <x v="142"/>
    <n v="840"/>
    <s v="Material não enviado pela Guararapes"/>
    <m/>
    <s v="NÃO VEIO CODIGO"/>
    <d v="2026-07-24T16:31:31"/>
    <m/>
    <n v="1500"/>
    <x v="2"/>
    <s v="LINHA 80"/>
    <m/>
    <d v="2026-07-24T00:00:00"/>
    <x v="0"/>
  </r>
  <r>
    <x v="162"/>
    <s v="faccaoello@hotmail.com"/>
    <n v="300283561"/>
    <n v="16244087"/>
    <x v="2"/>
    <x v="142"/>
    <n v="1080"/>
    <s v="Material não enviado pela Guararapes"/>
    <m/>
    <s v="NÃO VEIO CODIGO"/>
    <d v="2026-07-24T16:34:42"/>
    <m/>
    <n v="1501"/>
    <x v="2"/>
    <s v="000 LINHA 57 ESCURA"/>
    <m/>
    <d v="2026-07-24T00:00:00"/>
    <x v="0"/>
  </r>
  <r>
    <x v="162"/>
    <s v="faccaoello@hotmail.com"/>
    <n v="300283560"/>
    <n v="16244087"/>
    <x v="2"/>
    <x v="142"/>
    <n v="1080"/>
    <s v="Material não enviado pela Guararapes"/>
    <m/>
    <s v="NÃO VEIO O CODIGO"/>
    <d v="2026-07-24T16:36:33"/>
    <m/>
    <n v="1502"/>
    <x v="2"/>
    <s v="LINHA 57 ESCURA"/>
    <m/>
    <d v="2026-07-24T00:00:00"/>
    <x v="0"/>
  </r>
  <r>
    <x v="162"/>
    <s v="faccaoello@hotmail.com"/>
    <n v="300283559"/>
    <n v="16244087"/>
    <x v="2"/>
    <x v="142"/>
    <n v="840"/>
    <s v="Material não enviado pela Guararapes"/>
    <m/>
    <s v="NÃO VEIO O CODIGO"/>
    <d v="2026-07-24T16:38:24"/>
    <m/>
    <n v="1503"/>
    <x v="2"/>
    <s v="LINHA 57 ESCURA"/>
    <m/>
    <d v="2026-07-24T00:00:00"/>
    <x v="0"/>
  </r>
  <r>
    <x v="70"/>
    <s v="novaconfeccoes2.0@hotmail.com"/>
    <n v="300272653"/>
    <n v="16460901"/>
    <x v="2"/>
    <x v="13"/>
    <n v="38"/>
    <s v="não recebemos "/>
    <m/>
    <s v="38 ziper para o tam 38"/>
    <d v="2026-07-24T16:40:16"/>
    <m/>
    <n v="1504"/>
    <x v="1"/>
    <n v="0"/>
    <m/>
    <d v="2026-07-24T00:00:00"/>
    <x v="0"/>
  </r>
  <r>
    <x v="207"/>
    <s v="bensilvaconfeccoes@gmail.com"/>
    <n v="300281130"/>
    <n v="16507665"/>
    <x v="2"/>
    <x v="142"/>
    <s v="20 CONES "/>
    <s v="VEIO POUCA LINHA PRECISAMOS COM URGENCIA "/>
    <m/>
    <s v="Precisamos com urgência dessa linha. "/>
    <d v="2026-07-24T16:44:32"/>
    <m/>
    <n v="1505"/>
    <x v="1"/>
    <n v="10000063383"/>
    <m/>
    <d v="2026-07-24T00:00:00"/>
    <x v="0"/>
  </r>
  <r>
    <x v="207"/>
    <s v="bensilvaconfeccoes@gmail.com"/>
    <n v="300281130"/>
    <n v="16507665"/>
    <x v="2"/>
    <x v="142"/>
    <s v="20 cones "/>
    <s v="não veio linha suficiente, precisamos com urgência "/>
    <m/>
    <s v="linha 100%pes tit80 s.623 164519"/>
    <d v="2026-07-24T16:46:55"/>
    <m/>
    <n v="1506"/>
    <x v="1"/>
    <n v="10000063383"/>
    <m/>
    <d v="2026-07-24T00:00:00"/>
    <x v="0"/>
  </r>
  <r>
    <x v="164"/>
    <s v="auxiforte@hotmail.com"/>
    <n v="300277303"/>
    <n v="15973050"/>
    <x v="3"/>
    <x v="7"/>
    <n v="100"/>
    <s v="QUANTIDADE INSUFICIENTE PARA FINALIZAR OP;"/>
    <m/>
    <s v="QUANTIDADE INSUFICIENTE PARA FINALIZAR OP;"/>
    <d v="2026-07-24T16:58:51"/>
    <m/>
    <n v="1507"/>
    <x v="1"/>
    <n v="0"/>
    <m/>
    <d v="2026-07-24T00:00:00"/>
    <x v="0"/>
  </r>
  <r>
    <x v="165"/>
    <s v="freiresilvaconfeccoes@gmail.com"/>
    <n v="300282558"/>
    <n v="14487004"/>
    <x v="1"/>
    <x v="4"/>
    <n v="30"/>
    <s v="Material insuficiente. "/>
    <m/>
    <s v="*"/>
    <d v="2026-07-24T18:36:12"/>
    <m/>
    <n v="1508"/>
    <x v="2"/>
    <s v="*"/>
    <m/>
    <d v="2026-07-24T00:00:00"/>
    <x v="0"/>
  </r>
  <r>
    <x v="165"/>
    <s v="freiresilvaconfeccoes@gmail.com"/>
    <n v="300282558"/>
    <n v="14487004"/>
    <x v="1"/>
    <x v="12"/>
    <n v="55"/>
    <s v="Ficou faltando um lote. "/>
    <m/>
    <s v="Reposição COMPLETA do LOTE: manga, viés, frente, punho e gola. "/>
    <d v="2026-07-24T18:38:34"/>
    <m/>
    <n v="1509"/>
    <x v="1"/>
    <s v="*"/>
    <m/>
    <d v="2026-07-24T00:00:00"/>
    <x v="0"/>
  </r>
  <r>
    <x v="165"/>
    <s v="freiresilvaconfeccoes@gmail.com"/>
    <n v="300279749"/>
    <n v="15581888"/>
    <x v="0"/>
    <x v="4"/>
    <n v="4"/>
    <s v="Material insuficiente. "/>
    <m/>
    <s v="*"/>
    <d v="2026-07-24T18:49:26"/>
    <m/>
    <n v="1510"/>
    <x v="1"/>
    <s v="*"/>
    <m/>
    <d v="2026-07-24T00:00:00"/>
    <x v="0"/>
  </r>
  <r>
    <x v="163"/>
    <s v="felconfeccao@gmail.com"/>
    <n v="300283186"/>
    <n v="16218230"/>
    <x v="2"/>
    <x v="18"/>
    <n v="1176"/>
    <s v="NÃO ENVIADO"/>
    <m/>
    <m/>
    <d v="2026-07-27T08:05:11"/>
    <m/>
    <n v="1511"/>
    <x v="2"/>
    <n v="10000195771"/>
    <m/>
    <d v="2026-07-27T00:00:00"/>
    <x v="0"/>
  </r>
  <r>
    <x v="163"/>
    <s v="felconfeccao@gmail.com"/>
    <n v="300283187"/>
    <n v="16218230"/>
    <x v="2"/>
    <x v="18"/>
    <n v="1232"/>
    <s v="NÃO ENVIADO"/>
    <m/>
    <m/>
    <d v="2026-07-27T08:07:57"/>
    <m/>
    <n v="1512"/>
    <x v="1"/>
    <n v="10000195771"/>
    <m/>
    <d v="2026-07-27T00:00:00"/>
    <x v="0"/>
  </r>
  <r>
    <x v="13"/>
    <s v="administrativo@zajaconfeccoes.com.br"/>
    <n v="300281689"/>
    <n v="16535642"/>
    <x v="0"/>
    <x v="61"/>
    <n v="2"/>
    <s v="insuficiente"/>
    <m/>
    <m/>
    <d v="2026-07-27T08:30:15"/>
    <m/>
    <n v="1513"/>
    <x v="1"/>
    <n v="0"/>
    <m/>
    <d v="2026-07-27T00:00:00"/>
    <x v="0"/>
  </r>
  <r>
    <x v="171"/>
    <s v="confeccoesgbdas@hotmail.com"/>
    <n v="300283445"/>
    <n v="16311639"/>
    <x v="3"/>
    <x v="61"/>
    <n v="145"/>
    <s v="FALTA DE ETIQUETA PARA FINALIZAR ORDEM"/>
    <m/>
    <m/>
    <d v="2026-07-27T08:31:16"/>
    <m/>
    <n v="1514"/>
    <x v="1"/>
    <n v="16311639"/>
    <m/>
    <d v="2026-07-27T00:00:00"/>
    <x v="0"/>
  </r>
  <r>
    <x v="200"/>
    <s v="g4confeccao@gmail.com"/>
    <n v="300278894"/>
    <n v="16293274"/>
    <x v="2"/>
    <x v="17"/>
    <n v="65"/>
    <s v="Produto danificado na costura"/>
    <m/>
    <s v="Produto danificado na costura, se possível enviar no próximo abastecimento."/>
    <d v="2026-07-27T08:42:51"/>
    <m/>
    <n v="1515"/>
    <x v="1"/>
    <n v="0"/>
    <m/>
    <d v="2026-07-27T00:00:00"/>
    <x v="0"/>
  </r>
  <r>
    <x v="162"/>
    <s v="faccaoello@hotmail.com"/>
    <n v="300283560"/>
    <n v="16244087"/>
    <x v="2"/>
    <x v="49"/>
    <n v="707"/>
    <s v="MATERIAL EXTRAVIZADO NA EMPRESA"/>
    <m/>
    <s v="FOI PREGADO ERRADO, NO DESMACHE ESTRAGOU"/>
    <d v="2026-07-27T08:50:17"/>
    <m/>
    <n v="1516"/>
    <x v="1"/>
    <n v="0"/>
    <m/>
    <d v="2026-07-27T00:00:00"/>
    <x v="0"/>
  </r>
  <r>
    <x v="164"/>
    <s v="auxiforte@hotmail.com"/>
    <n v="300283174"/>
    <n v="16518837"/>
    <x v="0"/>
    <x v="61"/>
    <n v="280"/>
    <s v="MATERIAL NÃO ENVIADO PELA GUARARAPES;"/>
    <m/>
    <s v="MATERIAL NÃO ENVIADO PELA GUARARAPES;"/>
    <d v="2026-07-27T08:50:19"/>
    <m/>
    <n v="1517"/>
    <x v="1"/>
    <n v="0"/>
    <m/>
    <d v="2026-07-27T00:00:00"/>
    <x v="0"/>
  </r>
  <r>
    <x v="162"/>
    <s v="faccaoello@hotmail.com"/>
    <n v="300283559"/>
    <n v="16244087"/>
    <x v="2"/>
    <x v="23"/>
    <n v="840"/>
    <s v="Material não enviado pela Guararapes"/>
    <m/>
    <m/>
    <d v="2026-07-27T08:52:11"/>
    <m/>
    <n v="1518"/>
    <x v="1"/>
    <n v="0"/>
    <m/>
    <d v="2026-07-27T00:00:00"/>
    <x v="0"/>
  </r>
  <r>
    <x v="162"/>
    <s v="faccaoello@hotmail.com"/>
    <n v="300283560"/>
    <n v="16244087"/>
    <x v="2"/>
    <x v="23"/>
    <n v="1080"/>
    <s v="Material não enviado pela Guararapes"/>
    <m/>
    <m/>
    <d v="2026-07-27T08:53:36"/>
    <m/>
    <n v="1519"/>
    <x v="1"/>
    <n v="0"/>
    <m/>
    <d v="2026-07-27T00:00:00"/>
    <x v="0"/>
  </r>
  <r>
    <x v="162"/>
    <s v="faccaoello@hotmail.com"/>
    <n v="300283561"/>
    <n v="16244087"/>
    <x v="2"/>
    <x v="23"/>
    <n v="1080"/>
    <s v="Material não enviado pela Guararapes"/>
    <m/>
    <m/>
    <d v="2026-07-27T08:59:08"/>
    <m/>
    <n v="1520"/>
    <x v="1"/>
    <n v="0"/>
    <m/>
    <d v="2026-07-27T00:00:00"/>
    <x v="0"/>
  </r>
  <r>
    <x v="162"/>
    <s v="faccaoello@hotmail.com"/>
    <n v="300283924"/>
    <n v="16244087"/>
    <x v="2"/>
    <x v="23"/>
    <n v="1000"/>
    <s v="Material não enviado pela Guararapes"/>
    <m/>
    <m/>
    <d v="2026-07-27T09:01:04"/>
    <m/>
    <n v="1521"/>
    <x v="1"/>
    <n v="0"/>
    <m/>
    <d v="2026-07-27T00:00:00"/>
    <x v="0"/>
  </r>
  <r>
    <x v="181"/>
    <s v="asaequador@gmail.com"/>
    <n v="300277546"/>
    <n v="16523806"/>
    <x v="2"/>
    <x v="17"/>
    <n v="120"/>
    <s v="PEÇAS VINHERAM COM FALHA DE CORTE"/>
    <m/>
    <s v="OP SENDO FINALIZADA AGUARDANDO ESSA REPOSIÇÃO"/>
    <d v="2026-07-27T09:33:07"/>
    <m/>
    <n v="1522"/>
    <x v="1"/>
    <n v="0"/>
    <m/>
    <d v="2026-07-27T00:00:00"/>
    <x v="0"/>
  </r>
  <r>
    <x v="36"/>
    <s v="solisconfeccoes@gmail.com"/>
    <n v="300284485"/>
    <n v="16222326"/>
    <x v="3"/>
    <x v="52"/>
    <s v="10 MIL"/>
    <s v="FALTANDP PRA FINALIZAR AS OPS"/>
    <m/>
    <s v="PINOS PRA ETIQUETAR OP ACABOU  HJ"/>
    <d v="2026-07-27T09:42:39"/>
    <m/>
    <n v="1523"/>
    <x v="2"/>
    <n v="0"/>
    <m/>
    <d v="2026-07-27T00:00:00"/>
    <x v="0"/>
  </r>
  <r>
    <x v="170"/>
    <s v="neemias.sc@hotmail.com"/>
    <n v="300281849"/>
    <n v="16441400"/>
    <x v="3"/>
    <x v="61"/>
    <n v="12"/>
    <s v="QUANTIDADE DIFERENTE "/>
    <m/>
    <s v="ORDEM EM PRODUÇÃO"/>
    <d v="2026-07-27T09:52:14"/>
    <m/>
    <n v="1524"/>
    <x v="1"/>
    <s v="ETIQUETAS "/>
    <m/>
    <d v="2026-07-27T00:00:00"/>
    <x v="0"/>
  </r>
  <r>
    <x v="170"/>
    <s v="NEEMIAS.SC@HOTMAIL.COM"/>
    <n v="300281849"/>
    <n v="16441400"/>
    <x v="3"/>
    <x v="30"/>
    <n v="12"/>
    <s v="INCOMPLETA"/>
    <m/>
    <s v="MANGAS LADO ESQUERDO E LADO DIREITO"/>
    <d v="2026-07-27T09:54:38"/>
    <m/>
    <n v="1525"/>
    <x v="1"/>
    <s v="MANGAS"/>
    <m/>
    <d v="2026-07-27T00:00:00"/>
    <x v="0"/>
  </r>
  <r>
    <x v="84"/>
    <s v="recanto.confeccoesjs@gmail.com"/>
    <n v="300278897"/>
    <n v="16293274"/>
    <x v="2"/>
    <x v="43"/>
    <n v="196"/>
    <s v="Veio faltando "/>
    <m/>
    <s v="Não veio o tamanho 50"/>
    <d v="2026-07-27T10:03:13"/>
    <m/>
    <n v="1526"/>
    <x v="1"/>
    <n v="10000201974"/>
    <m/>
    <d v="2026-07-27T00:00:00"/>
    <x v="0"/>
  </r>
  <r>
    <x v="35"/>
    <s v="lupercio-fnb@hotmail.com"/>
    <n v="300279730"/>
    <n v="16461908"/>
    <x v="2"/>
    <x v="142"/>
    <n v="15"/>
    <s v="Faltando para finalização de ordem"/>
    <m/>
    <s v="Estamos precisando o mais breve possivel."/>
    <d v="2026-07-27T10:05:46"/>
    <m/>
    <n v="1527"/>
    <x v="1"/>
    <n v="10000073250"/>
    <m/>
    <d v="2026-07-27T00:00:00"/>
    <x v="0"/>
  </r>
  <r>
    <x v="84"/>
    <s v="recanto.confeccoesjs@gmail.com"/>
    <n v="300278897"/>
    <n v="16293274"/>
    <x v="2"/>
    <x v="143"/>
    <n v="196"/>
    <s v="não veio"/>
    <m/>
    <m/>
    <d v="2026-07-27T10:09:04"/>
    <m/>
    <n v="1528"/>
    <x v="1"/>
    <n v="10000201974"/>
    <m/>
    <d v="2026-07-27T00:00:00"/>
    <x v="0"/>
  </r>
  <r>
    <x v="84"/>
    <s v="recanto.confeccoesjs@gmail.com"/>
    <n v="300278897"/>
    <n v="16293274"/>
    <x v="2"/>
    <x v="55"/>
    <n v="196"/>
    <s v="não veio "/>
    <m/>
    <m/>
    <d v="2026-07-27T10:10:34"/>
    <m/>
    <n v="1529"/>
    <x v="1"/>
    <n v="10000201974"/>
    <m/>
    <d v="2026-07-27T00:00:00"/>
    <x v="0"/>
  </r>
  <r>
    <x v="84"/>
    <s v="recanto.confeccoesjs@gmail.com"/>
    <n v="300278897"/>
    <n v="16293274"/>
    <x v="2"/>
    <x v="17"/>
    <n v="196"/>
    <s v="não veio "/>
    <m/>
    <m/>
    <d v="2026-07-27T10:12:03"/>
    <m/>
    <n v="1530"/>
    <x v="1"/>
    <n v="10000201974"/>
    <m/>
    <d v="2026-07-27T00:00:00"/>
    <x v="0"/>
  </r>
  <r>
    <x v="32"/>
    <s v="di3confec@gmail.com"/>
    <n v="300285043"/>
    <n v="15859096"/>
    <x v="2"/>
    <x v="142"/>
    <n v="20"/>
    <s v="A linha grossa que veio foi a tit 36 no lugar da tit 50 então precisamos da linha tit 80 cor 623 para os travetes, chuleado, interno e caseado."/>
    <m/>
    <m/>
    <d v="2026-07-27T10:18:47"/>
    <m/>
    <n v="1531"/>
    <x v="1"/>
    <n v="100000631070"/>
    <m/>
    <d v="2026-07-27T00:00:00"/>
    <x v="0"/>
  </r>
  <r>
    <x v="61"/>
    <s v="noelpazevedo@gmail.com"/>
    <n v="300279305"/>
    <n v="16513649"/>
    <x v="2"/>
    <x v="61"/>
    <n v="55"/>
    <s v="Veio faltando "/>
    <m/>
    <s v="Faltando pra finalizar a ordem "/>
    <d v="2026-07-27T10:33:20"/>
    <m/>
    <n v="1532"/>
    <x v="1"/>
    <s v="Não tem "/>
    <m/>
    <d v="2026-07-27T00:00:00"/>
    <x v="0"/>
  </r>
  <r>
    <x v="61"/>
    <s v="noelpazevedo@gmail.com"/>
    <n v="300279305"/>
    <n v="16513649"/>
    <x v="2"/>
    <x v="10"/>
    <n v="1"/>
    <s v="Faltando "/>
    <m/>
    <s v="Está faltando "/>
    <d v="2026-07-27T10:35:41"/>
    <m/>
    <n v="1533"/>
    <x v="1"/>
    <s v="Não tem "/>
    <m/>
    <d v="2026-07-27T00:00:00"/>
    <x v="0"/>
  </r>
  <r>
    <x v="31"/>
    <s v="administrativo@zajaconfeccoes.com.br"/>
    <n v="300283158"/>
    <n v="16472217"/>
    <x v="2"/>
    <x v="49"/>
    <n v="8"/>
    <s v="insuficiente "/>
    <m/>
    <s v="etiqueta de marca"/>
    <d v="2026-07-27T10:58:29"/>
    <m/>
    <n v="1534"/>
    <x v="1"/>
    <s v="10000229824; 10000214499; 10000214511"/>
    <m/>
    <d v="2026-07-27T00:00:00"/>
    <x v="0"/>
  </r>
  <r>
    <x v="191"/>
    <s v="lctextil@outlook.com.br"/>
    <n v="300273879"/>
    <n v="16222954"/>
    <x v="3"/>
    <x v="22"/>
    <n v="95"/>
    <s v="Material não enviado pela guararapes "/>
    <m/>
    <m/>
    <d v="2026-07-27T11:02:09"/>
    <m/>
    <n v="1535"/>
    <x v="1"/>
    <n v="0"/>
    <m/>
    <d v="2026-07-27T00:00:00"/>
    <x v="0"/>
  </r>
  <r>
    <x v="191"/>
    <s v="lctextil@outlook.com.br"/>
    <n v="300273879"/>
    <n v="16222954"/>
    <x v="3"/>
    <x v="6"/>
    <n v="475"/>
    <s v="Material não enviado pela guararapes "/>
    <m/>
    <m/>
    <d v="2026-07-27T11:04:14"/>
    <m/>
    <n v="1536"/>
    <x v="1"/>
    <n v="0"/>
    <m/>
    <d v="2026-07-27T00:00:00"/>
    <x v="0"/>
  </r>
  <r>
    <x v="191"/>
    <s v="lctextil@outlook.com.br"/>
    <n v="300273879"/>
    <n v="16222954"/>
    <x v="3"/>
    <x v="30"/>
    <n v="475"/>
    <s v="Material não enviado pela guararapes "/>
    <m/>
    <s v="São pares. "/>
    <d v="2026-07-27T11:06:28"/>
    <m/>
    <n v="1537"/>
    <x v="1"/>
    <n v="0"/>
    <m/>
    <d v="2026-07-27T00:00:00"/>
    <x v="0"/>
  </r>
  <r>
    <x v="181"/>
    <s v="asaequador@gmail.com"/>
    <n v="300282285"/>
    <n v="16488393"/>
    <x v="2"/>
    <x v="49"/>
    <n v="1.421"/>
    <s v="não veio"/>
    <m/>
    <s v="não veio"/>
    <d v="2026-07-27T11:08:13"/>
    <m/>
    <n v="1538"/>
    <x v="2"/>
    <n v="100000229824"/>
    <m/>
    <d v="2026-07-27T00:00:00"/>
    <x v="0"/>
  </r>
  <r>
    <x v="3"/>
    <s v="qualidade@solybrasil.com.br"/>
    <n v="300278632"/>
    <n v="15957152"/>
    <x v="3"/>
    <x v="6"/>
    <n v="60"/>
    <s v="VEIO INSUFICIENTE PARA CONCLUIR A OP "/>
    <m/>
    <s v="VEIO INSUFICIENTE PARA CONCLUIR A OP "/>
    <d v="2026-07-27T11:08:21"/>
    <m/>
    <n v="1539"/>
    <x v="1"/>
    <n v="0"/>
    <m/>
    <d v="2026-07-27T00:00:00"/>
    <x v="0"/>
  </r>
  <r>
    <x v="181"/>
    <s v="asaequador@gmail.com"/>
    <n v="300282285"/>
    <n v="16488393"/>
    <x v="2"/>
    <x v="163"/>
    <n v="5"/>
    <s v="MATERIAL INSUFICIENTE PARA TERMINAR A OP"/>
    <m/>
    <s v="NA COR PRETA"/>
    <d v="2026-07-27T11:11:39"/>
    <m/>
    <n v="1540"/>
    <x v="1"/>
    <n v="0"/>
    <m/>
    <d v="2026-07-27T00:00:00"/>
    <x v="0"/>
  </r>
  <r>
    <x v="191"/>
    <s v="lctextil@outlook.com.br"/>
    <n v="300281136"/>
    <n v="15973093"/>
    <x v="3"/>
    <x v="4"/>
    <n v="50"/>
    <s v="Insuficiente pra finalizar ordem "/>
    <m/>
    <m/>
    <d v="2026-07-27T13:11:10"/>
    <m/>
    <n v="1541"/>
    <x v="1"/>
    <n v="0"/>
    <m/>
    <d v="2026-07-27T00:00:00"/>
    <x v="0"/>
  </r>
  <r>
    <x v="35"/>
    <s v="lupercio-fnb@hotmail.com"/>
    <n v="300279730"/>
    <n v="16461908"/>
    <x v="2"/>
    <x v="142"/>
    <n v="15"/>
    <s v="Faltando para finalização de ordem"/>
    <m/>
    <s v="Linha- 36 cor- 1808"/>
    <d v="2026-07-27T13:29:24"/>
    <m/>
    <n v="1542"/>
    <x v="1"/>
    <n v="10000063189"/>
    <m/>
    <d v="2026-07-27T00:00:00"/>
    <x v="0"/>
  </r>
  <r>
    <x v="44"/>
    <s v="teceuzl@hotmail.com"/>
    <n v="300282552"/>
    <n v="15238385"/>
    <x v="1"/>
    <x v="61"/>
    <n v="20"/>
    <s v="Quantidade insuficiente para finalizar "/>
    <m/>
    <m/>
    <d v="2026-07-27T13:33:08"/>
    <m/>
    <n v="1543"/>
    <x v="1"/>
    <n v="0"/>
    <m/>
    <d v="2026-07-27T00:00:00"/>
    <x v="0"/>
  </r>
  <r>
    <x v="162"/>
    <s v="faccaoello@hotmail.com"/>
    <n v="300283561"/>
    <n v="16244087"/>
    <x v="2"/>
    <x v="49"/>
    <n v="162"/>
    <s v="MATERIAL EXTRAVIZADO NA OFICINA"/>
    <m/>
    <m/>
    <d v="2026-07-27T13:34:42"/>
    <m/>
    <n v="1544"/>
    <x v="1"/>
    <n v="0"/>
    <m/>
    <d v="2026-07-27T00:00:00"/>
    <x v="0"/>
  </r>
  <r>
    <x v="176"/>
    <s v="hiconfeccao@gmail.com"/>
    <n v="300281498"/>
    <n v="16507649"/>
    <x v="2"/>
    <x v="45"/>
    <s v="Para 24 peças completas"/>
    <s v="Porque faltou reposição para 24 peças completa."/>
    <m/>
    <s v="Todas as reposições para total de 24 peças completas."/>
    <d v="2026-07-27T13:41:47"/>
    <m/>
    <n v="1545"/>
    <x v="1"/>
    <n v="300281498"/>
    <m/>
    <d v="2026-07-27T00:00:00"/>
    <x v="0"/>
  </r>
  <r>
    <x v="191"/>
    <s v="lctextil@outlook.com.br"/>
    <n v="300284843"/>
    <n v="16538196"/>
    <x v="3"/>
    <x v="4"/>
    <n v="20"/>
    <s v="Material danificado "/>
    <m/>
    <m/>
    <d v="2026-07-27T13:49:54"/>
    <m/>
    <n v="1546"/>
    <x v="1"/>
    <n v="0"/>
    <m/>
    <d v="2026-07-27T00:00:00"/>
    <x v="0"/>
  </r>
  <r>
    <x v="191"/>
    <s v="lctextil@outlook.com.br"/>
    <n v="300283628"/>
    <n v="16229320"/>
    <x v="3"/>
    <x v="61"/>
    <n v="2"/>
    <s v="Insuficiente para finalizar ordem "/>
    <m/>
    <m/>
    <d v="2026-07-27T13:59:57"/>
    <m/>
    <n v="1547"/>
    <x v="1"/>
    <n v="0"/>
    <m/>
    <d v="2026-07-27T00:00:00"/>
    <x v="0"/>
  </r>
  <r>
    <x v="176"/>
    <s v="hiconfeccao@gmail.com"/>
    <n v="300281498"/>
    <n v="16507649"/>
    <x v="2"/>
    <x v="45"/>
    <s v="Reposição para 24 peças completas."/>
    <s v="Porque faltou reposição para 24 peças completas."/>
    <m/>
    <s v="Reposição para 24 peças completas. Do Tamanho 48: reposição para 2 peças completas.  Do Tamanho 46: reposição para 2 peças completas.  Do Tamanho 44: reposição para 2 peças completas.  Do Tamanho 42: reposição para 7 peças completas.  Do Tamanho 40: reposição para 4 peças completas.  Do Tamanho 38: reposição para 5 peças completas.  Do Tamanho 36: reposição para 2 peças completas."/>
    <d v="2026-07-27T14:00:07"/>
    <m/>
    <n v="1548"/>
    <x v="1"/>
    <n v="300281498"/>
    <m/>
    <d v="2026-07-27T00:00:00"/>
    <x v="0"/>
  </r>
  <r>
    <x v="31"/>
    <s v="administrativo@zajaconfeccoes.com.br"/>
    <n v="300284834"/>
    <n v="16222326"/>
    <x v="3"/>
    <x v="61"/>
    <n v="8"/>
    <s v="insuficiente "/>
    <m/>
    <m/>
    <d v="2026-07-27T14:07:41"/>
    <m/>
    <n v="1549"/>
    <x v="1"/>
    <n v="0"/>
    <m/>
    <d v="2026-07-27T00:00:00"/>
    <x v="0"/>
  </r>
  <r>
    <x v="63"/>
    <s v="acaritextil2801@gmail.com"/>
    <n v="300285047"/>
    <n v="15859096"/>
    <x v="2"/>
    <x v="142"/>
    <s v="100000 (20 CONES)"/>
    <s v="NÃO ENVIADA LINHAS FINAS "/>
    <m/>
    <s v="LINHA 100%PES TIT80 S.623"/>
    <d v="2026-07-27T14:10:07"/>
    <m/>
    <n v="1550"/>
    <x v="1"/>
    <s v="10000063107-9LI001.080"/>
    <m/>
    <d v="2026-07-27T00:00:00"/>
    <x v="0"/>
  </r>
  <r>
    <x v="189"/>
    <s v="ldinizconfeccoes@gmail.com"/>
    <n v="300281502"/>
    <n v="16507657"/>
    <x v="2"/>
    <x v="163"/>
    <s v="4 rolos"/>
    <s v="falta"/>
    <m/>
    <m/>
    <d v="2026-07-27T14:13:41"/>
    <m/>
    <n v="1551"/>
    <x v="1"/>
    <n v="0"/>
    <m/>
    <d v="2026-07-27T00:00:00"/>
    <x v="0"/>
  </r>
  <r>
    <x v="191"/>
    <s v="lctextil@outlook.com.br"/>
    <n v="300274892"/>
    <n v="16510151"/>
    <x v="3"/>
    <x v="61"/>
    <n v="18"/>
    <s v="Material insuficiente para finalizar ordem "/>
    <m/>
    <m/>
    <d v="2026-07-27T14:28:08"/>
    <m/>
    <n v="1552"/>
    <x v="1"/>
    <n v="0"/>
    <m/>
    <d v="2026-07-27T00:00:00"/>
    <x v="0"/>
  </r>
  <r>
    <x v="63"/>
    <s v="acaritextil2801@gmail.com"/>
    <n v="300285269"/>
    <n v="15764494"/>
    <x v="2"/>
    <x v="142"/>
    <n v="150"/>
    <s v="NÃO ENVIADO"/>
    <m/>
    <s v="LINHA 100%PES TIT80 S.442"/>
    <d v="2026-07-27T14:29:33"/>
    <m/>
    <n v="1553"/>
    <x v="1"/>
    <s v="10000153931-9LI001.080"/>
    <m/>
    <d v="2026-07-27T00:00:00"/>
    <x v="0"/>
  </r>
  <r>
    <x v="63"/>
    <s v="acaritextil2801@gmail.com"/>
    <n v="300285049"/>
    <n v="15859096"/>
    <x v="2"/>
    <x v="142"/>
    <n v="50"/>
    <s v="NÃO ENVIADO"/>
    <m/>
    <s v="LINHA 100% PES TIT80 S.623"/>
    <d v="2026-07-27T14:31:42"/>
    <m/>
    <n v="1554"/>
    <x v="1"/>
    <s v="10000063107-9LI001.080"/>
    <m/>
    <d v="2026-07-27T00:00:00"/>
    <x v="0"/>
  </r>
  <r>
    <x v="171"/>
    <s v="confeccoesgbdas@hotmail.com"/>
    <n v="300285466"/>
    <n v="16477324"/>
    <x v="3"/>
    <x v="4"/>
    <n v="126"/>
    <s v="FALTA DE ETIQUETA DE PREÇO PARA FINALIZAR OP"/>
    <m/>
    <m/>
    <d v="2026-07-27T14:37:19"/>
    <m/>
    <n v="1555"/>
    <x v="1"/>
    <n v="16477324"/>
    <m/>
    <d v="2026-07-27T00:00:00"/>
    <x v="0"/>
  </r>
  <r>
    <x v="15"/>
    <s v="spauloazevedo@bol.com.br"/>
    <n v="300283684"/>
    <n v="16489128"/>
    <x v="0"/>
    <x v="142"/>
    <s v="2 cones"/>
    <s v="falta de linha"/>
    <m/>
    <s v="A linha não deu pra concluí a ordem"/>
    <d v="2026-07-27T15:06:08"/>
    <m/>
    <n v="1556"/>
    <x v="1"/>
    <n v="10000062479"/>
    <m/>
    <d v="2026-07-27T00:00:00"/>
    <x v="0"/>
  </r>
  <r>
    <x v="74"/>
    <s v="imdeoliveirasilva-me@hotmail.com"/>
    <n v="300282322"/>
    <n v="16482611"/>
    <x v="2"/>
    <x v="16"/>
    <n v="1265"/>
    <s v="material nao enviado pela guararapes"/>
    <m/>
    <s v="REPOSIÇÃO DE REFORÇO DO PASSANTE (NAO IDENTIFIQUEI PORQUE NAO EXISTIA A OPÇÃO LA POR ESSE MOTIVO SÓ COLOQUEI PASSANTE)"/>
    <d v="2026-07-27T15:21:23"/>
    <m/>
    <n v="1557"/>
    <x v="1"/>
    <n v="0"/>
    <m/>
    <d v="2026-07-27T00:00:00"/>
    <x v="0"/>
  </r>
  <r>
    <x v="37"/>
    <s v="felconfeccao@gmail.com"/>
    <n v="300278634"/>
    <n v="15957152"/>
    <x v="3"/>
    <x v="4"/>
    <n v="57"/>
    <s v="FALTOU"/>
    <m/>
    <m/>
    <d v="2026-07-27T16:53:19"/>
    <m/>
    <n v="1558"/>
    <x v="1"/>
    <n v="0"/>
    <m/>
    <d v="2026-07-27T00:00:00"/>
    <x v="0"/>
  </r>
  <r>
    <x v="16"/>
    <s v="arconfec-oes@hotmail.com"/>
    <n v="300280651"/>
    <n v="0"/>
    <x v="2"/>
    <x v="5"/>
    <s v="10 rolos"/>
    <s v="material insuficiente "/>
    <m/>
    <s v="fio para fazer passantes"/>
    <d v="2026-07-27T16:58:18"/>
    <m/>
    <n v="1559"/>
    <x v="2"/>
    <n v="0"/>
    <m/>
    <d v="2026-07-27T00:00:00"/>
    <x v="0"/>
  </r>
  <r>
    <x v="50"/>
    <s v="mkdeazevedomedeiros@gmail.com"/>
    <n v="300278796"/>
    <n v="300278796"/>
    <x v="2"/>
    <x v="49"/>
    <n v="120"/>
    <s v="INSUFICIENTE PARA FINALIZAR A ORDEM"/>
    <m/>
    <m/>
    <d v="2026-07-27T17:00:45"/>
    <m/>
    <n v="1560"/>
    <x v="1"/>
    <s v="9.ETR38.BRA.SKINNY"/>
    <m/>
    <d v="2026-07-27T00:00:00"/>
    <x v="0"/>
  </r>
  <r>
    <x v="50"/>
    <s v="mkdeazevedomedeiros@gmail.com"/>
    <n v="300281507"/>
    <n v="16473965"/>
    <x v="2"/>
    <x v="13"/>
    <n v="20"/>
    <s v="INSUFICIENTE PARA FINALIZAR A OP"/>
    <m/>
    <m/>
    <d v="2026-07-27T17:03:19"/>
    <m/>
    <n v="1561"/>
    <x v="1"/>
    <s v="9.Z0127.013.144201"/>
    <m/>
    <d v="2026-07-27T00:00:00"/>
    <x v="0"/>
  </r>
  <r>
    <x v="191"/>
    <s v="lctextil@outlook.com.br"/>
    <n v="300274892"/>
    <n v="16510151"/>
    <x v="3"/>
    <x v="61"/>
    <n v="20"/>
    <s v="Insuficiente para finalizar ordem "/>
    <m/>
    <m/>
    <d v="2026-07-27T17:09:03"/>
    <m/>
    <n v="1562"/>
    <x v="1"/>
    <n v="0"/>
    <m/>
    <d v="2026-07-27T00:00:00"/>
    <x v="0"/>
  </r>
  <r>
    <x v="210"/>
    <s v="lupercio-fnb@hotmail.com"/>
    <n v="300280139"/>
    <n v="16460944"/>
    <x v="2"/>
    <x v="61"/>
    <n v="272"/>
    <s v="Faltando para finalização de ordem"/>
    <m/>
    <s v="Etiquetas vinheram fom falhas, para mantém o padrão estamos pedindo reposição para concerto"/>
    <d v="2026-07-27T17:26:14"/>
    <m/>
    <n v="1563"/>
    <x v="1"/>
    <n v="0"/>
    <m/>
    <d v="2026-07-27T00:00:00"/>
    <x v="0"/>
  </r>
  <r>
    <x v="204"/>
    <s v="ivan.vereadorcamara@hotmail.com"/>
    <n v="300283191"/>
    <n v="16447662"/>
    <x v="2"/>
    <x v="5"/>
    <s v="5 ROLO"/>
    <s v="ESTÀ FALTANDO"/>
    <m/>
    <s v="O FILME DE FUSIONAR ESTÁ FALTANDO"/>
    <d v="2026-07-27T17:27:21"/>
    <m/>
    <n v="1564"/>
    <x v="2"/>
    <n v="999999999"/>
    <m/>
    <d v="2026-07-27T00:00:00"/>
    <x v="0"/>
  </r>
  <r>
    <x v="213"/>
    <s v="seridoconfeccoes@gmail.com"/>
    <n v="300278542"/>
    <n v="15773418"/>
    <x v="2"/>
    <x v="13"/>
    <n v="70"/>
    <s v="insuficiente para finalizar a op"/>
    <m/>
    <s v="70 zipers 13 cm que faltou pra finalizar o tamanho"/>
    <d v="2026-07-27T17:54:37"/>
    <m/>
    <n v="1565"/>
    <x v="1"/>
    <n v="0"/>
    <m/>
    <d v="2026-07-27T00:00:00"/>
    <x v="0"/>
  </r>
  <r>
    <x v="31"/>
    <s v="administrativo@zajaconfeccoes.com.br"/>
    <n v="300284833"/>
    <n v="16222326"/>
    <x v="3"/>
    <x v="4"/>
    <n v="70"/>
    <s v="insuficiente "/>
    <m/>
    <m/>
    <d v="2026-07-28T07:18:24"/>
    <m/>
    <n v="1566"/>
    <x v="1"/>
    <n v="0"/>
    <m/>
    <d v="2026-07-28T00:00:00"/>
    <x v="0"/>
  </r>
  <r>
    <x v="118"/>
    <s v="fjdeazevedo@hotmail.com"/>
    <n v="300282337"/>
    <n v="16482174"/>
    <x v="2"/>
    <x v="13"/>
    <n v="5"/>
    <s v="Faltou"/>
    <m/>
    <s v="infelizmente, ao invés de vir 605 ziper, só vieram 600 ziper"/>
    <d v="2026-07-28T07:33:03"/>
    <m/>
    <n v="1567"/>
    <x v="1"/>
    <n v="10000211585"/>
    <m/>
    <d v="2026-07-28T00:00:00"/>
    <x v="0"/>
  </r>
  <r>
    <x v="165"/>
    <s v="freiresilvaconfeccoes@gmail.com"/>
    <n v="300279747"/>
    <n v="15572528"/>
    <x v="0"/>
    <x v="61"/>
    <n v="16"/>
    <s v="Material insuficiente."/>
    <m/>
    <s v="*"/>
    <d v="2026-07-28T07:40:02"/>
    <m/>
    <n v="1568"/>
    <x v="1"/>
    <s v="*"/>
    <m/>
    <d v="2026-07-28T00:00:00"/>
    <x v="0"/>
  </r>
  <r>
    <x v="69"/>
    <s v="a.sempreendimentostextil@gmail.com"/>
    <n v="300285609"/>
    <n v="16508882"/>
    <x v="2"/>
    <x v="5"/>
    <n v="10"/>
    <s v="ACABOU"/>
    <m/>
    <s v="o filme de fusionar passante acabou "/>
    <d v="2026-07-28T07:54:13"/>
    <m/>
    <n v="1569"/>
    <x v="2"/>
    <n v="0"/>
    <m/>
    <d v="2026-07-28T00:00:00"/>
    <x v="0"/>
  </r>
  <r>
    <x v="211"/>
    <s v="marceloleite.mafaldo03@gmail.com"/>
    <n v="300278585"/>
    <n v="16507665"/>
    <x v="2"/>
    <x v="61"/>
    <n v="28"/>
    <s v="Faltou"/>
    <m/>
    <s v="Por favor, Urgente."/>
    <d v="2026-07-28T07:54:41"/>
    <m/>
    <n v="1570"/>
    <x v="1"/>
    <s v="nao tem"/>
    <m/>
    <d v="2026-07-28T00:00:00"/>
    <x v="0"/>
  </r>
  <r>
    <x v="27"/>
    <s v="ffconfeccoesobr@hotmail.com"/>
    <n v="300278791"/>
    <n v="16480058"/>
    <x v="2"/>
    <x v="38"/>
    <s v="59 do tamanho 40 "/>
    <s v="não enviado pela guararapes"/>
    <m/>
    <s v="o forro tem um lado maior e outro menor, não veio o lado maior do tamanho 40."/>
    <d v="2026-07-28T08:05:20"/>
    <m/>
    <n v="1571"/>
    <x v="1"/>
    <n v="0"/>
    <m/>
    <d v="2026-07-28T00:00:00"/>
    <x v="0"/>
  </r>
  <r>
    <x v="51"/>
    <s v="fc_faccao@yahoo.com.br"/>
    <n v="300282906"/>
    <n v="14487004"/>
    <x v="1"/>
    <x v="4"/>
    <n v="90"/>
    <s v="FALTA"/>
    <m/>
    <s v="FALTOU"/>
    <d v="2026-07-28T09:03:36"/>
    <m/>
    <n v="1572"/>
    <x v="1"/>
    <n v="150"/>
    <m/>
    <d v="2026-07-28T00:00:00"/>
    <x v="0"/>
  </r>
  <r>
    <x v="35"/>
    <s v="lupercio-fnb@hotmail.com"/>
    <n v="300281470"/>
    <n v="13044826"/>
    <x v="1"/>
    <x v="19"/>
    <n v="6"/>
    <s v="Faltando para finalização de ordem"/>
    <m/>
    <s v="Estamos precisando o mais breve possível."/>
    <d v="2026-07-28T09:04:55"/>
    <m/>
    <n v="1573"/>
    <x v="1"/>
    <n v="10000072001"/>
    <m/>
    <d v="2026-07-28T00:00:00"/>
    <x v="0"/>
  </r>
  <r>
    <x v="170"/>
    <s v="neemias.sc@hotmail.com"/>
    <n v="300282865"/>
    <n v="16441435"/>
    <x v="3"/>
    <x v="61"/>
    <n v="8"/>
    <s v="INCOMPLETA"/>
    <m/>
    <s v="Recebemos apenas 112 unidades, faltando 8"/>
    <d v="2026-07-28T09:13:40"/>
    <m/>
    <n v="1574"/>
    <x v="1"/>
    <s v="ETIQUETA DE COMPOSIÇÃO"/>
    <m/>
    <d v="2026-07-28T00:00:00"/>
    <x v="0"/>
  </r>
  <r>
    <x v="205"/>
    <s v="sjarlandia@hotmail.com"/>
    <n v="300284299"/>
    <n v="16561384"/>
    <x v="2"/>
    <x v="61"/>
    <n v="12"/>
    <s v="faltou"/>
    <m/>
    <m/>
    <d v="2026-07-28T09:19:45"/>
    <m/>
    <n v="1575"/>
    <x v="1"/>
    <n v="0"/>
    <m/>
    <d v="2026-07-28T00:00:00"/>
    <x v="0"/>
  </r>
  <r>
    <x v="177"/>
    <s v="linealtda@gmail.com"/>
    <n v="300275027"/>
    <n v="16482204"/>
    <x v="2"/>
    <x v="17"/>
    <n v="28"/>
    <s v="Insuficiente para finalizar"/>
    <m/>
    <m/>
    <d v="2026-07-28T09:20:41"/>
    <m/>
    <n v="1576"/>
    <x v="1"/>
    <n v="10"/>
    <m/>
    <d v="2026-07-28T00:00:00"/>
    <x v="0"/>
  </r>
  <r>
    <x v="205"/>
    <s v="sjarlandia@hotmail.com"/>
    <n v="300284299"/>
    <n v="16561384"/>
    <x v="2"/>
    <x v="49"/>
    <n v="30"/>
    <s v="incompleta"/>
    <m/>
    <m/>
    <d v="2026-07-28T09:21:43"/>
    <m/>
    <n v="1577"/>
    <x v="1"/>
    <n v="10000216487"/>
    <m/>
    <d v="2026-07-28T00:00:00"/>
    <x v="0"/>
  </r>
  <r>
    <x v="183"/>
    <s v="kswconfeccoesltda@gmail.com"/>
    <n v="300282426"/>
    <n v="16054610"/>
    <x v="3"/>
    <x v="12"/>
    <n v="55"/>
    <s v="Material não enviado pela Guararapes."/>
    <m/>
    <m/>
    <d v="2026-07-28T09:37:16"/>
    <m/>
    <n v="1578"/>
    <x v="1"/>
    <n v="150"/>
    <m/>
    <d v="2026-07-28T00:00:00"/>
    <x v="0"/>
  </r>
  <r>
    <x v="23"/>
    <s v="reposicoesjkmodas@gmail.com"/>
    <n v="300281929"/>
    <n v="16466209"/>
    <x v="2"/>
    <x v="12"/>
    <n v="96"/>
    <s v="NÃO ENVIADO PELA GUARARAPES"/>
    <m/>
    <m/>
    <d v="2026-07-28T09:38:31"/>
    <m/>
    <n v="1579"/>
    <x v="1"/>
    <n v="0"/>
    <m/>
    <d v="2026-07-28T00:00:00"/>
    <x v="0"/>
  </r>
  <r>
    <x v="23"/>
    <s v="reposicoesjkmodas@gmail.com"/>
    <n v="300281929"/>
    <n v="16466209"/>
    <x v="2"/>
    <x v="22"/>
    <n v="96"/>
    <s v="NÃO ENVIADO PELA GUARARAPES"/>
    <m/>
    <s v="FRENTES PAR "/>
    <d v="2026-07-28T09:40:14"/>
    <m/>
    <n v="1580"/>
    <x v="1"/>
    <n v="0"/>
    <m/>
    <d v="2026-07-28T00:00:00"/>
    <x v="0"/>
  </r>
  <r>
    <x v="169"/>
    <s v="acauaconfeccoes@outlook.com"/>
    <n v="300286717"/>
    <n v="16223608"/>
    <x v="3"/>
    <x v="4"/>
    <n v="2.0859999999999999"/>
    <s v="Material não enviado "/>
    <m/>
    <s v="Material não enviado pela Guararapes "/>
    <d v="2026-07-28T09:43:40"/>
    <m/>
    <n v="1581"/>
    <x v="2"/>
    <n v="1"/>
    <m/>
    <d v="2026-07-28T00:00:00"/>
    <x v="0"/>
  </r>
  <r>
    <x v="23"/>
    <s v="reposicoesjkmodas@gmail.com"/>
    <n v="300281929"/>
    <n v="16466209"/>
    <x v="2"/>
    <x v="56"/>
    <n v="96"/>
    <s v="NÃO ENVIADA PELA GUARARAPES"/>
    <m/>
    <m/>
    <d v="2026-07-28T09:43:47"/>
    <m/>
    <n v="1582"/>
    <x v="1"/>
    <n v="10000216488"/>
    <m/>
    <d v="2026-07-28T00:00:00"/>
    <x v="0"/>
  </r>
  <r>
    <x v="23"/>
    <s v="reposicoesjkmodas@gmail.com"/>
    <n v="300281929"/>
    <n v="16466209"/>
    <x v="2"/>
    <x v="61"/>
    <n v="96"/>
    <s v="NÃO ENVIADO PELA GUARARAPES"/>
    <m/>
    <m/>
    <d v="2026-07-28T09:45:17"/>
    <m/>
    <n v="1583"/>
    <x v="1"/>
    <n v="0"/>
    <m/>
    <d v="2026-07-28T00:00:00"/>
    <x v="0"/>
  </r>
  <r>
    <x v="190"/>
    <s v="EMPORIODAMODAMOSSORO@GMAIL.COM"/>
    <n v="300273322"/>
    <n v="16523741"/>
    <x v="2"/>
    <x v="49"/>
    <n v="45"/>
    <s v="quantidade insuficiente"/>
    <m/>
    <m/>
    <d v="2026-07-28T09:45:20"/>
    <m/>
    <n v="1584"/>
    <x v="1"/>
    <n v="10000214516"/>
    <m/>
    <d v="2026-07-28T00:00:00"/>
    <x v="0"/>
  </r>
  <r>
    <x v="162"/>
    <s v="faccaoello@hotmail.com"/>
    <n v="300284338"/>
    <n v="16244052"/>
    <x v="2"/>
    <x v="61"/>
    <n v="9"/>
    <s v="Material não enviado pela Guararapes"/>
    <m/>
    <m/>
    <d v="2026-07-28T09:46:56"/>
    <m/>
    <n v="1585"/>
    <x v="1"/>
    <n v="0"/>
    <m/>
    <d v="2026-07-28T00:00:00"/>
    <x v="0"/>
  </r>
  <r>
    <x v="61"/>
    <s v="noelpazevedo@gmail.com"/>
    <n v="300279305"/>
    <n v="16513649"/>
    <x v="2"/>
    <x v="49"/>
    <n v="50"/>
    <s v="não veio"/>
    <m/>
    <s v="Está faltando essa quantidade para finalizar a ordem "/>
    <d v="2026-07-28T09:47:20"/>
    <m/>
    <n v="1586"/>
    <x v="1"/>
    <n v="10000214496"/>
    <m/>
    <d v="2026-07-28T00:00:00"/>
    <x v="0"/>
  </r>
  <r>
    <x v="32"/>
    <s v="di3confec@gmail.com"/>
    <n v="300284835"/>
    <n v="16222326"/>
    <x v="3"/>
    <x v="22"/>
    <n v="4"/>
    <s v="Material insuficiente"/>
    <m/>
    <m/>
    <d v="2026-07-28T09:50:30"/>
    <m/>
    <n v="1587"/>
    <x v="1"/>
    <n v="0"/>
    <m/>
    <d v="2026-07-28T00:00:00"/>
    <x v="0"/>
  </r>
  <r>
    <x v="21"/>
    <s v="potengitextil@outlook.com.br"/>
    <n v="300276882"/>
    <n v="16229454"/>
    <x v="3"/>
    <x v="6"/>
    <n v="25"/>
    <s v="Insuficiente para finalizar ordem "/>
    <m/>
    <m/>
    <d v="2026-07-28T10:06:49"/>
    <m/>
    <n v="1588"/>
    <x v="1"/>
    <n v="0"/>
    <m/>
    <d v="2026-07-28T00:00:00"/>
    <x v="0"/>
  </r>
  <r>
    <x v="21"/>
    <s v="potengitextil@outlook.com.br"/>
    <n v="300283943"/>
    <n v="16242998"/>
    <x v="2"/>
    <x v="18"/>
    <n v="1452"/>
    <s v="Material não enviado pela guararapes "/>
    <m/>
    <s v="Ordem veio sem elástico. "/>
    <d v="2026-07-28T10:09:45"/>
    <m/>
    <n v="1589"/>
    <x v="1"/>
    <n v="10000195709"/>
    <m/>
    <d v="2026-07-28T00:00:00"/>
    <x v="0"/>
  </r>
  <r>
    <x v="165"/>
    <s v="freiresilvaconfeccoes@gmail.com"/>
    <n v="300281205"/>
    <n v="16454839"/>
    <x v="0"/>
    <x v="142"/>
    <n v="7"/>
    <s v="Quantidade insuficiente para produção. "/>
    <m/>
    <s v="*"/>
    <d v="2026-07-28T10:18:57"/>
    <m/>
    <n v="1590"/>
    <x v="1"/>
    <n v="10000225450"/>
    <m/>
    <d v="2026-07-28T00:00:00"/>
    <x v="0"/>
  </r>
  <r>
    <x v="37"/>
    <s v="felconfeccao@gmail.com"/>
    <n v="300282889"/>
    <n v="15972992"/>
    <x v="3"/>
    <x v="22"/>
    <n v="1"/>
    <s v="FALTOU"/>
    <m/>
    <m/>
    <d v="2026-07-28T10:24:46"/>
    <m/>
    <n v="1591"/>
    <x v="1"/>
    <n v="0"/>
    <m/>
    <d v="2026-07-28T00:00:00"/>
    <x v="0"/>
  </r>
  <r>
    <x v="37"/>
    <s v="felconfeccao@gmail.com"/>
    <n v="300282889"/>
    <n v="15972992"/>
    <x v="3"/>
    <x v="12"/>
    <n v="3"/>
    <s v="FALTOU"/>
    <m/>
    <m/>
    <d v="2026-07-28T10:26:02"/>
    <m/>
    <n v="1592"/>
    <x v="1"/>
    <n v="0"/>
    <m/>
    <d v="2026-07-28T00:00:00"/>
    <x v="0"/>
  </r>
  <r>
    <x v="37"/>
    <s v="felconfeccao@gmail.com"/>
    <n v="300272210"/>
    <n v="16247590"/>
    <x v="3"/>
    <x v="22"/>
    <n v="1"/>
    <s v="FALTOU"/>
    <m/>
    <m/>
    <d v="2026-07-28T10:27:16"/>
    <m/>
    <n v="1593"/>
    <x v="1"/>
    <n v="0"/>
    <m/>
    <d v="2026-07-28T00:00:00"/>
    <x v="0"/>
  </r>
  <r>
    <x v="177"/>
    <s v="linealtda@gmail.com"/>
    <n v="300284287"/>
    <n v="15187632"/>
    <x v="2"/>
    <x v="163"/>
    <n v="1128"/>
    <s v="Viés de passante com largura variando (mais estreito do que o pedido na ficha)"/>
    <m/>
    <s v="Viés de passante"/>
    <d v="2026-07-28T10:27:59"/>
    <m/>
    <n v="1594"/>
    <x v="1"/>
    <n v="1"/>
    <m/>
    <d v="2026-07-28T00:00:00"/>
    <x v="0"/>
  </r>
  <r>
    <x v="37"/>
    <s v="felconfeccao@gmail.com"/>
    <n v="300272210"/>
    <n v="16247590"/>
    <x v="3"/>
    <x v="30"/>
    <n v="1"/>
    <s v="FALTOU"/>
    <m/>
    <m/>
    <d v="2026-07-28T10:28:14"/>
    <m/>
    <n v="1595"/>
    <x v="1"/>
    <n v="0"/>
    <m/>
    <d v="2026-07-28T00:00:00"/>
    <x v="0"/>
  </r>
  <r>
    <x v="37"/>
    <s v="felconfeccao@gmail.com"/>
    <n v="300272210"/>
    <n v="16247590"/>
    <x v="3"/>
    <x v="12"/>
    <n v="1"/>
    <s v="FALTOU"/>
    <m/>
    <m/>
    <d v="2026-07-28T10:29:10"/>
    <m/>
    <n v="1596"/>
    <x v="1"/>
    <n v="0"/>
    <m/>
    <d v="2026-07-28T00:00:00"/>
    <x v="0"/>
  </r>
  <r>
    <x v="11"/>
    <s v="S.a.confeccoesind@gmail.com"/>
    <n v="300285262"/>
    <n v="15764494"/>
    <x v="2"/>
    <x v="142"/>
    <n v="1493"/>
    <s v="Material não enviado pela Guararapes"/>
    <m/>
    <s v="não veio linha fina. Esta cadastrado o consumo errado. "/>
    <d v="2026-07-28T10:30:03"/>
    <m/>
    <n v="1597"/>
    <x v="1"/>
    <n v="10000153931"/>
    <m/>
    <d v="2026-07-28T00:00:00"/>
    <x v="0"/>
  </r>
  <r>
    <x v="11"/>
    <s v="S.a.confeccoesind@gmail.com"/>
    <n v="300285268"/>
    <n v="15764494"/>
    <x v="2"/>
    <x v="142"/>
    <s v="50-207; 48-290; 46-414; 44-559; 42-559; 40-290; 38-207"/>
    <s v="Material não enviado pela Guararapes"/>
    <m/>
    <s v="não recebemos a linhas finas. Acredito que esta cadastrado errado o consumo da linha fina."/>
    <d v="2026-07-28T10:33:33"/>
    <m/>
    <n v="1598"/>
    <x v="1"/>
    <s v="000000010000153931 -"/>
    <m/>
    <d v="2026-07-28T00:00:00"/>
    <x v="0"/>
  </r>
  <r>
    <x v="13"/>
    <s v="administrativo@zajaconfeccoes.com.br"/>
    <n v="300277529"/>
    <n v="16212878"/>
    <x v="2"/>
    <x v="12"/>
    <n v="18"/>
    <s v="não veio"/>
    <m/>
    <m/>
    <d v="2026-07-28T10:34:32"/>
    <m/>
    <n v="1599"/>
    <x v="1"/>
    <n v="0"/>
    <m/>
    <d v="2026-07-28T00:00:00"/>
    <x v="0"/>
  </r>
  <r>
    <x v="13"/>
    <s v="administrativo@zajaconfeccoes.com.br"/>
    <n v="300277529"/>
    <n v="16212878"/>
    <x v="2"/>
    <x v="22"/>
    <n v="18"/>
    <s v="não veio"/>
    <m/>
    <m/>
    <d v="2026-07-28T10:36:07"/>
    <m/>
    <n v="1600"/>
    <x v="1"/>
    <n v="0"/>
    <m/>
    <d v="2026-07-28T00:00:00"/>
    <x v="0"/>
  </r>
  <r>
    <x v="13"/>
    <s v="administrativo@zajaconfeccoes.com.br"/>
    <n v="300277529"/>
    <n v="16212878"/>
    <x v="2"/>
    <x v="55"/>
    <n v="18"/>
    <s v="não veio"/>
    <m/>
    <m/>
    <d v="2026-07-28T10:38:13"/>
    <m/>
    <n v="1601"/>
    <x v="1"/>
    <n v="0"/>
    <m/>
    <d v="2026-07-28T00:00:00"/>
    <x v="0"/>
  </r>
  <r>
    <x v="13"/>
    <s v="administrativo@zajaconfeccoes.com.br"/>
    <n v="300277529"/>
    <n v="16212878"/>
    <x v="2"/>
    <x v="142"/>
    <n v="10"/>
    <s v="INSUFICIENTE "/>
    <m/>
    <m/>
    <d v="2026-07-28T10:40:16"/>
    <m/>
    <n v="1602"/>
    <x v="1"/>
    <n v="10000073449"/>
    <m/>
    <d v="2026-07-28T00:00:00"/>
    <x v="0"/>
  </r>
  <r>
    <x v="37"/>
    <s v="felconfeccao@gmail.com"/>
    <n v="300280742"/>
    <n v="16441303"/>
    <x v="3"/>
    <x v="61"/>
    <n v="1"/>
    <s v="FALTOU"/>
    <m/>
    <m/>
    <d v="2026-07-28T10:42:25"/>
    <m/>
    <n v="1603"/>
    <x v="1"/>
    <n v="0"/>
    <m/>
    <d v="2026-07-28T00:00:00"/>
    <x v="0"/>
  </r>
  <r>
    <x v="13"/>
    <s v="administrativo@zajaconfeccoes.com.br"/>
    <n v="300277529"/>
    <n v="16212878"/>
    <x v="2"/>
    <x v="61"/>
    <n v="1"/>
    <s v="insuficiente"/>
    <m/>
    <m/>
    <d v="2026-07-28T10:44:57"/>
    <m/>
    <n v="1604"/>
    <x v="1"/>
    <n v="0"/>
    <m/>
    <d v="2026-07-28T00:00:00"/>
    <x v="0"/>
  </r>
  <r>
    <x v="84"/>
    <s v="recanto.confeccoesjs@gmail.com"/>
    <n v="300278897"/>
    <n v="16293274"/>
    <x v="2"/>
    <x v="49"/>
    <n v="147"/>
    <s v="não veio"/>
    <m/>
    <m/>
    <d v="2026-07-28T11:02:03"/>
    <m/>
    <n v="1605"/>
    <x v="1"/>
    <n v="10000214518"/>
    <m/>
    <d v="2026-07-28T00:00:00"/>
    <x v="0"/>
  </r>
  <r>
    <x v="205"/>
    <s v="sjarlandia@hotmail.com"/>
    <n v="300284299"/>
    <n v="16561384"/>
    <x v="2"/>
    <x v="61"/>
    <n v="15"/>
    <s v="insuficiente "/>
    <m/>
    <m/>
    <d v="2026-07-28T12:05:32"/>
    <m/>
    <n v="1606"/>
    <x v="1"/>
    <n v="0"/>
    <m/>
    <d v="2026-07-28T00:00:00"/>
    <x v="0"/>
  </r>
  <r>
    <x v="36"/>
    <s v="solisconfeccoes@gmail.com"/>
    <n v="300285833"/>
    <n v="16576667"/>
    <x v="3"/>
    <x v="61"/>
    <n v="80"/>
    <s v="FALTANDO"/>
    <m/>
    <m/>
    <d v="2026-07-28T12:26:39"/>
    <m/>
    <n v="1607"/>
    <x v="1"/>
    <n v="0"/>
    <m/>
    <d v="2026-07-28T00:00:00"/>
    <x v="0"/>
  </r>
  <r>
    <x v="37"/>
    <s v="felconfeccao@gmail.com"/>
    <n v="300280243"/>
    <n v="16441354"/>
    <x v="3"/>
    <x v="4"/>
    <n v="1320"/>
    <s v="NÃO FOI ENVIADA"/>
    <m/>
    <m/>
    <d v="2026-07-28T14:20:15"/>
    <m/>
    <n v="1608"/>
    <x v="1"/>
    <n v="0"/>
    <m/>
    <d v="2026-07-28T00:00:00"/>
    <x v="0"/>
  </r>
  <r>
    <x v="37"/>
    <s v="felconfeccao@gmail.com"/>
    <n v="300280732"/>
    <n v="12416746"/>
    <x v="3"/>
    <x v="4"/>
    <n v="784"/>
    <s v="NÃO FOI ENVIADA"/>
    <m/>
    <m/>
    <d v="2026-07-28T14:22:47"/>
    <m/>
    <n v="1609"/>
    <x v="1"/>
    <n v="0"/>
    <m/>
    <d v="2026-07-28T00:00:00"/>
    <x v="0"/>
  </r>
  <r>
    <x v="37"/>
    <s v="felconfeccao@gmail.com"/>
    <n v="300281660"/>
    <n v="16426010"/>
    <x v="3"/>
    <x v="61"/>
    <n v="1"/>
    <s v="FALTOU"/>
    <m/>
    <m/>
    <d v="2026-07-28T14:34:10"/>
    <m/>
    <n v="1610"/>
    <x v="1"/>
    <n v="0"/>
    <m/>
    <d v="2026-07-28T00:00:00"/>
    <x v="0"/>
  </r>
  <r>
    <x v="32"/>
    <s v="di3confec@gmail.com"/>
    <n v="300281956"/>
    <n v="16504615"/>
    <x v="2"/>
    <x v="22"/>
    <n v="5"/>
    <s v="Material insuficiente"/>
    <m/>
    <m/>
    <d v="2026-07-28T14:36:10"/>
    <m/>
    <n v="1611"/>
    <x v="1"/>
    <n v="0"/>
    <m/>
    <d v="2026-07-28T00:00:00"/>
    <x v="0"/>
  </r>
  <r>
    <x v="214"/>
    <s v="flordosertaotextil2025@gmail.com"/>
    <n v="300000000"/>
    <n v="0"/>
    <x v="3"/>
    <x v="7"/>
    <n v="1"/>
    <s v="Reposição "/>
    <m/>
    <s v="Solicitacao de lacre"/>
    <d v="2026-07-28T14:39:31"/>
    <m/>
    <n v="1612"/>
    <x v="2"/>
    <n v="0"/>
    <m/>
    <d v="2026-07-28T00:00:00"/>
    <x v="0"/>
  </r>
  <r>
    <x v="213"/>
    <s v="seridoconfeccoes@gmail.com"/>
    <n v="300273316"/>
    <n v="15775615"/>
    <x v="2"/>
    <x v="17"/>
    <s v="170 pares"/>
    <s v="material veio com corte acimetrico no cos, colocando muitos a perder"/>
    <m/>
    <s v="cos veio com corte acimetrico. deveria esta com 7 cm e estava apenas com 6 assim tornando impossivel passar no aparelho sem estourar."/>
    <d v="2026-07-28T14:49:28"/>
    <m/>
    <n v="1613"/>
    <x v="1"/>
    <n v="0"/>
    <m/>
    <d v="2026-07-28T00:00:00"/>
    <x v="0"/>
  </r>
  <r>
    <x v="31"/>
    <s v="administrativo@zajaconfeccoes.com.br"/>
    <n v="300284834"/>
    <n v="16222326"/>
    <x v="3"/>
    <x v="61"/>
    <n v="11"/>
    <s v="insuficiente "/>
    <m/>
    <m/>
    <d v="2026-07-28T16:42:51"/>
    <m/>
    <n v="1614"/>
    <x v="1"/>
    <n v="0"/>
    <m/>
    <d v="2026-07-28T00:00:00"/>
    <x v="0"/>
  </r>
  <r>
    <x v="81"/>
    <s v="gsragazziconfeccoes@yahoo.com"/>
    <n v="300286252"/>
    <n v="16440960"/>
    <x v="3"/>
    <x v="7"/>
    <n v="100"/>
    <s v="ACABOU"/>
    <m/>
    <s v="os lacres acabaram"/>
    <d v="2026-07-28T17:10:19"/>
    <m/>
    <n v="1615"/>
    <x v="1"/>
    <s v="."/>
    <m/>
    <d v="2026-07-28T00:00:00"/>
    <x v="0"/>
  </r>
  <r>
    <x v="26"/>
    <s v="cabugiconfeccoes.adm@gmail.com"/>
    <n v="300284294"/>
    <n v="16561384"/>
    <x v="2"/>
    <x v="5"/>
    <n v="6"/>
    <s v="REPOSIÇÃO"/>
    <m/>
    <s v="REPOSIÇÃO"/>
    <d v="2026-07-28T18:29:28"/>
    <m/>
    <n v="1616"/>
    <x v="2"/>
    <n v="0"/>
    <m/>
    <d v="2026-07-28T00:00:00"/>
    <x v="0"/>
  </r>
  <r>
    <x v="8"/>
    <s v="tlcserranatextil@gmail.com"/>
    <n v="300281012"/>
    <n v="16442660"/>
    <x v="1"/>
    <x v="6"/>
    <n v="108"/>
    <s v="Tonalidade"/>
    <m/>
    <s v="Enviar gola e punho"/>
    <d v="2026-07-29T06:49:33"/>
    <m/>
    <n v="1617"/>
    <x v="1"/>
    <n v="0"/>
    <m/>
    <d v="2026-07-29T00:00:00"/>
    <x v="0"/>
  </r>
  <r>
    <x v="13"/>
    <s v="administrativo@zajaconfeccoes.com.br"/>
    <n v="300286264"/>
    <n v="15867164"/>
    <x v="3"/>
    <x v="61"/>
    <n v="3"/>
    <s v="insuficiente "/>
    <m/>
    <m/>
    <d v="2026-07-29T07:21:40"/>
    <m/>
    <n v="1618"/>
    <x v="1"/>
    <n v="0"/>
    <m/>
    <d v="2026-07-29T00:00:00"/>
    <x v="0"/>
  </r>
  <r>
    <x v="31"/>
    <s v="administrativo@zajaconfeccoes.com.br"/>
    <n v="300281183"/>
    <n v="16223462"/>
    <x v="3"/>
    <x v="4"/>
    <n v="24"/>
    <s v="insuficiente "/>
    <m/>
    <m/>
    <d v="2026-07-29T07:23:22"/>
    <m/>
    <n v="1619"/>
    <x v="1"/>
    <n v="0"/>
    <m/>
    <d v="2026-07-29T00:00:00"/>
    <x v="0"/>
  </r>
  <r>
    <x v="170"/>
    <s v="neemias.sc@hotmail.com"/>
    <n v="300280200"/>
    <n v="16472209"/>
    <x v="2"/>
    <x v="142"/>
    <n v="216"/>
    <s v="insuficiente"/>
    <m/>
    <s v="LINHA 100%CO TIT20 C.0CRUA S.9223"/>
    <d v="2026-07-29T07:42:29"/>
    <m/>
    <n v="1620"/>
    <x v="1"/>
    <n v="10000064067"/>
    <m/>
    <d v="2026-07-29T00:00:00"/>
    <x v="0"/>
  </r>
  <r>
    <x v="63"/>
    <s v="acaritextil2801@gmail.com"/>
    <n v="300279617"/>
    <n v="16557654"/>
    <x v="2"/>
    <x v="17"/>
    <n v="234"/>
    <s v="CORTE DIVERGENTE  -  VEIO BEM FINO"/>
    <m/>
    <s v="CÓS INTERNO "/>
    <d v="2026-07-29T07:53:47"/>
    <m/>
    <n v="1621"/>
    <x v="1"/>
    <s v="*"/>
    <m/>
    <d v="2026-07-29T00:00:00"/>
    <x v="0"/>
  </r>
  <r>
    <x v="215"/>
    <s v="paulaviturinoconfeccoes@gmail.com"/>
    <n v="300286704"/>
    <n v="16223691"/>
    <x v="3"/>
    <x v="4"/>
    <n v="1.95"/>
    <s v="as etiquetas de preço não foram entregues na oficina"/>
    <m/>
    <m/>
    <d v="2026-07-29T07:53:59"/>
    <m/>
    <n v="1622"/>
    <x v="1"/>
    <n v="1000021360"/>
    <m/>
    <d v="2026-07-29T00:00:00"/>
    <x v="0"/>
  </r>
  <r>
    <x v="23"/>
    <s v="reposicoesjkmodas@gmail.com"/>
    <n v="300281929"/>
    <n v="16466209"/>
    <x v="2"/>
    <x v="13"/>
    <n v="35"/>
    <s v="MATERIAL COM DEFEITO"/>
    <m/>
    <m/>
    <d v="2026-07-29T07:55:48"/>
    <m/>
    <n v="1623"/>
    <x v="1"/>
    <s v="10000211370 / 100002111349 / 10000218944"/>
    <m/>
    <d v="2026-07-29T00:00:00"/>
    <x v="0"/>
  </r>
  <r>
    <x v="23"/>
    <s v="reposicoesjkmodas@gmail.com"/>
    <n v="300281929"/>
    <n v="16466209"/>
    <x v="2"/>
    <x v="163"/>
    <s v="VIÉS PARA 200 PEÇAS"/>
    <s v="ERRO NO PROCESSO DE FABRICAÇÃO"/>
    <m/>
    <m/>
    <d v="2026-07-29T07:56:58"/>
    <m/>
    <n v="1624"/>
    <x v="1"/>
    <n v="0"/>
    <m/>
    <d v="2026-07-29T00:00:00"/>
    <x v="0"/>
  </r>
  <r>
    <x v="36"/>
    <s v="solisconfeccoes@gmail.com"/>
    <n v="300284826"/>
    <n v="16491920"/>
    <x v="3"/>
    <x v="52"/>
    <s v="5 MIL"/>
    <s v="FALTANDO"/>
    <m/>
    <s v="ESTA FALTANDO PINOS TODA SEMANA "/>
    <d v="2026-07-29T07:58:28"/>
    <m/>
    <n v="1625"/>
    <x v="2"/>
    <n v="0"/>
    <m/>
    <d v="2026-07-29T00:00:00"/>
    <x v="0"/>
  </r>
  <r>
    <x v="21"/>
    <s v="potengitextil@outlook.com.br"/>
    <n v="300284029"/>
    <n v="16442563"/>
    <x v="1"/>
    <x v="61"/>
    <n v="4"/>
    <s v="Insuficiente para finalizar ordem "/>
    <m/>
    <m/>
    <d v="2026-07-29T08:25:47"/>
    <m/>
    <n v="1626"/>
    <x v="1"/>
    <n v="0"/>
    <m/>
    <d v="2026-07-29T00:00:00"/>
    <x v="0"/>
  </r>
  <r>
    <x v="166"/>
    <s v="w.anny.k@hotmail.com"/>
    <n v="300283297"/>
    <n v="15359492"/>
    <x v="1"/>
    <x v="22"/>
    <n v="9"/>
    <s v="VEIO FALTANDO 9 FRENTE NESSA ORDEM MESTRE"/>
    <m/>
    <m/>
    <d v="2026-07-29T09:03:34"/>
    <m/>
    <n v="1627"/>
    <x v="1"/>
    <n v="0"/>
    <m/>
    <d v="2026-07-29T00:00:00"/>
    <x v="0"/>
  </r>
  <r>
    <x v="79"/>
    <s v="artejeans23@gmail.com"/>
    <n v="300281532"/>
    <n v="16494610"/>
    <x v="2"/>
    <x v="77"/>
    <s v="6 Rolos"/>
    <s v="Estamos com o estoque de silicone baixo"/>
    <m/>
    <m/>
    <d v="2026-07-29T09:06:13"/>
    <m/>
    <n v="1628"/>
    <x v="1"/>
    <s v="Silicone de passante"/>
    <m/>
    <d v="2026-07-29T00:00:00"/>
    <x v="0"/>
  </r>
  <r>
    <x v="65"/>
    <s v="fortetecnologiatextil@gmail.com"/>
    <n v="300282863"/>
    <n v="16441435"/>
    <x v="3"/>
    <x v="4"/>
    <n v="140"/>
    <s v="Faltaram 140 etiquetas de preço "/>
    <m/>
    <m/>
    <d v="2026-07-29T09:07:50"/>
    <m/>
    <n v="1629"/>
    <x v="1"/>
    <n v="0"/>
    <m/>
    <d v="2026-07-29T00:00:00"/>
    <x v="0"/>
  </r>
  <r>
    <x v="11"/>
    <s v="S.a.confeccoesind@gmail.com"/>
    <n v="300276224"/>
    <n v="15859177"/>
    <x v="2"/>
    <x v="13"/>
    <n v="100"/>
    <s v="Material não enviado pela Guararapes"/>
    <m/>
    <s v="Zíper tamanho 15 cm"/>
    <d v="2026-07-29T09:19:11"/>
    <m/>
    <n v="1630"/>
    <x v="1"/>
    <n v="10000064342"/>
    <m/>
    <d v="2026-07-29T00:00:00"/>
    <x v="0"/>
  </r>
  <r>
    <x v="32"/>
    <s v="di3confec@gmail.com"/>
    <n v="300278645"/>
    <n v="15467783"/>
    <x v="3"/>
    <x v="19"/>
    <n v="6"/>
    <s v="Só veio apenas 1 cone de fio para produzir a op."/>
    <m/>
    <m/>
    <d v="2026-07-29T09:27:02"/>
    <m/>
    <n v="1631"/>
    <x v="1"/>
    <n v="10000071710"/>
    <m/>
    <d v="2026-07-29T00:00:00"/>
    <x v="0"/>
  </r>
  <r>
    <x v="32"/>
    <s v="di3confec@gmail.com"/>
    <n v="300280733"/>
    <n v="12416746"/>
    <x v="3"/>
    <x v="142"/>
    <n v="6"/>
    <s v="Só veio 1 cone de linha para produzir toda op"/>
    <m/>
    <m/>
    <d v="2026-07-29T09:29:07"/>
    <m/>
    <n v="1632"/>
    <x v="1"/>
    <n v="10000072651"/>
    <m/>
    <d v="2026-07-29T00:00:00"/>
    <x v="0"/>
  </r>
  <r>
    <x v="32"/>
    <s v="di3confec@gmail.com"/>
    <n v="300280733"/>
    <n v="12416746"/>
    <x v="3"/>
    <x v="19"/>
    <n v="6"/>
    <s v="Só veio 1 cone de fio para produzir toda op"/>
    <m/>
    <m/>
    <d v="2026-07-29T09:30:22"/>
    <m/>
    <n v="1633"/>
    <x v="1"/>
    <n v="10000071710"/>
    <m/>
    <d v="2026-07-29T00:00:00"/>
    <x v="0"/>
  </r>
  <r>
    <x v="174"/>
    <s v="jakeline.jl.confeccoes@gmail.com"/>
    <n v="300278034"/>
    <n v="16488032"/>
    <x v="2"/>
    <x v="49"/>
    <n v="10"/>
    <s v="Insuficiente para finalizar a produção"/>
    <m/>
    <s v="Insuficiente para finalizar a produção"/>
    <d v="2026-07-29T09:31:53"/>
    <m/>
    <n v="1634"/>
    <x v="1"/>
    <n v="10000208288"/>
    <m/>
    <d v="2026-07-29T00:00:00"/>
    <x v="0"/>
  </r>
  <r>
    <x v="175"/>
    <s v="confeccaogenesisltda@gmail.com"/>
    <n v="300280767"/>
    <n v="16500270"/>
    <x v="3"/>
    <x v="56"/>
    <n v="1730"/>
    <s v="as etiquetas vieram erradas, eram pra ser vertical e vieram horizontal"/>
    <m/>
    <s v="ETIQUETAS VIERAM ERRADAS"/>
    <d v="2026-07-29T09:34:18"/>
    <m/>
    <n v="1635"/>
    <x v="1"/>
    <n v="10000247913"/>
    <m/>
    <d v="2026-07-29T00:00:00"/>
    <x v="0"/>
  </r>
  <r>
    <x v="175"/>
    <s v="confeccaogenesisltda@gmail.com"/>
    <n v="300280766"/>
    <n v="16500270"/>
    <x v="3"/>
    <x v="56"/>
    <n v="1670"/>
    <s v="etiquetas eram pra ser vertical e vieram horizontal"/>
    <m/>
    <s v="ETIQUETAS DE MARCA VIERAM ERRADAS"/>
    <d v="2026-07-29T09:37:15"/>
    <m/>
    <n v="1636"/>
    <x v="1"/>
    <n v="10000247913"/>
    <m/>
    <d v="2026-07-29T00:00:00"/>
    <x v="0"/>
  </r>
  <r>
    <x v="193"/>
    <s v="ajgconfeccoes2021@gmail.com"/>
    <n v="300283188"/>
    <n v="16447662"/>
    <x v="2"/>
    <x v="49"/>
    <n v="20"/>
    <s v="Faltou 20 etiquetas de marca tamanho 9-10"/>
    <m/>
    <s v="Faltou "/>
    <d v="2026-07-29T09:50:31"/>
    <m/>
    <n v="1637"/>
    <x v="1"/>
    <s v="N tem "/>
    <m/>
    <d v="2026-07-29T00:00:00"/>
    <x v="0"/>
  </r>
  <r>
    <x v="174"/>
    <s v="jakeline.jl.confeccoes@gmail.com"/>
    <n v="300278034"/>
    <n v="16488032"/>
    <x v="2"/>
    <x v="58"/>
    <n v="10"/>
    <s v="Insuficiente para finalizar a produção"/>
    <m/>
    <s v="Insuficiente para finalizar a produção"/>
    <d v="2026-07-29T09:57:52"/>
    <m/>
    <n v="1638"/>
    <x v="1"/>
    <n v="0"/>
    <m/>
    <d v="2026-07-29T00:00:00"/>
    <x v="0"/>
  </r>
  <r>
    <x v="174"/>
    <s v="jakeline.jl.confeccoes@gmail.com"/>
    <n v="300278036"/>
    <n v="16488032"/>
    <x v="2"/>
    <x v="58"/>
    <n v="12"/>
    <s v="Insuficiente para finalizar a produção"/>
    <m/>
    <s v="Insuficiente para finalizar a produção"/>
    <d v="2026-07-29T10:00:32"/>
    <m/>
    <n v="1639"/>
    <x v="1"/>
    <n v="0"/>
    <m/>
    <d v="2026-07-29T00:00:00"/>
    <x v="0"/>
  </r>
  <r>
    <x v="191"/>
    <s v="lctextil@outlook.com.br"/>
    <n v="300283628"/>
    <n v="16229320"/>
    <x v="3"/>
    <x v="4"/>
    <n v="180"/>
    <s v="Insuficiente para finalizar ordem "/>
    <m/>
    <m/>
    <d v="2026-07-29T10:04:08"/>
    <m/>
    <n v="1640"/>
    <x v="1"/>
    <n v="0"/>
    <m/>
    <d v="2026-07-29T00:00:00"/>
    <x v="0"/>
  </r>
  <r>
    <x v="169"/>
    <s v="acauaconfeccoes@outlook.com"/>
    <n v="300286718"/>
    <n v="16223608"/>
    <x v="3"/>
    <x v="4"/>
    <n v="2058"/>
    <s v="Por gentileza,mandem a etiqueta de preço ,não foi enviada novamente e com isso atrasa o nosso processo aqui !!!!"/>
    <m/>
    <s v="Material não enviado "/>
    <d v="2026-07-29T10:48:38"/>
    <m/>
    <n v="1641"/>
    <x v="1"/>
    <n v="1"/>
    <m/>
    <d v="2026-07-29T00:00:00"/>
    <x v="0"/>
  </r>
  <r>
    <x v="200"/>
    <s v="g4confeccao@gmail.com"/>
    <n v="300278894"/>
    <n v="16293274"/>
    <x v="2"/>
    <x v="163"/>
    <n v="8"/>
    <s v="Material insuficiente para finalização da ordem"/>
    <m/>
    <s v="Precisamos desse material com urgência"/>
    <d v="2026-07-29T11:15:50"/>
    <m/>
    <n v="1642"/>
    <x v="1"/>
    <n v="0"/>
    <m/>
    <d v="2026-07-29T00:00:00"/>
    <x v="0"/>
  </r>
  <r>
    <x v="44"/>
    <s v="teceuzl@hotmail.com"/>
    <n v="300284379"/>
    <n v="16463668"/>
    <x v="1"/>
    <x v="19"/>
    <s v="10 cones"/>
    <s v="Insuficiente para finalizar "/>
    <m/>
    <m/>
    <d v="2026-07-29T11:35:27"/>
    <m/>
    <n v="1643"/>
    <x v="1"/>
    <n v="0"/>
    <m/>
    <d v="2026-07-29T00:00:00"/>
    <x v="0"/>
  </r>
  <r>
    <x v="44"/>
    <s v="teceuzl@hotmail.com"/>
    <n v="300284379"/>
    <n v="16463668"/>
    <x v="1"/>
    <x v="142"/>
    <s v="10 cones"/>
    <s v="Insuficiente para finalizar "/>
    <m/>
    <m/>
    <d v="2026-07-29T11:37:06"/>
    <m/>
    <n v="1644"/>
    <x v="1"/>
    <n v="0"/>
    <m/>
    <d v="2026-07-29T00:00:00"/>
    <x v="0"/>
  </r>
  <r>
    <x v="44"/>
    <s v="teceuzl@hotmail.com"/>
    <n v="300284376"/>
    <n v="16463668"/>
    <x v="1"/>
    <x v="19"/>
    <s v="5 cones"/>
    <s v="Insuficiente para finalizar "/>
    <m/>
    <m/>
    <d v="2026-07-29T11:38:28"/>
    <m/>
    <n v="1645"/>
    <x v="1"/>
    <n v="0"/>
    <m/>
    <d v="2026-07-29T00:00:00"/>
    <x v="0"/>
  </r>
  <r>
    <x v="44"/>
    <s v="teceuzl@hotmail.com"/>
    <n v="300284376"/>
    <n v="16463668"/>
    <x v="1"/>
    <x v="142"/>
    <s v="5 cones"/>
    <s v="Insuficiente para finalizar "/>
    <m/>
    <m/>
    <d v="2026-07-29T11:39:39"/>
    <m/>
    <n v="1646"/>
    <x v="1"/>
    <n v="0"/>
    <m/>
    <d v="2026-07-29T00:00:00"/>
    <x v="0"/>
  </r>
  <r>
    <x v="204"/>
    <s v="ivan.vereadorcamara@hotmail.com"/>
    <n v="300277548"/>
    <n v="16523806"/>
    <x v="2"/>
    <x v="61"/>
    <s v="96 etiqueta de composiçâo"/>
    <s v="não veio junto com a ordem"/>
    <m/>
    <s v="veio faltando 96 etiqueta de composiçâo tamanhos 11_12!"/>
    <d v="2026-07-29T12:19:50"/>
    <m/>
    <n v="1647"/>
    <x v="1"/>
    <s v="xxxxx"/>
    <m/>
    <d v="2026-07-29T00:00:00"/>
    <x v="0"/>
  </r>
  <r>
    <x v="44"/>
    <s v="teceuzl@hotmail.com"/>
    <n v="300284379"/>
    <n v="16463668"/>
    <x v="1"/>
    <x v="6"/>
    <n v="65"/>
    <s v="Insuficiente para finalizar "/>
    <m/>
    <m/>
    <d v="2026-07-29T13:24:59"/>
    <m/>
    <n v="1648"/>
    <x v="1"/>
    <n v="0"/>
    <m/>
    <d v="2026-07-29T00:00:00"/>
    <x v="0"/>
  </r>
  <r>
    <x v="44"/>
    <s v="teceuzl@hotmail.com"/>
    <n v="300284379"/>
    <n v="16463668"/>
    <x v="1"/>
    <x v="53"/>
    <n v="1"/>
    <s v="Peça piloto nao enviada"/>
    <m/>
    <m/>
    <d v="2026-07-29T13:30:53"/>
    <m/>
    <n v="1649"/>
    <x v="1"/>
    <n v="0"/>
    <m/>
    <d v="2026-07-29T00:00:00"/>
    <x v="0"/>
  </r>
  <r>
    <x v="215"/>
    <s v="paulaviturinoconfeccoes@gmail.com"/>
    <n v="300286703"/>
    <n v="16223691"/>
    <x v="3"/>
    <x v="4"/>
    <n v="1.8420000000000001"/>
    <s v="as etiquetas de preço não foram entregues na oficina"/>
    <m/>
    <m/>
    <d v="2026-07-29T14:24:19"/>
    <m/>
    <n v="1650"/>
    <x v="1"/>
    <n v="1000021360"/>
    <m/>
    <d v="2026-07-29T00:00:00"/>
    <x v="0"/>
  </r>
  <r>
    <x v="210"/>
    <s v="lupercio-fnb@hotmail.com"/>
    <n v="300279730"/>
    <n v="16461908"/>
    <x v="2"/>
    <x v="17"/>
    <n v="48"/>
    <s v="Faltando para finalização de ordem"/>
    <m/>
    <s v="Atenção estamos precisando o mais breve possível!"/>
    <d v="2026-07-29T14:33:21"/>
    <m/>
    <n v="1651"/>
    <x v="1"/>
    <n v="0"/>
    <m/>
    <d v="2026-07-29T00:00:00"/>
    <x v="0"/>
  </r>
  <r>
    <x v="13"/>
    <s v="administrativo@zajaconfeccoes.com.br"/>
    <n v="300284491"/>
    <n v="16288211"/>
    <x v="0"/>
    <x v="56"/>
    <n v="2"/>
    <s v="insuficiente "/>
    <m/>
    <m/>
    <d v="2026-07-29T15:33:50"/>
    <m/>
    <n v="1652"/>
    <x v="1"/>
    <n v="10000209078"/>
    <m/>
    <d v="2026-07-29T00:00:00"/>
    <x v="0"/>
  </r>
  <r>
    <x v="13"/>
    <s v="administrativo@zajaconfeccoes.com.br"/>
    <n v="300286265"/>
    <n v="15267164"/>
    <x v="3"/>
    <x v="61"/>
    <n v="11"/>
    <s v="insuficiente"/>
    <m/>
    <m/>
    <d v="2026-07-29T15:37:36"/>
    <m/>
    <n v="1653"/>
    <x v="1"/>
    <n v="0"/>
    <m/>
    <d v="2026-07-29T00:00:00"/>
    <x v="0"/>
  </r>
  <r>
    <x v="20"/>
    <s v="CONFECCAOSAOSEBASTIAO@GMAIL.COM"/>
    <n v="300281114"/>
    <n v="16508920"/>
    <x v="2"/>
    <x v="163"/>
    <n v="1484"/>
    <s v="vieis veio errado , de vez de vir cru veio branco "/>
    <m/>
    <s v="Vieis de bocada Cru"/>
    <d v="2026-07-29T16:23:29"/>
    <m/>
    <n v="1654"/>
    <x v="1"/>
    <s v="não tem"/>
    <m/>
    <d v="2026-07-29T00:00:00"/>
    <x v="0"/>
  </r>
  <r>
    <x v="56"/>
    <s v="idealconfecltda@gmail.com"/>
    <n v="300280666"/>
    <n v="0"/>
    <x v="2"/>
    <x v="5"/>
    <s v="20 ROLOS"/>
    <s v="REPOSIÇÃO"/>
    <m/>
    <m/>
    <d v="2026-07-29T16:27:44"/>
    <m/>
    <n v="1655"/>
    <x v="1"/>
    <n v="0"/>
    <m/>
    <d v="2026-07-29T00:00:00"/>
    <x v="0"/>
  </r>
  <r>
    <x v="176"/>
    <s v="hiconfeccao@gmail.com"/>
    <n v="300284282"/>
    <n v="15252434"/>
    <x v="2"/>
    <x v="61"/>
    <s v="31 etiquetas de composição."/>
    <s v="As mesmas estavam com falhas."/>
    <m/>
    <s v="Etiquetas de composição."/>
    <d v="2026-07-29T16:42:08"/>
    <m/>
    <n v="1656"/>
    <x v="1"/>
    <s v="10000214518/10000214517/10000214516/10000214515/10000214512/10000214511."/>
    <m/>
    <d v="2026-07-29T00:00:00"/>
    <x v="0"/>
  </r>
  <r>
    <x v="216"/>
    <s v="77.ABATISTA@GMAIL.COM"/>
    <n v="300274690"/>
    <n v="16453247"/>
    <x v="0"/>
    <x v="61"/>
    <n v="538"/>
    <s v="NÃO RECEBEMOS NENHUMA QUANTIDADE."/>
    <m/>
    <s v="INICIAREMOS ESSA ORDEM DIA 31/07"/>
    <d v="2026-07-29T16:48:05"/>
    <m/>
    <n v="1657"/>
    <x v="2"/>
    <n v="1234"/>
    <m/>
    <d v="2026-07-29T00:00:00"/>
    <x v="0"/>
  </r>
  <r>
    <x v="169"/>
    <s v="acauaconfeccoes@outlook.com"/>
    <n v="300286717"/>
    <n v="16223608"/>
    <x v="3"/>
    <x v="4"/>
    <n v="2.0859999999999999"/>
    <s v="Solicitamos essa reposição ontem e ela veio,mas sendo que mandaram a etiquetas de preço com o material e valor da peça errado!"/>
    <m/>
    <s v="Infelizmente enviaram errado a reposição,o material veio errado e o valor da etiqueta!"/>
    <d v="2026-07-29T17:01:31"/>
    <m/>
    <n v="1658"/>
    <x v="2"/>
    <n v="1"/>
    <m/>
    <d v="2026-07-29T00:00:00"/>
    <x v="0"/>
  </r>
  <r>
    <x v="78"/>
    <s v="ocalves3@gmail.com"/>
    <n v="300285267"/>
    <n v="15764494"/>
    <x v="2"/>
    <x v="16"/>
    <n v="376"/>
    <s v="veio pouco"/>
    <m/>
    <s v="faltou o passante para o 3 risco"/>
    <d v="2026-07-29T17:08:37"/>
    <m/>
    <n v="1659"/>
    <x v="1"/>
    <n v="0"/>
    <m/>
    <d v="2026-07-29T00:00:00"/>
    <x v="0"/>
  </r>
  <r>
    <x v="35"/>
    <s v="lupercio-fnb@hotmail.com"/>
    <n v="300281470"/>
    <n v="13044826"/>
    <x v="1"/>
    <x v="27"/>
    <n v="260"/>
    <s v="Faltando para finalização de ordem"/>
    <m/>
    <s v="Botão pes red furo 11mm 114201 fosco"/>
    <d v="2026-07-29T17:09:36"/>
    <m/>
    <n v="1660"/>
    <x v="1"/>
    <n v="10000216131"/>
    <m/>
    <d v="2026-07-29T00:00:00"/>
    <x v="0"/>
  </r>
  <r>
    <x v="31"/>
    <s v="administrativo@zajaconfeccoes.com.br"/>
    <n v="300282777"/>
    <n v="15243153"/>
    <x v="2"/>
    <x v="49"/>
    <n v="3"/>
    <s v="insuficiente"/>
    <m/>
    <m/>
    <d v="2026-07-30T07:43:17"/>
    <m/>
    <n v="1661"/>
    <x v="1"/>
    <n v="10000248114"/>
    <m/>
    <d v="2026-07-30T00:00:00"/>
    <x v="0"/>
  </r>
  <r>
    <x v="63"/>
    <s v="acaritextil2801@gmail.com"/>
    <n v="300285265"/>
    <n v="15764494"/>
    <x v="2"/>
    <x v="142"/>
    <s v="100.000 (20 CONES)"/>
    <s v="NÃO ENVIADO"/>
    <m/>
    <s v="LINHA 100%PES TIT80 S.442"/>
    <d v="2026-07-30T07:50:22"/>
    <m/>
    <n v="1662"/>
    <x v="2"/>
    <s v="10000153931-9LI001.080"/>
    <m/>
    <d v="2026-07-30T00:00:00"/>
    <x v="0"/>
  </r>
  <r>
    <x v="15"/>
    <s v="spauloazevedo@bol.com.br"/>
    <n v="300279360"/>
    <n v="16457900"/>
    <x v="2"/>
    <x v="49"/>
    <n v="40"/>
    <s v="Estão faltado 10 etq. tam.: 1; 5 etq. tam.: 2; 5 etq. tam.: 3; 5 etq. tam.: 4; 5 etq. tam.: 5; 10 etq. tam.: 6. Material não enviado pela Guararapes."/>
    <m/>
    <m/>
    <d v="2026-07-30T07:57:09"/>
    <m/>
    <n v="1663"/>
    <x v="1"/>
    <s v="10000249817 / 10000247623 / 10000247650 / 10000247655 / 10000253895 / 10000247658"/>
    <m/>
    <d v="2026-07-30T00:00:00"/>
    <x v="0"/>
  </r>
  <r>
    <x v="21"/>
    <s v="potengitextil@outlook.com.br"/>
    <n v="300280242"/>
    <n v="16441354"/>
    <x v="3"/>
    <x v="61"/>
    <n v="2"/>
    <s v="Insuficiente para finalizar ordem "/>
    <m/>
    <m/>
    <d v="2026-07-30T08:04:29"/>
    <m/>
    <n v="1664"/>
    <x v="1"/>
    <n v="0"/>
    <m/>
    <d v="2026-07-30T00:00:00"/>
    <x v="0"/>
  </r>
  <r>
    <x v="21"/>
    <s v="potengitextil@outlook.com.br"/>
    <n v="300280242"/>
    <n v="16441354"/>
    <x v="3"/>
    <x v="4"/>
    <n v="4"/>
    <s v="Insuficiente para finalizar ordem "/>
    <m/>
    <m/>
    <d v="2026-07-30T08:05:35"/>
    <m/>
    <n v="1665"/>
    <x v="1"/>
    <n v="0"/>
    <m/>
    <d v="2026-07-30T00:00:00"/>
    <x v="0"/>
  </r>
  <r>
    <x v="171"/>
    <s v="confeccoesgbdas@hotmail.com"/>
    <n v="300282323"/>
    <n v="16482611"/>
    <x v="2"/>
    <x v="61"/>
    <n v="15"/>
    <s v="FALTA DE COMPOSIÇÃO PARA FINALIZAR OP"/>
    <m/>
    <m/>
    <d v="2026-07-30T08:09:06"/>
    <m/>
    <n v="1666"/>
    <x v="1"/>
    <n v="16482611"/>
    <m/>
    <d v="2026-07-30T00:00:00"/>
    <x v="0"/>
  </r>
  <r>
    <x v="81"/>
    <s v="gsragazziconfeccoes@yahoo.com"/>
    <n v="300286229"/>
    <n v="16227425"/>
    <x v="3"/>
    <x v="4"/>
    <n v="260"/>
    <s v="etiquetas veio incompletas"/>
    <m/>
    <s v="veio faltando"/>
    <d v="2026-07-30T08:31:18"/>
    <m/>
    <n v="1667"/>
    <x v="1"/>
    <s v="."/>
    <m/>
    <d v="2026-07-30T00:00:00"/>
    <x v="0"/>
  </r>
  <r>
    <x v="31"/>
    <s v="administrativo@zajaconfeccoes.com.br"/>
    <n v="300283158"/>
    <n v="16472217"/>
    <x v="2"/>
    <x v="61"/>
    <n v="7"/>
    <s v="insuficiente "/>
    <m/>
    <m/>
    <d v="2026-07-30T08:39:26"/>
    <m/>
    <n v="1668"/>
    <x v="1"/>
    <n v="0"/>
    <m/>
    <d v="2026-07-30T00:00:00"/>
    <x v="0"/>
  </r>
  <r>
    <x v="37"/>
    <s v="felconfeccao@gmail.com"/>
    <n v="300280243"/>
    <n v="16441354"/>
    <x v="3"/>
    <x v="6"/>
    <n v="36"/>
    <s v="FALTOU"/>
    <m/>
    <m/>
    <d v="2026-07-30T08:52:39"/>
    <m/>
    <n v="1669"/>
    <x v="1"/>
    <n v="0"/>
    <m/>
    <d v="2026-07-30T00:00:00"/>
    <x v="0"/>
  </r>
  <r>
    <x v="37"/>
    <s v="felconfeccao@gmail.com"/>
    <n v="300280243"/>
    <n v="16441354"/>
    <x v="3"/>
    <x v="61"/>
    <n v="27"/>
    <s v="FALTOU"/>
    <m/>
    <m/>
    <d v="2026-07-30T08:58:04"/>
    <m/>
    <n v="1670"/>
    <x v="1"/>
    <n v="0"/>
    <m/>
    <d v="2026-07-30T00:00:00"/>
    <x v="0"/>
  </r>
  <r>
    <x v="180"/>
    <s v="lajedoconf5@gmail.com"/>
    <n v="300285692"/>
    <n v="15420000"/>
    <x v="2"/>
    <x v="13"/>
    <n v="53"/>
    <s v="quantidade insuficiente para concluir a ordem"/>
    <m/>
    <m/>
    <d v="2026-07-30T09:22:44"/>
    <m/>
    <n v="1671"/>
    <x v="1"/>
    <n v="10000241456"/>
    <m/>
    <d v="2026-07-30T00:00:00"/>
    <x v="0"/>
  </r>
  <r>
    <x v="15"/>
    <s v="spauloazevedo@bol.com.br"/>
    <n v="300283685"/>
    <n v="16489128"/>
    <x v="0"/>
    <x v="142"/>
    <n v="2"/>
    <s v="Faltou"/>
    <m/>
    <s v="A Linha da ordem não deu pra conclui a produção"/>
    <d v="2026-07-30T09:26:54"/>
    <m/>
    <n v="1672"/>
    <x v="1"/>
    <n v="10000062479"/>
    <m/>
    <d v="2026-07-30T00:00:00"/>
    <x v="0"/>
  </r>
  <r>
    <x v="13"/>
    <s v="administrativo@zajaconfeccoes.com.br"/>
    <n v="300286263"/>
    <n v="15267164"/>
    <x v="3"/>
    <x v="61"/>
    <n v="11"/>
    <s v="insuficiente "/>
    <m/>
    <m/>
    <d v="2026-07-30T09:37:11"/>
    <m/>
    <n v="1673"/>
    <x v="1"/>
    <n v="0"/>
    <m/>
    <d v="2026-07-30T00:00:00"/>
    <x v="0"/>
  </r>
  <r>
    <x v="193"/>
    <s v="ajgconfeccoes2021@gmail.com"/>
    <n v="300284533"/>
    <n v="15483936"/>
    <x v="3"/>
    <x v="61"/>
    <n v="20"/>
    <s v="Faltou 20 etiquetas de composição "/>
    <m/>
    <s v="Faltou no aviamento "/>
    <d v="2026-07-30T09:42:39"/>
    <m/>
    <n v="1674"/>
    <x v="1"/>
    <s v="N tem "/>
    <m/>
    <d v="2026-07-30T00:00:00"/>
    <x v="0"/>
  </r>
  <r>
    <x v="31"/>
    <s v="administrativo@zajaconfeccoes.com.br"/>
    <n v="300280210"/>
    <n v="15699293"/>
    <x v="2"/>
    <x v="61"/>
    <n v="2"/>
    <s v="insuficiente "/>
    <m/>
    <m/>
    <d v="2026-07-30T09:43:29"/>
    <m/>
    <n v="1675"/>
    <x v="1"/>
    <n v="0"/>
    <m/>
    <d v="2026-07-30T00:00:00"/>
    <x v="0"/>
  </r>
  <r>
    <x v="31"/>
    <s v="administrativo@zajaconfeccoes.com.br"/>
    <n v="300280210"/>
    <n v="15699293"/>
    <x v="2"/>
    <x v="13"/>
    <n v="10"/>
    <s v="insuficiente "/>
    <m/>
    <m/>
    <d v="2026-07-30T09:44:47"/>
    <m/>
    <n v="1676"/>
    <x v="1"/>
    <n v="10000064476"/>
    <m/>
    <d v="2026-07-30T00:00:00"/>
    <x v="0"/>
  </r>
  <r>
    <x v="166"/>
    <s v="w.anny.k@hotmail.com"/>
    <n v="300280446"/>
    <n v="16557654"/>
    <x v="2"/>
    <x v="17"/>
    <n v="50"/>
    <s v="ESTAMOS PRECISANDO DE 50 CÓS PARA ESTA ORDEM"/>
    <m/>
    <m/>
    <d v="2026-07-30T10:16:18"/>
    <m/>
    <n v="1677"/>
    <x v="1"/>
    <n v="0"/>
    <m/>
    <d v="2026-07-30T00:00:00"/>
    <x v="0"/>
  </r>
  <r>
    <x v="203"/>
    <s v="jolitextilfabrica@gmail.com"/>
    <n v="300283438"/>
    <n v="14938570"/>
    <x v="3"/>
    <x v="30"/>
    <n v="10"/>
    <s v="FALTOU MANGA "/>
    <m/>
    <s v="FALTOU MANGA PARA 10 CAMISAS G"/>
    <d v="2026-07-30T10:32:39"/>
    <m/>
    <n v="1678"/>
    <x v="1"/>
    <s v="MANGA"/>
    <m/>
    <d v="2026-07-30T00:00:00"/>
    <x v="0"/>
  </r>
  <r>
    <x v="174"/>
    <s v="jakeline.jl.confeccoes@gmail.com"/>
    <n v="300284181"/>
    <n v="16479181"/>
    <x v="2"/>
    <x v="21"/>
    <n v="10"/>
    <s v="Não tenho artoks vazios para enviar as próximas ordens"/>
    <m/>
    <s v="Não tenho artoks vazios para enviar as próximas ordens"/>
    <d v="2026-07-30T10:50:01"/>
    <m/>
    <n v="1679"/>
    <x v="1"/>
    <n v="0"/>
    <m/>
    <d v="2026-07-30T00:00:00"/>
    <x v="0"/>
  </r>
  <r>
    <x v="34"/>
    <s v="dantasepaulino@gmail.com"/>
    <n v="300265820"/>
    <n v="16482395"/>
    <x v="2"/>
    <x v="17"/>
    <n v="154"/>
    <s v="refazer a peça "/>
    <m/>
    <s v="precisamos do cos e passante, vamos refazer a operação"/>
    <d v="2026-07-30T11:46:52"/>
    <m/>
    <n v="1680"/>
    <x v="1"/>
    <n v="0"/>
    <m/>
    <d v="2026-07-30T00:00:00"/>
    <x v="0"/>
  </r>
  <r>
    <x v="34"/>
    <s v="dantasepaulino@gmail.com"/>
    <n v="300278891"/>
    <n v="16293274"/>
    <x v="2"/>
    <x v="17"/>
    <n v="21"/>
    <s v="Faltou o finalizar "/>
    <m/>
    <s v="Faltando 21 cos do tamanho 50 com urgência "/>
    <d v="2026-07-30T12:37:06"/>
    <m/>
    <n v="1681"/>
    <x v="1"/>
    <n v="0"/>
    <m/>
    <d v="2026-07-30T00:00:00"/>
    <x v="0"/>
  </r>
  <r>
    <x v="35"/>
    <s v="lupercio-fnb@hotmail.com"/>
    <n v="300283692"/>
    <n v="16443004"/>
    <x v="1"/>
    <x v="142"/>
    <n v="12"/>
    <s v="Faltando para finalização de ordem"/>
    <m/>
    <s v="Atenção o mais breve posível."/>
    <d v="2026-07-30T13:24:31"/>
    <m/>
    <n v="1682"/>
    <x v="1"/>
    <s v="fio 10000072017, Linha 10000072590"/>
    <m/>
    <d v="2026-07-30T00:00:00"/>
    <x v="0"/>
  </r>
  <r>
    <x v="2"/>
    <s v="oficinasantos08@outlook.com"/>
    <n v="300281501"/>
    <n v="16507657"/>
    <x v="2"/>
    <x v="13"/>
    <n v="489"/>
    <s v="peça preta e veio zíper azul"/>
    <m/>
    <s v="no chekin de aviamentos veio cadastrado o zíper azul (tam 17cm) e preto (tam 13 e a4). Mas todos os zíperes vieram na cor azul  "/>
    <d v="2026-07-30T13:31:52"/>
    <m/>
    <n v="1683"/>
    <x v="1"/>
    <s v="10000241455; 10000241454"/>
    <m/>
    <d v="2026-07-30T00:00:00"/>
    <x v="0"/>
  </r>
  <r>
    <x v="193"/>
    <s v="ajgconfeccoes2021@gmail.com"/>
    <n v="300283930"/>
    <n v="16482174"/>
    <x v="2"/>
    <x v="5"/>
    <n v="10000"/>
    <s v="Faltou"/>
    <m/>
    <s v="Faltou filme plástico "/>
    <d v="2026-07-30T13:54:07"/>
    <m/>
    <n v="1684"/>
    <x v="1"/>
    <s v="N tem "/>
    <m/>
    <d v="2026-07-30T00:00:00"/>
    <x v="0"/>
  </r>
  <r>
    <x v="13"/>
    <s v="administrativo@zajaconfeccoes.com.br"/>
    <n v="300286230"/>
    <n v="16227425"/>
    <x v="3"/>
    <x v="61"/>
    <n v="9"/>
    <s v="insuficiente "/>
    <m/>
    <m/>
    <d v="2026-07-30T14:14:27"/>
    <m/>
    <n v="1685"/>
    <x v="1"/>
    <n v="0"/>
    <m/>
    <d v="2026-07-30T00:00:00"/>
    <x v="0"/>
  </r>
  <r>
    <x v="23"/>
    <s v="reposicoesjkmodas@gmail.com"/>
    <n v="300281929"/>
    <n v="16466209"/>
    <x v="2"/>
    <x v="56"/>
    <n v="20"/>
    <s v="NÃO ENVIADO PELA GUARARAPES"/>
    <m/>
    <m/>
    <d v="2026-07-30T14:34:30"/>
    <m/>
    <n v="1686"/>
    <x v="1"/>
    <n v="10000216487"/>
    <m/>
    <d v="2026-07-30T00:00:00"/>
    <x v="0"/>
  </r>
  <r>
    <x v="203"/>
    <s v="jolitextilfabrica@gmail.com"/>
    <n v="300283444"/>
    <n v="14938570"/>
    <x v="3"/>
    <x v="30"/>
    <n v="36"/>
    <s v="OP VEIO COM MANGAS FALTANDO"/>
    <m/>
    <s v="OP faltando 18 pares de manga GG"/>
    <d v="2026-07-30T14:39:49"/>
    <m/>
    <n v="1687"/>
    <x v="1"/>
    <s v="MANGA"/>
    <m/>
    <d v="2026-07-30T00:00:00"/>
    <x v="0"/>
  </r>
  <r>
    <x v="13"/>
    <s v="administrativo@zajaconfeccoes.com.br"/>
    <n v="300284490"/>
    <n v="16288211"/>
    <x v="0"/>
    <x v="56"/>
    <n v="11"/>
    <s v="insuficiente "/>
    <m/>
    <m/>
    <d v="2026-07-30T14:52:24"/>
    <m/>
    <n v="1688"/>
    <x v="1"/>
    <s v="10000209079- 10000209075"/>
    <m/>
    <d v="2026-07-30T00:00:00"/>
    <x v="0"/>
  </r>
  <r>
    <x v="203"/>
    <s v="jolitextilfabrica@gmail.com"/>
    <n v="300280735"/>
    <n v="12416746"/>
    <x v="3"/>
    <x v="12"/>
    <n v="472"/>
    <s v="ORDEM VEIO APENAS COM AS FRENTES"/>
    <m/>
    <m/>
    <d v="2026-07-30T15:02:09"/>
    <m/>
    <n v="1689"/>
    <x v="1"/>
    <s v="TRASEIRO"/>
    <m/>
    <d v="2026-07-30T00:00:00"/>
    <x v="0"/>
  </r>
  <r>
    <x v="184"/>
    <s v="encantopoest@gmail.com"/>
    <n v="300281523"/>
    <n v="16473965"/>
    <x v="2"/>
    <x v="160"/>
    <n v="10"/>
    <s v="faltando saco para om"/>
    <m/>
    <s v="saco para artroks"/>
    <d v="2026-07-30T15:25:01"/>
    <m/>
    <n v="1690"/>
    <x v="1"/>
    <n v="0"/>
    <m/>
    <d v="2026-07-30T00:00:00"/>
    <x v="0"/>
  </r>
  <r>
    <x v="44"/>
    <s v="teceuzl@hotmail.com"/>
    <n v="300285089"/>
    <n v="16448014"/>
    <x v="1"/>
    <x v="19"/>
    <s v="10 cones"/>
    <s v="Insuficiente para finalizar "/>
    <m/>
    <m/>
    <d v="2026-07-30T15:26:20"/>
    <m/>
    <n v="1691"/>
    <x v="1"/>
    <n v="0"/>
    <m/>
    <d v="2026-07-30T00:00:00"/>
    <x v="0"/>
  </r>
  <r>
    <x v="44"/>
    <s v="teceuzl@hotmail.com"/>
    <n v="300285089"/>
    <n v="16448014"/>
    <x v="1"/>
    <x v="142"/>
    <s v="5 cones"/>
    <s v="Insuficiente para finalizar "/>
    <m/>
    <m/>
    <d v="2026-07-30T15:27:38"/>
    <m/>
    <n v="1692"/>
    <x v="1"/>
    <n v="0"/>
    <m/>
    <d v="2026-07-30T00:00:00"/>
    <x v="0"/>
  </r>
  <r>
    <x v="44"/>
    <s v="teceuzl@hotmail.com"/>
    <n v="300286616"/>
    <n v="15178927"/>
    <x v="1"/>
    <x v="19"/>
    <s v="10 cones"/>
    <s v="Insuficiente para finalizar "/>
    <m/>
    <m/>
    <d v="2026-07-30T15:30:19"/>
    <m/>
    <n v="1693"/>
    <x v="1"/>
    <n v="0"/>
    <m/>
    <d v="2026-07-30T00:00:00"/>
    <x v="0"/>
  </r>
  <r>
    <x v="44"/>
    <s v="teceuzl@hotmail.com"/>
    <n v="300286616"/>
    <n v="15178927"/>
    <x v="1"/>
    <x v="142"/>
    <s v="20 cones"/>
    <s v="Insuficiente para finalizar "/>
    <m/>
    <m/>
    <d v="2026-07-30T15:31:27"/>
    <m/>
    <n v="1694"/>
    <x v="1"/>
    <n v="0"/>
    <m/>
    <d v="2026-07-30T00:00:00"/>
    <x v="0"/>
  </r>
  <r>
    <x v="23"/>
    <s v="reposicoesjkmodas@gmail.com"/>
    <n v="300274635"/>
    <n v="16310373"/>
    <x v="2"/>
    <x v="142"/>
    <n v="10"/>
    <s v="MATERIAL INSUFICIENTE"/>
    <m/>
    <m/>
    <d v="2026-07-30T15:31:47"/>
    <m/>
    <n v="1695"/>
    <x v="1"/>
    <n v="10000064051"/>
    <m/>
    <d v="2026-07-30T00:00:00"/>
    <x v="0"/>
  </r>
  <r>
    <x v="23"/>
    <s v="reposicoesjkmodas@gmail.com"/>
    <n v="300274635"/>
    <n v="16310373"/>
    <x v="2"/>
    <x v="61"/>
    <n v="10"/>
    <s v="NÃO ENVIADO PELA GUARARAPES"/>
    <m/>
    <m/>
    <d v="2026-07-30T15:33:25"/>
    <m/>
    <n v="1696"/>
    <x v="1"/>
    <n v="0"/>
    <m/>
    <d v="2026-07-30T00:00:00"/>
    <x v="0"/>
  </r>
  <r>
    <x v="23"/>
    <s v="reposicoesjkmodas@gmail.com"/>
    <n v="300274635"/>
    <n v="16310373"/>
    <x v="2"/>
    <x v="49"/>
    <n v="2"/>
    <s v="MATERIAL INSUFICIENTE"/>
    <m/>
    <m/>
    <d v="2026-07-30T15:39:59"/>
    <m/>
    <n v="1697"/>
    <x v="1"/>
    <n v="100000214497"/>
    <m/>
    <d v="2026-07-30T00:00:00"/>
    <x v="0"/>
  </r>
  <r>
    <x v="175"/>
    <s v="confeccaogenesisltda@gmail.com"/>
    <n v="300285462"/>
    <n v="16457897"/>
    <x v="0"/>
    <x v="11"/>
    <n v="2"/>
    <s v="faltando pistolas"/>
    <m/>
    <s v="enviar com as agulhas também"/>
    <d v="2026-07-30T16:10:15"/>
    <m/>
    <n v="1698"/>
    <x v="2"/>
    <n v="0"/>
    <m/>
    <d v="2026-07-30T00:00:00"/>
    <x v="0"/>
  </r>
  <r>
    <x v="175"/>
    <s v="confeccaogenesisltda@gmail.com"/>
    <n v="300282458"/>
    <n v="16457218"/>
    <x v="3"/>
    <x v="61"/>
    <n v="15"/>
    <s v="peças sobrando e faltando etiqueta"/>
    <m/>
    <s v="sobrando peças e faltando etiqueta"/>
    <d v="2026-07-30T16:12:45"/>
    <m/>
    <n v="1699"/>
    <x v="1"/>
    <n v="0"/>
    <m/>
    <d v="2026-07-30T00:00:00"/>
    <x v="0"/>
  </r>
  <r>
    <x v="162"/>
    <s v="faccaoello@hotmail.com"/>
    <n v="300280615"/>
    <n v="16429559"/>
    <x v="2"/>
    <x v="22"/>
    <n v="7"/>
    <s v="Material não enviado pela Guararapes"/>
    <m/>
    <s v="LADO ESQUERDO"/>
    <d v="2026-07-30T16:22:35"/>
    <m/>
    <n v="1700"/>
    <x v="1"/>
    <n v="0"/>
    <m/>
    <d v="2026-07-30T00:00:00"/>
    <x v="0"/>
  </r>
  <r>
    <x v="15"/>
    <s v="spauloazevedo@bol.com.br"/>
    <n v="300279706"/>
    <n v="16457900"/>
    <x v="2"/>
    <x v="49"/>
    <n v="130"/>
    <s v="O tamanho 4 veio repetido e o tamanho 5 não veio, os outros tamanhos veio faltando na contagem"/>
    <m/>
    <s v="O tamanho 4 veio repetido e o tamanho 5 não veio, os outros tamanhos veio faltando na contagem"/>
    <d v="2026-07-30T17:02:04"/>
    <m/>
    <n v="1701"/>
    <x v="1"/>
    <s v="10000253895      10000247658     10000249817     10000247623    10000247650"/>
    <m/>
    <d v="2026-07-30T00:00:00"/>
    <x v="0"/>
  </r>
  <r>
    <x v="162"/>
    <s v="faccaoello@hotmail.com"/>
    <n v="300284337"/>
    <n v="16244052"/>
    <x v="2"/>
    <x v="61"/>
    <n v="1"/>
    <s v="Material não enviado pela Guararapes"/>
    <m/>
    <m/>
    <d v="2026-07-31T09:04:13"/>
    <m/>
    <n v="1702"/>
    <x v="1"/>
    <n v="0"/>
    <m/>
    <d v="2026-07-31T00:00:00"/>
    <x v="0"/>
  </r>
  <r>
    <x v="70"/>
    <s v="novaconfeccoes2.0@hotmail.com"/>
    <n v="300282789"/>
    <n v="16520157"/>
    <x v="2"/>
    <x v="13"/>
    <n v="438"/>
    <s v="NÃO RECEBEMOS "/>
    <m/>
    <s v="NÃO RECEBEMOS "/>
    <d v="2026-07-31T09:06:03"/>
    <m/>
    <n v="1703"/>
    <x v="1"/>
    <n v="0"/>
    <m/>
    <d v="2026-07-31T00:00:00"/>
    <x v="0"/>
  </r>
  <r>
    <x v="176"/>
    <s v="hiconfeccao@gmail.com"/>
    <n v="300284281"/>
    <n v="15252434"/>
    <x v="2"/>
    <x v="38"/>
    <n v="100"/>
    <s v="O motivo do pedido, é porque não vieram."/>
    <m/>
    <s v="TAMANHO: 46. Quantidade: forro de bolso para 100 peças."/>
    <d v="2026-07-31T09:34:06"/>
    <m/>
    <n v="1704"/>
    <x v="1"/>
    <n v="300284281"/>
    <m/>
    <d v="2026-07-31T00:00:00"/>
    <x v="0"/>
  </r>
  <r>
    <x v="174"/>
    <s v="jakeline.jl.confeccoes@gmail.com"/>
    <n v="300284181"/>
    <n v="16479181"/>
    <x v="2"/>
    <x v="49"/>
    <n v="28"/>
    <s v="insuficiente para finalizar a produção"/>
    <m/>
    <s v="insuficiente para finalizar a produção"/>
    <d v="2026-07-31T09:36:34"/>
    <m/>
    <n v="1705"/>
    <x v="1"/>
    <s v="10000208284; 10000208287; 10000218092; 10000208288"/>
    <m/>
    <d v="2026-07-31T00:00:00"/>
    <x v="0"/>
  </r>
  <r>
    <x v="31"/>
    <s v="administrativo@zajaconfeccoes.com.br"/>
    <n v="300277124"/>
    <n v="16505956"/>
    <x v="2"/>
    <x v="49"/>
    <n v="2"/>
    <s v="insuficiente "/>
    <m/>
    <m/>
    <d v="2026-07-31T09:38:14"/>
    <m/>
    <n v="1706"/>
    <x v="1"/>
    <n v="10000214517"/>
    <m/>
    <d v="2026-07-31T00:00:00"/>
    <x v="0"/>
  </r>
  <r>
    <x v="11"/>
    <s v="S.a.confeccoesind@gmail.com"/>
    <n v="300276224"/>
    <n v="15859177"/>
    <x v="2"/>
    <x v="61"/>
    <n v="6"/>
    <s v="Danificada no processo"/>
    <m/>
    <s v="6 Etiquetas de composição tamanho 40"/>
    <d v="2026-07-31T09:45:23"/>
    <m/>
    <n v="1707"/>
    <x v="1"/>
    <n v="0"/>
    <m/>
    <d v="2026-07-31T00:00:00"/>
    <x v="0"/>
  </r>
  <r>
    <x v="169"/>
    <s v="acauaconfeccoes@outlook.com"/>
    <n v="300000000"/>
    <n v="1"/>
    <x v="3"/>
    <x v="11"/>
    <n v="2"/>
    <s v="Estamos precisando de 2 pistolas ,pois tínhamos só duas e uma quebrou e não tá dando conta ,pois nossa produção é 2000 peças dia"/>
    <m/>
    <s v="Estamos precisando de 2 pistolas urgentemente,a demanda tá alta "/>
    <d v="2026-07-31T09:47:47"/>
    <m/>
    <n v="1708"/>
    <x v="2"/>
    <n v="1"/>
    <m/>
    <d v="2026-07-31T00:00:00"/>
    <x v="0"/>
  </r>
  <r>
    <x v="69"/>
    <s v="a.sempreendimentostextil@gmail.com"/>
    <n v="300285683"/>
    <n v="16218159"/>
    <x v="2"/>
    <x v="13"/>
    <n v="1.1240000000000001"/>
    <s v="não enviado pelo guararapes"/>
    <m/>
    <s v="veio faltando 1.124 zipes"/>
    <d v="2026-07-31T10:22:31"/>
    <m/>
    <n v="1709"/>
    <x v="1"/>
    <s v="ZÍPER INOX METAL MEDIO AZUL 10CM"/>
    <m/>
    <d v="2026-07-31T00:00:00"/>
    <x v="0"/>
  </r>
  <r>
    <x v="69"/>
    <s v="a.sempreendimentostextil@gmail.com"/>
    <n v="300285683"/>
    <n v="16218159"/>
    <x v="2"/>
    <x v="49"/>
    <n v="1.6319999999999999"/>
    <s v="veio faltando as etiquetas do cos"/>
    <m/>
    <s v="não veio as etiquetas do cós"/>
    <d v="2026-07-31T10:29:16"/>
    <m/>
    <n v="1710"/>
    <x v="1"/>
    <s v="ETQ RIA HORIZ BOT MOM INFANT VER 13-14"/>
    <m/>
    <d v="2026-07-31T00:00:00"/>
    <x v="0"/>
  </r>
  <r>
    <x v="175"/>
    <s v="confeccaogenesisltda@gmail.com"/>
    <n v="300280766"/>
    <n v="16500270"/>
    <x v="3"/>
    <x v="19"/>
    <n v="1010"/>
    <s v="insuficiente para finalizar a ordem"/>
    <m/>
    <m/>
    <d v="2026-07-31T10:45:11"/>
    <m/>
    <n v="1711"/>
    <x v="1"/>
    <n v="0"/>
    <m/>
    <d v="2026-07-31T00:00:00"/>
    <x v="0"/>
  </r>
  <r>
    <x v="175"/>
    <s v="confeccaogenesisltda@gmail.com"/>
    <n v="300280766"/>
    <n v="16500270"/>
    <x v="3"/>
    <x v="142"/>
    <n v="10"/>
    <s v="quantidade insuficiente para distribuir nas máquinas  finalizar a op"/>
    <m/>
    <m/>
    <d v="2026-07-31T10:48:25"/>
    <m/>
    <n v="1712"/>
    <x v="1"/>
    <n v="10000216008"/>
    <m/>
    <d v="2026-07-31T00:00:00"/>
    <x v="0"/>
  </r>
  <r>
    <x v="23"/>
    <s v="reposicoesjkmodas@gmail.com"/>
    <n v="300281929"/>
    <n v="16466209"/>
    <x v="2"/>
    <x v="13"/>
    <n v="110"/>
    <s v="NÃO ENVIADO PELA GUARARAPES"/>
    <m/>
    <m/>
    <d v="2026-07-31T10:50:10"/>
    <m/>
    <n v="1713"/>
    <x v="1"/>
    <n v="10000218944"/>
    <m/>
    <d v="2026-07-31T00:00:00"/>
    <x v="0"/>
  </r>
  <r>
    <x v="44"/>
    <s v="teceuzl@hotmail.com"/>
    <n v="300281466"/>
    <n v="13044826"/>
    <x v="1"/>
    <x v="61"/>
    <n v="7"/>
    <s v="INSUFICIENTE PARA FINALIZAR "/>
    <m/>
    <m/>
    <d v="2026-07-31T11:38:37"/>
    <m/>
    <n v="1714"/>
    <x v="1"/>
    <n v="0"/>
    <m/>
    <d v="2026-07-31T00:00:00"/>
    <x v="0"/>
  </r>
  <r>
    <x v="79"/>
    <s v="artejeans23@gmail.com"/>
    <n v="300281532"/>
    <n v="16494610"/>
    <x v="2"/>
    <x v="43"/>
    <n v="230"/>
    <s v="Quantidade insuficiente para finalização da ordem"/>
    <m/>
    <m/>
    <d v="2026-07-31T12:14:32"/>
    <m/>
    <n v="1715"/>
    <x v="1"/>
    <s v="Bolso Relógio"/>
    <m/>
    <d v="2026-07-31T00:00:00"/>
    <x v="0"/>
  </r>
  <r>
    <x v="79"/>
    <s v="artejeans23@gmail.com"/>
    <n v="300281532"/>
    <n v="16494610"/>
    <x v="2"/>
    <x v="143"/>
    <n v="230"/>
    <s v="Quantidade insuficiente para a finalização da ordem"/>
    <m/>
    <m/>
    <d v="2026-07-31T12:20:20"/>
    <m/>
    <n v="1716"/>
    <x v="1"/>
    <s v="Pertingal"/>
    <m/>
    <d v="2026-07-31T00:00:00"/>
    <x v="0"/>
  </r>
  <r>
    <x v="79"/>
    <s v="artejeans23@gmail.com"/>
    <n v="300281532"/>
    <n v="16494610"/>
    <x v="2"/>
    <x v="43"/>
    <n v="233"/>
    <s v="Quantidade insuficiente para a finalização da ordem"/>
    <m/>
    <m/>
    <d v="2026-07-31T12:28:16"/>
    <m/>
    <n v="1717"/>
    <x v="1"/>
    <s v="Bolso Relógio"/>
    <m/>
    <d v="2026-07-31T00:00:00"/>
    <x v="0"/>
  </r>
  <r>
    <x v="37"/>
    <s v="felconfeccao@gmail.com"/>
    <n v="300284138"/>
    <n v="16479157"/>
    <x v="3"/>
    <x v="61"/>
    <n v="1"/>
    <s v="FALTOU"/>
    <m/>
    <m/>
    <d v="2026-07-31T13:16:49"/>
    <m/>
    <n v="1718"/>
    <x v="1"/>
    <n v="0"/>
    <m/>
    <d v="2026-07-31T00:00:00"/>
    <x v="0"/>
  </r>
  <r>
    <x v="31"/>
    <s v="administrativo@zajaconfeccoes.com.br"/>
    <n v="300280737"/>
    <n v="12416746"/>
    <x v="3"/>
    <x v="6"/>
    <n v="20"/>
    <s v="insuficiente "/>
    <m/>
    <s v="GOLA DE RIBANA "/>
    <d v="2026-07-31T13:29:25"/>
    <m/>
    <n v="1719"/>
    <x v="1"/>
    <n v="0"/>
    <m/>
    <d v="2026-07-31T00:00:00"/>
    <x v="0"/>
  </r>
  <r>
    <x v="178"/>
    <s v="faccao_sales2010@hotmail.com"/>
    <n v="300284927"/>
    <n v="16249984"/>
    <x v="3"/>
    <x v="61"/>
    <n v="25"/>
    <s v="INSUFICIENTE PARA FINALIZAR A OP"/>
    <m/>
    <m/>
    <d v="2026-07-31T13:46:53"/>
    <m/>
    <n v="1720"/>
    <x v="1"/>
    <s v="-"/>
    <m/>
    <d v="2026-07-31T00:00:00"/>
    <x v="0"/>
  </r>
  <r>
    <x v="54"/>
    <s v="deboraclothing.textil@gmail.com"/>
    <n v="300286756"/>
    <n v="16223462"/>
    <x v="3"/>
    <x v="4"/>
    <n v="1.8380000000000001"/>
    <s v="NÃO ENVIADO PELA GUARARAPES"/>
    <m/>
    <s v="TAGS DE PREÇO NÃO ENVIADO PELA GUARARAPES"/>
    <d v="2026-07-31T13:50:29"/>
    <m/>
    <n v="1721"/>
    <x v="1"/>
    <n v="0"/>
    <m/>
    <d v="2026-07-31T00:00:00"/>
    <x v="0"/>
  </r>
  <r>
    <x v="213"/>
    <s v="seridoconfeccoes@gmail.com"/>
    <n v="300282334"/>
    <n v="16507630"/>
    <x v="2"/>
    <x v="142"/>
    <s v="10 cones "/>
    <s v="insuficiente para todas as maquinas do processo"/>
    <m/>
    <s v="linha cor: 0321 tit: 36"/>
    <d v="2026-07-31T14:15:50"/>
    <m/>
    <n v="1722"/>
    <x v="1"/>
    <n v="0"/>
    <m/>
    <d v="2026-07-31T00:00:00"/>
    <x v="0"/>
  </r>
  <r>
    <x v="56"/>
    <s v="idealconfecltda@gmail.com"/>
    <n v="300278731"/>
    <n v="16443266"/>
    <x v="1"/>
    <x v="19"/>
    <s v="10 cones"/>
    <s v="quantidade insuficiente"/>
    <m/>
    <m/>
    <d v="2026-07-31T14:36:31"/>
    <m/>
    <n v="1723"/>
    <x v="1"/>
    <n v="72007"/>
    <m/>
    <d v="2026-07-31T00:00:00"/>
    <x v="0"/>
  </r>
  <r>
    <x v="56"/>
    <s v="idealconfecltda@gmail.com"/>
    <n v="300278731"/>
    <n v="16443266"/>
    <x v="1"/>
    <x v="142"/>
    <n v="10"/>
    <s v="QUANTIDADE INSUFICIENTE"/>
    <m/>
    <m/>
    <d v="2026-07-31T14:38:17"/>
    <m/>
    <n v="1724"/>
    <x v="1"/>
    <n v="72579"/>
    <m/>
    <d v="2026-07-31T00:00:00"/>
    <x v="0"/>
  </r>
  <r>
    <x v="79"/>
    <s v="artejeans23@gmail.com"/>
    <n v="300181532"/>
    <n v="16494610"/>
    <x v="2"/>
    <x v="17"/>
    <n v="235"/>
    <s v="Quantidade Insuficiente para a finalização da ordem"/>
    <m/>
    <m/>
    <d v="2026-07-31T14:59:59"/>
    <m/>
    <n v="1725"/>
    <x v="1"/>
    <s v="Cós"/>
    <m/>
    <d v="2026-07-31T00:00:00"/>
    <x v="0"/>
  </r>
  <r>
    <x v="32"/>
    <s v="di3confec@gmail.com"/>
    <n v="300286142"/>
    <n v="15859177"/>
    <x v="2"/>
    <x v="77"/>
    <n v="10"/>
    <s v="REPOSIÇÃO DE PLÁSTICO PARA FUSIONAR PASSANTE"/>
    <m/>
    <s v="PLÁSTICO PARA FUSIONAR PASSANTE"/>
    <d v="2026-07-31T16:18:10"/>
    <m/>
    <n v="1726"/>
    <x v="1"/>
    <n v="0"/>
    <m/>
    <d v="2026-07-31T00:00:00"/>
    <x v="0"/>
  </r>
  <r>
    <x v="49"/>
    <s v="s.ramosconfeccoes@gmail.com"/>
    <n v="300281534"/>
    <n v="16494610"/>
    <x v="2"/>
    <x v="49"/>
    <n v="38"/>
    <s v="Estamos precisando de etiqueta de cós para finalizar a ordem"/>
    <m/>
    <s v="Estou precisando das etiquetas para finalizar a ordem"/>
    <d v="2026-07-31T16:35:00"/>
    <m/>
    <n v="1727"/>
    <x v="1"/>
    <s v="10000214499  /  10000214512"/>
    <m/>
    <d v="2026-07-31T00:00:00"/>
    <x v="0"/>
  </r>
  <r>
    <x v="36"/>
    <s v="solisconfeccoes@gmail.com"/>
    <n v="300285834"/>
    <n v="16576667"/>
    <x v="3"/>
    <x v="163"/>
    <n v="200"/>
    <s v="ISUFICIENTE PRA FINALIZAR OP/REMONTE"/>
    <m/>
    <s v="INSUFICIENTE PRA FINALIZAR OP/VIES DE REFORÇO DE GOLA"/>
    <d v="2026-07-31T16:57:58"/>
    <m/>
    <n v="1728"/>
    <x v="1"/>
    <n v="0"/>
    <m/>
    <d v="2026-07-31T00:00:00"/>
    <x v="0"/>
  </r>
  <r>
    <x v="23"/>
    <s v="reposicoesjkmodas@gmail.com"/>
    <n v="300281929"/>
    <n v="16466209"/>
    <x v="2"/>
    <x v="61"/>
    <n v="25"/>
    <s v="Material não enviado pela Guararapes"/>
    <m/>
    <m/>
    <d v="2026-07-31T17:45:19"/>
    <m/>
    <n v="1729"/>
    <x v="1"/>
    <n v="0"/>
    <m/>
    <d v="2026-07-31T00:00:00"/>
    <x v="0"/>
  </r>
  <r>
    <x v="16"/>
    <s v="aeconfec-oes@hotmail.com"/>
    <n v="300285105"/>
    <n v="16261542"/>
    <x v="2"/>
    <x v="13"/>
    <n v="50"/>
    <s v="quantidade insuficiente para finalizar a OP"/>
    <m/>
    <m/>
    <d v="2026-07-31T17:52:56"/>
    <m/>
    <n v="1730"/>
    <x v="1"/>
    <n v="0"/>
    <m/>
    <d v="2026-07-31T00:00:00"/>
    <x v="0"/>
  </r>
  <r>
    <x v="8"/>
    <s v="tlcserranatextil@gmail.com"/>
    <n v="300282807"/>
    <n v="16474244"/>
    <x v="1"/>
    <x v="142"/>
    <s v="7 cones"/>
    <s v="Quantidade que veio foi insuficiente"/>
    <m/>
    <s v="Quantidade insuficiente"/>
    <d v="2026-07-31T18:37:03"/>
    <m/>
    <n v="1731"/>
    <x v="1"/>
    <s v="9.LI001.120.120815"/>
    <m/>
    <d v="2026-07-31T00:00:00"/>
    <x v="0"/>
  </r>
  <r>
    <x v="8"/>
    <s v="tlcserranatêxtil@gmail.com"/>
    <n v="300284019"/>
    <n v="16443004"/>
    <x v="1"/>
    <x v="163"/>
    <s v="P - 244"/>
    <s v="Qtde insuficiente"/>
    <m/>
    <m/>
    <d v="2026-07-31T18:38:57"/>
    <m/>
    <n v="1732"/>
    <x v="1"/>
    <n v="0"/>
    <m/>
    <d v="2026-07-31T00:00:00"/>
    <x v="0"/>
  </r>
  <r>
    <x v="8"/>
    <s v="tlcserranatextil@gmail.com"/>
    <n v="300283691"/>
    <n v="15215539"/>
    <x v="1"/>
    <x v="142"/>
    <s v="8 cones"/>
    <s v="Qtde insuficiente"/>
    <m/>
    <m/>
    <d v="2026-07-31T18:42:54"/>
    <m/>
    <n v="1733"/>
    <x v="1"/>
    <s v="9.LI001.140.190415"/>
    <m/>
    <d v="2026-07-31T00:00:00"/>
    <x v="0"/>
  </r>
  <r>
    <x v="8"/>
    <s v="tlcserranatextil@gmail.com"/>
    <n v="300282807"/>
    <n v="16474244"/>
    <x v="1"/>
    <x v="19"/>
    <s v="8 cones"/>
    <s v="Qtde insuficiente"/>
    <m/>
    <s v="Qtde para abastecimento"/>
    <d v="2026-07-31T18:45:02"/>
    <m/>
    <n v="1734"/>
    <x v="1"/>
    <s v="9.FI000.001.120104"/>
    <m/>
    <d v="2026-07-31T00:00:00"/>
    <x v="0"/>
  </r>
  <r>
    <x v="8"/>
    <s v="tlcserranatextil@gmail.com"/>
    <n v="300284019"/>
    <n v="16443004"/>
    <x v="1"/>
    <x v="163"/>
    <s v="244 peças"/>
    <s v="Qtde insuficiente"/>
    <m/>
    <m/>
    <d v="2026-07-31T18:47:19"/>
    <m/>
    <n v="1735"/>
    <x v="1"/>
    <n v="0"/>
    <m/>
    <d v="2026-07-31T00:00:00"/>
    <x v="0"/>
  </r>
  <r>
    <x v="8"/>
    <s v="tlcserranatextil@gmail.com"/>
    <n v="300285086"/>
    <n v="16442717"/>
    <x v="1"/>
    <x v="142"/>
    <s v="7 cones"/>
    <s v="Qtde insuficiente"/>
    <m/>
    <m/>
    <d v="2026-07-31T18:50:01"/>
    <m/>
    <n v="1736"/>
    <x v="1"/>
    <s v="9.LI001.120.120720"/>
    <m/>
    <d v="2026-07-31T00:00:00"/>
    <x v="0"/>
  </r>
  <r>
    <x v="8"/>
    <s v="tlcserranatextil@gmail.com"/>
    <n v="300285086"/>
    <n v="16442717"/>
    <x v="1"/>
    <x v="19"/>
    <s v="4 cones"/>
    <s v="Qtde insuficiente para abastecimento"/>
    <m/>
    <m/>
    <d v="2026-07-31T18:51:22"/>
    <m/>
    <n v="1737"/>
    <x v="1"/>
    <s v="9.FI000.001.130916"/>
    <m/>
    <d v="2026-07-31T00:00:00"/>
    <x v="0"/>
  </r>
  <r>
    <x v="8"/>
    <s v="tlcserranatextil@gmail.com"/>
    <n v="300284373"/>
    <n v="16460863"/>
    <x v="1"/>
    <x v="142"/>
    <s v="10 cones"/>
    <s v="Qtde insuficiente para abastecimento"/>
    <m/>
    <m/>
    <d v="2026-07-31T19:04:36"/>
    <m/>
    <n v="1738"/>
    <x v="1"/>
    <n v="16460863"/>
    <m/>
    <d v="2026-07-31T00:00:00"/>
    <x v="0"/>
  </r>
  <r>
    <x v="180"/>
    <s v="lajedoconf5@gmail.com"/>
    <n v="300285106"/>
    <n v="16261542"/>
    <x v="2"/>
    <x v="5"/>
    <n v="0"/>
    <s v="quantidade insuficiente"/>
    <m/>
    <m/>
    <d v="2026-08-01T08:31:45"/>
    <m/>
    <n v="1739"/>
    <x v="2"/>
    <s v="filme plástico para passante"/>
    <m/>
    <d v="2026-08-01T00:00:00"/>
    <x v="0"/>
  </r>
  <r>
    <x v="21"/>
    <s v="potengitextil@outlook.com.br"/>
    <n v="300283555"/>
    <n v="16559550"/>
    <x v="2"/>
    <x v="49"/>
    <n v="10"/>
    <s v="Insuficiente para finalizar ordem "/>
    <m/>
    <m/>
    <d v="2026-08-01T16:58:28"/>
    <m/>
    <n v="1740"/>
    <x v="1"/>
    <n v="10000247658"/>
    <m/>
    <d v="2026-08-01T00:00:00"/>
    <x v="0"/>
  </r>
  <r>
    <x v="21"/>
    <s v="potengitextil@outlook.com.br"/>
    <n v="300283555"/>
    <n v="16559550"/>
    <x v="2"/>
    <x v="49"/>
    <n v="10"/>
    <s v="Insuficiente para finalizar ordem "/>
    <m/>
    <m/>
    <d v="2026-08-01T16:59:37"/>
    <m/>
    <n v="1741"/>
    <x v="1"/>
    <n v="10000253895"/>
    <m/>
    <d v="2026-08-01T00:00:00"/>
    <x v="0"/>
  </r>
  <r>
    <x v="21"/>
    <s v="potengitextil@outlook.com.br"/>
    <n v="300283555"/>
    <n v="16559550"/>
    <x v="2"/>
    <x v="49"/>
    <n v="10"/>
    <s v="Insuficiente para finalizar ordem "/>
    <m/>
    <m/>
    <d v="2026-08-01T17:01:02"/>
    <m/>
    <n v="1742"/>
    <x v="1"/>
    <n v="10000247655"/>
    <m/>
    <d v="2026-08-01T00:00:00"/>
    <x v="0"/>
  </r>
  <r>
    <x v="21"/>
    <s v="potengitextil@outlook.com.br"/>
    <n v="300283555"/>
    <n v="16559550"/>
    <x v="2"/>
    <x v="49"/>
    <n v="10"/>
    <s v="Insuficiente para finalizar ordem"/>
    <m/>
    <m/>
    <d v="2026-08-01T17:02:14"/>
    <m/>
    <n v="1743"/>
    <x v="1"/>
    <n v="10000247650"/>
    <m/>
    <d v="2026-08-01T00:00:00"/>
    <x v="0"/>
  </r>
  <r>
    <x v="21"/>
    <s v="potengitextil@outlook.com.br"/>
    <n v="300283555"/>
    <n v="16559550"/>
    <x v="2"/>
    <x v="49"/>
    <n v="10"/>
    <s v="Insuficiente pra finalizar ordem "/>
    <m/>
    <m/>
    <d v="2026-08-01T17:03:32"/>
    <m/>
    <n v="1744"/>
    <x v="1"/>
    <n v="10000247623"/>
    <m/>
    <d v="2026-08-01T00:00:00"/>
    <x v="0"/>
  </r>
  <r>
    <x v="21"/>
    <s v="potengitextil@outlook.com.br"/>
    <n v="300283555"/>
    <n v="16559550"/>
    <x v="2"/>
    <x v="49"/>
    <n v="10"/>
    <s v="Insuficiente para finalizar ordem "/>
    <m/>
    <m/>
    <d v="2026-08-01T17:04:42"/>
    <m/>
    <n v="1745"/>
    <x v="1"/>
    <n v="10000249817"/>
    <m/>
    <d v="2026-08-01T00:00:00"/>
    <x v="0"/>
  </r>
  <r>
    <x v="191"/>
    <s v="lctextil@outlook.com.br"/>
    <n v="300282709"/>
    <n v="16474937"/>
    <x v="3"/>
    <x v="4"/>
    <n v="12"/>
    <s v="Insuficiente para finalizar ordem "/>
    <m/>
    <m/>
    <d v="2026-08-01T17:06:17"/>
    <m/>
    <n v="1746"/>
    <x v="1"/>
    <n v="0"/>
    <m/>
    <d v="2026-08-01T00:00:00"/>
    <x v="0"/>
  </r>
  <r>
    <x v="63"/>
    <s v="acaritextil2801@gmail.com"/>
    <n v="300000000"/>
    <n v="0"/>
    <x v="2"/>
    <x v="5"/>
    <n v="10"/>
    <s v="insuficiente"/>
    <m/>
    <m/>
    <d v="2026-08-03T07:40:36"/>
    <m/>
    <n v="1747"/>
    <x v="2"/>
    <n v="0"/>
    <m/>
    <d v="2026-08-03T00:00:00"/>
    <x v="0"/>
  </r>
  <r>
    <x v="213"/>
    <s v="seridoconfeccoes@gmail.com"/>
    <n v="300278542"/>
    <n v="15773418"/>
    <x v="2"/>
    <x v="5"/>
    <n v="10"/>
    <s v="insuficiente para finalizar a op"/>
    <m/>
    <s v="filme insuficiente para finalizar a op "/>
    <d v="2026-08-03T07:49:37"/>
    <m/>
    <n v="1748"/>
    <x v="2"/>
    <n v="0"/>
    <m/>
    <d v="2026-08-03T00:00:00"/>
    <x v="0"/>
  </r>
  <r>
    <x v="162"/>
    <s v="faccaoello@hotmail.com"/>
    <n v="300286124"/>
    <n v="16444876"/>
    <x v="2"/>
    <x v="18"/>
    <n v="1083"/>
    <s v="Material não enviado pela Guararapes"/>
    <m/>
    <s v="NÃO VEIO NENHUM ELASTICO JUNTO A ORDEM"/>
    <d v="2026-08-03T08:04:33"/>
    <m/>
    <n v="1749"/>
    <x v="2"/>
    <n v="0"/>
    <m/>
    <d v="2026-08-03T00:00:00"/>
    <x v="0"/>
  </r>
  <r>
    <x v="200"/>
    <s v="g4confeccao@gmail.com"/>
    <n v="300286553"/>
    <n v="16272641"/>
    <x v="2"/>
    <x v="142"/>
    <n v="50000"/>
    <s v="Quantidade insuficiente "/>
    <m/>
    <s v="Se possível nos enviar no próximo carregamento com destino a G4 ou a Poest "/>
    <d v="2026-08-03T08:05:39"/>
    <m/>
    <n v="1750"/>
    <x v="1"/>
    <n v="10000073226"/>
    <m/>
    <d v="2026-08-03T00:00:00"/>
    <x v="0"/>
  </r>
  <r>
    <x v="168"/>
    <s v="jucurututextil@gmail.com"/>
    <n v="300278806"/>
    <n v="16461010"/>
    <x v="2"/>
    <x v="12"/>
    <s v="46 pares"/>
    <s v="não veio"/>
    <m/>
    <s v="TRASEIRO E BOLSO TRASEIRO"/>
    <d v="2026-08-03T08:05:56"/>
    <m/>
    <n v="1751"/>
    <x v="1"/>
    <n v="0"/>
    <m/>
    <d v="2026-08-03T00:00:00"/>
    <x v="0"/>
  </r>
  <r>
    <x v="162"/>
    <s v="faccaoello@hotmail.com"/>
    <n v="300283940"/>
    <n v="16448430"/>
    <x v="2"/>
    <x v="18"/>
    <n v="1656"/>
    <s v="Material não enviado pela Guararapes"/>
    <m/>
    <s v="NÃO VEIO NENHUM ELASTICO"/>
    <d v="2026-08-03T08:07:32"/>
    <m/>
    <n v="1752"/>
    <x v="2"/>
    <n v="0"/>
    <m/>
    <d v="2026-08-03T00:00:00"/>
    <x v="0"/>
  </r>
  <r>
    <x v="162"/>
    <s v="faccaoello@hotmail.com"/>
    <n v="300283941"/>
    <n v="16448430"/>
    <x v="2"/>
    <x v="18"/>
    <n v="1400"/>
    <s v="Material não enviado pela Guararapes"/>
    <m/>
    <s v="NÃO VEIO NENHUM ELASTICO"/>
    <d v="2026-08-03T08:09:50"/>
    <m/>
    <n v="1753"/>
    <x v="2"/>
    <n v="0"/>
    <m/>
    <d v="2026-08-03T00:00:00"/>
    <x v="0"/>
  </r>
  <r>
    <x v="162"/>
    <s v="faccaoello@hotmail.com"/>
    <n v="300283942"/>
    <n v="16448430"/>
    <x v="2"/>
    <x v="18"/>
    <n v="1476"/>
    <s v="Material não enviado pela Guararapes"/>
    <m/>
    <s v="NÃO VEIO NENHUM ELASTICO"/>
    <d v="2026-08-03T08:11:58"/>
    <m/>
    <n v="1754"/>
    <x v="2"/>
    <n v="0"/>
    <m/>
    <d v="2026-08-03T00:00:00"/>
    <x v="0"/>
  </r>
  <r>
    <x v="200"/>
    <s v="g4confeccao@gmail.com"/>
    <n v="300281926"/>
    <n v="16520092"/>
    <x v="2"/>
    <x v="13"/>
    <n v="100"/>
    <s v="Quantidade insuficiente"/>
    <m/>
    <s v="Se possível nos enviar no próximo carregamento com destino a G4 ou a Poest "/>
    <d v="2026-08-03T08:20:29"/>
    <m/>
    <n v="1755"/>
    <x v="1"/>
    <n v="100000177423"/>
    <m/>
    <d v="2026-08-03T00:00:00"/>
    <x v="0"/>
  </r>
  <r>
    <x v="192"/>
    <s v="alvesemedeirosoficina@gmail.com"/>
    <n v="300286128"/>
    <n v="16444876"/>
    <x v="2"/>
    <x v="18"/>
    <n v="1155"/>
    <s v="Não veio nenhum elástico"/>
    <m/>
    <s v="reposição completa porque não veio nenhum elástico, não sei dizer quantidade por tamanho pq não recebi o guia ainda."/>
    <d v="2026-08-03T08:23:35"/>
    <m/>
    <n v="1756"/>
    <x v="2"/>
    <n v="0"/>
    <m/>
    <d v="2026-08-03T00:00:00"/>
    <x v="0"/>
  </r>
  <r>
    <x v="192"/>
    <s v="alvesemedeirosoficina@gmail.com"/>
    <n v="300286145"/>
    <n v="16445015"/>
    <x v="2"/>
    <x v="18"/>
    <n v="1197"/>
    <s v="não veio nenhum elástico "/>
    <m/>
    <s v="não veio nenhum elástico, preciso de reposição completa, não consigo dizer quantidade por tam porque ainda não recebi o guia "/>
    <d v="2026-08-03T08:26:11"/>
    <m/>
    <n v="1757"/>
    <x v="2"/>
    <n v="0"/>
    <m/>
    <d v="2026-08-03T00:00:00"/>
    <x v="0"/>
  </r>
  <r>
    <x v="11"/>
    <s v="S.a.confeccoesind@gmail.com"/>
    <n v="300285268"/>
    <n v="15764494"/>
    <x v="2"/>
    <x v="5"/>
    <n v="100000"/>
    <s v="material insuficiente para finalizar op"/>
    <m/>
    <s v="plástico de fusionar passante"/>
    <d v="2026-08-03T08:42:01"/>
    <m/>
    <n v="1758"/>
    <x v="1"/>
    <n v="0"/>
    <m/>
    <d v="2026-08-03T00:00:00"/>
    <x v="0"/>
  </r>
  <r>
    <x v="13"/>
    <s v="administrativo@zajaconfeccoes.com.br"/>
    <n v="300282867"/>
    <n v="16443136"/>
    <x v="3"/>
    <x v="6"/>
    <n v="15"/>
    <s v="insuficiente "/>
    <m/>
    <s v="RIBANA"/>
    <d v="2026-08-03T09:22:44"/>
    <m/>
    <n v="1759"/>
    <x v="1"/>
    <n v="0"/>
    <m/>
    <d v="2026-08-03T00:00:00"/>
    <x v="0"/>
  </r>
  <r>
    <x v="171"/>
    <s v="confeccoesgbdas@hotmail.com"/>
    <n v="300282320"/>
    <n v="16508203"/>
    <x v="2"/>
    <x v="61"/>
    <n v="35"/>
    <s v="FALTA DE COMPOSIÇÃO PARA FINALIZAR OP"/>
    <m/>
    <m/>
    <d v="2026-08-03T09:33:14"/>
    <m/>
    <n v="1760"/>
    <x v="1"/>
    <n v="16508203"/>
    <m/>
    <d v="2026-08-03T00:00:00"/>
    <x v="0"/>
  </r>
  <r>
    <x v="13"/>
    <s v="administrativo@zajaconfeccoes.com.br"/>
    <n v="300277529"/>
    <n v="16212878"/>
    <x v="2"/>
    <x v="22"/>
    <n v="7"/>
    <s v="insuficiente "/>
    <m/>
    <s v="top frente"/>
    <d v="2026-08-03T09:34:59"/>
    <m/>
    <n v="1761"/>
    <x v="1"/>
    <n v="0"/>
    <m/>
    <d v="2026-08-03T00:00:00"/>
    <x v="0"/>
  </r>
  <r>
    <x v="13"/>
    <s v="administrativo@zajaconfeccoes.com.br"/>
    <n v="300277529"/>
    <n v="16212878"/>
    <x v="2"/>
    <x v="22"/>
    <n v="13"/>
    <s v="insuficiente"/>
    <m/>
    <s v="top traseiro"/>
    <d v="2026-08-03T09:36:20"/>
    <m/>
    <n v="1762"/>
    <x v="1"/>
    <n v="0"/>
    <m/>
    <d v="2026-08-03T00:00:00"/>
    <x v="0"/>
  </r>
  <r>
    <x v="13"/>
    <s v="administrativo@zajaconfeccoes.com.br"/>
    <n v="300277529"/>
    <n v="16212878"/>
    <x v="2"/>
    <x v="54"/>
    <s v="13 pares"/>
    <s v="insuficiente "/>
    <m/>
    <m/>
    <d v="2026-08-03T09:37:21"/>
    <m/>
    <n v="1763"/>
    <x v="1"/>
    <n v="0"/>
    <m/>
    <d v="2026-08-03T00:00:00"/>
    <x v="0"/>
  </r>
  <r>
    <x v="13"/>
    <s v="administrativo@zajaconfeccoes.com.br"/>
    <n v="300277529"/>
    <n v="16212878"/>
    <x v="2"/>
    <x v="49"/>
    <n v="13"/>
    <s v="insuficiente "/>
    <m/>
    <m/>
    <d v="2026-08-03T09:38:33"/>
    <m/>
    <n v="1764"/>
    <x v="1"/>
    <n v="10000068896"/>
    <m/>
    <d v="2026-08-03T00:00:00"/>
    <x v="0"/>
  </r>
  <r>
    <x v="13"/>
    <s v="administrativo@zajaconfeccoes.com.br"/>
    <n v="300277529"/>
    <n v="16212878"/>
    <x v="2"/>
    <x v="1"/>
    <n v="13"/>
    <s v="insuficiente "/>
    <m/>
    <m/>
    <d v="2026-08-03T09:40:18"/>
    <m/>
    <n v="1765"/>
    <x v="1"/>
    <n v="10000120172"/>
    <m/>
    <d v="2026-08-03T00:00:00"/>
    <x v="0"/>
  </r>
  <r>
    <x v="13"/>
    <s v="administrativo@zajaconfeccoes.com.br"/>
    <n v="300277529"/>
    <n v="16212878"/>
    <x v="2"/>
    <x v="61"/>
    <n v="18"/>
    <s v="insuficiente "/>
    <m/>
    <m/>
    <d v="2026-08-03T09:41:15"/>
    <m/>
    <n v="1766"/>
    <x v="1"/>
    <n v="0"/>
    <m/>
    <d v="2026-08-03T00:00:00"/>
    <x v="0"/>
  </r>
  <r>
    <x v="185"/>
    <s v="fernandoassu@gmail.com"/>
    <n v="300286121"/>
    <n v="16272641"/>
    <x v="2"/>
    <x v="61"/>
    <s v="2 etiquetas, tamanho 48, enfesto 1"/>
    <s v="Material não enviado "/>
    <m/>
    <m/>
    <d v="2026-08-03T10:03:20"/>
    <m/>
    <n v="1767"/>
    <x v="1"/>
    <n v="150"/>
    <m/>
    <d v="2026-08-03T00:00:00"/>
    <x v="0"/>
  </r>
  <r>
    <x v="75"/>
    <s v="maciel.dalison@hotmail.com"/>
    <n v="300278584"/>
    <n v="16520157"/>
    <x v="2"/>
    <x v="61"/>
    <s v="25 tamanho 42"/>
    <s v="não veio "/>
    <m/>
    <s v="não veio "/>
    <d v="2026-08-03T10:04:01"/>
    <m/>
    <n v="1768"/>
    <x v="1"/>
    <n v="0"/>
    <m/>
    <d v="2026-08-03T00:00:00"/>
    <x v="0"/>
  </r>
  <r>
    <x v="34"/>
    <s v="dantasepaulino@gmail.com"/>
    <n v="300282795"/>
    <n v="16520157"/>
    <x v="2"/>
    <x v="13"/>
    <n v="320"/>
    <s v="partes diferentes "/>
    <m/>
    <s v="Na conferência das peças, identificamos que, no tamanho 42, todo o perdigal está menor que o zíper. portanto solicitamos o ziper de  14cm "/>
    <d v="2026-08-03T10:07:58"/>
    <m/>
    <n v="1769"/>
    <x v="1"/>
    <n v="10000245278"/>
    <m/>
    <d v="2026-08-03T00:00:00"/>
    <x v="0"/>
  </r>
  <r>
    <x v="170"/>
    <s v="neemias.sc@hotmial.com"/>
    <n v="300286537"/>
    <n v="16217780"/>
    <x v="2"/>
    <x v="5"/>
    <n v="209"/>
    <s v="não temos"/>
    <m/>
    <m/>
    <d v="2026-08-03T10:15:41"/>
    <m/>
    <n v="1771"/>
    <x v="1"/>
    <s v="plastico de fusionar passantes"/>
    <m/>
    <d v="2026-08-03T00:00:00"/>
    <x v="0"/>
  </r>
  <r>
    <x v="216"/>
    <s v="77.abatista@gmail.com"/>
    <n v="300286242"/>
    <n v="16116852"/>
    <x v="0"/>
    <x v="6"/>
    <n v="32"/>
    <s v="TOTA A ORDEM VEIO SEM GOLA"/>
    <m/>
    <s v="OFICINA JÁ INICIOU COSTURA."/>
    <d v="2026-08-03T10:17:50"/>
    <m/>
    <n v="1772"/>
    <x v="1"/>
    <n v="123"/>
    <m/>
    <d v="2026-08-03T00:00:00"/>
    <x v="0"/>
  </r>
  <r>
    <x v="78"/>
    <s v="ocalves3@gmail.com"/>
    <n v="300274665"/>
    <n v="15774104"/>
    <x v="2"/>
    <x v="49"/>
    <n v="1222"/>
    <s v="NÃO VEIO A ETIQUETA DE MODELO "/>
    <m/>
    <s v="NÃO VEIO A ETIQUETA DE MODELO"/>
    <d v="2026-08-03T10:18:03"/>
    <m/>
    <n v="1773"/>
    <x v="2"/>
    <n v="10000228906"/>
    <m/>
    <d v="2026-08-03T00:00:00"/>
    <x v="0"/>
  </r>
  <r>
    <x v="170"/>
    <s v="neemias.sc@hotmail.com"/>
    <n v="300282759"/>
    <n v="16480430"/>
    <x v="2"/>
    <x v="5"/>
    <n v="1"/>
    <s v="não recebemos"/>
    <m/>
    <s v="Urgente"/>
    <d v="2026-08-03T10:18:06"/>
    <m/>
    <n v="1770"/>
    <x v="1"/>
    <s v="plastico para fusionar passantes"/>
    <m/>
    <d v="2026-08-03T00:00:00"/>
    <x v="0"/>
  </r>
  <r>
    <x v="169"/>
    <s v="acauaconfeccoes@outlook.com"/>
    <n v="300285799"/>
    <n v="16448162"/>
    <x v="3"/>
    <x v="163"/>
    <n v="920"/>
    <s v="Viés de ombro a ombro insuficiente pra finalizar a ordem "/>
    <m/>
    <s v="VIÉS DE OMBRO A OMBRO "/>
    <d v="2026-08-03T10:21:42"/>
    <m/>
    <n v="1774"/>
    <x v="1"/>
    <s v="."/>
    <m/>
    <d v="2026-08-03T00:00:00"/>
    <x v="0"/>
  </r>
  <r>
    <x v="216"/>
    <s v="77.ABATISTA@GMAIL.COM"/>
    <n v="300286244"/>
    <n v="16116852"/>
    <x v="0"/>
    <x v="6"/>
    <n v="292"/>
    <s v="TODA ORDEM RECEBIDA SEM GOLA"/>
    <m/>
    <s v="OFICINA JÁ INICIOU PRODUÇÃO NA COSTURA"/>
    <d v="2026-08-03T10:21:48"/>
    <m/>
    <n v="1775"/>
    <x v="1"/>
    <n v="123"/>
    <m/>
    <d v="2026-08-03T00:00:00"/>
    <x v="0"/>
  </r>
  <r>
    <x v="20"/>
    <s v="CONFECCAOSAOSEBASTIAO@GMAIL.COM"/>
    <n v="300283509"/>
    <n v="16273311"/>
    <x v="2"/>
    <x v="13"/>
    <n v="198"/>
    <s v="veio faltando 198 de ziper 13 cm"/>
    <m/>
    <s v="veio faltando 198 ziper de 13 cm"/>
    <d v="2026-08-03T10:39:11"/>
    <m/>
    <n v="1776"/>
    <x v="1"/>
    <s v="não tem codigo"/>
    <m/>
    <d v="2026-08-03T00:00:00"/>
    <x v="0"/>
  </r>
  <r>
    <x v="188"/>
    <s v="tendenciaconfec@gmail.com"/>
    <n v="300273023"/>
    <n v="16228960"/>
    <x v="3"/>
    <x v="163"/>
    <s v="16 ROLOS"/>
    <s v="NÃO VEIO JUNTO A OP"/>
    <m/>
    <s v="DE ACORDO COM O CHICKIN FALTOU 16 ROLOS DE VIÉS DO DECOTE 5,2CM"/>
    <d v="2026-08-03T10:54:45"/>
    <m/>
    <n v="1777"/>
    <x v="1"/>
    <s v="viés do decote 5,2cm"/>
    <m/>
    <d v="2026-08-03T00:00:00"/>
    <x v="0"/>
  </r>
  <r>
    <x v="166"/>
    <s v="w.anny.k@hotmail.com"/>
    <n v="300282834"/>
    <n v="15238385"/>
    <x v="1"/>
    <x v="22"/>
    <n v="29"/>
    <s v="FALTOU 29 FRENTE PARA ESTA ORDEM"/>
    <m/>
    <m/>
    <d v="2026-08-03T10:58:51"/>
    <m/>
    <n v="1778"/>
    <x v="1"/>
    <n v="0"/>
    <m/>
    <d v="2026-08-03T00:00:00"/>
    <x v="0"/>
  </r>
  <r>
    <x v="200"/>
    <s v="g4confeccao@gmail.com"/>
    <n v="300281926"/>
    <n v="16520092"/>
    <x v="2"/>
    <x v="142"/>
    <n v="30000"/>
    <s v="Quantidade insuficiente"/>
    <m/>
    <s v="Se possível nos enviar no próximo carregamento com destino a G4 ou Poest"/>
    <d v="2026-08-03T10:59:39"/>
    <m/>
    <n v="1779"/>
    <x v="1"/>
    <n v="10000073272"/>
    <m/>
    <d v="2026-08-03T00:00:00"/>
    <x v="0"/>
  </r>
  <r>
    <x v="2"/>
    <s v="oficinasantos08@outlook.com"/>
    <n v="300285698"/>
    <n v="16602013"/>
    <x v="2"/>
    <x v="61"/>
    <n v="260"/>
    <s v="peças a mais que no guia de risco"/>
    <m/>
    <s v="guia de risco 537 peças. Recebi 797 "/>
    <d v="2026-08-03T11:02:58"/>
    <m/>
    <n v="1780"/>
    <x v="1"/>
    <n v="0"/>
    <m/>
    <d v="2026-08-03T00:00:00"/>
    <x v="0"/>
  </r>
  <r>
    <x v="2"/>
    <s v="oficinasantos08@outlook.com"/>
    <n v="300285698"/>
    <n v="16602013"/>
    <x v="2"/>
    <x v="13"/>
    <n v="260"/>
    <s v="peças a mais que no guia de risco"/>
    <m/>
    <s v="guia de risco com 537 peças. Recebi 797"/>
    <d v="2026-08-03T11:11:10"/>
    <m/>
    <n v="1781"/>
    <x v="1"/>
    <n v="10000247197"/>
    <m/>
    <d v="2026-08-03T00:00:00"/>
    <x v="0"/>
  </r>
  <r>
    <x v="21"/>
    <s v="potengitextil@outlook.com.br"/>
    <n v="300286817"/>
    <n v="16226917"/>
    <x v="1"/>
    <x v="4"/>
    <n v="100"/>
    <s v="Insuficiente para finalizar ordem "/>
    <m/>
    <m/>
    <d v="2026-08-03T12:38:32"/>
    <m/>
    <n v="1782"/>
    <x v="1"/>
    <n v="0"/>
    <m/>
    <d v="2026-08-03T00:00:00"/>
    <x v="0"/>
  </r>
  <r>
    <x v="2"/>
    <s v="oficinasantos08@outlook.com"/>
    <n v="300285698"/>
    <n v="16602013"/>
    <x v="2"/>
    <x v="49"/>
    <n v="305"/>
    <s v="peças a mais que no guia de risco"/>
    <m/>
    <s v="eu recebi 260 peças a mais. Além disso, vieram faltando 45 etiquetas para as 537 do guia de risco. Por isso, estou solicitando 305 etiquetas"/>
    <d v="2026-08-03T13:21:48"/>
    <m/>
    <n v="1783"/>
    <x v="1"/>
    <s v="207811/247807/247754/247753247752"/>
    <m/>
    <d v="2026-08-03T00:00:00"/>
    <x v="0"/>
  </r>
  <r>
    <x v="32"/>
    <s v="di3confec@gmail.com"/>
    <n v="300285043"/>
    <n v="15859096"/>
    <x v="2"/>
    <x v="37"/>
    <n v="120"/>
    <s v="Material Insuficiente para finalizar a op"/>
    <m/>
    <s v="Material Insuficiente para finalizar a op"/>
    <d v="2026-08-03T13:43:54"/>
    <m/>
    <n v="1784"/>
    <x v="1"/>
    <n v="0"/>
    <m/>
    <d v="2026-08-03T00:00:00"/>
    <x v="0"/>
  </r>
  <r>
    <x v="32"/>
    <s v="di3confec@gmail.com"/>
    <n v="300285043"/>
    <n v="15859096"/>
    <x v="2"/>
    <x v="142"/>
    <n v="10"/>
    <s v="Material insuficiente"/>
    <m/>
    <s v="Material insuficiente"/>
    <d v="2026-08-03T13:45:35"/>
    <m/>
    <n v="1785"/>
    <x v="1"/>
    <n v="10000063107"/>
    <m/>
    <d v="2026-08-03T00:00:00"/>
    <x v="0"/>
  </r>
  <r>
    <x v="8"/>
    <s v="tlcserranatextil@gmail.com"/>
    <n v="300282533"/>
    <n v="15238385"/>
    <x v="1"/>
    <x v="4"/>
    <s v="1.242 peças"/>
    <s v="Material foi devolvido com etiqueta errada, não temos a etiqueta correta"/>
    <m/>
    <s v="Material foi devolvido com etiqueta errada, não temos a etiqueta correta"/>
    <d v="2026-08-03T14:06:20"/>
    <m/>
    <n v="1786"/>
    <x v="1"/>
    <n v="0"/>
    <m/>
    <d v="2026-08-03T00:00:00"/>
    <x v="0"/>
  </r>
  <r>
    <x v="165"/>
    <s v="freiresilvaconfeccoes@gmail.com"/>
    <n v="300283988"/>
    <n v="16288211"/>
    <x v="0"/>
    <x v="163"/>
    <n v="6"/>
    <s v="Material insuficiente "/>
    <m/>
    <s v="8 rolos, que serão para suprir a necessidade de 202 peças (cava e decote). "/>
    <d v="2026-08-03T14:17:50"/>
    <m/>
    <n v="1787"/>
    <x v="1"/>
    <s v="*"/>
    <m/>
    <d v="2026-08-03T00:00:00"/>
    <x v="0"/>
  </r>
  <r>
    <x v="175"/>
    <s v="confeccaogenesisltda@gmail.com"/>
    <n v="300287947"/>
    <n v="16487494"/>
    <x v="0"/>
    <x v="19"/>
    <n v="10"/>
    <s v="AS LINHAS JA VIERAM USADAS E NÃO SERAM SUFICIENTE PARA FINALIZAR A OP"/>
    <m/>
    <m/>
    <d v="2026-08-03T14:20:17"/>
    <m/>
    <n v="1788"/>
    <x v="1"/>
    <n v="10000072544"/>
    <m/>
    <d v="2026-08-03T00:00:00"/>
    <x v="0"/>
  </r>
  <r>
    <x v="13"/>
    <s v="administrativo@zajaconfeccoes.com.br"/>
    <n v="300283928"/>
    <n v="16447565"/>
    <x v="2"/>
    <x v="17"/>
    <n v="15"/>
    <s v="insuficiente "/>
    <m/>
    <m/>
    <d v="2026-08-03T14:27:47"/>
    <m/>
    <n v="1789"/>
    <x v="1"/>
    <n v="0"/>
    <m/>
    <d v="2026-08-03T00:00:00"/>
    <x v="0"/>
  </r>
  <r>
    <x v="191"/>
    <s v="lctextil@outlook.com.br"/>
    <n v="300273879"/>
    <n v="16222954"/>
    <x v="3"/>
    <x v="61"/>
    <n v="20"/>
    <s v="Insuficiente para finalizar ordem "/>
    <m/>
    <m/>
    <d v="2026-08-03T14:47:22"/>
    <m/>
    <n v="1790"/>
    <x v="1"/>
    <n v="0"/>
    <m/>
    <d v="2026-08-03T00:00:00"/>
    <x v="0"/>
  </r>
  <r>
    <x v="171"/>
    <s v="confeccoesgbdas@hotmail.com"/>
    <n v="300287259"/>
    <n v="16311639"/>
    <x v="3"/>
    <x v="11"/>
    <n v="1"/>
    <s v="A PISTOLA QUE TINHA AQUI QUEBROU"/>
    <m/>
    <m/>
    <d v="2026-08-03T14:55:55"/>
    <m/>
    <n v="1791"/>
    <x v="1"/>
    <n v="16311639"/>
    <m/>
    <d v="2026-08-03T00:00:00"/>
    <x v="0"/>
  </r>
  <r>
    <x v="21"/>
    <s v="potengitextil@outlook.com.br"/>
    <n v="300284308"/>
    <n v="16450272"/>
    <x v="2"/>
    <x v="18"/>
    <n v="1269"/>
    <s v="Material não enviado pela guararapes "/>
    <m/>
    <m/>
    <d v="2026-08-03T15:32:11"/>
    <m/>
    <n v="1792"/>
    <x v="1"/>
    <n v="10000195709"/>
    <m/>
    <d v="2026-08-03T00:00:00"/>
    <x v="0"/>
  </r>
  <r>
    <x v="84"/>
    <s v="recanto.confeccoesjs@gmail.com"/>
    <n v="300284280"/>
    <n v="16497767"/>
    <x v="2"/>
    <x v="17"/>
    <n v="36"/>
    <s v="não veio "/>
    <m/>
    <s v="Não veio cós 48 e 46 pra o segundo risco ,veio sobrando tamanho 44 que dá pra usar no 46,mas não dá no 48"/>
    <d v="2026-08-03T15:33:23"/>
    <m/>
    <n v="1793"/>
    <x v="1"/>
    <n v="10000244940"/>
    <m/>
    <d v="2026-08-03T00:00:00"/>
    <x v="0"/>
  </r>
  <r>
    <x v="211"/>
    <s v="marceloleite.mafaldo03@gmail.com"/>
    <n v="300282796"/>
    <n v="16520157"/>
    <x v="2"/>
    <x v="163"/>
    <n v="10"/>
    <s v="ACABOU"/>
    <m/>
    <m/>
    <d v="2026-08-03T15:59:35"/>
    <m/>
    <n v="1794"/>
    <x v="1"/>
    <s v="nao tem "/>
    <m/>
    <d v="2026-08-03T00:00:00"/>
    <x v="0"/>
  </r>
  <r>
    <x v="81"/>
    <s v="gsragazziconfeccoes@yahoo.com"/>
    <n v="300287651"/>
    <n v="16589068"/>
    <x v="3"/>
    <x v="22"/>
    <n v="34"/>
    <s v="veio faltando"/>
    <m/>
    <s v="A ORDEM VEIO FALTANDO 2 ATADOS DE FRENTE XG, UM LOTE FOI ACHADO MISTURADO NAS GG. MESMO ASSIM CONTINUOU FALTANDO 1 ATADO DE 34 PEÇAS"/>
    <d v="2026-08-03T16:08:33"/>
    <m/>
    <n v="1795"/>
    <x v="1"/>
    <s v="."/>
    <m/>
    <d v="2026-08-03T00:00:00"/>
    <x v="0"/>
  </r>
  <r>
    <x v="199"/>
    <s v="confeccoesjsltda@outlook.com"/>
    <n v="300286120"/>
    <n v="16272641"/>
    <x v="2"/>
    <x v="5"/>
    <n v="10"/>
    <s v="ACABOU"/>
    <m/>
    <s v="Acabou para o próximo op"/>
    <d v="2026-08-03T16:16:06"/>
    <m/>
    <n v="1796"/>
    <x v="1"/>
    <n v="350"/>
    <m/>
    <d v="2026-08-03T00:00:00"/>
    <x v="0"/>
  </r>
  <r>
    <x v="162"/>
    <s v="faccaoello@hotmail.com"/>
    <n v="300279756"/>
    <n v="16360311"/>
    <x v="2"/>
    <x v="49"/>
    <n v="10"/>
    <s v="MATERIAL NÃO ENVIANDO PELA GUARARAPES"/>
    <m/>
    <m/>
    <d v="2026-08-03T16:41:24"/>
    <m/>
    <n v="1797"/>
    <x v="1"/>
    <n v="10000248114"/>
    <m/>
    <d v="2026-08-03T00:00:00"/>
    <x v="0"/>
  </r>
  <r>
    <x v="173"/>
    <s v="alfaequador@gmail.com"/>
    <n v="300280216"/>
    <n v="0"/>
    <x v="2"/>
    <x v="61"/>
    <n v="2"/>
    <s v="INSUFICIENTE"/>
    <m/>
    <s v="QUANTIDADE INSUFICIENTE"/>
    <d v="2026-08-03T16:41:42"/>
    <m/>
    <n v="1798"/>
    <x v="1"/>
    <n v="0"/>
    <m/>
    <d v="2026-08-03T00:00:00"/>
    <x v="0"/>
  </r>
  <r>
    <x v="175"/>
    <s v="confeccaogenesisltda@gmail.com"/>
    <n v="300280767"/>
    <n v="16500270"/>
    <x v="3"/>
    <x v="61"/>
    <n v="12"/>
    <s v="SOBRANDO PEÇAS E FALTANDO ETIQUETA"/>
    <m/>
    <m/>
    <d v="2026-08-03T16:48:04"/>
    <m/>
    <n v="1799"/>
    <x v="1"/>
    <n v="0"/>
    <m/>
    <d v="2026-08-03T00:00:00"/>
    <x v="0"/>
  </r>
  <r>
    <x v="173"/>
    <s v="alfaequador@gmail.com"/>
    <n v="300280216"/>
    <n v="16473825"/>
    <x v="2"/>
    <x v="10"/>
    <n v="1"/>
    <s v="FALTANDO"/>
    <m/>
    <s v="MATERIAL FALTANDO"/>
    <d v="2026-08-03T16:49:09"/>
    <m/>
    <n v="1800"/>
    <x v="1"/>
    <n v="0"/>
    <m/>
    <d v="2026-08-03T00:00:00"/>
    <x v="0"/>
  </r>
  <r>
    <x v="175"/>
    <s v="confeccaogenesisltda@gmail.com"/>
    <n v="300280767"/>
    <n v="16500270"/>
    <x v="3"/>
    <x v="7"/>
    <n v="100"/>
    <s v="FALTANDO LACRE"/>
    <m/>
    <m/>
    <d v="2026-08-03T16:50:49"/>
    <m/>
    <n v="1801"/>
    <x v="1"/>
    <n v="0"/>
    <m/>
    <d v="2026-08-03T00:00:00"/>
    <x v="0"/>
  </r>
  <r>
    <x v="32"/>
    <s v="di3confec@gmail.com"/>
    <n v="300286762"/>
    <n v="16223462"/>
    <x v="3"/>
    <x v="12"/>
    <n v="2"/>
    <s v="Material insuficiente"/>
    <m/>
    <m/>
    <d v="2026-08-03T16:55:10"/>
    <m/>
    <n v="1802"/>
    <x v="1"/>
    <n v="0"/>
    <m/>
    <d v="2026-08-03T00:00:00"/>
    <x v="0"/>
  </r>
  <r>
    <x v="82"/>
    <s v="vitalizeconfeccoes@gmail.com"/>
    <n v="300278093"/>
    <n v="16488040"/>
    <x v="3"/>
    <x v="54"/>
    <n v="100"/>
    <s v="INSUFICIENTE PARA FINALIZA A ORDEM "/>
    <m/>
    <s v="XUXA PARA PREGA NO LAÇO, QUAL QUE DUVIDA ENTRA EM CONTATO COM JOAO PEDRO "/>
    <d v="2026-08-03T17:29:09"/>
    <m/>
    <n v="1803"/>
    <x v="1"/>
    <n v="0"/>
    <m/>
    <d v="2026-08-03T00:00:00"/>
    <x v="0"/>
  </r>
  <r>
    <x v="56"/>
    <s v="idealconfecltda@gmail.com"/>
    <n v="300285374"/>
    <n v="16442660"/>
    <x v="1"/>
    <x v="142"/>
    <n v="5"/>
    <s v="INSUFICIENTE"/>
    <m/>
    <m/>
    <d v="2026-08-03T18:10:09"/>
    <m/>
    <n v="1804"/>
    <x v="1"/>
    <n v="71713"/>
    <m/>
    <d v="2026-08-03T00:00:00"/>
    <x v="0"/>
  </r>
  <r>
    <x v="56"/>
    <s v="idealconfecltda@gmail.com"/>
    <n v="300285257"/>
    <n v="16626729"/>
    <x v="2"/>
    <x v="38"/>
    <n v="30"/>
    <s v="insuficiente para finalizar op"/>
    <m/>
    <s v="insuficiente para finalizar op"/>
    <d v="2026-08-03T18:13:29"/>
    <m/>
    <n v="1805"/>
    <x v="1"/>
    <n v="0"/>
    <m/>
    <d v="2026-08-03T00:00:00"/>
    <x v="0"/>
  </r>
  <r>
    <x v="32"/>
    <s v="di3confec@gmail.com"/>
    <n v="300285261"/>
    <n v="15764494"/>
    <x v="2"/>
    <x v="22"/>
    <n v="1"/>
    <s v="Material insuficiente"/>
    <m/>
    <s v="Sobrou um traseiro "/>
    <d v="2026-08-04T07:24:06"/>
    <m/>
    <n v="1806"/>
    <x v="1"/>
    <n v="0"/>
    <m/>
    <d v="2026-08-04T00:00:00"/>
    <x v="0"/>
  </r>
  <r>
    <x v="170"/>
    <s v="neemias.sc@hotmail.com"/>
    <n v="300286537"/>
    <n v="16217780"/>
    <x v="2"/>
    <x v="13"/>
    <n v="209"/>
    <s v="NÃO RECEBEMOS"/>
    <m/>
    <s v="A REMESSA VEIO COM O ZIPER ERRADO."/>
    <d v="2026-08-04T07:49:29"/>
    <m/>
    <n v="1807"/>
    <x v="1"/>
    <n v="10000241454"/>
    <m/>
    <d v="2026-08-04T00:00:00"/>
    <x v="0"/>
  </r>
  <r>
    <x v="170"/>
    <s v="NEEMIAS.SC@HOTMAIL.COM"/>
    <n v="300286537"/>
    <n v="16217780"/>
    <x v="2"/>
    <x v="49"/>
    <n v="209"/>
    <s v="NÃO RECEBEMOS"/>
    <m/>
    <s v="RECEBEMOS A ORDEM COM A ETIQUETA ERRADA."/>
    <d v="2026-08-04T07:51:56"/>
    <m/>
    <n v="1808"/>
    <x v="1"/>
    <n v="10000247753"/>
    <m/>
    <d v="2026-08-04T00:00:00"/>
    <x v="0"/>
  </r>
  <r>
    <x v="170"/>
    <s v="NEEMIAS.SC@HOTMAIL.COM"/>
    <n v="300282759"/>
    <n v="16480430"/>
    <x v="2"/>
    <x v="10"/>
    <n v="1"/>
    <s v="NÃO VEIO JUNTO A ORDEM"/>
    <m/>
    <s v="PRECISAMOS DO NINHO PARA MONTARMOS OS GABARITOS DA PEÇA."/>
    <d v="2026-08-04T07:56:29"/>
    <m/>
    <n v="1809"/>
    <x v="1"/>
    <s v="NINHO"/>
    <m/>
    <d v="2026-08-04T00:00:00"/>
    <x v="0"/>
  </r>
  <r>
    <x v="170"/>
    <s v="NEEMIAS.SC@HOTMAIL.COM"/>
    <n v="300287375"/>
    <n v="16243951"/>
    <x v="2"/>
    <x v="10"/>
    <n v="1"/>
    <s v="NÃO VEIO NA ORDEM"/>
    <m/>
    <s v="NINHO PARA PREPARAÇÃO DE GABARITOS DE MARCAÇÃO."/>
    <d v="2026-08-04T07:59:19"/>
    <m/>
    <n v="1810"/>
    <x v="1"/>
    <s v="NINHO"/>
    <m/>
    <d v="2026-08-04T00:00:00"/>
    <x v="0"/>
  </r>
  <r>
    <x v="11"/>
    <s v="S.a.confeccoesind@gmail.com"/>
    <n v="300280184"/>
    <n v="15775496"/>
    <x v="2"/>
    <x v="61"/>
    <n v="3"/>
    <s v="material danificado no processo"/>
    <m/>
    <s v="uma etiqueta tamanho 38 e 2 etiquetas tamanho 48"/>
    <d v="2026-08-04T08:26:45"/>
    <m/>
    <n v="1811"/>
    <x v="1"/>
    <n v="0"/>
    <m/>
    <d v="2026-08-04T00:00:00"/>
    <x v="0"/>
  </r>
  <r>
    <x v="176"/>
    <s v="hiconfeccao@gmail.com"/>
    <n v="300284281"/>
    <n v="15252434"/>
    <x v="2"/>
    <x v="5"/>
    <s v="5 rolos "/>
    <s v="ACABOU"/>
    <m/>
    <s v="Pedido de envio de Filme Plástico "/>
    <d v="2026-08-04T08:50:00"/>
    <m/>
    <n v="1812"/>
    <x v="1"/>
    <n v="300284281"/>
    <m/>
    <d v="2026-08-04T00:00:00"/>
    <x v="0"/>
  </r>
  <r>
    <x v="171"/>
    <s v="confeccoesgbdas@hotmail.com"/>
    <n v="300287259"/>
    <n v="16311639"/>
    <x v="3"/>
    <x v="22"/>
    <n v="20"/>
    <s v="FALTA DE PARTES PARA FINALIZAR OP"/>
    <m/>
    <s v="FRENTE E TRASEIRO!!!"/>
    <d v="2026-08-04T08:53:28"/>
    <m/>
    <n v="1813"/>
    <x v="1"/>
    <n v="16311639"/>
    <m/>
    <d v="2026-08-04T00:00:00"/>
    <x v="0"/>
  </r>
  <r>
    <x v="21"/>
    <s v="potengitextil@outlook.com.br"/>
    <n v="300286617"/>
    <n v="16226917"/>
    <x v="1"/>
    <x v="163"/>
    <n v="220"/>
    <s v="Insuficiente para finalizar ordem"/>
    <m/>
    <s v="Viés de reforço de gola"/>
    <d v="2026-08-04T09:57:49"/>
    <m/>
    <n v="1814"/>
    <x v="1"/>
    <n v="0"/>
    <m/>
    <d v="2026-08-04T00:00:00"/>
    <x v="0"/>
  </r>
  <r>
    <x v="31"/>
    <s v="administrativo@zajaconfeccoes.com.br"/>
    <n v="300287625"/>
    <n v="15724344"/>
    <x v="3"/>
    <x v="61"/>
    <n v="10"/>
    <s v="INSUFICIENTE "/>
    <m/>
    <m/>
    <d v="2026-08-04T10:21:10"/>
    <m/>
    <n v="1815"/>
    <x v="1"/>
    <n v="0"/>
    <m/>
    <d v="2026-08-04T00:00:00"/>
    <x v="0"/>
  </r>
  <r>
    <x v="13"/>
    <s v="administrativo@zajaconfeccoes.com.br"/>
    <n v="300276371"/>
    <n v="16419839"/>
    <x v="0"/>
    <x v="56"/>
    <n v="2"/>
    <s v="insuficiente"/>
    <m/>
    <m/>
    <d v="2026-08-04T10:23:57"/>
    <m/>
    <n v="1816"/>
    <x v="1"/>
    <n v="10000209181"/>
    <m/>
    <d v="2026-08-04T00:00:00"/>
    <x v="0"/>
  </r>
  <r>
    <x v="13"/>
    <s v="administrativo@zajaconfeccoes.com.br"/>
    <n v="300276371"/>
    <n v="16419839"/>
    <x v="0"/>
    <x v="142"/>
    <n v="180"/>
    <s v="insuficiente"/>
    <m/>
    <s v="para 180 peças"/>
    <d v="2026-08-04T10:28:49"/>
    <m/>
    <n v="1817"/>
    <x v="1"/>
    <n v="10000072709"/>
    <m/>
    <d v="2026-08-04T00:00:00"/>
    <x v="0"/>
  </r>
  <r>
    <x v="193"/>
    <s v="ajgconfeccoes2021@gmail.com"/>
    <n v="300284929"/>
    <n v="16483936"/>
    <x v="3"/>
    <x v="4"/>
    <n v="600"/>
    <s v="Etiquetas de preço veio erradas "/>
    <m/>
    <s v="Veio erradas "/>
    <d v="2026-08-04T10:36:38"/>
    <m/>
    <n v="1818"/>
    <x v="1"/>
    <s v="N tem "/>
    <m/>
    <d v="2026-08-04T00:00:00"/>
    <x v="0"/>
  </r>
  <r>
    <x v="184"/>
    <s v="encantopoest@gmail.com"/>
    <n v="300286129"/>
    <n v="15252566"/>
    <x v="2"/>
    <x v="61"/>
    <n v="21"/>
    <s v="faltou etiquetas de composição para os tamanhos "/>
    <m/>
    <s v="na conferencia faltou essas etiquetas para a quantidade das peças."/>
    <d v="2026-08-04T10:47:52"/>
    <m/>
    <n v="1819"/>
    <x v="1"/>
    <n v="0"/>
    <m/>
    <d v="2026-08-04T00:00:00"/>
    <x v="0"/>
  </r>
  <r>
    <x v="162"/>
    <s v="faccaoello@hotmail.com"/>
    <n v="300283941"/>
    <n v="16448430"/>
    <x v="2"/>
    <x v="17"/>
    <n v="5"/>
    <s v="Material não enviado pela Guararapes"/>
    <m/>
    <m/>
    <d v="2026-08-04T11:08:21"/>
    <m/>
    <n v="1820"/>
    <x v="1"/>
    <n v="10000247751"/>
    <m/>
    <d v="2026-08-04T00:00:00"/>
    <x v="0"/>
  </r>
  <r>
    <x v="162"/>
    <s v="faccaoello@hotmail.com"/>
    <n v="300279756"/>
    <n v="16360311"/>
    <x v="2"/>
    <x v="49"/>
    <n v="4"/>
    <s v="Material não enviado pela Guararapes"/>
    <m/>
    <m/>
    <d v="2026-08-04T11:32:39"/>
    <m/>
    <n v="1821"/>
    <x v="1"/>
    <n v="10000248114"/>
    <m/>
    <d v="2026-08-04T00:00:00"/>
    <x v="0"/>
  </r>
  <r>
    <x v="35"/>
    <s v="lupercio-fnb@hotmail.com"/>
    <n v="300286533"/>
    <n v="16217780"/>
    <x v="2"/>
    <x v="13"/>
    <n v="484"/>
    <s v="Envio errado pela guararapes"/>
    <m/>
    <s v="Ordem no processo precisamos o mais rápido possível"/>
    <d v="2026-08-04T13:08:15"/>
    <m/>
    <n v="1822"/>
    <x v="1"/>
    <n v="10000241454"/>
    <m/>
    <d v="2026-08-04T00:00:00"/>
    <x v="0"/>
  </r>
  <r>
    <x v="29"/>
    <s v="pea2015confeccoes@hotmail.com"/>
    <n v="300282781"/>
    <n v="16466098"/>
    <x v="2"/>
    <x v="5"/>
    <n v="0"/>
    <s v="insuficiente para finalizar ordem."/>
    <m/>
    <s v="Insuficiente para finalizar ordem."/>
    <d v="2026-08-04T13:24:27"/>
    <m/>
    <n v="1823"/>
    <x v="1"/>
    <n v="0"/>
    <m/>
    <d v="2026-08-04T00:00:00"/>
    <x v="0"/>
  </r>
  <r>
    <x v="35"/>
    <s v="lupercio-fnb@hotmail.com"/>
    <n v="300286533"/>
    <n v="16217780"/>
    <x v="2"/>
    <x v="13"/>
    <n v="445"/>
    <s v="Enviado errado pela guararapes"/>
    <m/>
    <s v="Atenção ordem no processo, só estamos com ela."/>
    <d v="2026-08-04T13:27:00"/>
    <m/>
    <n v="1824"/>
    <x v="1"/>
    <n v="10000241454"/>
    <m/>
    <d v="2026-08-04T00:00:00"/>
    <x v="0"/>
  </r>
  <r>
    <x v="118"/>
    <s v="fjdeazevedo@hotmail.com"/>
    <n v="300286688"/>
    <n v="16561074"/>
    <x v="2"/>
    <x v="61"/>
    <n v="69"/>
    <s v="Peças que vieram a mais e fui autorizado a pedir reposição"/>
    <m/>
    <s v="OBS.: peças que vieram a mais"/>
    <d v="2026-08-04T13:48:00"/>
    <m/>
    <n v="1825"/>
    <x v="1"/>
    <s v="sem código"/>
    <m/>
    <d v="2026-08-04T00:00:00"/>
    <x v="0"/>
  </r>
  <r>
    <x v="56"/>
    <s v="idealconfecltda@gmail.com"/>
    <n v="300286538"/>
    <n v="16217780"/>
    <x v="2"/>
    <x v="49"/>
    <n v="55"/>
    <s v="insuficiente para finalizar"/>
    <m/>
    <s v="nova etiqueta riachuelo-reta"/>
    <d v="2026-08-04T13:53:48"/>
    <m/>
    <n v="1826"/>
    <x v="1"/>
    <n v="1.00002478112478E+34"/>
    <m/>
    <d v="2026-08-04T00:00:00"/>
    <x v="0"/>
  </r>
  <r>
    <x v="118"/>
    <s v="fjdeazevedo@hotmail.com"/>
    <n v="300286688"/>
    <n v="16561074"/>
    <x v="2"/>
    <x v="49"/>
    <n v="75"/>
    <s v="no tam.:06, peças que vieram a mais, e os outros tamanhos, foi que faltou mesmo"/>
    <m/>
    <s v="Vieram peças a mais"/>
    <d v="2026-08-04T13:56:25"/>
    <m/>
    <n v="1827"/>
    <x v="1"/>
    <s v="Tam 06.; cód.: 10000247658, Tam.: 04-Cód.: 10000247655,Tam.: 03-Cód.: 10000247650"/>
    <m/>
    <d v="2026-08-04T00:00:00"/>
    <x v="0"/>
  </r>
  <r>
    <x v="199"/>
    <s v="confeccoesjsltda@outlook.com"/>
    <n v="300283541"/>
    <n v="16273311"/>
    <x v="2"/>
    <x v="13"/>
    <n v="58"/>
    <s v="Veio faltando"/>
    <m/>
    <m/>
    <d v="2026-08-04T14:16:13"/>
    <m/>
    <n v="1828"/>
    <x v="1"/>
    <n v="10000241454"/>
    <m/>
    <d v="2026-08-04T00:00:00"/>
    <x v="0"/>
  </r>
  <r>
    <x v="166"/>
    <s v="w.anny.k@hotmail.com"/>
    <n v="300260184"/>
    <n v="16212860"/>
    <x v="2"/>
    <x v="17"/>
    <n v="500"/>
    <s v="PRECISAMOS DE 500 CÓS PARA TROCAMOS OS CÓS DE ALGUMAS PEÇAS DESSA ORDEM "/>
    <m/>
    <m/>
    <d v="2026-08-04T14:21:03"/>
    <m/>
    <n v="1829"/>
    <x v="1"/>
    <n v="0"/>
    <m/>
    <d v="2026-08-04T00:00:00"/>
    <x v="0"/>
  </r>
  <r>
    <x v="198"/>
    <s v="afconfeccoes26@gmail.com"/>
    <n v="300285810"/>
    <n v="16242408"/>
    <x v="3"/>
    <x v="163"/>
    <n v="305"/>
    <s v="Acabou o viés"/>
    <m/>
    <s v="Por favor, nos enviar o mais breve possível para que possamos finalizar a OP. "/>
    <d v="2026-08-04T14:21:35"/>
    <m/>
    <n v="1830"/>
    <x v="1"/>
    <n v="10000070395"/>
    <m/>
    <d v="2026-08-04T00:00:00"/>
    <x v="0"/>
  </r>
  <r>
    <x v="166"/>
    <s v="w.anny.k@hotmail.com"/>
    <n v="300260184"/>
    <n v="16212860"/>
    <x v="2"/>
    <x v="16"/>
    <n v="500"/>
    <s v="PRECISO DE PASSANTE PARA 500 PEÇAS "/>
    <m/>
    <s v="PRECISO DE PASSANTE PARA 500 PEÇAS "/>
    <d v="2026-08-04T14:24:19"/>
    <m/>
    <n v="1831"/>
    <x v="1"/>
    <n v="0"/>
    <m/>
    <d v="2026-08-04T00:00:00"/>
    <x v="0"/>
  </r>
  <r>
    <x v="44"/>
    <s v="teceuzl@hotmail.com"/>
    <n v="300285089"/>
    <n v="16448014"/>
    <x v="1"/>
    <x v="160"/>
    <n v="20"/>
    <s v="Insuficiente para enviar as ordens "/>
    <m/>
    <m/>
    <d v="2026-08-04T14:28:09"/>
    <m/>
    <n v="1832"/>
    <x v="1"/>
    <n v="0"/>
    <m/>
    <d v="2026-08-04T00:00:00"/>
    <x v="0"/>
  </r>
  <r>
    <x v="216"/>
    <s v="77.ABATISTA@GMAIL.COM"/>
    <n v="300286244"/>
    <n v="16116852"/>
    <x v="0"/>
    <x v="142"/>
    <n v="8"/>
    <s v="OFICINA RECEBEU POUCAS UNIDADES."/>
    <m/>
    <s v="LINHA RECEBIDA ROMPENDO NA CASEADEIRA."/>
    <d v="2026-08-04T14:30:50"/>
    <m/>
    <n v="1833"/>
    <x v="1"/>
    <s v="000000010000072577 - 9.LI001.120.193907"/>
    <m/>
    <d v="2026-08-04T00:00:00"/>
    <x v="0"/>
  </r>
  <r>
    <x v="21"/>
    <s v="potengitextil@outlook.com.br"/>
    <n v="300282553"/>
    <n v="16238385"/>
    <x v="1"/>
    <x v="61"/>
    <n v="44"/>
    <s v="Material não enviado pela guararapes "/>
    <m/>
    <s v="Urgente "/>
    <d v="2026-08-04T15:08:14"/>
    <m/>
    <n v="1834"/>
    <x v="1"/>
    <n v="0"/>
    <m/>
    <d v="2026-08-04T00:00:00"/>
    <x v="0"/>
  </r>
  <r>
    <x v="13"/>
    <s v="administrativo@zajaconfeccoes.com.br"/>
    <n v="300277098"/>
    <n v="15764290"/>
    <x v="2"/>
    <x v="159"/>
    <n v="5"/>
    <s v="insuficiente "/>
    <m/>
    <m/>
    <d v="2026-08-04T15:15:51"/>
    <m/>
    <n v="1835"/>
    <x v="1"/>
    <n v="10000212591"/>
    <m/>
    <d v="2026-08-04T00:00:00"/>
    <x v="0"/>
  </r>
  <r>
    <x v="168"/>
    <s v="jucurututextil@gmail.com"/>
    <n v="300286557"/>
    <n v="16272641"/>
    <x v="2"/>
    <x v="44"/>
    <s v="20 pares"/>
    <s v="não veio"/>
    <m/>
    <s v="20 pares de bolso traseiro do 48 do 2°enfesto"/>
    <d v="2026-08-04T15:20:56"/>
    <m/>
    <n v="1836"/>
    <x v="1"/>
    <n v="0"/>
    <m/>
    <d v="2026-08-04T00:00:00"/>
    <x v="0"/>
  </r>
  <r>
    <x v="77"/>
    <s v="wag-almeida@hotmail.com"/>
    <n v="300287940"/>
    <n v="16221214"/>
    <x v="2"/>
    <x v="61"/>
    <n v="40"/>
    <s v="faltou"/>
    <m/>
    <m/>
    <d v="2026-08-04T16:13:43"/>
    <m/>
    <n v="1837"/>
    <x v="1"/>
    <n v="0"/>
    <m/>
    <d v="2026-08-04T00:00:00"/>
    <x v="0"/>
  </r>
  <r>
    <x v="77"/>
    <s v="wag-almeida@hotmail.com"/>
    <n v="300287940"/>
    <n v="16221214"/>
    <x v="2"/>
    <x v="5"/>
    <n v="6"/>
    <s v="faltou"/>
    <m/>
    <s v="filme plastico para passante"/>
    <d v="2026-08-04T16:16:44"/>
    <m/>
    <n v="1838"/>
    <x v="1"/>
    <n v="0"/>
    <m/>
    <d v="2026-08-04T00:00:00"/>
    <x v="0"/>
  </r>
  <r>
    <x v="2"/>
    <s v="oficinasantos08@outlook.com"/>
    <n v="300285698"/>
    <n v="16602013"/>
    <x v="2"/>
    <x v="13"/>
    <n v="91"/>
    <s v="faltou pedir tam 10, para finalizar a ordem"/>
    <m/>
    <s v="só tem ziper 12 e fica grande para a peça "/>
    <d v="2026-08-04T16:16:54"/>
    <m/>
    <n v="1839"/>
    <x v="1"/>
    <n v="10000247192"/>
    <m/>
    <d v="2026-08-04T00:00:00"/>
    <x v="0"/>
  </r>
  <r>
    <x v="188"/>
    <s v="tendenciaconfec@gmail.com"/>
    <n v="300275459"/>
    <n v="16371488"/>
    <x v="2"/>
    <x v="61"/>
    <n v="15"/>
    <s v="Faltou para finalizar op"/>
    <m/>
    <m/>
    <d v="2026-08-04T16:24:19"/>
    <m/>
    <n v="1840"/>
    <x v="1"/>
    <s v="Etiqueta de composição"/>
    <m/>
    <d v="2026-08-04T00:00:00"/>
    <x v="0"/>
  </r>
  <r>
    <x v="180"/>
    <s v="lajedoconf5@gmail.com"/>
    <n v="300288417"/>
    <n v="16632800"/>
    <x v="2"/>
    <x v="38"/>
    <n v="1100"/>
    <s v="forro menor que a peça"/>
    <m/>
    <m/>
    <d v="2026-08-04T16:45:55"/>
    <m/>
    <n v="1841"/>
    <x v="1"/>
    <n v="0"/>
    <m/>
    <d v="2026-08-04T00:00:00"/>
    <x v="0"/>
  </r>
  <r>
    <x v="164"/>
    <s v="auxiforte@hotmail.com"/>
    <n v="300286735"/>
    <n v="16452097"/>
    <x v="3"/>
    <x v="12"/>
    <n v="52"/>
    <s v="MATERIAL NÃO ENVIADO PELA GUARARAPES;"/>
    <m/>
    <s v="MATERIAL NÃO ENVIADO PELA GUARARAPES;"/>
    <d v="2026-08-04T16:59:56"/>
    <m/>
    <n v="1842"/>
    <x v="1"/>
    <n v="0"/>
    <m/>
    <d v="2026-08-04T00:00:00"/>
    <x v="0"/>
  </r>
  <r>
    <x v="21"/>
    <s v="potengitextil@outlook.com.br"/>
    <n v="300286617"/>
    <n v="16226917"/>
    <x v="1"/>
    <x v="6"/>
    <n v="33"/>
    <s v="Insuficiente para finalizar ordem "/>
    <m/>
    <s v="Urgente "/>
    <d v="2026-08-04T17:00:35"/>
    <m/>
    <n v="1843"/>
    <x v="1"/>
    <n v="0"/>
    <m/>
    <d v="2026-08-04T00:00:00"/>
    <x v="0"/>
  </r>
  <r>
    <x v="205"/>
    <s v="sjarlandia@hotmail.com"/>
    <n v="300283550"/>
    <n v="16429559"/>
    <x v="2"/>
    <x v="49"/>
    <n v="15"/>
    <s v="FALTANDO"/>
    <m/>
    <s v="faltando"/>
    <d v="2026-08-04T17:09:14"/>
    <m/>
    <n v="1844"/>
    <x v="1"/>
    <n v="10000252407"/>
    <m/>
    <d v="2026-08-04T00:00:00"/>
    <x v="0"/>
  </r>
  <r>
    <x v="21"/>
    <s v="potengitextil@outlook.com.br"/>
    <n v="300287233"/>
    <n v="16243005"/>
    <x v="2"/>
    <x v="18"/>
    <n v="1323"/>
    <s v="Material não enviado pela Guararapes"/>
    <m/>
    <m/>
    <d v="2026-08-04T17:09:22"/>
    <m/>
    <n v="1845"/>
    <x v="2"/>
    <n v="10000195709"/>
    <m/>
    <d v="2026-08-04T00:00:00"/>
    <x v="0"/>
  </r>
  <r>
    <x v="164"/>
    <s v="auxiforte@hotmail.com"/>
    <n v="300286736"/>
    <n v="16452097"/>
    <x v="3"/>
    <x v="12"/>
    <n v="46"/>
    <s v="MATERIAL NÃO ENVIADO PELA GUARARAPES;"/>
    <m/>
    <s v="MATERIAL NÃO ENVIADO PELA GUARARAPES;"/>
    <d v="2026-08-04T17:11:39"/>
    <m/>
    <n v="1846"/>
    <x v="1"/>
    <n v="0"/>
    <m/>
    <d v="2026-08-04T00:00:00"/>
    <x v="0"/>
  </r>
  <r>
    <x v="205"/>
    <s v="sjarlandia@hotmail.com"/>
    <n v="300283550"/>
    <n v="16429559"/>
    <x v="2"/>
    <x v="49"/>
    <n v="15"/>
    <s v="faltndo"/>
    <m/>
    <s v="faltando"/>
    <d v="2026-08-04T17:12:10"/>
    <m/>
    <n v="1847"/>
    <x v="1"/>
    <n v="10000248114"/>
    <m/>
    <d v="2026-08-04T00:00:00"/>
    <x v="0"/>
  </r>
  <r>
    <x v="205"/>
    <s v="sjarlandia@hotmail.com"/>
    <n v="300282288"/>
    <n v="15773400"/>
    <x v="2"/>
    <x v="5"/>
    <n v="20"/>
    <s v="FALTANDO"/>
    <m/>
    <s v="faltando"/>
    <d v="2026-08-04T17:15:00"/>
    <m/>
    <n v="1848"/>
    <x v="1"/>
    <n v="0"/>
    <m/>
    <d v="2026-08-04T00:00:00"/>
    <x v="0"/>
  </r>
  <r>
    <x v="8"/>
    <s v="tlcserranatextil@gmail.com"/>
    <n v="300285086"/>
    <n v="16442717"/>
    <x v="1"/>
    <x v="163"/>
    <s v="159 peças"/>
    <s v="Faltou"/>
    <m/>
    <s v="Faltou para todo o tamanho P"/>
    <d v="2026-08-04T17:51:08"/>
    <m/>
    <n v="1849"/>
    <x v="1"/>
    <n v="0"/>
    <m/>
    <d v="2026-08-04T00:00:00"/>
    <x v="0"/>
  </r>
  <r>
    <x v="8"/>
    <s v="tlcserranatextil@gmail.com"/>
    <n v="300283691"/>
    <n v="15215539"/>
    <x v="1"/>
    <x v="163"/>
    <s v="454 peças"/>
    <s v="Vai faltar para o tamanho P e M"/>
    <m/>
    <s v="quantidade insuficiente"/>
    <d v="2026-08-04T17:53:11"/>
    <m/>
    <n v="1850"/>
    <x v="1"/>
    <n v="0"/>
    <m/>
    <d v="2026-08-04T00:00:00"/>
    <x v="0"/>
  </r>
  <r>
    <x v="171"/>
    <s v="confeccoesgbdas@hotmail.com"/>
    <n v="300286527"/>
    <n v="16218019"/>
    <x v="2"/>
    <x v="61"/>
    <n v="25"/>
    <s v="FALTOU ETIQUETA DE COMPOSIÇÃO PARA FINALIZAR OP"/>
    <m/>
    <m/>
    <d v="2026-08-04T18:05:31"/>
    <m/>
    <n v="1851"/>
    <x v="1"/>
    <n v="16218019"/>
    <m/>
    <d v="2026-08-04T00:00:00"/>
    <x v="0"/>
  </r>
  <r>
    <x v="171"/>
    <s v="confeccoesgbdas@hotmail.com"/>
    <n v="300282782"/>
    <n v="16520025"/>
    <x v="2"/>
    <x v="61"/>
    <n v="30"/>
    <s v="FALTA DE ETIQUETA DE COMPOSIÇÃO PARA FINALIZAR A OP"/>
    <m/>
    <m/>
    <d v="2026-08-04T18:18:06"/>
    <m/>
    <n v="1852"/>
    <x v="1"/>
    <n v="16520025"/>
    <m/>
    <d v="2026-08-04T00:00:00"/>
    <x v="0"/>
  </r>
  <r>
    <x v="163"/>
    <s v="felconfeccao@gmail.com"/>
    <n v="300287222"/>
    <n v="16217420"/>
    <x v="2"/>
    <x v="18"/>
    <n v="2356"/>
    <s v="não enviado"/>
    <m/>
    <m/>
    <d v="2026-08-05T07:00:09"/>
    <m/>
    <n v="1853"/>
    <x v="1"/>
    <n v="10000195771"/>
    <m/>
    <d v="2026-08-05T00:00:00"/>
    <x v="0"/>
  </r>
  <r>
    <x v="200"/>
    <s v="g4confeccao@gmail.com"/>
    <n v="300281926"/>
    <n v="16520092"/>
    <x v="2"/>
    <x v="16"/>
    <s v="6 rolos"/>
    <s v="Produto insuficiente para termino da op"/>
    <m/>
    <s v="Por favor enviar na próxima entrega, pois é de extrema necessidade para para o termino."/>
    <d v="2026-08-05T07:09:22"/>
    <m/>
    <n v="1854"/>
    <x v="1"/>
    <n v="0"/>
    <m/>
    <d v="2026-08-05T00:00:00"/>
    <x v="0"/>
  </r>
  <r>
    <x v="167"/>
    <s v="falconconfeccoes@hotmail.com"/>
    <n v="300285099"/>
    <n v="16474120"/>
    <x v="2"/>
    <x v="5"/>
    <n v="1"/>
    <s v="acabou , fita plastica para passante"/>
    <m/>
    <s v="para passante."/>
    <d v="2026-08-05T07:12:47"/>
    <m/>
    <n v="1855"/>
    <x v="1"/>
    <n v="1"/>
    <m/>
    <d v="2026-08-05T00:00:00"/>
    <x v="0"/>
  </r>
  <r>
    <x v="174"/>
    <s v="jakeline.jl.confeccoes@gmail.com"/>
    <n v="300284180"/>
    <n v="16479181"/>
    <x v="2"/>
    <x v="49"/>
    <n v="18"/>
    <s v="Insuficiente para finalizar a produção"/>
    <m/>
    <s v="Insuficiente para finalizar a produção"/>
    <d v="2026-08-05T07:34:35"/>
    <m/>
    <n v="1856"/>
    <x v="1"/>
    <s v="10000208285; 10000208286; 10000208287; 10000218092; 10000208288"/>
    <m/>
    <d v="2026-08-05T00:00:00"/>
    <x v="0"/>
  </r>
  <r>
    <x v="81"/>
    <s v="gsragazziconfeccoes@yahoo.com"/>
    <n v="300287293"/>
    <n v="16227387"/>
    <x v="3"/>
    <x v="4"/>
    <n v="375"/>
    <s v="nao veio suficiente para finalizar a ordem"/>
    <m/>
    <s v="material insuficiente para finalizar a OP"/>
    <d v="2026-08-05T07:38:05"/>
    <m/>
    <n v="1857"/>
    <x v="1"/>
    <s v="."/>
    <m/>
    <d v="2026-08-05T00:00:00"/>
    <x v="0"/>
  </r>
  <r>
    <x v="31"/>
    <s v="administrativo@zajaconfeccoes.com.br"/>
    <n v="300282778"/>
    <n v="16243153"/>
    <x v="2"/>
    <x v="49"/>
    <n v="15"/>
    <s v="insuficiente"/>
    <m/>
    <m/>
    <d v="2026-08-05T08:07:06"/>
    <m/>
    <n v="1858"/>
    <x v="1"/>
    <n v="10000248114"/>
    <m/>
    <d v="2026-08-05T00:00:00"/>
    <x v="0"/>
  </r>
  <r>
    <x v="56"/>
    <s v="idealconfecltda@gmail.com"/>
    <n v="300285087"/>
    <n v="16442660"/>
    <x v="1"/>
    <x v="61"/>
    <n v="5"/>
    <s v="insuficiente para finalizar"/>
    <m/>
    <s v="insuficiente"/>
    <d v="2026-08-05T08:07:41"/>
    <m/>
    <n v="1859"/>
    <x v="1"/>
    <n v="0"/>
    <m/>
    <d v="2026-08-05T00:00:00"/>
    <x v="0"/>
  </r>
  <r>
    <x v="56"/>
    <s v="idealconfecltda@gmail.com"/>
    <n v="300286538"/>
    <n v="16217780"/>
    <x v="2"/>
    <x v="10"/>
    <n v="1"/>
    <s v="não veio"/>
    <m/>
    <s v="PRECISO DO NINHO PARA FAZER CONFERÊNCIA E GABARITOS"/>
    <d v="2026-08-05T08:40:06"/>
    <m/>
    <n v="1860"/>
    <x v="1"/>
    <n v="0"/>
    <m/>
    <d v="2026-08-05T00:00:00"/>
    <x v="0"/>
  </r>
  <r>
    <x v="18"/>
    <s v="ebenezerindustriat@hotmail.com"/>
    <n v="300280739"/>
    <n v="16441303"/>
    <x v="3"/>
    <x v="11"/>
    <n v="2"/>
    <s v="QUEBROU"/>
    <m/>
    <m/>
    <d v="2026-08-05T08:42:19"/>
    <m/>
    <n v="1861"/>
    <x v="1"/>
    <n v="0"/>
    <m/>
    <d v="2026-08-05T00:00:00"/>
    <x v="0"/>
  </r>
  <r>
    <x v="31"/>
    <s v="administrativo@zajaconfeccoes.com.br"/>
    <n v="300287290"/>
    <n v="16224388"/>
    <x v="3"/>
    <x v="163"/>
    <n v="359"/>
    <s v="insuficiente "/>
    <m/>
    <s v="viés de reforço "/>
    <d v="2026-08-05T09:03:58"/>
    <m/>
    <n v="1862"/>
    <x v="1"/>
    <n v="0"/>
    <m/>
    <d v="2026-08-05T00:00:00"/>
    <x v="0"/>
  </r>
  <r>
    <x v="37"/>
    <s v="felconfeccao@gmail.com"/>
    <n v="300276895"/>
    <n v="16222881"/>
    <x v="3"/>
    <x v="22"/>
    <n v="1"/>
    <s v="FALTOU"/>
    <m/>
    <m/>
    <d v="2026-08-05T09:39:28"/>
    <m/>
    <n v="1863"/>
    <x v="1"/>
    <n v="0"/>
    <m/>
    <d v="2026-08-05T00:00:00"/>
    <x v="0"/>
  </r>
  <r>
    <x v="37"/>
    <s v="felconfeccao@gmail.com"/>
    <n v="300276895"/>
    <n v="16222881"/>
    <x v="3"/>
    <x v="12"/>
    <n v="2"/>
    <s v="FALTOU"/>
    <m/>
    <m/>
    <d v="2026-08-05T09:40:52"/>
    <m/>
    <n v="1864"/>
    <x v="1"/>
    <n v="0"/>
    <m/>
    <d v="2026-08-05T00:00:00"/>
    <x v="0"/>
  </r>
  <r>
    <x v="166"/>
    <s v="w.anny.k@hotmail.com"/>
    <n v="300288423"/>
    <n v="16187415"/>
    <x v="2"/>
    <x v="37"/>
    <n v="440"/>
    <s v="VEIO FALTANDO NA ORDEM"/>
    <m/>
    <s v="VEIO FALTANDO NA ORDEM"/>
    <d v="2026-08-05T10:12:45"/>
    <m/>
    <n v="1865"/>
    <x v="1"/>
    <n v="0"/>
    <m/>
    <d v="2026-08-05T00:00:00"/>
    <x v="0"/>
  </r>
  <r>
    <x v="11"/>
    <s v="S.a.confeccoesind@gmail.com"/>
    <n v="300285045"/>
    <n v="15859096"/>
    <x v="2"/>
    <x v="142"/>
    <n v="1100"/>
    <s v="Material não enviado pela Guararapes"/>
    <m/>
    <s v="Só recebemos a linha 36. precisamos da linha 80"/>
    <d v="2026-08-05T10:17:47"/>
    <m/>
    <n v="1866"/>
    <x v="1"/>
    <n v="10000063107"/>
    <m/>
    <d v="2026-08-05T00:00:00"/>
    <x v="0"/>
  </r>
  <r>
    <x v="211"/>
    <s v="marceloleite.mafaldo03@gmail.com"/>
    <n v="300282796"/>
    <n v="16520157"/>
    <x v="2"/>
    <x v="5"/>
    <s v="20 ROLOS "/>
    <s v="ACABOU"/>
    <m/>
    <m/>
    <d v="2026-08-05T10:19:38"/>
    <m/>
    <n v="1867"/>
    <x v="1"/>
    <s v="Nao tem"/>
    <m/>
    <d v="2026-08-05T00:00:00"/>
    <x v="0"/>
  </r>
  <r>
    <x v="44"/>
    <s v="teceuzl@hotmail.com"/>
    <n v="300282832"/>
    <n v="15238385"/>
    <x v="1"/>
    <x v="6"/>
    <n v="42"/>
    <s v="Insuficiente para finalizar "/>
    <m/>
    <m/>
    <d v="2026-08-05T10:29:03"/>
    <m/>
    <n v="1868"/>
    <x v="1"/>
    <n v="0"/>
    <m/>
    <d v="2026-08-05T00:00:00"/>
    <x v="0"/>
  </r>
  <r>
    <x v="56"/>
    <s v="idealconfecltda@gmail.com"/>
    <n v="300285374"/>
    <n v="16442660"/>
    <x v="1"/>
    <x v="4"/>
    <n v="928"/>
    <s v="Enviaram etiqueta de preço de outro OP"/>
    <m/>
    <m/>
    <d v="2026-08-05T10:34:24"/>
    <m/>
    <n v="1869"/>
    <x v="2"/>
    <n v="0"/>
    <m/>
    <d v="2026-08-05T00:00:00"/>
    <x v="0"/>
  </r>
  <r>
    <x v="37"/>
    <s v="felconfeccao@gmail.com"/>
    <n v="300284151"/>
    <n v="16479157"/>
    <x v="3"/>
    <x v="54"/>
    <n v="50"/>
    <s v="FALTOU"/>
    <m/>
    <s v="FAIXA DE AMARRAÇÃO"/>
    <d v="2026-08-05T10:40:38"/>
    <m/>
    <n v="1870"/>
    <x v="1"/>
    <n v="0"/>
    <m/>
    <d v="2026-08-05T00:00:00"/>
    <x v="0"/>
  </r>
  <r>
    <x v="21"/>
    <s v="potengitextil@outlook.com.br"/>
    <n v="300286617"/>
    <n v="16226917"/>
    <x v="1"/>
    <x v="4"/>
    <n v="100"/>
    <s v="Insuficiente ata finalizar ordem "/>
    <m/>
    <s v="Já havia solicitado e Veio com o material errado "/>
    <d v="2026-08-05T10:44:33"/>
    <m/>
    <n v="1871"/>
    <x v="1"/>
    <n v="0"/>
    <m/>
    <d v="2026-08-05T00:00:00"/>
    <x v="0"/>
  </r>
  <r>
    <x v="191"/>
    <s v="lctextil@outlook.com.br"/>
    <n v="300288051"/>
    <n v="16222955"/>
    <x v="3"/>
    <x v="6"/>
    <n v="20"/>
    <s v="Insuficiente para finalizar ordem "/>
    <m/>
    <m/>
    <d v="2026-08-05T10:45:58"/>
    <m/>
    <n v="1872"/>
    <x v="1"/>
    <n v="0"/>
    <m/>
    <d v="2026-08-05T00:00:00"/>
    <x v="0"/>
  </r>
  <r>
    <x v="37"/>
    <s v="felconfeccao@gmail.com"/>
    <n v="300284151"/>
    <n v="16479157"/>
    <x v="3"/>
    <x v="54"/>
    <n v="50"/>
    <s v="FALTOU"/>
    <m/>
    <s v="50 PARES DE LAÇOS"/>
    <d v="2026-08-05T10:48:22"/>
    <m/>
    <n v="1873"/>
    <x v="1"/>
    <n v="0"/>
    <m/>
    <d v="2026-08-05T00:00:00"/>
    <x v="0"/>
  </r>
  <r>
    <x v="78"/>
    <s v="ocalves3@gmail.com"/>
    <n v="300285313"/>
    <n v="15762831"/>
    <x v="2"/>
    <x v="12"/>
    <n v="41"/>
    <s v="FALTOU UM LOTE "/>
    <m/>
    <s v="VEIO FALTANDO "/>
    <d v="2026-08-05T10:56:40"/>
    <m/>
    <n v="1874"/>
    <x v="1"/>
    <n v="0"/>
    <m/>
    <d v="2026-08-05T00:00:00"/>
    <x v="0"/>
  </r>
  <r>
    <x v="162"/>
    <s v="faccaoello@hotmail.com"/>
    <n v="300287227"/>
    <n v="16217470"/>
    <x v="2"/>
    <x v="18"/>
    <n v="870"/>
    <s v="Material não enviado pela Guararapes"/>
    <m/>
    <s v="NÃO VEIO NENHUM ELASTICO"/>
    <d v="2026-08-05T13:14:41"/>
    <m/>
    <n v="1875"/>
    <x v="1"/>
    <n v="0"/>
    <m/>
    <d v="2026-08-05T00:00:00"/>
    <x v="0"/>
  </r>
  <r>
    <x v="21"/>
    <s v="potengitextil@outlook.com.br"/>
    <n v="300284370"/>
    <n v="16460863"/>
    <x v="1"/>
    <x v="27"/>
    <n v="300"/>
    <s v="Insuficiente para finalizar ordem "/>
    <m/>
    <m/>
    <d v="2026-08-05T13:32:05"/>
    <m/>
    <n v="1876"/>
    <x v="1"/>
    <n v="10000216131"/>
    <m/>
    <d v="2026-08-05T00:00:00"/>
    <x v="0"/>
  </r>
  <r>
    <x v="21"/>
    <s v="potengitextil@outlook.com.br"/>
    <n v="300284370"/>
    <n v="16460863"/>
    <x v="1"/>
    <x v="6"/>
    <n v="50"/>
    <s v="Insuficiente para finalizar ordem "/>
    <m/>
    <m/>
    <d v="2026-08-05T13:47:01"/>
    <m/>
    <n v="1877"/>
    <x v="1"/>
    <n v="0"/>
    <m/>
    <d v="2026-08-05T00:00:00"/>
    <x v="0"/>
  </r>
  <r>
    <x v="31"/>
    <s v="administrativo@zajaconfeccoes.com.br"/>
    <n v="300287624"/>
    <n v="15724344"/>
    <x v="3"/>
    <x v="61"/>
    <n v="3"/>
    <s v="insuficiente "/>
    <m/>
    <m/>
    <d v="2026-08-05T14:18:18"/>
    <m/>
    <n v="1878"/>
    <x v="1"/>
    <n v="0"/>
    <m/>
    <d v="2026-08-05T00:00:00"/>
    <x v="0"/>
  </r>
  <r>
    <x v="32"/>
    <s v="di3confec@gmail.com"/>
    <n v="300286758"/>
    <n v="16223462"/>
    <x v="3"/>
    <x v="61"/>
    <n v="30"/>
    <s v="Material Insuficiente"/>
    <m/>
    <m/>
    <d v="2026-08-05T14:36:44"/>
    <m/>
    <n v="1879"/>
    <x v="1"/>
    <n v="0"/>
    <m/>
    <d v="2026-08-05T00:00:00"/>
    <x v="0"/>
  </r>
  <r>
    <x v="32"/>
    <s v="di3confec@gmail.com"/>
    <n v="300286763"/>
    <n v="1223462"/>
    <x v="3"/>
    <x v="61"/>
    <n v="8"/>
    <s v="Material insuficiente"/>
    <m/>
    <m/>
    <d v="2026-08-05T14:37:43"/>
    <m/>
    <n v="1880"/>
    <x v="1"/>
    <n v="0"/>
    <m/>
    <d v="2026-08-05T00:00:00"/>
    <x v="0"/>
  </r>
  <r>
    <x v="212"/>
    <s v="marionetemedeiros2@hotmail.com"/>
    <n v="300283195"/>
    <n v="16243161"/>
    <x v="2"/>
    <x v="142"/>
    <n v="10"/>
    <s v="Quantidade enviada pouca"/>
    <m/>
    <s v="Linha do pesponto principal, veio apenas 5 cones"/>
    <d v="2026-08-05T14:47:48"/>
    <m/>
    <n v="1881"/>
    <x v="1"/>
    <s v="9.LI001.036.154008"/>
    <m/>
    <d v="2026-08-05T00:00:00"/>
    <x v="0"/>
  </r>
  <r>
    <x v="168"/>
    <s v="jucurututextil@gmail.com"/>
    <n v="300286557"/>
    <n v="16272641"/>
    <x v="2"/>
    <x v="22"/>
    <s v="20 peças completas"/>
    <s v="Faltou"/>
    <m/>
    <s v="Faltou 20 peças completas frente, traseiro ,pala, pertigal, braguilha,ziper, forro,bolso relogio, vista etc.. do tamanho 48 do 2°Enfesto"/>
    <d v="2026-08-05T14:48:22"/>
    <m/>
    <n v="1882"/>
    <x v="1"/>
    <n v="0"/>
    <m/>
    <d v="2026-08-05T00:00:00"/>
    <x v="0"/>
  </r>
  <r>
    <x v="24"/>
    <s v="maxwelaaraujo7@gmail.com"/>
    <n v="300287370"/>
    <n v="10"/>
    <x v="1"/>
    <x v="19"/>
    <n v="10"/>
    <s v="MATERIAL INSUFICIENTE PARA FINALIZAR OP"/>
    <m/>
    <m/>
    <d v="2026-08-05T14:54:43"/>
    <m/>
    <n v="1883"/>
    <x v="1"/>
    <n v="10000071727"/>
    <m/>
    <d v="2026-08-05T00:00:00"/>
    <x v="0"/>
  </r>
  <r>
    <x v="24"/>
    <s v="maxwelaaraujo7@gmail.com"/>
    <n v="300287370"/>
    <n v="16442679"/>
    <x v="1"/>
    <x v="142"/>
    <n v="10"/>
    <s v="MATERIAL INSUFICIENTE PARA FINALIZAR OP"/>
    <m/>
    <m/>
    <d v="2026-08-05T14:57:01"/>
    <m/>
    <n v="1884"/>
    <x v="1"/>
    <n v="10000072671"/>
    <m/>
    <d v="2026-08-05T00:00:00"/>
    <x v="0"/>
  </r>
  <r>
    <x v="56"/>
    <s v="idealconfecltda@gmail.com"/>
    <n v="300286538"/>
    <n v="16217780"/>
    <x v="2"/>
    <x v="13"/>
    <n v="250"/>
    <s v="insuficiente para finalizar"/>
    <m/>
    <m/>
    <d v="2026-08-05T15:31:18"/>
    <m/>
    <n v="1885"/>
    <x v="1"/>
    <n v="10000241454"/>
    <m/>
    <d v="2026-08-05T00:00:00"/>
    <x v="0"/>
  </r>
  <r>
    <x v="21"/>
    <s v="potengitextil@outlook.com.br"/>
    <n v="300287252"/>
    <n v="16224116"/>
    <x v="3"/>
    <x v="6"/>
    <n v="200"/>
    <s v="Insuficiente para finalizar ordem "/>
    <m/>
    <s v="Viés de gola (gola de galoneira)"/>
    <d v="2026-08-05T15:44:39"/>
    <m/>
    <n v="1886"/>
    <x v="1"/>
    <n v="0"/>
    <m/>
    <d v="2026-08-05T00:00:00"/>
    <x v="0"/>
  </r>
  <r>
    <x v="21"/>
    <s v="potengitextil@outlook.com.br"/>
    <n v="300284370"/>
    <n v="16460853"/>
    <x v="1"/>
    <x v="6"/>
    <n v="702"/>
    <s v="Material não enviado pela guararapes "/>
    <m/>
    <m/>
    <d v="2026-08-05T15:46:44"/>
    <m/>
    <n v="1887"/>
    <x v="1"/>
    <n v="0"/>
    <m/>
    <d v="2026-08-05T00:00:00"/>
    <x v="0"/>
  </r>
  <r>
    <x v="118"/>
    <s v="fjdeazevedo@hotmail.com"/>
    <n v="300286688"/>
    <n v="16561074"/>
    <x v="2"/>
    <x v="142"/>
    <n v="6"/>
    <s v="material insuficiente pra finalizar a ordem"/>
    <m/>
    <m/>
    <d v="2026-08-05T15:51:06"/>
    <m/>
    <n v="1888"/>
    <x v="1"/>
    <n v="10000073292"/>
    <m/>
    <d v="2026-08-05T00:00:00"/>
    <x v="0"/>
  </r>
  <r>
    <x v="21"/>
    <s v="potengitextil@outlook.com.br"/>
    <n v="300284372"/>
    <n v="16460863"/>
    <x v="1"/>
    <x v="20"/>
    <n v="1404"/>
    <s v="Material não enviado pela guararapes "/>
    <m/>
    <m/>
    <d v="2026-08-05T15:52:33"/>
    <m/>
    <n v="1889"/>
    <x v="3"/>
    <n v="0"/>
    <m/>
    <d v="2026-08-05T00:00:00"/>
    <x v="0"/>
  </r>
  <r>
    <x v="8"/>
    <s v="tlcserranatextil@gmail.com"/>
    <n v="300282806"/>
    <n v="16474244"/>
    <x v="1"/>
    <x v="38"/>
    <s v="374 PEÇAS"/>
    <s v="não veio"/>
    <m/>
    <m/>
    <d v="2026-08-05T16:05:44"/>
    <m/>
    <n v="1890"/>
    <x v="1"/>
    <s v="EN006.150.BR9999"/>
    <m/>
    <d v="2026-08-05T00:00:00"/>
    <x v="0"/>
  </r>
  <r>
    <x v="35"/>
    <s v="lupercio-fnb@hotmail.com"/>
    <n v="300287372"/>
    <n v="16442679"/>
    <x v="1"/>
    <x v="142"/>
    <n v="12"/>
    <s v="Faltando para finalização de ordem"/>
    <m/>
    <s v="Faltando para finalização de ordem"/>
    <d v="2026-08-05T16:18:40"/>
    <m/>
    <n v="1891"/>
    <x v="1"/>
    <s v="10000071727, 10000072671"/>
    <m/>
    <d v="2026-08-05T00:00:00"/>
    <x v="0"/>
  </r>
  <r>
    <x v="20"/>
    <s v="CONFECCAOSAOSEBASTIAO@GMAIL.COM"/>
    <n v="300283509"/>
    <n v="16273311"/>
    <x v="2"/>
    <x v="49"/>
    <n v="105"/>
    <s v="veio faltando para o tamanho 36 105 etiquetas"/>
    <m/>
    <s v="Veio faltando 105 etiquetas da numeração 36"/>
    <d v="2026-08-05T16:18:59"/>
    <m/>
    <n v="1892"/>
    <x v="1"/>
    <s v="sem codigo"/>
    <m/>
    <d v="2026-08-05T00:00:00"/>
    <x v="0"/>
  </r>
  <r>
    <x v="203"/>
    <s v="jolitextilfabrica@gmail.com"/>
    <n v="300286710"/>
    <n v="16223691"/>
    <x v="3"/>
    <x v="19"/>
    <n v="12"/>
    <s v="Está faltando para produção"/>
    <m/>
    <m/>
    <d v="2026-08-05T16:31:38"/>
    <m/>
    <n v="1893"/>
    <x v="1"/>
    <n v="8166"/>
    <m/>
    <d v="2026-08-05T00:00:00"/>
    <x v="0"/>
  </r>
  <r>
    <x v="203"/>
    <s v="jolitextilfabrica@gmail.com"/>
    <n v="300286710"/>
    <n v="16223691"/>
    <x v="3"/>
    <x v="142"/>
    <n v="12"/>
    <s v="Faltou para a produção"/>
    <m/>
    <m/>
    <d v="2026-08-05T16:32:58"/>
    <m/>
    <n v="1894"/>
    <x v="1"/>
    <n v="737"/>
    <m/>
    <d v="2026-08-05T00:00:00"/>
    <x v="0"/>
  </r>
  <r>
    <x v="207"/>
    <s v="bensilvaconfeccoes@gmail.com"/>
    <n v="300286143"/>
    <n v="16482204"/>
    <x v="2"/>
    <x v="5"/>
    <n v="10"/>
    <s v="estamos sem"/>
    <m/>
    <m/>
    <d v="2026-08-05T16:48:04"/>
    <m/>
    <n v="1895"/>
    <x v="1"/>
    <s v="nao temos "/>
    <m/>
    <d v="2026-08-05T00:00:00"/>
    <x v="0"/>
  </r>
  <r>
    <x v="164"/>
    <s v="auxiforte@hotmail.com"/>
    <n v="300288804"/>
    <n v="16535642"/>
    <x v="0"/>
    <x v="19"/>
    <s v="MATERIAL PARA UM TOTAL DE 930 PEÇAS"/>
    <s v="MATERIAL NÃO ENVIADO PELA GUARARAPES;  Enviar Fios (S.991), linhas (5927), fitas para alça de sustentação e ETIQUETAS DE VIÉS."/>
    <m/>
    <s v="Enviar Fios (S.991), linhas (5927), fitas para alça de sustentação e ETIQUETAS DE VIÉS, "/>
    <d v="2026-08-05T16:49:11"/>
    <m/>
    <n v="1896"/>
    <x v="1"/>
    <n v="0"/>
    <m/>
    <d v="2026-08-05T00:00:00"/>
    <x v="0"/>
  </r>
  <r>
    <x v="166"/>
    <s v="w.anny.k@hotmail.com"/>
    <n v="300288423"/>
    <n v="16187415"/>
    <x v="2"/>
    <x v="17"/>
    <n v="220"/>
    <s v="VEIO FALTANDO NA ORDEM"/>
    <m/>
    <s v="VEIO FALTANDO NA ORDEM MESTRE 220 COS FUSIONADO"/>
    <d v="2026-08-05T17:05:19"/>
    <m/>
    <n v="1897"/>
    <x v="1"/>
    <n v="0"/>
    <m/>
    <d v="2026-08-05T00:00:00"/>
    <x v="0"/>
  </r>
  <r>
    <x v="204"/>
    <s v="ivan.vereadorcamara@hotmail.com"/>
    <n v="300282783"/>
    <n v="16520157"/>
    <x v="2"/>
    <x v="22"/>
    <s v="frente pra montar 5 peças!"/>
    <s v="sobrou cinco trazeira  sem montar pois faltou frente então fui orientada a pedir reposiçâo das frente! e preciso que envie tambem 5 etiqueta de composiçâo!"/>
    <m/>
    <s v="sobrou 5 trazeira dessa ordem que nâo deu pra montar pq faltou as frentes e a oficina foi orientada por josivan a pedir reposiçâo!"/>
    <d v="2026-08-05T17:25:25"/>
    <m/>
    <n v="1898"/>
    <x v="1"/>
    <s v="xxxxxxxxxxxxxxx"/>
    <m/>
    <d v="2026-08-05T00:00:00"/>
    <x v="0"/>
  </r>
  <r>
    <x v="171"/>
    <s v="confeccoesgbdas@hotmail.com"/>
    <n v="300286224"/>
    <n v="16481380"/>
    <x v="3"/>
    <x v="22"/>
    <n v="66"/>
    <s v="FALTARAM PEÇAS PARA FINALIZAR A OP"/>
    <m/>
    <s v="FRENTE E TRASEIRO (OS DOIS LADOS!! LADO DIREITO E ESQUERDO!!!)"/>
    <d v="2026-08-05T18:06:51"/>
    <m/>
    <n v="1899"/>
    <x v="1"/>
    <n v="16481380"/>
    <m/>
    <d v="2026-08-05T00:00:00"/>
    <x v="0"/>
  </r>
  <r>
    <x v="171"/>
    <s v="confeccoesgbdas@hotmail.com"/>
    <n v="300286224"/>
    <n v="16481380"/>
    <x v="3"/>
    <x v="61"/>
    <n v="66"/>
    <s v="falta de peças para finallizar op"/>
    <m/>
    <m/>
    <d v="2026-08-05T18:07:38"/>
    <m/>
    <n v="1900"/>
    <x v="1"/>
    <n v="16481380"/>
    <m/>
    <d v="2026-08-05T00:00:00"/>
    <x v="0"/>
  </r>
  <r>
    <x v="185"/>
    <s v="fernandoassu@gmail.com"/>
    <n v="300285007"/>
    <n v="16482204"/>
    <x v="2"/>
    <x v="5"/>
    <n v="10"/>
    <s v="ACABOU NOSSO ESTOQUE"/>
    <m/>
    <m/>
    <d v="2026-08-06T07:48:45"/>
    <m/>
    <n v="1901"/>
    <x v="1"/>
    <n v="0"/>
    <m/>
    <d v="2026-08-06T00:00:00"/>
    <x v="0"/>
  </r>
  <r>
    <x v="193"/>
    <s v="ajgconfeccoes2021@gmail.com"/>
    <n v="300287652"/>
    <n v="16589068"/>
    <x v="3"/>
    <x v="4"/>
    <n v="2128"/>
    <s v="não veio "/>
    <m/>
    <s v="Não veio na OP "/>
    <d v="2026-08-06T08:01:19"/>
    <m/>
    <n v="1902"/>
    <x v="1"/>
    <s v="n tem "/>
    <m/>
    <d v="2026-08-06T00:00:00"/>
    <x v="0"/>
  </r>
  <r>
    <x v="44"/>
    <s v="teceuzl@hotmail.com"/>
    <n v="300287337"/>
    <n v="16443004"/>
    <x v="1"/>
    <x v="19"/>
    <n v="14"/>
    <s v="Insuficiente para finalizar a ordem"/>
    <m/>
    <m/>
    <d v="2026-08-06T08:02:30"/>
    <m/>
    <n v="1903"/>
    <x v="1"/>
    <n v="0"/>
    <m/>
    <d v="2026-08-06T00:00:00"/>
    <x v="0"/>
  </r>
  <r>
    <x v="44"/>
    <s v="teceuzl@hotmail.com"/>
    <n v="300287337"/>
    <n v="16443004"/>
    <x v="1"/>
    <x v="142"/>
    <n v="10"/>
    <s v="Insuficiente para finalizar a ordem"/>
    <m/>
    <m/>
    <d v="2026-08-06T08:03:44"/>
    <m/>
    <n v="1904"/>
    <x v="1"/>
    <n v="0"/>
    <m/>
    <d v="2026-08-06T00:00:00"/>
    <x v="0"/>
  </r>
  <r>
    <x v="170"/>
    <s v="neemias.sc@hotmail.com"/>
    <n v="300280200"/>
    <n v="16472209"/>
    <x v="2"/>
    <x v="61"/>
    <n v="13"/>
    <s v="INSUFICIENTE"/>
    <m/>
    <s v="ORDEM 99% CONCLUIDA"/>
    <d v="2026-08-06T08:24:56"/>
    <m/>
    <n v="1905"/>
    <x v="1"/>
    <s v="ETIQUETAS DE COMPOSIÇÃO "/>
    <m/>
    <d v="2026-08-06T00:00:00"/>
    <x v="0"/>
  </r>
  <r>
    <x v="23"/>
    <s v="reposicoesjkmodas@gmail.com"/>
    <n v="300283945"/>
    <n v="16523776"/>
    <x v="2"/>
    <x v="56"/>
    <n v="25"/>
    <s v="INSUFICIENTE PARA FINALIZAR OP"/>
    <m/>
    <m/>
    <d v="2026-08-06T08:31:54"/>
    <m/>
    <n v="1906"/>
    <x v="1"/>
    <s v="10000248119 / 10000248118 / 10000248117 / 10000248116 / 10000248115"/>
    <m/>
    <d v="2026-08-06T00:00:00"/>
    <x v="0"/>
  </r>
  <r>
    <x v="8"/>
    <s v="tlcserranatextil@gmail.com"/>
    <n v="300282806"/>
    <n v="16474244"/>
    <x v="1"/>
    <x v="61"/>
    <n v="396"/>
    <s v="não veio"/>
    <m/>
    <m/>
    <d v="2026-08-06T08:35:39"/>
    <m/>
    <n v="1907"/>
    <x v="1"/>
    <n v="0"/>
    <m/>
    <d v="2026-08-06T00:00:00"/>
    <x v="0"/>
  </r>
  <r>
    <x v="20"/>
    <s v="CONFECCAOSAOSEBASTIAO@GMAIL.COM"/>
    <n v="300283509"/>
    <n v="16273311"/>
    <x v="2"/>
    <x v="13"/>
    <n v="18"/>
    <s v="ficou faltando "/>
    <m/>
    <s v="enviar ziper 18 uni  de 14 cm "/>
    <d v="2026-08-06T08:40:00"/>
    <m/>
    <n v="1908"/>
    <x v="1"/>
    <s v="ZÍPER INOX METAL MEDIO PRETO 14CM"/>
    <m/>
    <d v="2026-08-06T00:00:00"/>
    <x v="0"/>
  </r>
  <r>
    <x v="20"/>
    <s v="CONFECCAOSAOSEBASTIAO@GMAIL.COM"/>
    <n v="300283507"/>
    <n v="16273311"/>
    <x v="2"/>
    <x v="163"/>
    <s v="op completa"/>
    <s v="veio faltando"/>
    <m/>
    <m/>
    <d v="2026-08-06T08:42:05"/>
    <m/>
    <n v="1909"/>
    <x v="2"/>
    <s v="sem codigo"/>
    <m/>
    <d v="2026-08-06T00:00:00"/>
    <x v="0"/>
  </r>
  <r>
    <x v="170"/>
    <s v="neemias.sc@hotmail.com"/>
    <n v="300286759"/>
    <n v="16223462"/>
    <x v="3"/>
    <x v="6"/>
    <n v="30"/>
    <s v="PROBLEMAS COM ENTRADA DE FACA"/>
    <m/>
    <s v="GOLAS MAL CORTADAS"/>
    <d v="2026-08-06T08:42:12"/>
    <m/>
    <n v="1910"/>
    <x v="1"/>
    <s v="GOLA RODADA"/>
    <m/>
    <d v="2026-08-06T00:00:00"/>
    <x v="0"/>
  </r>
  <r>
    <x v="3"/>
    <s v="qualidade@solybrasil.com.br"/>
    <n v="300285832"/>
    <n v="16576667"/>
    <x v="3"/>
    <x v="4"/>
    <n v="200"/>
    <s v="insuficiente para finalizar a ordem"/>
    <m/>
    <m/>
    <d v="2026-08-06T08:57:06"/>
    <m/>
    <n v="1911"/>
    <x v="1"/>
    <n v="0"/>
    <m/>
    <d v="2026-08-06T00:00:00"/>
    <x v="0"/>
  </r>
  <r>
    <x v="167"/>
    <s v="falconconfeccoes@hotmail.com"/>
    <n v="300283540"/>
    <n v="16273311"/>
    <x v="2"/>
    <x v="49"/>
    <n v="189"/>
    <s v="Não enviado "/>
    <m/>
    <s v="ETQ POOL JEANS 75*18 TAM 36"/>
    <d v="2026-08-06T09:00:03"/>
    <m/>
    <n v="1912"/>
    <x v="1"/>
    <n v="1000000697378"/>
    <m/>
    <d v="2026-08-06T00:00:00"/>
    <x v="0"/>
  </r>
  <r>
    <x v="167"/>
    <s v="falconconfeccoes@hotmail.com"/>
    <n v="300283540"/>
    <n v="16273311"/>
    <x v="2"/>
    <x v="13"/>
    <n v="289"/>
    <s v="não enviado"/>
    <m/>
    <s v="ZIPER INOX METAL MEDIO PRETO 13 CM"/>
    <d v="2026-08-06T09:04:09"/>
    <m/>
    <n v="1913"/>
    <x v="1"/>
    <n v="10000241454"/>
    <m/>
    <d v="2026-08-06T00:00:00"/>
    <x v="0"/>
  </r>
  <r>
    <x v="189"/>
    <s v="ldinizconfeccoes@gmail.com"/>
    <n v="300285098"/>
    <n v="16474120"/>
    <x v="2"/>
    <x v="142"/>
    <s v="qualntidade completa para 1528 peças "/>
    <s v="não veio nem uma linha nessa cor"/>
    <m/>
    <s v="solicito prioridade, peças estao paradas. "/>
    <d v="2026-08-06T09:08:22"/>
    <m/>
    <n v="1914"/>
    <x v="1"/>
    <n v="10000063106"/>
    <m/>
    <d v="2026-08-06T00:00:00"/>
    <x v="0"/>
  </r>
  <r>
    <x v="11"/>
    <s v="S.a.confeccoesind@gmail.com"/>
    <n v="300285268"/>
    <n v="15764494"/>
    <x v="2"/>
    <x v="61"/>
    <n v="5"/>
    <s v="danificada no processo"/>
    <m/>
    <s v="5 etiquetas de composição tamanho 38"/>
    <d v="2026-08-06T09:17:34"/>
    <m/>
    <n v="1915"/>
    <x v="1"/>
    <n v="0"/>
    <m/>
    <d v="2026-08-06T00:00:00"/>
    <x v="0"/>
  </r>
  <r>
    <x v="58"/>
    <s v="js.silva6815@gmail.com"/>
    <n v="300281097"/>
    <n v="16285310"/>
    <x v="2"/>
    <x v="18"/>
    <n v="510"/>
    <s v="não veio "/>
    <m/>
    <s v="ELASTICO PARA CÓS"/>
    <d v="2026-08-06T09:35:25"/>
    <m/>
    <n v="1916"/>
    <x v="1"/>
    <n v="0"/>
    <m/>
    <d v="2026-08-06T00:00:00"/>
    <x v="0"/>
  </r>
  <r>
    <x v="58"/>
    <s v="js.silva6815@gmail.com"/>
    <n v="300281096"/>
    <n v="16285310"/>
    <x v="2"/>
    <x v="18"/>
    <n v="756"/>
    <s v="não veio"/>
    <m/>
    <s v="elástico para cós"/>
    <d v="2026-08-06T09:37:10"/>
    <m/>
    <n v="1917"/>
    <x v="1"/>
    <n v="0"/>
    <m/>
    <d v="2026-08-06T00:00:00"/>
    <x v="0"/>
  </r>
  <r>
    <x v="58"/>
    <s v="js.silva6815@gmail.com"/>
    <n v="300281095"/>
    <n v="16027213"/>
    <x v="2"/>
    <x v="18"/>
    <n v="588"/>
    <s v="não veio "/>
    <m/>
    <s v="Elástico de cós"/>
    <d v="2026-08-06T09:39:35"/>
    <m/>
    <n v="1918"/>
    <x v="1"/>
    <n v="0"/>
    <m/>
    <d v="2026-08-06T00:00:00"/>
    <x v="0"/>
  </r>
  <r>
    <x v="35"/>
    <s v="lupercio-fnb@hotmail.com"/>
    <n v="300286533"/>
    <n v="16217780"/>
    <x v="2"/>
    <x v="159"/>
    <n v="3"/>
    <s v="Faltando 3 etiqueta"/>
    <m/>
    <s v="Precisando para finalizar ordem"/>
    <d v="2026-08-06T10:23:28"/>
    <m/>
    <n v="1919"/>
    <x v="1"/>
    <n v="0"/>
    <m/>
    <d v="2026-08-06T00:00:00"/>
    <x v="0"/>
  </r>
  <r>
    <x v="32"/>
    <s v="di3confec@gmail.com"/>
    <n v="300285043"/>
    <n v="15859096"/>
    <x v="2"/>
    <x v="22"/>
    <n v="5"/>
    <s v="Material insuficiente"/>
    <m/>
    <m/>
    <d v="2026-08-06T10:26:47"/>
    <m/>
    <n v="1920"/>
    <x v="1"/>
    <n v="0"/>
    <m/>
    <d v="2026-08-06T00:00:00"/>
    <x v="0"/>
  </r>
  <r>
    <x v="185"/>
    <s v="fernandoassu@gmail.com"/>
    <n v="300285007"/>
    <n v="16482204"/>
    <x v="2"/>
    <x v="13"/>
    <n v="20"/>
    <s v="NÃO ENVIADO"/>
    <m/>
    <m/>
    <d v="2026-08-06T10:33:43"/>
    <m/>
    <n v="1921"/>
    <x v="1"/>
    <n v="10000064323"/>
    <m/>
    <d v="2026-08-06T00:00:00"/>
    <x v="0"/>
  </r>
  <r>
    <x v="21"/>
    <s v="potengitextil@outlook.com.br"/>
    <n v="300283944"/>
    <n v="16242998"/>
    <x v="2"/>
    <x v="61"/>
    <n v="40"/>
    <s v="Insuficiente para finalizar ordem "/>
    <m/>
    <m/>
    <d v="2026-08-06T10:33:47"/>
    <m/>
    <n v="1922"/>
    <x v="1"/>
    <n v="0"/>
    <m/>
    <d v="2026-08-06T00:00:00"/>
    <x v="0"/>
  </r>
  <r>
    <x v="37"/>
    <s v="felconfeccao@gmail.com"/>
    <n v="300280747"/>
    <n v="15724344"/>
    <x v="3"/>
    <x v="61"/>
    <n v="2"/>
    <s v="FALTOU"/>
    <m/>
    <m/>
    <d v="2026-08-06T10:35:25"/>
    <m/>
    <n v="1923"/>
    <x v="1"/>
    <n v="0"/>
    <m/>
    <d v="2026-08-06T00:00:00"/>
    <x v="0"/>
  </r>
  <r>
    <x v="27"/>
    <s v="ffconfeccoesobrn@hotmail.com"/>
    <n v="300281528"/>
    <n v="16520050"/>
    <x v="2"/>
    <x v="163"/>
    <n v="6"/>
    <s v="insuficiente para terminar a ordem"/>
    <m/>
    <s v="insuficiente para terminar a ordem"/>
    <d v="2026-08-06T11:01:21"/>
    <m/>
    <n v="1924"/>
    <x v="1"/>
    <n v="0"/>
    <m/>
    <d v="2026-08-06T00:00:00"/>
    <x v="0"/>
  </r>
  <r>
    <x v="166"/>
    <s v="w.anny.k@hotmail.com"/>
    <n v="300284026"/>
    <n v="16442563"/>
    <x v="1"/>
    <x v="22"/>
    <n v="10"/>
    <s v=" FALTOU 10 FRENTE PARA ESTA ORDEM"/>
    <m/>
    <m/>
    <d v="2026-08-06T11:19:46"/>
    <m/>
    <n v="1925"/>
    <x v="1"/>
    <n v="0"/>
    <m/>
    <d v="2026-08-06T00:00:00"/>
    <x v="0"/>
  </r>
  <r>
    <x v="200"/>
    <s v="g4confeccao@gmail.com"/>
    <n v="300286553"/>
    <n v="16272641"/>
    <x v="2"/>
    <x v="61"/>
    <n v="30"/>
    <s v="Quantidade insuficiente"/>
    <m/>
    <s v="Se possível nos enviar no próximo carregamento com destino a G4 ou a Poest"/>
    <d v="2026-08-06T11:54:56"/>
    <m/>
    <n v="1926"/>
    <x v="1"/>
    <n v="0"/>
    <m/>
    <d v="2026-08-06T00:00:00"/>
    <x v="0"/>
  </r>
  <r>
    <x v="209"/>
    <s v="jessicarosana823@gmail.com"/>
    <n v="300288340"/>
    <n v="16440978"/>
    <x v="3"/>
    <x v="19"/>
    <n v="10"/>
    <s v="Recebemos a ordem com fios BRANCOS."/>
    <m/>
    <s v="Recebemos a ordem com fios BRANCOS, e no BOM, especifica os fios na cor MARROM."/>
    <d v="2026-08-06T13:26:38"/>
    <m/>
    <n v="1927"/>
    <x v="1"/>
    <s v="FIO 100%PES S.981 190912 COR: 0981.---"/>
    <m/>
    <d v="2026-08-06T00:00:00"/>
    <x v="0"/>
  </r>
  <r>
    <x v="215"/>
    <s v="paulaviturinoconfeccoes@gmail.com"/>
    <n v="300286716"/>
    <n v="16440943"/>
    <x v="3"/>
    <x v="12"/>
    <n v="92"/>
    <s v="92 PEÇAS COM PROBLEMA NO CORTE DOS OMBROS "/>
    <m/>
    <m/>
    <d v="2026-08-06T13:28:33"/>
    <m/>
    <n v="1928"/>
    <x v="1"/>
    <s v="V2731421806"/>
    <m/>
    <d v="2026-08-06T00:00:00"/>
    <x v="0"/>
  </r>
  <r>
    <x v="209"/>
    <s v="jessicarosana823@gmail.com"/>
    <n v="300288340"/>
    <n v="16440978"/>
    <x v="3"/>
    <x v="142"/>
    <n v="12"/>
    <s v="Vieram da cor errada, vieram linhas BRANCAS"/>
    <m/>
    <s v="recebemos a OP, com fios e linhas BRANCAS, e no BOM, especefica linha marrom."/>
    <d v="2026-08-06T13:34:43"/>
    <m/>
    <n v="1929"/>
    <x v="2"/>
    <s v="LINHA 100%PES TÍT120 S.470 191109_x0009_ COR 0470"/>
    <m/>
    <d v="2026-08-06T00:00:00"/>
    <x v="0"/>
  </r>
  <r>
    <x v="209"/>
    <s v="jessicarosana823@gmail.com"/>
    <n v="300285798"/>
    <n v="16448154"/>
    <x v="3"/>
    <x v="163"/>
    <n v="10"/>
    <s v="Faltando viés."/>
    <m/>
    <s v="Faltando viés, vieram poucas unidades. "/>
    <d v="2026-08-06T13:39:39"/>
    <m/>
    <n v="1930"/>
    <x v="1"/>
    <n v="0"/>
    <m/>
    <d v="2026-08-06T00:00:00"/>
    <x v="0"/>
  </r>
  <r>
    <x v="209"/>
    <s v="jessicarosana823@gmail.com"/>
    <n v="300285798"/>
    <n v="16448154"/>
    <x v="3"/>
    <x v="12"/>
    <n v="236"/>
    <s v="Marcação interna do tamanho veio errada."/>
    <m/>
    <s v="A estampa interna de indentificação do tamanho veio errada. A peça foi estampada com o tamanho 13-14, ma o correto seria 6-7."/>
    <d v="2026-08-06T13:46:39"/>
    <m/>
    <n v="1931"/>
    <x v="1"/>
    <n v="0"/>
    <m/>
    <d v="2026-08-06T00:00:00"/>
    <x v="0"/>
  </r>
  <r>
    <x v="213"/>
    <s v="seridoconfeccoes@gmail.com"/>
    <n v="300285040"/>
    <n v="16482204"/>
    <x v="2"/>
    <x v="142"/>
    <s v="20 cones"/>
    <s v="quantidade insuficiente para finalizar OP"/>
    <m/>
    <s v="linha: COR: 0650 - TIT: 80 - QTD: 20 CONES"/>
    <d v="2026-08-06T14:08:18"/>
    <m/>
    <n v="1932"/>
    <x v="1"/>
    <n v="0"/>
    <m/>
    <d v="2026-08-06T00:00:00"/>
    <x v="0"/>
  </r>
  <r>
    <x v="56"/>
    <s v="idealconfecltda@gmail.com"/>
    <n v="300285257"/>
    <n v="16626729"/>
    <x v="2"/>
    <x v="55"/>
    <n v="969"/>
    <s v="divergência no corte"/>
    <m/>
    <s v="A vista da  braguilha,veio com divergência"/>
    <d v="2026-08-06T14:21:36"/>
    <m/>
    <n v="1933"/>
    <x v="1"/>
    <n v="0"/>
    <m/>
    <d v="2026-08-06T00:00:00"/>
    <x v="0"/>
  </r>
  <r>
    <x v="162"/>
    <s v="faccaoello@hotmail.com"/>
    <n v="300286124"/>
    <n v="16444876"/>
    <x v="2"/>
    <x v="49"/>
    <n v="20"/>
    <s v="Material não enviado pela Guararapes"/>
    <m/>
    <m/>
    <d v="2026-08-06T14:21:45"/>
    <m/>
    <n v="1934"/>
    <x v="1"/>
    <n v="10000247751"/>
    <m/>
    <d v="2026-08-06T00:00:00"/>
    <x v="0"/>
  </r>
  <r>
    <x v="174"/>
    <s v="jakeline.jl.confeccoes@gmail.com"/>
    <n v="300284155"/>
    <n v="16479181"/>
    <x v="2"/>
    <x v="58"/>
    <n v="16"/>
    <s v="insuficiente para finalizar a ordem"/>
    <m/>
    <s v="BOLSO FRENTE BORDADO "/>
    <d v="2026-08-06T15:32:35"/>
    <m/>
    <n v="1935"/>
    <x v="1"/>
    <n v="0"/>
    <m/>
    <d v="2026-08-06T00:00:00"/>
    <x v="0"/>
  </r>
  <r>
    <x v="166"/>
    <s v="w.anny.k@hotmail.com"/>
    <n v="300260184"/>
    <n v="16212860"/>
    <x v="2"/>
    <x v="18"/>
    <n v="500"/>
    <s v="PRECISO DE ELÁSTICO PARA 500 PEÇAS."/>
    <m/>
    <m/>
    <d v="2026-08-06T15:33:56"/>
    <m/>
    <n v="1936"/>
    <x v="1"/>
    <n v="0"/>
    <m/>
    <d v="2026-08-06T00:00:00"/>
    <x v="0"/>
  </r>
  <r>
    <x v="166"/>
    <s v="w.anny.k@hotmail.com"/>
    <n v="300260184"/>
    <n v="16212860"/>
    <x v="2"/>
    <x v="49"/>
    <n v="500"/>
    <s v="PRECISO DE 500 ETIQUETA DE MARCA PARA ESTA ORDEM "/>
    <m/>
    <m/>
    <d v="2026-08-06T15:37:24"/>
    <m/>
    <n v="1937"/>
    <x v="1"/>
    <n v="0"/>
    <m/>
    <d v="2026-08-06T00:00:00"/>
    <x v="0"/>
  </r>
  <r>
    <x v="166"/>
    <s v="w.anny.k@hotmail.com"/>
    <n v="300284286"/>
    <n v="15864448"/>
    <x v="2"/>
    <x v="5"/>
    <n v="10"/>
    <s v="ESTAMOS PRECISANDO PARA AS ORDENS "/>
    <m/>
    <m/>
    <d v="2026-08-06T15:39:44"/>
    <m/>
    <n v="1938"/>
    <x v="1"/>
    <n v="0"/>
    <m/>
    <d v="2026-08-06T00:00:00"/>
    <x v="0"/>
  </r>
  <r>
    <x v="169"/>
    <s v="acauaconfeccoes@outlook.com"/>
    <n v="300288034"/>
    <n v="16222857"/>
    <x v="3"/>
    <x v="163"/>
    <n v="1.8220000000000001"/>
    <s v="A Guararapes nos enviou o viés de ombro a ombro errado dessa ordem, é de outra ordem 2 material de tonalidade bem diferente!!!"/>
    <m/>
    <s v="Preciso que envie urgentemente a reposição desses viés de ombro a ombro correto,pois a Guararapes enviou errado o viés , é de outra ordem e tonalidade diferente!!!!"/>
    <d v="2026-08-06T15:58:34"/>
    <m/>
    <n v="1939"/>
    <x v="2"/>
    <n v="1"/>
    <m/>
    <d v="2026-08-06T00:00:00"/>
    <x v="0"/>
  </r>
  <r>
    <x v="163"/>
    <s v="felconfeccao@gmail.com"/>
    <n v="300283187"/>
    <n v="16218230"/>
    <x v="2"/>
    <x v="49"/>
    <n v="6"/>
    <s v="insuficiente"/>
    <m/>
    <s v="ETIQUETA DA BARRA"/>
    <d v="2026-08-06T17:25:07"/>
    <m/>
    <n v="1940"/>
    <x v="1"/>
    <n v="10000170337"/>
    <m/>
    <d v="2026-08-06T00:00:00"/>
    <x v="0"/>
  </r>
  <r>
    <x v="216"/>
    <s v="77.abatista@gmail.com"/>
    <n v="300274690"/>
    <n v="16453247"/>
    <x v="0"/>
    <x v="167"/>
    <n v="26"/>
    <s v="QUANTIDADE MENOR"/>
    <m/>
    <s v="APENAS 26 UNIDADES DO AVIAMENTO."/>
    <d v="2026-08-06T17:45:59"/>
    <m/>
    <n v="1941"/>
    <x v="1"/>
    <s v="000000010000061287 - 9.RG001.010.ONIX00"/>
    <m/>
    <d v="2026-08-06T00:00:00"/>
    <x v="0"/>
  </r>
  <r>
    <x v="216"/>
    <s v="77.abatista@gmail.com"/>
    <n v="300274690"/>
    <n v="16453247"/>
    <x v="0"/>
    <x v="54"/>
    <n v="45"/>
    <s v="QUANTIDADE MENOR"/>
    <m/>
    <s v="APENAS 45 UNIDADES"/>
    <d v="2026-08-06T17:48:14"/>
    <m/>
    <n v="1942"/>
    <x v="1"/>
    <s v="000000010000070452 - 9.A0017.010.ONIX00"/>
    <m/>
    <d v="2026-08-06T00:00:00"/>
    <x v="0"/>
  </r>
  <r>
    <x v="216"/>
    <s v="77.abatista@gmail.com"/>
    <n v="300286244"/>
    <n v="16116852"/>
    <x v="0"/>
    <x v="27"/>
    <n v="200"/>
    <s v="QUANTIDADE MENOR"/>
    <m/>
    <s v="APENAS 200 UNIDADES DE BOTÕES."/>
    <d v="2026-08-06T17:56:20"/>
    <m/>
    <n v="1943"/>
    <x v="1"/>
    <s v="000000010000131211 - 9.BB013.011.193907"/>
    <m/>
    <d v="2026-08-06T00:00:00"/>
    <x v="0"/>
  </r>
  <r>
    <x v="171"/>
    <s v="confeccoesgbdas@hotmail.com"/>
    <n v="300286700"/>
    <n v="16510151"/>
    <x v="3"/>
    <x v="164"/>
    <n v="518"/>
    <s v="PARTES NAO ENVIADAS PELA GUARARAPES"/>
    <m/>
    <s v="OS LOTES SAO COMPLETOS, FRENTE E TRASEIRO, OS DOIS LADOS (DIREITO E ESQUERDO)"/>
    <d v="2026-08-06T18:04:50"/>
    <m/>
    <n v="1944"/>
    <x v="1"/>
    <n v="16510151"/>
    <m/>
    <d v="2026-08-06T00:00:00"/>
    <x v="0"/>
  </r>
  <r>
    <x v="171"/>
    <s v="confeccoesgbdas@hotmail.com"/>
    <n v="300287265"/>
    <n v="16334680"/>
    <x v="3"/>
    <x v="61"/>
    <n v="38"/>
    <s v="FALTA DE ETIQUETA PARA FINALIZAR OP"/>
    <m/>
    <m/>
    <d v="2026-08-06T18:09:03"/>
    <m/>
    <n v="1945"/>
    <x v="1"/>
    <n v="16334680"/>
    <m/>
    <d v="2026-08-06T00:00:00"/>
    <x v="0"/>
  </r>
  <r>
    <x v="165"/>
    <s v="freiresilvaconfeccoes@gmail.com"/>
    <n v="300287332"/>
    <n v="13132547"/>
    <x v="1"/>
    <x v="163"/>
    <n v="5"/>
    <s v="Material insuficiente "/>
    <m/>
    <s v="*"/>
    <d v="2026-08-07T06:51:20"/>
    <m/>
    <n v="1946"/>
    <x v="1"/>
    <s v="*"/>
    <m/>
    <d v="2026-08-07T00:00:00"/>
    <x v="0"/>
  </r>
  <r>
    <x v="21"/>
    <s v="potengitextil@outlook.com.br"/>
    <n v="300284270"/>
    <n v="16460863"/>
    <x v="1"/>
    <x v="61"/>
    <n v="9"/>
    <s v="Insuficiente para finalizar ordem "/>
    <m/>
    <m/>
    <d v="2026-08-07T06:55:34"/>
    <m/>
    <n v="1947"/>
    <x v="1"/>
    <n v="0"/>
    <m/>
    <d v="2026-08-07T00:00:00"/>
    <x v="0"/>
  </r>
  <r>
    <x v="56"/>
    <s v="idealconfecltda@gmail.com"/>
    <n v="300279404"/>
    <n v="16553330"/>
    <x v="2"/>
    <x v="49"/>
    <n v="1638"/>
    <s v="falta de envio"/>
    <m/>
    <s v="falta de etiqueta e codigo de aviamento"/>
    <d v="2026-08-07T07:37:34"/>
    <m/>
    <n v="1948"/>
    <x v="2"/>
    <n v="0"/>
    <m/>
    <d v="2026-08-07T00:00:00"/>
    <x v="0"/>
  </r>
  <r>
    <x v="171"/>
    <s v="confeccoesgbdas@hotmail.com"/>
    <n v="300289205"/>
    <n v="16488067"/>
    <x v="2"/>
    <x v="5"/>
    <n v="5"/>
    <s v="FALTA DE FILME PLASTICO PARA FAZER PASSANTE"/>
    <m/>
    <m/>
    <d v="2026-08-07T07:43:51"/>
    <m/>
    <n v="1949"/>
    <x v="1"/>
    <n v="16488067"/>
    <m/>
    <d v="2026-08-07T00:00:00"/>
    <x v="0"/>
  </r>
  <r>
    <x v="63"/>
    <s v="acaritextil2801@gmail.com"/>
    <n v="300280207"/>
    <n v="15865614"/>
    <x v="2"/>
    <x v="13"/>
    <n v="40"/>
    <s v="NÃO ENVIADO"/>
    <m/>
    <s v="ZIPER  MT MEDIO NIQ FIXO 15CM "/>
    <d v="2026-08-07T07:48:54"/>
    <m/>
    <n v="1950"/>
    <x v="1"/>
    <n v="10000064508"/>
    <m/>
    <d v="2026-08-07T00:00:00"/>
    <x v="0"/>
  </r>
  <r>
    <x v="23"/>
    <s v="reposicoesjkmodas@gmail.com"/>
    <n v="300283946"/>
    <n v="16523776"/>
    <x v="2"/>
    <x v="56"/>
    <n v="112"/>
    <s v="NÃO ENVIADO PELA GUARARPES"/>
    <m/>
    <m/>
    <d v="2026-08-07T08:03:37"/>
    <m/>
    <n v="1951"/>
    <x v="1"/>
    <n v="10000248117"/>
    <m/>
    <d v="2026-08-07T00:00:00"/>
    <x v="0"/>
  </r>
  <r>
    <x v="37"/>
    <s v="felconfeccao@gmail.com"/>
    <n v="300284151"/>
    <n v="16479157"/>
    <x v="3"/>
    <x v="12"/>
    <n v="3"/>
    <s v="FALTOU"/>
    <m/>
    <m/>
    <d v="2026-08-07T08:04:00"/>
    <m/>
    <n v="1952"/>
    <x v="1"/>
    <n v="0"/>
    <m/>
    <d v="2026-08-07T00:00:00"/>
    <x v="0"/>
  </r>
  <r>
    <x v="23"/>
    <s v="reposicoesjkmodas@gmail.com"/>
    <n v="300283945"/>
    <n v="16523776"/>
    <x v="2"/>
    <x v="61"/>
    <n v="3"/>
    <s v="NÃO ENVIADO PELA GUARARAPES"/>
    <m/>
    <m/>
    <d v="2026-08-07T08:07:13"/>
    <m/>
    <n v="1953"/>
    <x v="1"/>
    <n v="0"/>
    <m/>
    <d v="2026-08-07T00:00:00"/>
    <x v="0"/>
  </r>
  <r>
    <x v="207"/>
    <s v="bensilvaconfeccoes@gmail.com"/>
    <n v="300281901"/>
    <n v="16507665"/>
    <x v="2"/>
    <x v="159"/>
    <n v="52"/>
    <s v="FICOU FALTANDO 52 ETIQUETA POOL 52 SLIM "/>
    <m/>
    <s v="A ORDEM JÁ ESTÁ TODA PRONTA, O CAMINHÃO VEM COLETAR HOJE. SERA QUE NÃO TERIA A POSSIBILIDADE DESSAS ETIQUETAS SEREM COLOCADAS AI?  "/>
    <d v="2026-08-07T08:54:36"/>
    <m/>
    <n v="1954"/>
    <x v="1"/>
    <s v="NAO TEMOS "/>
    <m/>
    <d v="2026-08-07T00:00:00"/>
    <x v="0"/>
  </r>
  <r>
    <x v="211"/>
    <s v="marceloleite.mafaldo03@gmail.com"/>
    <n v="300281108"/>
    <n v="16519710"/>
    <x v="2"/>
    <x v="13"/>
    <n v="120"/>
    <s v="Veio faltando"/>
    <m/>
    <s v="Não veio a quantidade total da ordem, antes que pergunte, não enviaram o papel que contem os aviamentos."/>
    <d v="2026-08-07T09:20:23"/>
    <m/>
    <n v="1955"/>
    <x v="1"/>
    <s v="9.Z0756.015.CRU000"/>
    <m/>
    <d v="2026-08-07T00:00:00"/>
    <x v="0"/>
  </r>
  <r>
    <x v="174"/>
    <s v="jakeline.jl.confeccoes@gmail.com"/>
    <n v="300284180"/>
    <n v="16479181"/>
    <x v="2"/>
    <x v="58"/>
    <n v="31"/>
    <s v="Insuficiente para finalizar a ordem."/>
    <m/>
    <s v="Bolso frente bordado"/>
    <d v="2026-08-07T09:35:39"/>
    <m/>
    <n v="1956"/>
    <x v="1"/>
    <n v="0"/>
    <m/>
    <d v="2026-08-07T00:00:00"/>
    <x v="0"/>
  </r>
  <r>
    <x v="188"/>
    <s v="tendenciaconfec@gmail.com"/>
    <n v="300274664"/>
    <n v="15774104"/>
    <x v="2"/>
    <x v="5"/>
    <n v="6"/>
    <s v="FALTOU"/>
    <m/>
    <m/>
    <d v="2026-08-07T10:12:07"/>
    <m/>
    <n v="1957"/>
    <x v="1"/>
    <s v="Filme plástico para passante"/>
    <m/>
    <d v="2026-08-07T00:00:00"/>
    <x v="0"/>
  </r>
  <r>
    <x v="188"/>
    <s v="tendenciaconfec@gmail.com"/>
    <n v="300274659"/>
    <n v="15774104"/>
    <x v="2"/>
    <x v="5"/>
    <n v="6"/>
    <s v="faltou"/>
    <m/>
    <m/>
    <d v="2026-08-07T10:13:34"/>
    <m/>
    <n v="1958"/>
    <x v="1"/>
    <s v="Filme Plástico para passante"/>
    <m/>
    <d v="2026-08-07T00:00:00"/>
    <x v="0"/>
  </r>
  <r>
    <x v="35"/>
    <s v="lupercio-fnb@hotmail.com"/>
    <n v="300286533"/>
    <n v="16217780"/>
    <x v="2"/>
    <x v="159"/>
    <n v="9"/>
    <s v="faltou para finalização de ordem "/>
    <m/>
    <s v="Faltando para finalização de ordem"/>
    <d v="2026-08-07T10:41:59"/>
    <m/>
    <n v="1959"/>
    <x v="1"/>
    <n v="0"/>
    <m/>
    <d v="2026-08-07T00:00:00"/>
    <x v="0"/>
  </r>
  <r>
    <x v="82"/>
    <s v="vitalizeconfeccoes@gmail.com"/>
    <n v="300278093"/>
    <n v="16488040"/>
    <x v="3"/>
    <x v="54"/>
    <n v="46"/>
    <s v="INSUFICIENTE PARA FINALIZA A ORDEM "/>
    <m/>
    <s v="'XUXA&quot; PARA PREGA NO LAÇO"/>
    <d v="2026-08-07T13:17:59"/>
    <m/>
    <n v="1960"/>
    <x v="1"/>
    <n v="0"/>
    <m/>
    <d v="2026-08-07T00:00:00"/>
    <x v="0"/>
  </r>
  <r>
    <x v="169"/>
    <s v="acauaconfeccoes@outlook.com"/>
    <n v="300288817"/>
    <n v="16577434"/>
    <x v="3"/>
    <x v="19"/>
    <n v="833"/>
    <s v="Fios insuficiente pra iniciar a Op "/>
    <m/>
    <s v="Fios insuficientes"/>
    <d v="2026-08-07T13:37:29"/>
    <m/>
    <n v="1961"/>
    <x v="1"/>
    <n v="10000072008"/>
    <m/>
    <d v="2026-08-07T00:00:00"/>
    <x v="0"/>
  </r>
  <r>
    <x v="169"/>
    <s v="acauaconfeccoes@outlook.com"/>
    <n v="300288817"/>
    <n v="16577434"/>
    <x v="3"/>
    <x v="142"/>
    <n v="833"/>
    <s v="Linhas insuficientes pra iniciar a Op "/>
    <m/>
    <s v="Linhas insuficientes pra iniciar a Op "/>
    <d v="2026-08-07T13:39:19"/>
    <m/>
    <n v="1962"/>
    <x v="1"/>
    <n v="10000072583"/>
    <m/>
    <d v="2026-08-07T00:00:00"/>
    <x v="0"/>
  </r>
  <r>
    <x v="162"/>
    <s v="faccaoello@hotmail.com"/>
    <n v="300287587"/>
    <n v="16373685"/>
    <x v="2"/>
    <x v="18"/>
    <n v="1508"/>
    <s v="Material não enviado pela Guararapes"/>
    <m/>
    <m/>
    <d v="2026-08-07T13:41:06"/>
    <m/>
    <n v="1963"/>
    <x v="2"/>
    <n v="0"/>
    <m/>
    <d v="2026-08-07T00:00:00"/>
    <x v="0"/>
  </r>
  <r>
    <x v="163"/>
    <s v="felconfeccao@gmail.com"/>
    <n v="300282776"/>
    <n v="16242998"/>
    <x v="2"/>
    <x v="49"/>
    <n v="43"/>
    <s v="insuficiente"/>
    <m/>
    <m/>
    <d v="2026-08-07T13:42:28"/>
    <m/>
    <n v="1964"/>
    <x v="1"/>
    <n v="100000249817"/>
    <m/>
    <d v="2026-08-07T00:00:00"/>
    <x v="0"/>
  </r>
  <r>
    <x v="193"/>
    <s v="ajgconfeccoes2021@gmail.com"/>
    <n v="300289390"/>
    <n v="16461908"/>
    <x v="2"/>
    <x v="142"/>
    <s v="3 cones "/>
    <s v="Veio poucas "/>
    <m/>
    <s v="Vai faltar finalizar Op "/>
    <d v="2026-08-07T13:44:45"/>
    <m/>
    <n v="1965"/>
    <x v="1"/>
    <n v="10000063189"/>
    <m/>
    <d v="2026-08-07T00:00:00"/>
    <x v="0"/>
  </r>
  <r>
    <x v="196"/>
    <s v="samuelmedeiros074@hotmail.com"/>
    <n v="300289610"/>
    <n v="16537769"/>
    <x v="2"/>
    <x v="61"/>
    <n v="52"/>
    <s v="ETIQUETA COM FALHA NAS INFORMAÇÕES"/>
    <m/>
    <s v="ETIQUETAS COM FALHAS NA INFORMAÇÕES"/>
    <d v="2026-08-07T14:42:22"/>
    <m/>
    <n v="1966"/>
    <x v="1"/>
    <s v="."/>
    <m/>
    <d v="2026-08-07T00:00:00"/>
    <x v="0"/>
  </r>
  <r>
    <x v="35"/>
    <s v="lupercio-fnb@hotmail.com"/>
    <n v="300287372"/>
    <n v="16442679"/>
    <x v="1"/>
    <x v="61"/>
    <n v="6"/>
    <s v="Faltando para finalização de ordem"/>
    <m/>
    <s v="Faltando para finalização de ordem no processo"/>
    <d v="2026-08-07T15:07:58"/>
    <m/>
    <n v="1967"/>
    <x v="1"/>
    <n v="0"/>
    <m/>
    <d v="2026-08-07T00:00:00"/>
    <x v="0"/>
  </r>
  <r>
    <x v="15"/>
    <s v="spauloazevedo@bol.com.br"/>
    <n v="300286147"/>
    <n v="16474570"/>
    <x v="2"/>
    <x v="61"/>
    <n v="8"/>
    <s v="falta"/>
    <m/>
    <s v="veio faltando"/>
    <d v="2026-08-07T15:28:12"/>
    <m/>
    <n v="1968"/>
    <x v="1"/>
    <s v="etq de composição"/>
    <m/>
    <d v="2026-08-07T00:00:00"/>
    <x v="0"/>
  </r>
  <r>
    <x v="35"/>
    <s v="lupercio-fnb@hotmail.com"/>
    <n v="300286533"/>
    <n v="16217780"/>
    <x v="2"/>
    <x v="159"/>
    <n v="4"/>
    <s v="Faltando para finalização de ordem"/>
    <m/>
    <s v="Faltando para finalização de ordem"/>
    <d v="2026-08-07T15:35:26"/>
    <m/>
    <n v="1969"/>
    <x v="1"/>
    <n v="0"/>
    <m/>
    <d v="2026-08-07T00:00:00"/>
    <x v="0"/>
  </r>
  <r>
    <x v="185"/>
    <s v="fernandoassu@gmail.com"/>
    <n v="300285007"/>
    <n v="16482204"/>
    <x v="2"/>
    <x v="17"/>
    <s v="190 pares de cós "/>
    <s v="Não enviado "/>
    <m/>
    <m/>
    <d v="2026-08-07T15:37:00"/>
    <m/>
    <n v="1970"/>
    <x v="1"/>
    <n v="206"/>
    <m/>
    <d v="2026-08-07T00:00:00"/>
    <x v="0"/>
  </r>
  <r>
    <x v="190"/>
    <s v="EMPORIODAMODAMOSSORO@GMAIL.COM"/>
    <n v="300286125"/>
    <n v="16488393"/>
    <x v="2"/>
    <x v="49"/>
    <n v="1288"/>
    <s v="nao enviada"/>
    <m/>
    <s v="etiqueta de marca (short chino) "/>
    <d v="2026-08-07T15:40:19"/>
    <m/>
    <n v="1971"/>
    <x v="1"/>
    <n v="0"/>
    <m/>
    <d v="2026-08-07T00:00:00"/>
    <x v="0"/>
  </r>
  <r>
    <x v="196"/>
    <s v="samuelmedeiros074@hotmail.com"/>
    <n v="300281103"/>
    <n v="15775496"/>
    <x v="2"/>
    <x v="61"/>
    <n v="60"/>
    <s v="ETIQUETA COM INFORMAÇÕES COM FALHA"/>
    <m/>
    <s v="ETIQUETAS COM INFORMAÇÕES COM FALHA"/>
    <d v="2026-08-07T15:50:30"/>
    <m/>
    <n v="1972"/>
    <x v="1"/>
    <s v="."/>
    <m/>
    <d v="2026-08-07T00:00:00"/>
    <x v="0"/>
  </r>
  <r>
    <x v="162"/>
    <s v="faccaoello@hotmail.com"/>
    <n v="300287238"/>
    <n v="16448421"/>
    <x v="2"/>
    <x v="49"/>
    <n v="45"/>
    <s v="Material não enviado pela Guararapes"/>
    <m/>
    <m/>
    <d v="2026-08-07T16:32:04"/>
    <m/>
    <n v="1973"/>
    <x v="1"/>
    <s v="10000247727; 10000247728; 10000247729; 10000247750; 10000253910; 10000247751"/>
    <m/>
    <d v="2026-08-07T00:00:00"/>
    <x v="0"/>
  </r>
  <r>
    <x v="11"/>
    <s v="S.a.confeccoesind@gmail.com"/>
    <n v="300285310"/>
    <n v="15762831"/>
    <x v="2"/>
    <x v="160"/>
    <n v="30"/>
    <s v="Material insuficiente para guardar as peças"/>
    <m/>
    <s v="Sacos para artoks"/>
    <d v="2026-08-07T17:14:08"/>
    <m/>
    <n v="1974"/>
    <x v="1"/>
    <n v="0"/>
    <m/>
    <d v="2026-08-07T00:00:00"/>
    <x v="0"/>
  </r>
  <r>
    <x v="8"/>
    <s v="tlcserranatextil@gmail.com"/>
    <n v="300282806"/>
    <n v="16474244"/>
    <x v="1"/>
    <x v="21"/>
    <s v="22 peças"/>
    <s v="Veio faltando o atado tamanho M 4796435"/>
    <m/>
    <s v="Veio faltando somente este atado"/>
    <d v="2026-08-10T07:07:07"/>
    <m/>
    <n v="1975"/>
    <x v="1"/>
    <n v="0"/>
    <m/>
    <d v="2026-08-10T00:00:00"/>
    <x v="1"/>
  </r>
  <r>
    <x v="8"/>
    <s v="tlcserranatextil@gmail.com"/>
    <n v="300283251"/>
    <n v="15991431"/>
    <x v="1"/>
    <x v="19"/>
    <s v="1.071 peças"/>
    <s v="não veio"/>
    <m/>
    <s v="18 cones para abastecimento"/>
    <d v="2026-08-10T07:32:46"/>
    <m/>
    <n v="1977"/>
    <x v="2"/>
    <s v="000000010000072078 - 9.FI000.001.190912"/>
    <m/>
    <d v="2026-08-10T00:00:00"/>
    <x v="1"/>
  </r>
  <r>
    <x v="8"/>
    <s v="tlcserranatextil@gmail.com"/>
    <n v="300283251"/>
    <n v="15991431"/>
    <x v="1"/>
    <x v="142"/>
    <s v="1071 peças"/>
    <s v="não veio"/>
    <m/>
    <s v="32 cones para abastecimento"/>
    <d v="2026-08-10T07:35:09"/>
    <m/>
    <n v="1978"/>
    <x v="1"/>
    <s v="000000010000062706 - 9.LI001.120.191432"/>
    <m/>
    <d v="2026-08-10T00:00:00"/>
    <x v="1"/>
  </r>
  <r>
    <x v="32"/>
    <s v="di3confec@gmail.com"/>
    <n v="300288370"/>
    <n v="16538196"/>
    <x v="2"/>
    <x v="19"/>
    <n v="4"/>
    <s v="Material insuficiente"/>
    <m/>
    <s v="Material insuficiente"/>
    <d v="2026-08-10T07:49:53"/>
    <m/>
    <n v="1979"/>
    <x v="1"/>
    <n v="10000071648"/>
    <m/>
    <d v="2026-08-10T00:00:00"/>
    <x v="1"/>
  </r>
  <r>
    <x v="32"/>
    <s v="di3confec@gmail.com"/>
    <n v="300288370"/>
    <n v="16538196"/>
    <x v="2"/>
    <x v="142"/>
    <n v="4"/>
    <s v="Material insuficiente"/>
    <m/>
    <s v="Material insuficiente"/>
    <d v="2026-08-10T07:50:52"/>
    <m/>
    <n v="1980"/>
    <x v="1"/>
    <n v="10000072798"/>
    <m/>
    <d v="2026-08-10T00:00:00"/>
    <x v="1"/>
  </r>
  <r>
    <x v="188"/>
    <s v="tendenciaconfec@gmail.com"/>
    <n v="300274662"/>
    <n v="15774104"/>
    <x v="2"/>
    <x v="13"/>
    <n v="60"/>
    <s v="Insuficiente para finalizar op"/>
    <m/>
    <s v="ZÍPER MT MÉDIO NIQ FIXO 14CM, 15CM151217"/>
    <d v="2026-08-10T07:55:23"/>
    <m/>
    <n v="1981"/>
    <x v="1"/>
    <s v="000000010000065048 - 9.Z0127.014.151217; 000000010000152016 - 9.Z0127.015.151217"/>
    <m/>
    <d v="2026-08-10T00:00:00"/>
    <x v="1"/>
  </r>
  <r>
    <x v="163"/>
    <s v="felconfeccao@gmail.com"/>
    <n v="300287630"/>
    <n v="16218957"/>
    <x v="2"/>
    <x v="18"/>
    <n v="2875"/>
    <s v="NÃO ENVIADO"/>
    <m/>
    <m/>
    <d v="2026-08-10T07:56:36"/>
    <m/>
    <n v="1982"/>
    <x v="1"/>
    <n v="10000195771"/>
    <m/>
    <d v="2026-08-10T00:00:00"/>
    <x v="1"/>
  </r>
  <r>
    <x v="44"/>
    <s v="teceuzl@hotmail.com"/>
    <n v="300289276"/>
    <n v="15215539"/>
    <x v="1"/>
    <x v="20"/>
    <n v="555"/>
    <s v="Veio faltando os punhos do tamanho GG-XG"/>
    <m/>
    <m/>
    <d v="2026-08-10T08:07:28"/>
    <m/>
    <n v="1983"/>
    <x v="1"/>
    <n v="0"/>
    <m/>
    <d v="2026-08-10T00:00:00"/>
    <x v="1"/>
  </r>
  <r>
    <x v="164"/>
    <s v="auxiforte@hotmail.com"/>
    <n v="300288804"/>
    <n v="16535642"/>
    <x v="0"/>
    <x v="4"/>
    <n v="930"/>
    <s v="MATERIAL ENVIADO COM DEFEITO/FALTANDO"/>
    <m/>
    <s v="Material enviado veio com defeito, sem a logo marca da riachuelo e totalmente em branco na parte traseira da etiqueta."/>
    <d v="2026-08-10T08:09:08"/>
    <m/>
    <n v="1984"/>
    <x v="2"/>
    <n v="0"/>
    <m/>
    <d v="2026-08-10T00:00:00"/>
    <x v="1"/>
  </r>
  <r>
    <x v="8"/>
    <s v="tlcserranatextil@gmail.com"/>
    <n v="300283251"/>
    <n v="15991431"/>
    <x v="1"/>
    <x v="142"/>
    <s v="1.071 peças."/>
    <s v="não veio"/>
    <m/>
    <s v=" 28 cones para abastecimento"/>
    <d v="2026-08-10T08:30:49"/>
    <m/>
    <n v="1976"/>
    <x v="2"/>
    <s v="9.LI001.120.191432"/>
    <m/>
    <d v="2026-08-10T00:00:00"/>
    <x v="1"/>
  </r>
  <r>
    <x v="175"/>
    <s v="confeccaogenesisltda@gmail.com"/>
    <n v="300287952"/>
    <n v="16518837"/>
    <x v="0"/>
    <x v="58"/>
    <n v="100"/>
    <s v="VEIO FALTANDO BOLSO EM OUTRA ORDEM E PEGAMOS DESSA PARA SUBSTITUIR "/>
    <m/>
    <m/>
    <d v="2026-08-10T08:43:20"/>
    <m/>
    <n v="1985"/>
    <x v="1"/>
    <n v="0"/>
    <m/>
    <d v="2026-08-10T00:00:00"/>
    <x v="1"/>
  </r>
  <r>
    <x v="32"/>
    <s v="di3confec@gmail.com"/>
    <n v="300271871"/>
    <n v="16222954"/>
    <x v="3"/>
    <x v="6"/>
    <n v="100"/>
    <s v="Faltando 100 golas tamanho M"/>
    <m/>
    <s v="Faltando 100 golas tamanho M"/>
    <d v="2026-08-10T08:53:14"/>
    <m/>
    <n v="1986"/>
    <x v="1"/>
    <n v="0"/>
    <m/>
    <d v="2026-08-10T00:00:00"/>
    <x v="1"/>
  </r>
  <r>
    <x v="184"/>
    <s v="encantopoest@gmail.com"/>
    <n v="300286546"/>
    <n v="16299213"/>
    <x v="2"/>
    <x v="5"/>
    <n v="10"/>
    <s v="material insuficiente "/>
    <m/>
    <s v="filme plastico do estreito para passante"/>
    <d v="2026-08-10T09:08:12"/>
    <m/>
    <n v="1987"/>
    <x v="1"/>
    <n v="0"/>
    <m/>
    <d v="2026-08-10T00:00:00"/>
    <x v="1"/>
  </r>
  <r>
    <x v="185"/>
    <s v="fernandoassu@gmail.com"/>
    <n v="300285007"/>
    <n v="16482204"/>
    <x v="2"/>
    <x v="13"/>
    <s v="35 tam 15cm"/>
    <s v="Incompleto "/>
    <m/>
    <m/>
    <d v="2026-08-10T09:24:57"/>
    <m/>
    <n v="1988"/>
    <x v="1"/>
    <n v="10000064458"/>
    <m/>
    <d v="2026-08-10T00:00:00"/>
    <x v="1"/>
  </r>
  <r>
    <x v="79"/>
    <s v="artejeans23@gmail.com"/>
    <n v="300283508"/>
    <n v="16273311"/>
    <x v="2"/>
    <x v="13"/>
    <n v="150"/>
    <s v="Quantidade insuficiente para a finalização da ordem"/>
    <m/>
    <s v="São 150 ziperes tamanho 13cm"/>
    <d v="2026-08-10T09:49:42"/>
    <m/>
    <n v="1989"/>
    <x v="1"/>
    <n v="241454"/>
    <m/>
    <d v="2026-08-10T00:00:00"/>
    <x v="1"/>
  </r>
  <r>
    <x v="213"/>
    <s v="seridoconfeccoes@gmail.com"/>
    <n v="300281110"/>
    <n v="16519710"/>
    <x v="2"/>
    <x v="142"/>
    <s v="8 cones"/>
    <s v="insuficiente para finalizar a op"/>
    <m/>
    <s v="cor:5051 tit:36"/>
    <d v="2026-08-10T09:59:53"/>
    <m/>
    <n v="1990"/>
    <x v="1"/>
    <n v="0"/>
    <m/>
    <d v="2026-08-10T00:00:00"/>
    <x v="1"/>
  </r>
  <r>
    <x v="213"/>
    <s v="seridoconfeccoes@gmail.com"/>
    <n v="300281110"/>
    <n v="16519710"/>
    <x v="2"/>
    <x v="142"/>
    <s v="cor: 0688 10 cones"/>
    <s v="insuficiente para finalizar a op "/>
    <m/>
    <s v="cor 0688 10 cones"/>
    <d v="2026-08-10T10:45:46"/>
    <m/>
    <n v="1991"/>
    <x v="1"/>
    <n v="0"/>
    <m/>
    <d v="2026-08-10T00:00:00"/>
    <x v="1"/>
  </r>
  <r>
    <x v="178"/>
    <s v="faccao_sales2010@hotmail.com"/>
    <n v="300279708"/>
    <n v="16447590"/>
    <x v="2"/>
    <x v="16"/>
    <n v="1122"/>
    <s v="NÃO ENVIADO PELA GUARARAPES"/>
    <m/>
    <m/>
    <d v="2026-08-10T11:30:32"/>
    <m/>
    <n v="1992"/>
    <x v="2"/>
    <s v="-"/>
    <m/>
    <d v="2026-08-10T00:00:00"/>
    <x v="1"/>
  </r>
  <r>
    <x v="175"/>
    <s v="confeccaogenesisltda@gmail.com"/>
    <n v="300288345"/>
    <n v="16356780"/>
    <x v="3"/>
    <x v="142"/>
    <n v="10"/>
    <s v="quantidade enviada insuficiente para finalizar a op"/>
    <m/>
    <m/>
    <d v="2026-08-10T13:08:18"/>
    <m/>
    <n v="1993"/>
    <x v="1"/>
    <n v="0"/>
    <m/>
    <d v="2026-08-10T00:00:00"/>
    <x v="1"/>
  </r>
  <r>
    <x v="196"/>
    <s v="samuelmedeiros074@hotmail.com"/>
    <n v="300281103"/>
    <n v="15775496"/>
    <x v="2"/>
    <x v="61"/>
    <n v="40"/>
    <s v="ETIQUETAS COM INFORMAÇÕES FALHADAS"/>
    <m/>
    <s v="ETIQUETAS COM INFORMAÇÕES FALHADAS"/>
    <d v="2026-08-10T13:18:00"/>
    <m/>
    <n v="1994"/>
    <x v="1"/>
    <s v="."/>
    <m/>
    <d v="2026-08-10T00:00:00"/>
    <x v="1"/>
  </r>
  <r>
    <x v="27"/>
    <s v="ffconfeccoesobrn@hotmail.com"/>
    <n v="300281526"/>
    <n v="16520050"/>
    <x v="2"/>
    <x v="17"/>
    <n v="10"/>
    <s v="INSUFICIENTE PARA FINALIZAR ORDEM "/>
    <m/>
    <s v="CÓS NA COR PRETA"/>
    <d v="2026-08-10T13:21:09"/>
    <m/>
    <n v="1995"/>
    <x v="1"/>
    <n v="0"/>
    <m/>
    <d v="2026-08-10T00:00:00"/>
    <x v="1"/>
  </r>
  <r>
    <x v="74"/>
    <s v="imdeoliveirasilva-me@hotmail.com"/>
    <n v="300281104"/>
    <n v="16519710"/>
    <x v="2"/>
    <x v="142"/>
    <s v="10 CONES"/>
    <s v="MATERIAL INSUFICIENTE PARA CONCLUIR A ORDEM"/>
    <m/>
    <s v="VIERAM POUCOS CONES DA REFERIDA LINHA"/>
    <d v="2026-08-10T14:16:42"/>
    <m/>
    <n v="1996"/>
    <x v="1"/>
    <n v="10000073264"/>
    <m/>
    <d v="2026-08-10T00:00:00"/>
    <x v="1"/>
  </r>
  <r>
    <x v="82"/>
    <s v="vitalizeconfeccoes@gmail.com"/>
    <n v="300281916"/>
    <n v="16565746"/>
    <x v="3"/>
    <x v="163"/>
    <s v="3=20"/>
    <s v="INSUFICIENTE PARA FINALIZA A ORDEM "/>
    <m/>
    <m/>
    <d v="2026-08-10T14:54:55"/>
    <m/>
    <n v="1997"/>
    <x v="1"/>
    <n v="0"/>
    <m/>
    <d v="2026-08-10T00:00:00"/>
    <x v="1"/>
  </r>
  <r>
    <x v="82"/>
    <s v="vitalizeconfeccoes@gmail.com"/>
    <n v="300281916"/>
    <n v="16565746"/>
    <x v="3"/>
    <x v="61"/>
    <n v="17"/>
    <s v="INSUFICIENTE PARA FINALIZA A ORDEM "/>
    <m/>
    <m/>
    <d v="2026-08-10T14:56:30"/>
    <m/>
    <n v="1998"/>
    <x v="1"/>
    <n v="0"/>
    <m/>
    <d v="2026-08-10T00:00:00"/>
    <x v="1"/>
  </r>
  <r>
    <x v="203"/>
    <s v="jolitextilfabrica@gmail.com"/>
    <n v="300283672"/>
    <n v="16448162"/>
    <x v="3"/>
    <x v="19"/>
    <n v="8"/>
    <s v="VEIO QUANTIDADE INSUFICIENTE"/>
    <m/>
    <m/>
    <d v="2026-08-10T15:08:11"/>
    <m/>
    <n v="1999"/>
    <x v="1"/>
    <n v="977"/>
    <m/>
    <d v="2026-08-10T00:00:00"/>
    <x v="1"/>
  </r>
  <r>
    <x v="214"/>
    <s v="flordosertaotextil2025@gmail.com"/>
    <n v="300288298"/>
    <n v="16440919"/>
    <x v="3"/>
    <x v="4"/>
    <n v="1224"/>
    <s v="Material não enviado"/>
    <m/>
    <m/>
    <d v="2026-08-10T15:35:49"/>
    <m/>
    <n v="2000"/>
    <x v="2"/>
    <n v="314"/>
    <m/>
    <d v="2026-08-10T00:00:00"/>
    <x v="1"/>
  </r>
  <r>
    <x v="194"/>
    <s v="pn.fenix@gmail.com"/>
    <n v="300286555"/>
    <n v="16272676"/>
    <x v="2"/>
    <x v="142"/>
    <n v="3"/>
    <s v="insuficiente para finalizar a op"/>
    <m/>
    <s v="insuficiente para finalizar a op"/>
    <d v="2026-08-10T17:12:22"/>
    <m/>
    <n v="2001"/>
    <x v="1"/>
    <n v="10000063328"/>
    <m/>
    <d v="2026-08-10T00:00:00"/>
    <x v="1"/>
  </r>
  <r>
    <x v="74"/>
    <s v="imdeoliveirasilva-me@hotmail.com"/>
    <n v="300286122"/>
    <n v="16494610"/>
    <x v="2"/>
    <x v="5"/>
    <s v="10 ROLOS"/>
    <s v="MATERIAL INSUFICIENTE PARA CONCLUIR A ORDEM"/>
    <m/>
    <s v="SEM MATERIAL NA OFICINA PARA DAR CONTINUIDADE NA ORDEM"/>
    <d v="2026-08-10T17:19:12"/>
    <m/>
    <n v="2002"/>
    <x v="1"/>
    <n v="0"/>
    <m/>
    <d v="2026-08-10T00:00:00"/>
    <x v="1"/>
  </r>
  <r>
    <x v="181"/>
    <s v="asaequador@gmail.com"/>
    <n v="300287593"/>
    <n v="16310217"/>
    <x v="2"/>
    <x v="61"/>
    <n v="280"/>
    <s v="não veio"/>
    <m/>
    <s v="não veio com a ordem"/>
    <d v="2026-08-10T17:42:49"/>
    <m/>
    <n v="2003"/>
    <x v="1"/>
    <n v="0"/>
    <m/>
    <d v="2026-08-10T00:00:00"/>
    <x v="1"/>
  </r>
  <r>
    <x v="212"/>
    <s v="marionetemedeiros2@hotmail.com"/>
    <n v="300283195"/>
    <n v="16243161"/>
    <x v="2"/>
    <x v="61"/>
    <n v="4"/>
    <s v="Faltou 4 et"/>
    <m/>
    <s v="Etiqueta de composição "/>
    <d v="2026-08-10T17:50:10"/>
    <m/>
    <n v="2004"/>
    <x v="1"/>
    <n v="0"/>
    <m/>
    <d v="2026-08-10T00:00:00"/>
    <x v="1"/>
  </r>
  <r>
    <x v="212"/>
    <s v="marionetemedeiros2@hotmail.com"/>
    <n v="300283195"/>
    <n v="16243161"/>
    <x v="2"/>
    <x v="49"/>
    <n v="4"/>
    <s v="Faltou para concluir op"/>
    <m/>
    <s v="Etiqueta no interno do cos"/>
    <d v="2026-08-10T17:54:00"/>
    <m/>
    <n v="2005"/>
    <x v="1"/>
    <s v="9.ETR07.12A.BR9999"/>
    <m/>
    <d v="2026-08-10T00:00:00"/>
    <x v="1"/>
  </r>
  <r>
    <x v="21"/>
    <s v="potengitextil@outlook.com.br"/>
    <n v="300288364"/>
    <n v="16501250"/>
    <x v="3"/>
    <x v="22"/>
    <n v="90"/>
    <s v="Material não enviado pela guararapes "/>
    <m/>
    <s v="Sequência de enfesto 002 não enviado. "/>
    <d v="2026-08-11T07:16:59"/>
    <m/>
    <n v="2006"/>
    <x v="1"/>
    <n v="0"/>
    <m/>
    <d v="2026-08-11T00:00:00"/>
    <x v="1"/>
  </r>
  <r>
    <x v="21"/>
    <s v="potengitextil@outlook.com.br"/>
    <n v="300288364"/>
    <n v="16501250"/>
    <x v="3"/>
    <x v="12"/>
    <n v="90"/>
    <s v="Material não enviado pela guararapes "/>
    <m/>
    <s v="Lotes do Enfesto 002 não enviado. "/>
    <d v="2026-08-11T07:18:21"/>
    <m/>
    <n v="2007"/>
    <x v="1"/>
    <n v="0"/>
    <m/>
    <d v="2026-08-11T00:00:00"/>
    <x v="1"/>
  </r>
  <r>
    <x v="56"/>
    <s v="idealconfecltda@gmail.com"/>
    <n v="300279404"/>
    <n v="16553330"/>
    <x v="2"/>
    <x v="49"/>
    <n v="25"/>
    <s v="INSUFICIENTE PARA FINALIZAR"/>
    <m/>
    <s v="VEIO SEM CODIGO DE AVIAMENTO E FALTOU PARA FINALIZAR OP"/>
    <d v="2026-08-11T07:37:46"/>
    <m/>
    <n v="2008"/>
    <x v="1"/>
    <n v="0"/>
    <m/>
    <d v="2026-08-11T00:00:00"/>
    <x v="1"/>
  </r>
  <r>
    <x v="209"/>
    <s v="jessicarosana823@gmail.com"/>
    <n v="300285798"/>
    <n v="16448154"/>
    <x v="3"/>
    <x v="4"/>
    <n v="250"/>
    <s v="várias etiquetas com falha no código"/>
    <m/>
    <s v="Já tinhamos concluido a ordem, mas fomos revisar novamente e achamos muitas etiquetas de preço com falha. se possivel enviar no caminhão de hoje, ficaremos agradecidos."/>
    <d v="2026-08-11T07:41:38"/>
    <m/>
    <n v="2009"/>
    <x v="1"/>
    <n v="0"/>
    <m/>
    <d v="2026-08-11T00:00:00"/>
    <x v="1"/>
  </r>
  <r>
    <x v="205"/>
    <s v="Sjarlandia@hotmail.com"/>
    <n v="300285091"/>
    <n v="16292888"/>
    <x v="2"/>
    <x v="26"/>
    <n v="127"/>
    <s v="Veio apenas lado direito ,preciso do lado esquerdo "/>
    <m/>
    <s v="Tenho lado direito e preciso do lado esquerdo "/>
    <d v="2026-08-11T08:00:23"/>
    <m/>
    <n v="2010"/>
    <x v="1"/>
    <n v="0"/>
    <m/>
    <d v="2026-08-11T00:00:00"/>
    <x v="1"/>
  </r>
  <r>
    <x v="15"/>
    <s v="spauloazevedo@bol.com.br"/>
    <n v="300286147"/>
    <n v="16474570"/>
    <x v="2"/>
    <x v="5"/>
    <n v="20"/>
    <s v="vai faltar"/>
    <m/>
    <s v="Só me restam um rolo de plástico filme pra passantes"/>
    <d v="2026-08-11T08:00:54"/>
    <m/>
    <n v="2011"/>
    <x v="1"/>
    <n v="0"/>
    <m/>
    <d v="2026-08-11T00:00:00"/>
    <x v="1"/>
  </r>
  <r>
    <x v="75"/>
    <s v="maciel.dalison@hotmail.com"/>
    <n v="300281530"/>
    <n v="16520050"/>
    <x v="2"/>
    <x v="5"/>
    <n v="15"/>
    <s v="ACABOU"/>
    <m/>
    <s v="Acabou"/>
    <d v="2026-08-11T08:03:42"/>
    <m/>
    <n v="2012"/>
    <x v="1"/>
    <n v="0"/>
    <m/>
    <d v="2026-08-11T00:00:00"/>
    <x v="1"/>
  </r>
  <r>
    <x v="15"/>
    <s v="spauloazevedo@bol.com.br"/>
    <n v="300276804"/>
    <n v="16508076"/>
    <x v="2"/>
    <x v="10"/>
    <n v="1"/>
    <s v="Vai acabar o papelão"/>
    <m/>
    <s v="Vai acabar os papelão aqui"/>
    <d v="2026-08-11T08:04:04"/>
    <m/>
    <n v="2013"/>
    <x v="1"/>
    <n v="0"/>
    <m/>
    <d v="2026-08-11T00:00:00"/>
    <x v="1"/>
  </r>
  <r>
    <x v="13"/>
    <s v="administrativo@zajaconfeccoes.com.br"/>
    <n v="300285303"/>
    <n v="15762831"/>
    <x v="2"/>
    <x v="49"/>
    <n v="1"/>
    <s v="insuficiente "/>
    <m/>
    <m/>
    <d v="2026-08-11T08:36:33"/>
    <m/>
    <n v="2014"/>
    <x v="1"/>
    <n v="10000214516"/>
    <m/>
    <d v="2026-08-11T00:00:00"/>
    <x v="1"/>
  </r>
  <r>
    <x v="13"/>
    <s v="administrativo@zajaconfecoes.com.br"/>
    <n v="300285303"/>
    <n v="15762831"/>
    <x v="2"/>
    <x v="159"/>
    <n v="3"/>
    <s v="insuficiente "/>
    <m/>
    <m/>
    <d v="2026-08-11T08:37:37"/>
    <m/>
    <n v="2015"/>
    <x v="1"/>
    <n v="10000228847"/>
    <m/>
    <d v="2026-08-11T00:00:00"/>
    <x v="1"/>
  </r>
  <r>
    <x v="13"/>
    <s v="administrativo@zajaconfeccoes.com.br"/>
    <n v="300277529"/>
    <n v="16212878"/>
    <x v="2"/>
    <x v="165"/>
    <n v="7"/>
    <s v="insuficente "/>
    <m/>
    <m/>
    <d v="2026-08-11T08:39:41"/>
    <m/>
    <n v="2016"/>
    <x v="1"/>
    <n v="0"/>
    <m/>
    <d v="2026-08-11T00:00:00"/>
    <x v="1"/>
  </r>
  <r>
    <x v="13"/>
    <s v="administrativo@zajaconfeccoes.com.br"/>
    <n v="300277529"/>
    <n v="16212878"/>
    <x v="2"/>
    <x v="165"/>
    <n v="13"/>
    <s v="insuficiente "/>
    <m/>
    <s v="peitinlho das costas "/>
    <d v="2026-08-11T08:41:00"/>
    <m/>
    <n v="2017"/>
    <x v="1"/>
    <n v="0"/>
    <m/>
    <d v="2026-08-11T00:00:00"/>
    <x v="1"/>
  </r>
  <r>
    <x v="193"/>
    <s v="ajgconfeccoes2021@gmail.com"/>
    <n v="300288416"/>
    <n v="16632800"/>
    <x v="2"/>
    <x v="49"/>
    <n v="15"/>
    <s v="Faltou 15 etiquetas de marca tamanho 11-12 "/>
    <m/>
    <s v="Faltou "/>
    <d v="2026-08-11T09:18:57"/>
    <m/>
    <n v="2018"/>
    <x v="1"/>
    <s v="N tem "/>
    <m/>
    <d v="2026-08-11T00:00:00"/>
    <x v="1"/>
  </r>
  <r>
    <x v="207"/>
    <s v="bensilvaconfeccoes@gmail.com"/>
    <n v="300285008"/>
    <n v="16482204"/>
    <x v="2"/>
    <x v="142"/>
    <s v="10 cones "/>
    <s v="ta faltando "/>
    <m/>
    <s v="LINHA 100%PES TIT80 S.650 154008 "/>
    <d v="2026-08-11T09:20:22"/>
    <m/>
    <n v="2019"/>
    <x v="1"/>
    <n v="10000063106"/>
    <m/>
    <d v="2026-08-11T00:00:00"/>
    <x v="1"/>
  </r>
  <r>
    <x v="69"/>
    <s v="a.sempreendimentostextil@gmail.com"/>
    <n v="300285683"/>
    <n v="16218159"/>
    <x v="2"/>
    <x v="5"/>
    <n v="10"/>
    <s v="ACABOU"/>
    <m/>
    <s v="acabou o filme"/>
    <d v="2026-08-11T09:28:33"/>
    <m/>
    <n v="2020"/>
    <x v="1"/>
    <n v="0"/>
    <m/>
    <d v="2026-08-11T00:00:00"/>
    <x v="1"/>
  </r>
  <r>
    <x v="175"/>
    <s v="confeccaogenesisltda@gmail.com"/>
    <n v="300288802"/>
    <n v="16535642"/>
    <x v="0"/>
    <x v="49"/>
    <n v="75"/>
    <s v="quantidade insuficiente para finalizar a ordem"/>
    <m/>
    <s v="veio faltando"/>
    <d v="2026-08-11T09:44:13"/>
    <m/>
    <n v="2021"/>
    <x v="1"/>
    <n v="10000249358"/>
    <m/>
    <d v="2026-08-11T00:00:00"/>
    <x v="1"/>
  </r>
  <r>
    <x v="25"/>
    <s v="reposicoesjkmodas@gmail.com"/>
    <n v="300278792"/>
    <n v="16324692"/>
    <x v="2"/>
    <x v="13"/>
    <n v="50"/>
    <s v="NÃO ENVIADO PELA GUARARAPES"/>
    <m/>
    <m/>
    <d v="2026-08-11T09:55:16"/>
    <m/>
    <n v="2022"/>
    <x v="1"/>
    <n v="10000211585"/>
    <m/>
    <d v="2026-08-11T00:00:00"/>
    <x v="1"/>
  </r>
  <r>
    <x v="11"/>
    <s v="S.a.confeccoesind@gmail.com"/>
    <n v="300288421"/>
    <n v="16186621"/>
    <x v="2"/>
    <x v="5"/>
    <n v="100000"/>
    <s v="Material insuficiente para finalizar op"/>
    <m/>
    <s v="Plástico de fusionar passante"/>
    <d v="2026-08-11T09:58:15"/>
    <m/>
    <n v="2023"/>
    <x v="1"/>
    <n v="0"/>
    <m/>
    <d v="2026-08-11T00:00:00"/>
    <x v="1"/>
  </r>
  <r>
    <x v="204"/>
    <s v="ivan.vereadorcamara@hotmail.com"/>
    <n v="300282341"/>
    <n v="16482174"/>
    <x v="2"/>
    <x v="12"/>
    <s v="3 trazeira 36 2 trazeira 42 1 traseira 40 1 traseira 38"/>
    <s v="sobrou 3 frente 36,2 frente 42 1 frente 40 e 1 frente38 e não veio as trazeiras pra montar!3 trazeira"/>
    <m/>
    <s v="preciso das etiquetas de composiçâo tambem!"/>
    <d v="2026-08-11T09:59:33"/>
    <m/>
    <n v="2024"/>
    <x v="1"/>
    <s v="xxxxxxxx"/>
    <m/>
    <d v="2026-08-11T00:00:00"/>
    <x v="1"/>
  </r>
  <r>
    <x v="25"/>
    <s v="reposicoesjkmodas@gmail.com"/>
    <n v="300283948"/>
    <n v="16539486"/>
    <x v="2"/>
    <x v="168"/>
    <s v="938 PEÇAS"/>
    <s v="NÃO ENVIADO PELA GUARARAPES"/>
    <m/>
    <s v="ESSE PEDIDO NÃO É PARA AGULHA, É PARA MARTINGAL. "/>
    <d v="2026-08-11T10:27:40"/>
    <m/>
    <n v="2025"/>
    <x v="2"/>
    <n v="0"/>
    <m/>
    <d v="2026-08-11T00:00:00"/>
    <x v="1"/>
  </r>
  <r>
    <x v="188"/>
    <s v="tendenciaconfec@gmail.com"/>
    <n v="300288367"/>
    <n v="16549104"/>
    <x v="3"/>
    <x v="61"/>
    <n v="6"/>
    <s v="INSUFICIENTE PARA FINALIZAR OP"/>
    <m/>
    <m/>
    <d v="2026-08-11T10:43:17"/>
    <m/>
    <n v="2026"/>
    <x v="1"/>
    <s v="ETIQUETA DE COMPOSIÇÃO"/>
    <m/>
    <d v="2026-08-11T00:00:00"/>
    <x v="1"/>
  </r>
  <r>
    <x v="168"/>
    <s v="jucurututextil@gmail.com"/>
    <n v="300286547"/>
    <n v="16555457"/>
    <x v="2"/>
    <x v="5"/>
    <s v="6 ROLOS"/>
    <s v="SÓ TEM 1 ROLO"/>
    <m/>
    <s v="SÓ TEM 1 ROLO"/>
    <d v="2026-08-11T11:04:50"/>
    <m/>
    <n v="2029"/>
    <x v="1"/>
    <n v="0"/>
    <m/>
    <d v="2026-08-11T00:00:00"/>
    <x v="1"/>
  </r>
  <r>
    <x v="13"/>
    <s v="administrativo@zajaconfeccoes.com.br"/>
    <n v="300277098"/>
    <n v="15764290"/>
    <x v="2"/>
    <x v="61"/>
    <n v="1"/>
    <s v="insuficiente "/>
    <m/>
    <m/>
    <d v="2026-08-11T11:05:23"/>
    <m/>
    <n v="2027"/>
    <x v="1"/>
    <n v="0"/>
    <m/>
    <d v="2026-08-11T00:00:00"/>
    <x v="1"/>
  </r>
  <r>
    <x v="176"/>
    <s v="hiconfeccao@gmail.com"/>
    <n v="300285687"/>
    <n v="16217861"/>
    <x v="2"/>
    <x v="142"/>
    <s v="15 cones de linha"/>
    <s v="Veio insuficiente para concluir a OP."/>
    <m/>
    <s v="Envio de 15 cones de linha."/>
    <d v="2026-08-11T11:05:24"/>
    <m/>
    <n v="2028"/>
    <x v="1"/>
    <n v="10000073228"/>
    <m/>
    <d v="2026-08-11T00:00:00"/>
    <x v="1"/>
  </r>
  <r>
    <x v="168"/>
    <s v="jucurututextil@gmail.com"/>
    <n v="300286547"/>
    <n v="16555457"/>
    <x v="2"/>
    <x v="10"/>
    <n v="1260"/>
    <s v="ACABOU"/>
    <m/>
    <s v="ACABOU"/>
    <d v="2026-08-11T11:08:14"/>
    <m/>
    <n v="2030"/>
    <x v="1"/>
    <n v="0"/>
    <m/>
    <d v="2026-08-11T00:00:00"/>
    <x v="1"/>
  </r>
  <r>
    <x v="207"/>
    <s v="bensilvaconfeccoes@gmail.com"/>
    <n v="300285008"/>
    <n v="16482204"/>
    <x v="2"/>
    <x v="38"/>
    <n v="210"/>
    <s v="VERIO FALTANDO "/>
    <m/>
    <s v="VEIO FALTANDO OS FORROS DO 2 ENFESTO "/>
    <d v="2026-08-11T12:51:12"/>
    <m/>
    <n v="2031"/>
    <x v="1"/>
    <s v="NAO TEMOS "/>
    <m/>
    <d v="2026-08-11T00:00:00"/>
    <x v="1"/>
  </r>
  <r>
    <x v="15"/>
    <s v="spauloazevedo@bol.com.br"/>
    <n v="300276804"/>
    <n v="16508076"/>
    <x v="2"/>
    <x v="159"/>
    <n v="14"/>
    <s v="Veio faltando na contagem"/>
    <m/>
    <s v="veio faltando"/>
    <d v="2026-08-11T12:57:51"/>
    <m/>
    <n v="2032"/>
    <x v="1"/>
    <n v="10000228915"/>
    <m/>
    <d v="2026-08-11T00:00:00"/>
    <x v="1"/>
  </r>
  <r>
    <x v="175"/>
    <s v="confeccaogenesisltda@gmail.com"/>
    <n v="300288801"/>
    <n v="16535642"/>
    <x v="0"/>
    <x v="49"/>
    <n v="38"/>
    <s v="VEIO FALTANDO"/>
    <m/>
    <m/>
    <d v="2026-08-11T13:39:21"/>
    <m/>
    <n v="2033"/>
    <x v="1"/>
    <n v="10000249358"/>
    <m/>
    <d v="2026-08-11T00:00:00"/>
    <x v="1"/>
  </r>
  <r>
    <x v="61"/>
    <s v="noelpazevedo@gmail.com"/>
    <n v="300281955"/>
    <n v="16507975"/>
    <x v="2"/>
    <x v="61"/>
    <n v="672"/>
    <s v="Não veio junto com a ordem "/>
    <m/>
    <s v="Não veio junto com a ordem "/>
    <d v="2026-08-11T14:08:20"/>
    <m/>
    <n v="2034"/>
    <x v="1"/>
    <s v="Não tem "/>
    <m/>
    <d v="2026-08-11T00:00:00"/>
    <x v="1"/>
  </r>
  <r>
    <x v="166"/>
    <s v="w.anny.k@hotmail.com"/>
    <n v="300287235"/>
    <n v="15858766"/>
    <x v="2"/>
    <x v="17"/>
    <n v="594"/>
    <s v="OS CÓS VIERAM COM O FUSIONAMENTO ERRADO "/>
    <m/>
    <m/>
    <d v="2026-08-11T14:26:37"/>
    <m/>
    <n v="2035"/>
    <x v="1"/>
    <n v="0"/>
    <m/>
    <d v="2026-08-11T00:00:00"/>
    <x v="1"/>
  </r>
  <r>
    <x v="166"/>
    <s v="w.anny.k@hotmail.com"/>
    <n v="300287235"/>
    <n v="15858766"/>
    <x v="2"/>
    <x v="37"/>
    <n v="594"/>
    <s v="OS VIVOS VIERAM COM O FUSIONAMENTO ERRADO"/>
    <m/>
    <m/>
    <d v="2026-08-11T14:30:17"/>
    <m/>
    <n v="2036"/>
    <x v="1"/>
    <n v="0"/>
    <m/>
    <d v="2026-08-11T00:00:00"/>
    <x v="1"/>
  </r>
  <r>
    <x v="215"/>
    <s v="paulaviturinoconfeccoes@gmail.com"/>
    <n v="300288829"/>
    <n v="16333675"/>
    <x v="3"/>
    <x v="163"/>
    <s v="190 VIÉS"/>
    <s v="QUANTIDADE INSUFICIENTE PARA TERMINAR OP"/>
    <m/>
    <m/>
    <d v="2026-08-11T14:44:16"/>
    <m/>
    <n v="2037"/>
    <x v="1"/>
    <n v="1000021569"/>
    <m/>
    <d v="2026-08-11T00:00:00"/>
    <x v="1"/>
  </r>
  <r>
    <x v="205"/>
    <s v="Sjarlandia@hotmail.com"/>
    <n v="300284806"/>
    <n v="16450272"/>
    <x v="2"/>
    <x v="48"/>
    <n v="29"/>
    <s v="Faltou para concluir op "/>
    <m/>
    <s v="Faixa para 29 peças completa "/>
    <d v="2026-08-11T14:47:58"/>
    <m/>
    <n v="2038"/>
    <x v="1"/>
    <n v="0"/>
    <m/>
    <d v="2026-08-11T00:00:00"/>
    <x v="1"/>
  </r>
  <r>
    <x v="176"/>
    <s v="hiconfeccao@gmail.com"/>
    <n v="300285687"/>
    <n v="16217861"/>
    <x v="2"/>
    <x v="5"/>
    <n v="5"/>
    <s v="O que temos é insuficiente para concluir a OP."/>
    <m/>
    <s v="Pedido de envio de 5 rolos de Filme Plástico."/>
    <d v="2026-08-11T14:49:55"/>
    <m/>
    <n v="2039"/>
    <x v="1"/>
    <n v="300285687"/>
    <m/>
    <d v="2026-08-11T00:00:00"/>
    <x v="1"/>
  </r>
  <r>
    <x v="8"/>
    <s v="tlcserrantextil@gmail.com"/>
    <n v="300285366"/>
    <n v="16474244"/>
    <x v="1"/>
    <x v="61"/>
    <s v="PP - 13"/>
    <s v="Quantidade insuficiente"/>
    <m/>
    <m/>
    <d v="2026-08-11T15:02:02"/>
    <m/>
    <n v="2040"/>
    <x v="1"/>
    <n v="0"/>
    <m/>
    <d v="2026-08-11T00:00:00"/>
    <x v="1"/>
  </r>
  <r>
    <x v="13"/>
    <s v="administrativo@zajaconfeccoes.com.br"/>
    <n v="300277098"/>
    <n v="15764290"/>
    <x v="2"/>
    <x v="61"/>
    <n v="1"/>
    <s v="insuficiente "/>
    <m/>
    <m/>
    <d v="2026-08-11T15:06:33"/>
    <m/>
    <n v="2041"/>
    <x v="1"/>
    <n v="0"/>
    <m/>
    <d v="2026-08-11T00:00:00"/>
    <x v="1"/>
  </r>
  <r>
    <x v="32"/>
    <s v="di3confec@gmail.com"/>
    <n v="300271871"/>
    <n v="16222954"/>
    <x v="3"/>
    <x v="22"/>
    <n v="10"/>
    <s v="Material insuficiente"/>
    <m/>
    <s v="Material insuficiente"/>
    <d v="2026-08-11T15:14:03"/>
    <m/>
    <n v="2042"/>
    <x v="1"/>
    <n v="0"/>
    <m/>
    <d v="2026-08-11T00:00:00"/>
    <x v="1"/>
  </r>
  <r>
    <x v="215"/>
    <s v="paulaviturinoconfeccoes@gmail.com"/>
    <n v="300288825"/>
    <n v="16461665"/>
    <x v="3"/>
    <x v="163"/>
    <s v="180 VIÉS"/>
    <s v="QUANTIDADE INSUFICIENTE PARA TERMINAR OP"/>
    <m/>
    <m/>
    <d v="2026-08-11T15:15:22"/>
    <m/>
    <n v="2043"/>
    <x v="1"/>
    <s v="V27.145.30325"/>
    <m/>
    <d v="2026-08-11T00:00:00"/>
    <x v="1"/>
  </r>
  <r>
    <x v="25"/>
    <s v="reposicoesjkmodas@gmail.com"/>
    <n v="300283947"/>
    <n v="16539486"/>
    <x v="2"/>
    <x v="168"/>
    <s v="MARTINGALE PARA 864 PEÇAS"/>
    <s v="NÃO ENVIADO PELA GUARARAPES"/>
    <m/>
    <s v="ESSE PEDIDO NÃO É PARA AGULHA, É PARA MARTINGALE."/>
    <d v="2026-08-11T15:38:40"/>
    <m/>
    <n v="2044"/>
    <x v="2"/>
    <n v="0"/>
    <m/>
    <d v="2026-08-11T00:00:00"/>
    <x v="1"/>
  </r>
  <r>
    <x v="182"/>
    <s v="uniaoconfeccao.me@gmail.com"/>
    <n v="300285100"/>
    <n v="16474120"/>
    <x v="2"/>
    <x v="142"/>
    <n v="1528"/>
    <s v="As linhas 80 e 36 não veio no aviamento "/>
    <m/>
    <s v="Não veio as linhas 36 e 80 "/>
    <d v="2026-08-11T15:48:42"/>
    <m/>
    <n v="2045"/>
    <x v="1"/>
    <s v="N tem "/>
    <m/>
    <d v="2026-08-11T00:00:00"/>
    <x v="1"/>
  </r>
  <r>
    <x v="21"/>
    <s v="potengitextil@outlook.com.br"/>
    <n v="300287252"/>
    <n v="16224116"/>
    <x v="3"/>
    <x v="6"/>
    <n v="82"/>
    <s v="Insuficiente para finalizar ordem "/>
    <m/>
    <s v="Viés de gola "/>
    <d v="2026-08-11T15:55:13"/>
    <m/>
    <n v="2046"/>
    <x v="1"/>
    <n v="0"/>
    <m/>
    <d v="2026-08-11T00:00:00"/>
    <x v="1"/>
  </r>
  <r>
    <x v="182"/>
    <s v="uniaoconfeccao.me@gmail.com"/>
    <n v="300289390"/>
    <n v="16461908"/>
    <x v="2"/>
    <x v="61"/>
    <n v="9"/>
    <s v="Faltou 9 etiquetas composição "/>
    <m/>
    <s v="Faltou "/>
    <d v="2026-08-11T15:59:28"/>
    <m/>
    <n v="2047"/>
    <x v="1"/>
    <s v="N tem "/>
    <m/>
    <d v="2026-08-11T00:00:00"/>
    <x v="1"/>
  </r>
  <r>
    <x v="171"/>
    <s v="confeccoesgbdas@hotmail.com"/>
    <n v="300288059"/>
    <n v="16311876"/>
    <x v="3"/>
    <x v="4"/>
    <n v="350"/>
    <s v="FALTA DE ETIQUETA DE PREÇO PARA FINALIZAR OP "/>
    <m/>
    <m/>
    <d v="2026-08-11T16:18:09"/>
    <m/>
    <n v="2048"/>
    <x v="1"/>
    <n v="16311876"/>
    <m/>
    <d v="2026-08-11T00:00:00"/>
    <x v="1"/>
  </r>
  <r>
    <x v="25"/>
    <s v="reposicoesjkmodas@gmail.com"/>
    <n v="300283946"/>
    <n v="16523776"/>
    <x v="2"/>
    <x v="61"/>
    <n v="13"/>
    <s v="NÃO ENVIADO PELA GUARARAPES"/>
    <m/>
    <m/>
    <d v="2026-08-11T17:30:39"/>
    <m/>
    <n v="2049"/>
    <x v="1"/>
    <n v="0"/>
    <m/>
    <d v="2026-08-11T00:00:00"/>
    <x v="1"/>
  </r>
  <r>
    <x v="164"/>
    <s v="auxiforte@hotmail.com"/>
    <n v="300280267"/>
    <n v="15972992"/>
    <x v="3"/>
    <x v="12"/>
    <n v="3"/>
    <s v="Material insuficiente para finalizar a op;"/>
    <m/>
    <s v="Material insuficiente para finalizar op;"/>
    <d v="2026-08-12T07:22:33"/>
    <m/>
    <n v="2050"/>
    <x v="1"/>
    <n v="0"/>
    <m/>
    <d v="2026-08-12T00:00:00"/>
    <x v="1"/>
  </r>
  <r>
    <x v="65"/>
    <s v="FORTETECNOLOGIATEXTIL@GMAIL.COM"/>
    <n v="300288064"/>
    <n v="15206637"/>
    <x v="3"/>
    <x v="6"/>
    <n v="10"/>
    <s v="FALTOU GOLAS PARA OS MATANHOS M E G"/>
    <m/>
    <s v="PEDIMOD REPOSIÇÃO DE GOLAS QUE FALTOU."/>
    <d v="2026-08-12T07:35:38"/>
    <m/>
    <n v="2051"/>
    <x v="1"/>
    <n v="0"/>
    <m/>
    <d v="2026-08-12T00:00:00"/>
    <x v="1"/>
  </r>
  <r>
    <x v="84"/>
    <s v="recantoconfeccoes.js@gmail.com"/>
    <n v="300278897"/>
    <n v="16293274"/>
    <x v="2"/>
    <x v="142"/>
    <n v="3"/>
    <s v="Para fazer concerto de reprocesso"/>
    <m/>
    <s v="A ordem voltou para reprocesso e enviamos as linhas junto da ordem,não dispomos de nenhuma aqui na oficina"/>
    <d v="2026-08-12T07:44:58"/>
    <m/>
    <n v="2052"/>
    <x v="1"/>
    <s v="10000062825 10000063189 100000227632"/>
    <m/>
    <d v="2026-08-12T00:00:00"/>
    <x v="1"/>
  </r>
  <r>
    <x v="84"/>
    <s v="recantoconfeccoes.js@gmail.com"/>
    <n v="300287950"/>
    <n v="16523784"/>
    <x v="2"/>
    <x v="13"/>
    <n v="50"/>
    <s v="Faltou "/>
    <m/>
    <m/>
    <d v="2026-08-12T07:49:19"/>
    <m/>
    <n v="2053"/>
    <x v="1"/>
    <n v="100000247114"/>
    <m/>
    <d v="2026-08-12T00:00:00"/>
    <x v="1"/>
  </r>
  <r>
    <x v="79"/>
    <s v="artejeans23@gmail.com"/>
    <n v="300283508"/>
    <n v="16474147"/>
    <x v="2"/>
    <x v="13"/>
    <n v="50"/>
    <s v="Reposição já atendida, solicitação apenas para constar em registro"/>
    <m/>
    <m/>
    <d v="2026-08-12T08:07:54"/>
    <m/>
    <n v="2054"/>
    <x v="1"/>
    <n v="241454"/>
    <m/>
    <d v="2026-08-12T00:00:00"/>
    <x v="1"/>
  </r>
  <r>
    <x v="24"/>
    <s v="maxwelaaraujo7@gmail.com"/>
    <n v="300288565"/>
    <n v="15758249"/>
    <x v="1"/>
    <x v="19"/>
    <n v="10"/>
    <s v="MATERIAL INSUFICIENTE PARA FINALIZAR OP"/>
    <m/>
    <m/>
    <d v="2026-08-12T08:11:30"/>
    <m/>
    <n v="2055"/>
    <x v="1"/>
    <n v="10000072078"/>
    <m/>
    <d v="2026-08-12T00:00:00"/>
    <x v="1"/>
  </r>
  <r>
    <x v="24"/>
    <s v="maxwelaaraujo7@gmail.com"/>
    <n v="300288565"/>
    <n v="15758249"/>
    <x v="1"/>
    <x v="142"/>
    <n v="10"/>
    <s v="MATERIAL INSUFICIENTE PARA FINALIZAR OP"/>
    <m/>
    <m/>
    <d v="2026-08-12T08:13:17"/>
    <m/>
    <n v="2056"/>
    <x v="1"/>
    <n v="10000072570"/>
    <m/>
    <d v="2026-08-12T00:00:00"/>
    <x v="1"/>
  </r>
  <r>
    <x v="82"/>
    <s v="vitalizeconfeccoes@gmail.com"/>
    <n v="300281916"/>
    <n v="16565746"/>
    <x v="3"/>
    <x v="163"/>
    <n v="144"/>
    <s v="INSUFICIENTE PARA FINALIZA A ORDEM "/>
    <m/>
    <s v="VIES (LAÇO) "/>
    <d v="2026-08-12T08:20:46"/>
    <m/>
    <n v="2057"/>
    <x v="1"/>
    <n v="0"/>
    <m/>
    <d v="2026-08-12T00:00:00"/>
    <x v="1"/>
  </r>
  <r>
    <x v="178"/>
    <s v="faccao_sales2010@hotmail.com"/>
    <n v="300287592"/>
    <n v="16242769"/>
    <x v="2"/>
    <x v="18"/>
    <n v="700"/>
    <s v="INSUFICIENTE PRA FINALIZAR A ORDEM, SÓ VEIO 3 ROLOS"/>
    <m/>
    <m/>
    <d v="2026-08-12T08:27:59"/>
    <m/>
    <n v="2058"/>
    <x v="1"/>
    <s v="9.EL238.040.CRU000"/>
    <m/>
    <d v="2026-08-12T00:00:00"/>
    <x v="1"/>
  </r>
  <r>
    <x v="169"/>
    <s v="acauaconfeccoes@outlook.com"/>
    <n v="300288817"/>
    <n v="16577434"/>
    <x v="3"/>
    <x v="19"/>
    <n v="833"/>
    <s v="Fios insuficiente para iniciar a Op ,mesmo rebobinando não vai dá !"/>
    <m/>
    <s v="Fios insuficiente para iniciar a Op "/>
    <d v="2026-08-12T08:34:56"/>
    <m/>
    <n v="2059"/>
    <x v="1"/>
    <n v="10000072008"/>
    <m/>
    <d v="2026-08-12T00:00:00"/>
    <x v="1"/>
  </r>
  <r>
    <x v="169"/>
    <s v="acauaconfeccoes@outlook.com"/>
    <n v="300288817"/>
    <n v="16577434"/>
    <x v="3"/>
    <x v="142"/>
    <n v="833"/>
    <s v="Linhas insuficientes para iniciar a ordem "/>
    <m/>
    <s v="Linhas insuficientes para iniciar a ordem,mesmo rebobinando não vai dá !"/>
    <d v="2026-08-12T08:37:32"/>
    <m/>
    <n v="2060"/>
    <x v="1"/>
    <n v="10000072583"/>
    <m/>
    <d v="2026-08-12T00:00:00"/>
    <x v="1"/>
  </r>
  <r>
    <x v="32"/>
    <s v="di3confec@hotmail.com"/>
    <n v="300286142"/>
    <n v="15859177"/>
    <x v="2"/>
    <x v="61"/>
    <n v="30"/>
    <s v="Material insuficiente"/>
    <m/>
    <s v="Material insuficiente"/>
    <d v="2026-08-12T08:40:21"/>
    <m/>
    <n v="2061"/>
    <x v="1"/>
    <n v="0"/>
    <m/>
    <d v="2026-08-12T00:00:00"/>
    <x v="1"/>
  </r>
  <r>
    <x v="178"/>
    <s v="faccao_sales2010@hotmail.com"/>
    <n v="300288821"/>
    <n v="16588720"/>
    <x v="3"/>
    <x v="4"/>
    <n v="1955"/>
    <s v="ENVIADO SEM O CODIGO DE QRCODE NO VERSO"/>
    <m/>
    <m/>
    <d v="2026-08-12T08:59:02"/>
    <m/>
    <n v="2062"/>
    <x v="2"/>
    <s v="-"/>
    <m/>
    <d v="2026-08-12T00:00:00"/>
    <x v="1"/>
  </r>
  <r>
    <x v="178"/>
    <s v="faccao_sales2010@hotmail.com"/>
    <n v="300288822"/>
    <n v="16588720"/>
    <x v="3"/>
    <x v="4"/>
    <n v="1921"/>
    <s v="ENVIADO SEM O CODIGO DE QRCODE NO VERSO"/>
    <m/>
    <m/>
    <d v="2026-08-12T09:00:42"/>
    <m/>
    <n v="2063"/>
    <x v="2"/>
    <s v="-"/>
    <m/>
    <d v="2026-08-12T00:00:00"/>
    <x v="1"/>
  </r>
  <r>
    <x v="21"/>
    <s v="potengitextil@outlook.com.br"/>
    <n v="300283555"/>
    <n v="16559550"/>
    <x v="2"/>
    <x v="18"/>
    <n v="1092"/>
    <s v="Material enviado errado. "/>
    <m/>
    <m/>
    <d v="2026-08-12T10:36:11"/>
    <m/>
    <n v="2064"/>
    <x v="2"/>
    <n v="10000195709"/>
    <m/>
    <d v="2026-08-12T00:00:00"/>
    <x v="1"/>
  </r>
  <r>
    <x v="165"/>
    <s v="freiresilvaconfeccoes@gmail.com"/>
    <n v="300286712"/>
    <n v="15581888"/>
    <x v="0"/>
    <x v="12"/>
    <n v="115"/>
    <s v="Faltou um lote do traseiro. "/>
    <m/>
    <s v="*"/>
    <d v="2026-08-12T10:36:34"/>
    <m/>
    <n v="2065"/>
    <x v="1"/>
    <s v="*"/>
    <m/>
    <d v="2026-08-12T00:00:00"/>
    <x v="1"/>
  </r>
  <r>
    <x v="29"/>
    <s v="pea2015confeccoes@hotmail.com"/>
    <n v="300288760"/>
    <n v="16574540"/>
    <x v="2"/>
    <x v="13"/>
    <n v="105"/>
    <s v="Material não enviado pela Guararapes"/>
    <m/>
    <s v="105 zíperes no tamanho 10cm."/>
    <d v="2026-08-12T10:59:44"/>
    <m/>
    <n v="2066"/>
    <x v="1"/>
    <n v="144201"/>
    <m/>
    <d v="2026-08-12T00:00:00"/>
    <x v="1"/>
  </r>
  <r>
    <x v="205"/>
    <s v="Sjarlandia@hotmail.com"/>
    <n v="300287221"/>
    <n v="16452100"/>
    <x v="2"/>
    <x v="49"/>
    <n v="40"/>
    <s v="Nao veio a quantidade ibformada "/>
    <m/>
    <m/>
    <d v="2026-08-12T11:09:30"/>
    <m/>
    <n v="2067"/>
    <x v="1"/>
    <n v="10000249817"/>
    <m/>
    <d v="2026-08-12T00:00:00"/>
    <x v="1"/>
  </r>
  <r>
    <x v="44"/>
    <s v="teceuzl@hotmail.com"/>
    <n v="300287196"/>
    <n v="16442466"/>
    <x v="1"/>
    <x v="27"/>
    <n v="420"/>
    <s v="Não enviado "/>
    <m/>
    <m/>
    <d v="2026-08-12T12:37:38"/>
    <m/>
    <n v="2068"/>
    <x v="1"/>
    <n v="0"/>
    <m/>
    <d v="2026-08-12T00:00:00"/>
    <x v="1"/>
  </r>
  <r>
    <x v="44"/>
    <s v="teceuzl@hotmail.com"/>
    <n v="300287196"/>
    <n v="16442466"/>
    <x v="1"/>
    <x v="19"/>
    <n v="14"/>
    <s v="Insuficiente para finalizar a ordem "/>
    <m/>
    <m/>
    <d v="2026-08-12T12:39:12"/>
    <m/>
    <n v="2069"/>
    <x v="1"/>
    <n v="0"/>
    <m/>
    <d v="2026-08-12T00:00:00"/>
    <x v="1"/>
  </r>
  <r>
    <x v="191"/>
    <s v="lctextil@outlook.com.br"/>
    <n v="300266222"/>
    <n v="16464591"/>
    <x v="3"/>
    <x v="4"/>
    <n v="75"/>
    <s v="Material danificado "/>
    <m/>
    <m/>
    <d v="2026-08-12T12:39:44"/>
    <m/>
    <n v="2070"/>
    <x v="1"/>
    <n v="0"/>
    <m/>
    <d v="2026-08-12T00:00:00"/>
    <x v="1"/>
  </r>
  <r>
    <x v="44"/>
    <s v="teceuzl@hotmail.com"/>
    <n v="300287196"/>
    <n v="16442466"/>
    <x v="1"/>
    <x v="142"/>
    <n v="12"/>
    <s v="Insuficiente para finalizar a ordem "/>
    <m/>
    <m/>
    <d v="2026-08-12T12:40:22"/>
    <m/>
    <n v="2071"/>
    <x v="1"/>
    <n v="0"/>
    <m/>
    <d v="2026-08-12T00:00:00"/>
    <x v="1"/>
  </r>
  <r>
    <x v="31"/>
    <s v="administrativo@zajaconfeccoes.com.br"/>
    <n v="300288346"/>
    <n v="16227000"/>
    <x v="3"/>
    <x v="61"/>
    <n v="15"/>
    <s v="insuficiente "/>
    <m/>
    <m/>
    <d v="2026-08-12T12:45:16"/>
    <m/>
    <n v="2072"/>
    <x v="1"/>
    <n v="0"/>
    <m/>
    <d v="2026-08-12T00:00:00"/>
    <x v="1"/>
  </r>
  <r>
    <x v="31"/>
    <s v="administrativo@zajaconfeccoes.com.br"/>
    <n v="300288346"/>
    <n v="16227000"/>
    <x v="3"/>
    <x v="4"/>
    <n v="36"/>
    <s v="insuficiente "/>
    <m/>
    <m/>
    <d v="2026-08-12T12:46:21"/>
    <m/>
    <n v="2073"/>
    <x v="1"/>
    <n v="0"/>
    <m/>
    <d v="2026-08-12T00:00:00"/>
    <x v="1"/>
  </r>
  <r>
    <x v="31"/>
    <s v="administrativo@zajaconfeccoes.com.br"/>
    <n v="300277124"/>
    <n v="16505956"/>
    <x v="2"/>
    <x v="16"/>
    <n v="30"/>
    <s v="insuficiente "/>
    <m/>
    <s v="passante para 30 peças "/>
    <d v="2026-08-12T12:48:57"/>
    <m/>
    <n v="2074"/>
    <x v="1"/>
    <n v="0"/>
    <m/>
    <d v="2026-08-12T00:00:00"/>
    <x v="1"/>
  </r>
  <r>
    <x v="37"/>
    <s v="felconfeccao@gmail.com"/>
    <n v="300284139"/>
    <n v="16479157"/>
    <x v="3"/>
    <x v="54"/>
    <n v="10"/>
    <s v="FALTOU"/>
    <m/>
    <s v="FAIXA DE AMARRAÇÃO"/>
    <d v="2026-08-12T13:06:56"/>
    <m/>
    <n v="2075"/>
    <x v="1"/>
    <n v="0"/>
    <m/>
    <d v="2026-08-12T00:00:00"/>
    <x v="1"/>
  </r>
  <r>
    <x v="37"/>
    <s v="felconfeccao@gmail.com"/>
    <n v="300284139"/>
    <n v="16479157"/>
    <x v="3"/>
    <x v="54"/>
    <n v="10"/>
    <s v="FALTOU"/>
    <m/>
    <s v="10 PARES DE LAÇOS"/>
    <d v="2026-08-12T13:08:11"/>
    <m/>
    <n v="2076"/>
    <x v="1"/>
    <n v="0"/>
    <m/>
    <d v="2026-08-12T00:00:00"/>
    <x v="1"/>
  </r>
  <r>
    <x v="13"/>
    <s v="administrativo@zajaconfeccoes.com.br"/>
    <n v="300288805"/>
    <n v="16552326"/>
    <x v="0"/>
    <x v="56"/>
    <n v="2"/>
    <s v="insuficiente "/>
    <m/>
    <m/>
    <d v="2026-08-12T13:14:32"/>
    <m/>
    <n v="2077"/>
    <x v="1"/>
    <n v="10000254722"/>
    <m/>
    <d v="2026-08-12T00:00:00"/>
    <x v="1"/>
  </r>
  <r>
    <x v="21"/>
    <s v="potengitextil@outlook.com.br"/>
    <n v="300286615"/>
    <n v="16463897"/>
    <x v="1"/>
    <x v="4"/>
    <n v="1596"/>
    <s v="Material não enviado pela guararapes "/>
    <m/>
    <m/>
    <d v="2026-08-12T13:22:56"/>
    <m/>
    <n v="2078"/>
    <x v="2"/>
    <n v="0"/>
    <m/>
    <d v="2026-08-12T00:00:00"/>
    <x v="1"/>
  </r>
  <r>
    <x v="37"/>
    <s v="felconfeccao@gmail.com"/>
    <n v="300282888"/>
    <n v="15972992"/>
    <x v="3"/>
    <x v="61"/>
    <n v="1"/>
    <s v="FALTOU"/>
    <m/>
    <m/>
    <d v="2026-08-12T13:48:47"/>
    <m/>
    <n v="2079"/>
    <x v="1"/>
    <n v="0"/>
    <m/>
    <d v="2026-08-12T00:00:00"/>
    <x v="1"/>
  </r>
  <r>
    <x v="165"/>
    <s v="freiresilvaconfeccoes@gmail.com"/>
    <n v="300287194"/>
    <n v="16442466"/>
    <x v="1"/>
    <x v="19"/>
    <n v="4"/>
    <s v="Material insuficiente. "/>
    <m/>
    <s v="*"/>
    <d v="2026-08-12T13:54:35"/>
    <m/>
    <n v="2080"/>
    <x v="1"/>
    <n v="10000071649"/>
    <m/>
    <d v="2026-08-12T00:00:00"/>
    <x v="1"/>
  </r>
  <r>
    <x v="32"/>
    <s v="di3confec@gmail.com"/>
    <n v="300288052"/>
    <n v="16222954"/>
    <x v="3"/>
    <x v="22"/>
    <n v="3"/>
    <s v="Material insuficiente"/>
    <m/>
    <s v="Material insuficiente"/>
    <d v="2026-08-12T14:11:27"/>
    <m/>
    <n v="2081"/>
    <x v="1"/>
    <n v="0"/>
    <m/>
    <d v="2026-08-12T00:00:00"/>
    <x v="1"/>
  </r>
  <r>
    <x v="44"/>
    <s v="teceuzl@hotmail.com"/>
    <n v="300282832"/>
    <n v="15238385"/>
    <x v="1"/>
    <x v="6"/>
    <n v="34"/>
    <s v="Insuficiente para finalizar a ordem"/>
    <m/>
    <m/>
    <d v="2026-08-12T14:21:58"/>
    <m/>
    <n v="2082"/>
    <x v="1"/>
    <n v="0"/>
    <m/>
    <d v="2026-08-12T00:00:00"/>
    <x v="1"/>
  </r>
  <r>
    <x v="61"/>
    <s v="noelpazevedo@gmail.com"/>
    <n v="300287953"/>
    <n v="16561716"/>
    <x v="2"/>
    <x v="61"/>
    <n v="80"/>
    <s v="Faltou"/>
    <m/>
    <s v="Faltou para finalizar a ordem "/>
    <d v="2026-08-12T15:26:24"/>
    <m/>
    <n v="2083"/>
    <x v="1"/>
    <s v="Não tenho "/>
    <m/>
    <d v="2026-08-12T00:00:00"/>
    <x v="1"/>
  </r>
  <r>
    <x v="200"/>
    <s v="g4confeccao@gmail.com"/>
    <n v="300289607"/>
    <n v="16557581"/>
    <x v="2"/>
    <x v="5"/>
    <n v="10"/>
    <s v="Insuficiente para terminar op"/>
    <m/>
    <s v="Por favor enviar o quanto antes, pois estamos precisando para o termino."/>
    <d v="2026-08-12T15:40:53"/>
    <m/>
    <n v="2084"/>
    <x v="1"/>
    <n v="0"/>
    <m/>
    <d v="2026-08-12T00:00:00"/>
    <x v="1"/>
  </r>
  <r>
    <x v="20"/>
    <s v="CONFECCAOSAOSEBASTIAO@GMAIL.COM"/>
    <n v="300285092"/>
    <n v="16292898"/>
    <x v="2"/>
    <x v="49"/>
    <n v="106"/>
    <s v="cveio faltando"/>
    <m/>
    <s v="Reposição de etiqueta de cós tamanho 36"/>
    <d v="2026-08-12T15:57:26"/>
    <m/>
    <n v="2085"/>
    <x v="1"/>
    <s v="não tem cod"/>
    <m/>
    <d v="2026-08-12T00:00:00"/>
    <x v="1"/>
  </r>
  <r>
    <x v="77"/>
    <s v="wag-almeida@hotmail.com"/>
    <n v="300282335"/>
    <n v="15773450"/>
    <x v="2"/>
    <x v="61"/>
    <n v="47"/>
    <s v="a ordem foi enviada para reparo."/>
    <m/>
    <s v="precisamos dessa reposição com urgência, pois estamos fazendo o reparo de uma ordem."/>
    <d v="2026-08-12T16:04:54"/>
    <m/>
    <n v="2086"/>
    <x v="1"/>
    <n v="0"/>
    <m/>
    <d v="2026-08-12T00:00:00"/>
    <x v="1"/>
  </r>
  <r>
    <x v="21"/>
    <s v="potengitextil@outlook.com.br"/>
    <n v="300284371"/>
    <n v="16460863"/>
    <x v="1"/>
    <x v="22"/>
    <n v="84"/>
    <s v="Lotes não enviados pela guararapes "/>
    <m/>
    <s v="Frente de polo vim com pentilho feito "/>
    <d v="2026-08-12T16:15:38"/>
    <m/>
    <n v="2087"/>
    <x v="1"/>
    <n v="0"/>
    <m/>
    <d v="2026-08-12T00:00:00"/>
    <x v="1"/>
  </r>
  <r>
    <x v="21"/>
    <s v="potengitextil@outlook.com.br"/>
    <n v="300284371"/>
    <n v="16460863"/>
    <x v="1"/>
    <x v="30"/>
    <n v="84"/>
    <s v="Lotes não enviado pela guararapes "/>
    <m/>
    <m/>
    <d v="2026-08-12T16:17:10"/>
    <m/>
    <n v="2088"/>
    <x v="1"/>
    <n v="0"/>
    <m/>
    <d v="2026-08-12T00:00:00"/>
    <x v="1"/>
  </r>
  <r>
    <x v="13"/>
    <s v="administrativo@zajaconfeccoes.com.br"/>
    <n v="300280210"/>
    <n v="15699293"/>
    <x v="2"/>
    <x v="17"/>
    <n v="1524"/>
    <s v="não veio fusionado, enviamos para ser colocado as entretelas e o setor responsável não recebeu, isto já faz quase um mês. Sendo assim fomos orientados a solicitar reposição "/>
    <m/>
    <m/>
    <d v="2026-08-12T16:17:37"/>
    <m/>
    <n v="2089"/>
    <x v="2"/>
    <n v="0"/>
    <m/>
    <d v="2026-08-12T00:00:00"/>
    <x v="1"/>
  </r>
  <r>
    <x v="21"/>
    <s v="potengitextil@outlook.com.br"/>
    <n v="300284371"/>
    <n v="16460863"/>
    <x v="1"/>
    <x v="12"/>
    <n v="84"/>
    <s v="Lotes não enviado pela guararapes "/>
    <m/>
    <m/>
    <d v="2026-08-12T16:18:18"/>
    <m/>
    <n v="2090"/>
    <x v="1"/>
    <n v="0"/>
    <m/>
    <d v="2026-08-12T00:00:00"/>
    <x v="1"/>
  </r>
  <r>
    <x v="21"/>
    <s v="potengitextil@outlook.com.br"/>
    <n v="300284371"/>
    <n v="16460863"/>
    <x v="1"/>
    <x v="30"/>
    <n v="84"/>
    <s v="Lotes não enviados pela guararapes "/>
    <m/>
    <m/>
    <d v="2026-08-12T16:19:56"/>
    <m/>
    <n v="2091"/>
    <x v="1"/>
    <n v="0"/>
    <m/>
    <d v="2026-08-12T00:00:00"/>
    <x v="1"/>
  </r>
  <r>
    <x v="21"/>
    <s v="potengitextil@outlook.com.br"/>
    <n v="300284371"/>
    <n v="16460863"/>
    <x v="1"/>
    <x v="22"/>
    <n v="84"/>
    <s v="Lotes não enviados pela guararapes "/>
    <m/>
    <s v="Frentes de polo, enviar com pentilho feito. "/>
    <d v="2026-08-12T16:22:02"/>
    <m/>
    <n v="2092"/>
    <x v="1"/>
    <n v="0"/>
    <m/>
    <d v="2026-08-12T00:00:00"/>
    <x v="1"/>
  </r>
  <r>
    <x v="84"/>
    <s v="recantoconfeccoes.js@gmail.com"/>
    <n v="300282771"/>
    <n v="16541880"/>
    <x v="2"/>
    <x v="5"/>
    <n v="10"/>
    <s v="Faltou"/>
    <m/>
    <m/>
    <d v="2026-08-12T16:48:13"/>
    <m/>
    <n v="2093"/>
    <x v="1"/>
    <n v="0"/>
    <m/>
    <d v="2026-08-12T00:00:00"/>
    <x v="1"/>
  </r>
  <r>
    <x v="171"/>
    <s v="confeccoesgbdas@hotmail.com"/>
    <n v="300289168"/>
    <n v="16481380"/>
    <x v="3"/>
    <x v="4"/>
    <n v="50"/>
    <s v="falta de etiqueta para finalizar op"/>
    <m/>
    <m/>
    <d v="2026-08-12T17:17:14"/>
    <m/>
    <n v="2095"/>
    <x v="1"/>
    <n v="16481380"/>
    <m/>
    <d v="2026-08-12T00:00:00"/>
    <x v="1"/>
  </r>
  <r>
    <x v="164"/>
    <s v="auxiforte@hotmail.com"/>
    <n v="300290395"/>
    <n v="16448138"/>
    <x v="3"/>
    <x v="4"/>
    <n v="1.5640000000000001"/>
    <s v="MATERIAL ENVIADO NÃO CONDIZ COM A ORDEM ENVIADA;"/>
    <m/>
    <s v="MATERIAL ENVIADO NÃO CONDIZ COM A ORDEM ENVIADA;"/>
    <d v="2026-08-12T17:17:26"/>
    <m/>
    <n v="2094"/>
    <x v="2"/>
    <n v="0"/>
    <m/>
    <d v="2026-08-12T00:00:00"/>
    <x v="1"/>
  </r>
  <r>
    <x v="56"/>
    <s v="idealconfecltda@gmail.com"/>
    <n v="300289225"/>
    <n v="16518730"/>
    <x v="2"/>
    <x v="10"/>
    <n v="1"/>
    <s v="falta de ninho (gabarito)"/>
    <m/>
    <s v="enviar ninho (gabarito) da ordem."/>
    <d v="2026-08-12T17:21:43"/>
    <m/>
    <n v="2096"/>
    <x v="1"/>
    <n v="0"/>
    <m/>
    <d v="2026-08-12T00:00:00"/>
    <x v="1"/>
  </r>
  <r>
    <x v="79"/>
    <s v="artejeans23@gmail.com"/>
    <n v="300283508"/>
    <n v="16273311"/>
    <x v="2"/>
    <x v="49"/>
    <n v="132"/>
    <s v="Foram enviadas etiquetas tamanho 50 ao invés de etiquetas tamanho 36 na ordem supracitada"/>
    <m/>
    <m/>
    <d v="2026-08-12T17:21:49"/>
    <m/>
    <n v="2097"/>
    <x v="1"/>
    <n v="214499"/>
    <m/>
    <d v="2026-08-12T00:00:00"/>
    <x v="1"/>
  </r>
  <r>
    <x v="171"/>
    <s v="confeccoesgbdas@hotmail.com"/>
    <n v="300287264"/>
    <n v="15769747"/>
    <x v="3"/>
    <x v="23"/>
    <n v="1815"/>
    <s v="CADARÇO SEM PONTEIRA DE ACETATO"/>
    <m/>
    <s v="OS CADARÇOS PRECISAM DA PONTEIRA DE ACETATO, E A PONTEIRA NAO VEIO JUNTO AO CADARÇO"/>
    <d v="2026-08-12T17:59:08"/>
    <m/>
    <n v="2098"/>
    <x v="2"/>
    <n v="15769747"/>
    <m/>
    <d v="2026-08-12T00:00:00"/>
    <x v="1"/>
  </r>
  <r>
    <x v="165"/>
    <s v="freiresilvaconfeccoes@gmail.com"/>
    <n v="300287194"/>
    <n v="16442466"/>
    <x v="1"/>
    <x v="12"/>
    <n v="68"/>
    <s v="Faltou traseiro de 1 lote."/>
    <m/>
    <s v="*"/>
    <d v="2026-08-12T18:15:43"/>
    <m/>
    <n v="2099"/>
    <x v="1"/>
    <s v="*"/>
    <m/>
    <d v="2026-08-12T00:00:00"/>
    <x v="1"/>
  </r>
  <r>
    <x v="8"/>
    <s v="tlcserranatextil@gmail.com"/>
    <n v="300284021"/>
    <n v="15764265"/>
    <x v="1"/>
    <x v="21"/>
    <s v="246 peças"/>
    <s v="não veio"/>
    <m/>
    <s v="Não veio"/>
    <d v="2026-08-13T06:34:34"/>
    <m/>
    <n v="2100"/>
    <x v="1"/>
    <n v="0"/>
    <m/>
    <d v="2026-08-13T00:00:00"/>
    <x v="1"/>
  </r>
  <r>
    <x v="8"/>
    <s v="tlcserranatextil@gmail.com"/>
    <n v="300283999"/>
    <n v="15764265"/>
    <x v="1"/>
    <x v="21"/>
    <s v="G - 60 peças"/>
    <s v="Faltou atado completo"/>
    <m/>
    <s v="Não veio"/>
    <d v="2026-08-13T06:35:56"/>
    <m/>
    <n v="2101"/>
    <x v="1"/>
    <n v="0"/>
    <m/>
    <d v="2026-08-13T00:00:00"/>
    <x v="1"/>
  </r>
  <r>
    <x v="8"/>
    <s v="tlcserranatextil@gmail.com"/>
    <n v="300284024"/>
    <n v="15764265"/>
    <x v="1"/>
    <x v="21"/>
    <s v="22 peças"/>
    <s v="Não veio o atado completo"/>
    <m/>
    <m/>
    <d v="2026-08-13T06:36:56"/>
    <m/>
    <n v="2102"/>
    <x v="1"/>
    <n v="0"/>
    <m/>
    <d v="2026-08-13T00:00:00"/>
    <x v="1"/>
  </r>
  <r>
    <x v="8"/>
    <s v="tlcserranatextil@gmail.com"/>
    <n v="300290416"/>
    <n v="15764265"/>
    <x v="1"/>
    <x v="142"/>
    <s v="17 cones"/>
    <s v="Qtde insuficiente para abastecimento"/>
    <m/>
    <m/>
    <d v="2026-08-13T06:39:37"/>
    <m/>
    <n v="2103"/>
    <x v="1"/>
    <s v="000000010000072593 - 9.LI001.120.PR8001"/>
    <m/>
    <d v="2026-08-13T00:00:00"/>
    <x v="1"/>
  </r>
  <r>
    <x v="8"/>
    <s v="tlcserranatextil@gmail.com"/>
    <n v="300289695"/>
    <n v="16227026"/>
    <x v="1"/>
    <x v="142"/>
    <s v="17 cones"/>
    <s v="Quantidade insuficiente para abastecimento"/>
    <m/>
    <m/>
    <d v="2026-08-13T06:42:09"/>
    <m/>
    <n v="2104"/>
    <x v="1"/>
    <s v="000000010000072740 - 9.LI001.120.165804"/>
    <m/>
    <d v="2026-08-13T00:00:00"/>
    <x v="1"/>
  </r>
  <r>
    <x v="199"/>
    <s v="confeccoesjsltda@outlook.com"/>
    <n v="300289609"/>
    <n v="16557581"/>
    <x v="2"/>
    <x v="21"/>
    <n v="4"/>
    <s v="Não tem "/>
    <m/>
    <s v="Está faltando para colocar na próxima ordem"/>
    <d v="2026-08-13T07:33:08"/>
    <m/>
    <n v="2105"/>
    <x v="1"/>
    <n v="206"/>
    <m/>
    <d v="2026-08-13T00:00:00"/>
    <x v="1"/>
  </r>
  <r>
    <x v="164"/>
    <s v="auxiforte@hotmail.com"/>
    <n v="300288804"/>
    <n v="16535642"/>
    <x v="0"/>
    <x v="12"/>
    <n v="5"/>
    <s v="MATERIAL INSUFICIENTE PARA FINALIZAR OP;"/>
    <m/>
    <s v="MATERIAL INSUFICIENTE PARA FINALIZAR OP;"/>
    <d v="2026-08-13T07:33:43"/>
    <m/>
    <n v="2106"/>
    <x v="1"/>
    <n v="0"/>
    <m/>
    <d v="2026-08-13T00:00:00"/>
    <x v="1"/>
  </r>
  <r>
    <x v="188"/>
    <s v="tendenciaconfec@gmail.com"/>
    <n v="300274659"/>
    <n v="15774104"/>
    <x v="2"/>
    <x v="13"/>
    <n v="30"/>
    <s v="insuficiente para finalizar op"/>
    <m/>
    <s v="Faltou 30 zíperes, tamanho 15cm."/>
    <d v="2026-08-13T07:53:26"/>
    <m/>
    <n v="2107"/>
    <x v="1"/>
    <s v="000000010000152016 - 9.Z0127.015.151217; ZIPER MET MED NIQUE FIXO 15CM 151217"/>
    <m/>
    <d v="2026-08-13T00:00:00"/>
    <x v="1"/>
  </r>
  <r>
    <x v="49"/>
    <s v="s.ramosconfeccoes@gmail.com"/>
    <n v="300281106"/>
    <n v="16519710"/>
    <x v="2"/>
    <x v="5"/>
    <n v="1710"/>
    <s v="Estou precisando de filme plastico para passante "/>
    <m/>
    <s v="Estamos sem filme plastico"/>
    <d v="2026-08-13T08:52:35"/>
    <m/>
    <n v="2108"/>
    <x v="2"/>
    <n v="0"/>
    <m/>
    <d v="2026-08-13T00:00:00"/>
    <x v="1"/>
  </r>
  <r>
    <x v="49"/>
    <s v="s.ramosconfeccoes@gmail.com"/>
    <n v="300287942"/>
    <n v="16561376"/>
    <x v="2"/>
    <x v="49"/>
    <n v="10"/>
    <s v="Estou precisando de 10 etiquetas tamanho 13-14"/>
    <m/>
    <s v="veio faltando"/>
    <d v="2026-08-13T08:59:51"/>
    <m/>
    <n v="2109"/>
    <x v="1"/>
    <n v="10000248584"/>
    <m/>
    <d v="2026-08-13T00:00:00"/>
    <x v="1"/>
  </r>
  <r>
    <x v="171"/>
    <s v="confeccoesgbdas@hotmail.com"/>
    <n v="300289205"/>
    <n v="16488067"/>
    <x v="2"/>
    <x v="61"/>
    <n v="35"/>
    <s v="FALTA DE COMPOSIÇÃO PARA FINALIZAR OP"/>
    <m/>
    <m/>
    <d v="2026-08-13T09:39:58"/>
    <m/>
    <n v="2110"/>
    <x v="1"/>
    <n v="16488067"/>
    <m/>
    <d v="2026-08-13T00:00:00"/>
    <x v="1"/>
  </r>
  <r>
    <x v="34"/>
    <s v="dantasepaulino@gmail.com"/>
    <n v="300286153"/>
    <n v="16293274"/>
    <x v="2"/>
    <x v="38"/>
    <n v="214"/>
    <s v="FALTANDO"/>
    <m/>
    <s v="não enviado "/>
    <d v="2026-08-13T09:48:19"/>
    <m/>
    <n v="2111"/>
    <x v="1"/>
    <n v="0"/>
    <m/>
    <d v="2026-08-13T00:00:00"/>
    <x v="1"/>
  </r>
  <r>
    <x v="175"/>
    <s v="confeccaogenesisltda@gmail.com"/>
    <n v="300289189"/>
    <n v="18578112"/>
    <x v="3"/>
    <x v="61"/>
    <n v="6"/>
    <s v="VEIO FALTANDO"/>
    <m/>
    <m/>
    <d v="2026-08-13T09:58:10"/>
    <m/>
    <n v="2112"/>
    <x v="1"/>
    <n v="0"/>
    <m/>
    <d v="2026-08-13T00:00:00"/>
    <x v="1"/>
  </r>
  <r>
    <x v="184"/>
    <s v="encantopoest@gmail.com"/>
    <n v="300286546"/>
    <n v="16299213"/>
    <x v="2"/>
    <x v="61"/>
    <n v="16"/>
    <s v="faltando etiquetas de composição"/>
    <m/>
    <s v="etiquetas de composição que estão falando na om."/>
    <d v="2026-08-13T10:09:16"/>
    <m/>
    <n v="2113"/>
    <x v="1"/>
    <n v="0"/>
    <m/>
    <d v="2026-08-13T00:00:00"/>
    <x v="1"/>
  </r>
  <r>
    <x v="174"/>
    <s v="jakeline.jl.confeccoes@gmail.com"/>
    <n v="300287596"/>
    <n v="16561090"/>
    <x v="2"/>
    <x v="49"/>
    <n v="26"/>
    <s v="Insuficiente para finalizar a produção"/>
    <m/>
    <s v="Insuficiente para finalizar a produção"/>
    <d v="2026-08-13T10:18:40"/>
    <m/>
    <n v="2114"/>
    <x v="1"/>
    <s v="10000248079; 10000248112; 10000248113; 10000252407;  10000252407; "/>
    <m/>
    <d v="2026-08-13T00:00:00"/>
    <x v="1"/>
  </r>
  <r>
    <x v="182"/>
    <s v="uniaoconfeccao.me@gmail.com"/>
    <n v="300285100"/>
    <n v="16474120"/>
    <x v="2"/>
    <x v="12"/>
    <n v="30"/>
    <s v="Faltou 2 pacotes de traseiros tamanho 38 com 15 peças cada "/>
    <m/>
    <s v="Faltou 30 traseiros tamanho 38"/>
    <d v="2026-08-13T11:09:58"/>
    <m/>
    <n v="2115"/>
    <x v="1"/>
    <s v="N tem "/>
    <m/>
    <d v="2026-08-13T00:00:00"/>
    <x v="1"/>
  </r>
  <r>
    <x v="32"/>
    <s v="di3confec@gmail.com"/>
    <n v="300283980"/>
    <n v="14938570"/>
    <x v="3"/>
    <x v="12"/>
    <n v="2"/>
    <s v="Material insuficiente"/>
    <m/>
    <s v="Material insuficiente"/>
    <d v="2026-08-13T11:40:04"/>
    <m/>
    <n v="2116"/>
    <x v="1"/>
    <n v="0"/>
    <m/>
    <d v="2026-08-13T00:00:00"/>
    <x v="1"/>
  </r>
  <r>
    <x v="32"/>
    <s v="di3confec@gmail.com"/>
    <n v="300290335"/>
    <n v="15858367"/>
    <x v="2"/>
    <x v="13"/>
    <n v="40"/>
    <s v="Material insuficiente"/>
    <m/>
    <s v="Material insuficiente"/>
    <d v="2026-08-13T11:45:07"/>
    <m/>
    <n v="2117"/>
    <x v="1"/>
    <n v="10000162892"/>
    <m/>
    <d v="2026-08-13T00:00:00"/>
    <x v="1"/>
  </r>
  <r>
    <x v="44"/>
    <s v="teceuzl@hotmail.com"/>
    <n v="300289277"/>
    <n v="15215539"/>
    <x v="1"/>
    <x v="20"/>
    <n v="466"/>
    <s v="Insuficiente para finalizar "/>
    <m/>
    <m/>
    <d v="2026-08-13T13:22:13"/>
    <m/>
    <n v="2118"/>
    <x v="1"/>
    <n v="0"/>
    <m/>
    <d v="2026-08-13T00:00:00"/>
    <x v="1"/>
  </r>
  <r>
    <x v="78"/>
    <s v="ocalves3@gmail.com"/>
    <n v="300280205"/>
    <n v="15774112"/>
    <x v="2"/>
    <x v="55"/>
    <n v="567"/>
    <s v="veio cortado do lado errado"/>
    <m/>
    <s v="veio cortado errado"/>
    <d v="2026-08-13T13:29:49"/>
    <m/>
    <n v="2119"/>
    <x v="1"/>
    <n v="0"/>
    <m/>
    <d v="2026-08-13T00:00:00"/>
    <x v="1"/>
  </r>
  <r>
    <x v="171"/>
    <s v="confeccoesgbdas@hotmail.com"/>
    <n v="300287292"/>
    <n v="16445007"/>
    <x v="3"/>
    <x v="4"/>
    <n v="1140"/>
    <s v="A ETIQUETA DE PREÇO VEIO COM INFORMAÇÕES INCORRETAS"/>
    <m/>
    <s v="A ETIQUETA DE PREÇO VEIO COM A IDENTIFICAÇÃO &quot;SHORT&quot; ERA PARA TER VINDO &quot;CALÇA&quot;"/>
    <d v="2026-08-13T13:46:05"/>
    <m/>
    <n v="2120"/>
    <x v="2"/>
    <n v="16445007"/>
    <m/>
    <d v="2026-08-13T00:00:00"/>
    <x v="1"/>
  </r>
  <r>
    <x v="176"/>
    <s v="hiconfeccao@gmail.com"/>
    <n v="300285687"/>
    <n v="16217861"/>
    <x v="2"/>
    <x v="45"/>
    <s v="Aviamento completo para 55 peças."/>
    <s v="Veio faltando 55 peças por completo."/>
    <m/>
    <s v="Pedido de 55 peças por completo (todas as partes)."/>
    <d v="2026-08-13T14:05:41"/>
    <m/>
    <n v="2121"/>
    <x v="1"/>
    <n v="300285687"/>
    <m/>
    <d v="2026-08-13T00:00:00"/>
    <x v="1"/>
  </r>
  <r>
    <x v="176"/>
    <s v="hiconfeccao@gmail.com"/>
    <n v="300285687"/>
    <n v="16217861"/>
    <x v="2"/>
    <x v="164"/>
    <s v="Pedido de 55 peças por completo (todas as partes). "/>
    <s v="A OP veio faltando 55 peças por completo."/>
    <m/>
    <s v="Pedido de 55 peças por completo (todas as partes). Para o Tamanho 9-10."/>
    <d v="2026-08-13T14:14:24"/>
    <m/>
    <n v="2122"/>
    <x v="1"/>
    <n v="300285687"/>
    <m/>
    <d v="2026-08-13T00:00:00"/>
    <x v="1"/>
  </r>
  <r>
    <x v="13"/>
    <s v="administrativo@zajaconfeccoes.com.br"/>
    <n v="300289533"/>
    <n v="16549090"/>
    <x v="3"/>
    <x v="4"/>
    <n v="10"/>
    <s v="insuficiente "/>
    <m/>
    <m/>
    <d v="2026-08-13T15:05:36"/>
    <m/>
    <n v="2123"/>
    <x v="1"/>
    <n v="0"/>
    <m/>
    <d v="2026-08-13T00:00:00"/>
    <x v="1"/>
  </r>
  <r>
    <x v="203"/>
    <s v="jolitextilfabrica@gmail.com"/>
    <n v="300286710"/>
    <n v="16223691"/>
    <x v="3"/>
    <x v="142"/>
    <n v="12"/>
    <s v="QUANTIDADE INSUFICIENTE"/>
    <m/>
    <m/>
    <d v="2026-08-13T15:06:36"/>
    <m/>
    <n v="2124"/>
    <x v="1"/>
    <n v="737"/>
    <m/>
    <d v="2026-08-13T00:00:00"/>
    <x v="1"/>
  </r>
  <r>
    <x v="31"/>
    <s v="administrativo@zajaconfeccoes.com.br"/>
    <n v="300288347"/>
    <n v="16227000"/>
    <x v="3"/>
    <x v="4"/>
    <n v="16"/>
    <s v="insuficiente "/>
    <m/>
    <m/>
    <d v="2026-08-13T15:07:56"/>
    <m/>
    <n v="2125"/>
    <x v="1"/>
    <n v="0"/>
    <m/>
    <d v="2026-08-13T00:00:00"/>
    <x v="1"/>
  </r>
  <r>
    <x v="31"/>
    <s v="administrativo@zajaconfeccoes.com.br"/>
    <n v="300285230"/>
    <n v="16539613"/>
    <x v="2"/>
    <x v="38"/>
    <n v="30"/>
    <s v="os forros enviados vieram com defeito "/>
    <m/>
    <s v="30 pares de forros "/>
    <d v="2026-08-13T15:09:08"/>
    <m/>
    <n v="2126"/>
    <x v="1"/>
    <n v="0"/>
    <m/>
    <d v="2026-08-13T00:00:00"/>
    <x v="1"/>
  </r>
  <r>
    <x v="56"/>
    <s v="idealconfecltda@gmail.com"/>
    <n v="300289693"/>
    <n v="16442709"/>
    <x v="1"/>
    <x v="61"/>
    <s v="03 Und"/>
    <s v="Insuficiente para finalizar"/>
    <m/>
    <m/>
    <d v="2026-08-13T15:20:37"/>
    <m/>
    <n v="2127"/>
    <x v="1"/>
    <n v="0"/>
    <m/>
    <d v="2026-08-13T00:00:00"/>
    <x v="1"/>
  </r>
  <r>
    <x v="25"/>
    <s v="reposicoesjkmodas@gmail.com"/>
    <n v="300283947"/>
    <n v="16539486"/>
    <x v="2"/>
    <x v="142"/>
    <n v="10"/>
    <s v="INSUFICIENTE PARA FINALIZAR OP"/>
    <m/>
    <m/>
    <d v="2026-08-13T15:23:42"/>
    <m/>
    <n v="2128"/>
    <x v="1"/>
    <n v="10000063176"/>
    <m/>
    <d v="2026-08-13T00:00:00"/>
    <x v="1"/>
  </r>
  <r>
    <x v="165"/>
    <s v="freiresilvaconfeccoes@gmail.com"/>
    <n v="300286712"/>
    <n v="15581888"/>
    <x v="0"/>
    <x v="61"/>
    <n v="7"/>
    <s v="Material insuficiente "/>
    <m/>
    <s v="*"/>
    <d v="2026-08-13T15:46:08"/>
    <m/>
    <n v="2129"/>
    <x v="1"/>
    <s v="*"/>
    <m/>
    <d v="2026-08-13T00:00:00"/>
    <x v="1"/>
  </r>
  <r>
    <x v="50"/>
    <s v="mkdeazevedomedeiros@gmail.com"/>
    <n v="300285005"/>
    <n v="16482204"/>
    <x v="2"/>
    <x v="159"/>
    <n v="50"/>
    <s v="INSUFICIENTE PARA FINALIZAR A OP"/>
    <m/>
    <m/>
    <d v="2026-08-13T15:46:45"/>
    <m/>
    <n v="2130"/>
    <x v="1"/>
    <s v="9.ETR38.BRA.SHOMOM"/>
    <m/>
    <d v="2026-08-13T00:00:00"/>
    <x v="1"/>
  </r>
  <r>
    <x v="207"/>
    <s v="bensilvaconfeccoes@gmail.com"/>
    <n v="300288869"/>
    <n v="16473604"/>
    <x v="2"/>
    <x v="142"/>
    <s v="10 cones "/>
    <s v="veio pouca linha "/>
    <m/>
    <s v="linha 100%pes tit80 c.pt s.998 pr800"/>
    <d v="2026-08-13T16:12:11"/>
    <m/>
    <n v="2131"/>
    <x v="1"/>
    <n v="10000072683"/>
    <m/>
    <d v="2026-08-13T00:00:00"/>
    <x v="1"/>
  </r>
  <r>
    <x v="200"/>
    <s v="g4confeccao@gmail.com"/>
    <n v="300285686"/>
    <n v="16508190"/>
    <x v="2"/>
    <x v="163"/>
    <s v="10 rolos"/>
    <s v="Quantidade insuficiente, para finalizar op"/>
    <m/>
    <s v="Por favor enviar no próximo frete."/>
    <d v="2026-08-13T16:38:04"/>
    <m/>
    <n v="2132"/>
    <x v="1"/>
    <n v="0"/>
    <m/>
    <d v="2026-08-13T00:00:00"/>
    <x v="1"/>
  </r>
  <r>
    <x v="32"/>
    <s v="di3confec@gmail.com"/>
    <n v="300287289"/>
    <n v="16224388"/>
    <x v="3"/>
    <x v="142"/>
    <n v="4"/>
    <s v="Material insuficiente"/>
    <m/>
    <s v="Material insuficiente"/>
    <d v="2026-08-13T16:38:54"/>
    <m/>
    <n v="2133"/>
    <x v="1"/>
    <n v="0"/>
    <m/>
    <d v="2026-08-13T00:00:00"/>
    <x v="1"/>
  </r>
  <r>
    <x v="32"/>
    <s v="di3confec@gmail.com"/>
    <n v="300287289"/>
    <n v="16224388"/>
    <x v="3"/>
    <x v="19"/>
    <n v="4"/>
    <s v="Material insuficiente"/>
    <m/>
    <s v="Material insuficiente"/>
    <d v="2026-08-13T16:39:58"/>
    <m/>
    <n v="2134"/>
    <x v="1"/>
    <n v="0"/>
    <m/>
    <d v="2026-08-13T00:00:00"/>
    <x v="1"/>
  </r>
  <r>
    <x v="175"/>
    <s v="confeccaogenesisltda@gmail.com"/>
    <n v="300290353"/>
    <n v="16217870"/>
    <x v="0"/>
    <x v="142"/>
    <n v="10"/>
    <s v="QUANTIDADE INSUFICIENTE PARA FINALIZAR A OP"/>
    <m/>
    <m/>
    <d v="2026-08-13T16:54:50"/>
    <m/>
    <n v="2135"/>
    <x v="1"/>
    <n v="10000062704"/>
    <m/>
    <d v="2026-08-13T00:00:00"/>
    <x v="1"/>
  </r>
  <r>
    <x v="162"/>
    <s v="faccaoello@hotmail.com"/>
    <n v="300287228"/>
    <n v="16217470"/>
    <x v="2"/>
    <x v="17"/>
    <n v="208"/>
    <s v="Material não enviado pela Guararapes"/>
    <m/>
    <m/>
    <d v="2026-08-13T17:20:31"/>
    <m/>
    <n v="2136"/>
    <x v="1"/>
    <n v="0"/>
    <m/>
    <d v="2026-08-13T00:00:00"/>
    <x v="1"/>
  </r>
  <r>
    <x v="165"/>
    <s v="freiresilvaconfeccoes@gmail.com"/>
    <n v="300287194"/>
    <n v="16442466"/>
    <x v="1"/>
    <x v="12"/>
    <n v="40"/>
    <s v="Material insuficiente "/>
    <m/>
    <s v="*"/>
    <d v="2026-08-13T17:46:34"/>
    <m/>
    <n v="2137"/>
    <x v="1"/>
    <s v="*"/>
    <m/>
    <d v="2026-08-13T00:00:00"/>
    <x v="1"/>
  </r>
  <r>
    <x v="171"/>
    <s v="confeccoesgbdas@hotmail.com"/>
    <n v="300287292"/>
    <n v="16445007"/>
    <x v="3"/>
    <x v="23"/>
    <n v="1140"/>
    <s v="CADARÇO VEIO COM TONALIDADE"/>
    <m/>
    <s v="CADARÇO VEIO COM TONALIDADE"/>
    <d v="2026-08-13T17:59:06"/>
    <m/>
    <n v="2138"/>
    <x v="2"/>
    <n v="16445007"/>
    <m/>
    <d v="2026-08-13T00:00:00"/>
    <x v="1"/>
  </r>
  <r>
    <x v="176"/>
    <s v="hiconfeccao@gmail.com"/>
    <n v="300286536"/>
    <n v="16217861"/>
    <x v="2"/>
    <x v="142"/>
    <n v="10"/>
    <s v="O motivo do pedido, é porque a quantidade que veio é insuficiente para concluir a OP."/>
    <m/>
    <s v="Pedido de 10 Cones da LINHA 100%PES TÍT36 C.53 S.695 171137. Código: 10000073228.  Total do pedido: 10 cones."/>
    <d v="2026-08-13T18:14:11"/>
    <m/>
    <n v="2139"/>
    <x v="1"/>
    <n v="10000073228"/>
    <m/>
    <d v="2026-08-13T00:00:00"/>
    <x v="1"/>
  </r>
  <r>
    <x v="176"/>
    <s v="hiconfeccao@gmail.com"/>
    <n v="300285688"/>
    <n v="16217861"/>
    <x v="2"/>
    <x v="142"/>
    <n v="10"/>
    <s v="O motivo do pedido, é porque a quantidade que veio é insuficiente para concluir a OP."/>
    <m/>
    <s v="Pedido de 10 Cones da LINHA 100%PES TÍT36 C.53 S.695 171137. Código: 10000073228.  Total do pedido: 10 cones."/>
    <d v="2026-08-13T18:16:45"/>
    <m/>
    <n v="2140"/>
    <x v="1"/>
    <n v="10000073228"/>
    <m/>
    <d v="2026-08-13T00:00:00"/>
    <x v="1"/>
  </r>
  <r>
    <x v="200"/>
    <s v="g4confeccao@gmail.com"/>
    <n v="300285686"/>
    <n v="16508190"/>
    <x v="2"/>
    <x v="142"/>
    <s v="80.000 metros"/>
    <s v="Quantidade insuficiente para termina op"/>
    <m/>
    <s v="Por favor fazer o envio no próximo frete."/>
    <d v="2026-08-13T19:03:32"/>
    <m/>
    <n v="2141"/>
    <x v="1"/>
    <n v="10000063383"/>
    <m/>
    <d v="2026-08-13T00:00:00"/>
    <x v="1"/>
  </r>
  <r>
    <x v="8"/>
    <s v="tlcserranatextil@gmail.com"/>
    <n v="300285086"/>
    <n v="16442717"/>
    <x v="1"/>
    <x v="61"/>
    <s v="40 unidades"/>
    <s v="Qtde insuficiente"/>
    <m/>
    <m/>
    <d v="2026-08-14T07:52:53"/>
    <m/>
    <n v="2142"/>
    <x v="1"/>
    <n v="0"/>
    <m/>
    <d v="2026-08-14T00:00:00"/>
    <x v="0"/>
  </r>
  <r>
    <x v="31"/>
    <s v="administrativo@zajaconfeccoes.com.br"/>
    <n v="300271870"/>
    <n v="16222954"/>
    <x v="3"/>
    <x v="61"/>
    <n v="3"/>
    <s v="insuficiente "/>
    <m/>
    <m/>
    <d v="2026-08-14T07:55:28"/>
    <m/>
    <n v="2143"/>
    <x v="1"/>
    <n v="0"/>
    <m/>
    <d v="2026-08-14T00:00:00"/>
    <x v="0"/>
  </r>
  <r>
    <x v="79"/>
    <s v="artejeans23@gmail.com"/>
    <n v="300286154"/>
    <n v="16293274"/>
    <x v="2"/>
    <x v="142"/>
    <n v="6"/>
    <s v="Quantidade insuficiente para a finalização da ordem"/>
    <m/>
    <s v="Tit. 36"/>
    <d v="2026-08-14T08:07:43"/>
    <m/>
    <n v="2144"/>
    <x v="1"/>
    <n v="63189"/>
    <m/>
    <d v="2026-08-14T00:00:00"/>
    <x v="0"/>
  </r>
  <r>
    <x v="79"/>
    <s v="artejeans23@gmail.com"/>
    <n v="300286154"/>
    <n v="16293274"/>
    <x v="2"/>
    <x v="142"/>
    <n v="7"/>
    <s v="Quantidade insuficiente."/>
    <m/>
    <s v="Tit. 25"/>
    <d v="2026-08-14T08:09:18"/>
    <m/>
    <n v="2145"/>
    <x v="1"/>
    <n v="227632"/>
    <m/>
    <d v="2026-08-14T00:00:00"/>
    <x v="0"/>
  </r>
  <r>
    <x v="190"/>
    <s v="EMPORIODAMODAMOSSORO@GMAIL.COM"/>
    <n v="300286125"/>
    <n v="16488393"/>
    <x v="2"/>
    <x v="142"/>
    <n v="10"/>
    <s v="quantidade insuficiente tanto da 80 quanto da 36"/>
    <m/>
    <s v="insuficiente para finalizar a op"/>
    <d v="2026-08-14T08:16:22"/>
    <m/>
    <n v="2146"/>
    <x v="1"/>
    <s v="9.LI001.080.193920   /   9.LI001.036.193920"/>
    <m/>
    <d v="2026-08-14T00:00:00"/>
    <x v="0"/>
  </r>
  <r>
    <x v="56"/>
    <s v="idealconfecltda@gmail.com"/>
    <n v="300278731"/>
    <n v="15128288"/>
    <x v="1"/>
    <x v="20"/>
    <n v="187"/>
    <s v="falta"/>
    <m/>
    <s v="OP VEIO EM FALTA DE PUNHO"/>
    <d v="2026-08-14T08:46:58"/>
    <m/>
    <n v="2147"/>
    <x v="2"/>
    <n v="0"/>
    <m/>
    <d v="2026-08-14T00:00:00"/>
    <x v="0"/>
  </r>
  <r>
    <x v="56"/>
    <s v="idealconfecltda@gmail.com"/>
    <n v="300278731"/>
    <n v="15128288"/>
    <x v="1"/>
    <x v="6"/>
    <n v="187"/>
    <s v="FALTA"/>
    <m/>
    <s v="OP VEIO EM FALTA DE GOLA"/>
    <d v="2026-08-14T08:49:36"/>
    <m/>
    <n v="2148"/>
    <x v="2"/>
    <n v="0"/>
    <m/>
    <d v="2026-08-14T00:00:00"/>
    <x v="0"/>
  </r>
  <r>
    <x v="211"/>
    <s v="marceloleite.mafaldo03@gmail.com"/>
    <n v="300281108"/>
    <n v="16519710"/>
    <x v="2"/>
    <x v="12"/>
    <n v="64"/>
    <s v="NÃO FOI ENVIADO PELA GUARARAPES , FALTOU."/>
    <m/>
    <s v="Por favor, urgente."/>
    <d v="2026-08-14T08:53:03"/>
    <m/>
    <n v="2149"/>
    <x v="1"/>
    <s v="."/>
    <m/>
    <d v="2026-08-14T00:00:00"/>
    <x v="0"/>
  </r>
  <r>
    <x v="191"/>
    <s v="lctextil@outlook.com.br"/>
    <n v="300289861"/>
    <n v="16577558"/>
    <x v="3"/>
    <x v="61"/>
    <n v="42"/>
    <s v="Material não enviado pela guararapes "/>
    <m/>
    <m/>
    <d v="2026-08-14T09:30:52"/>
    <m/>
    <n v="2150"/>
    <x v="2"/>
    <n v="0"/>
    <m/>
    <d v="2026-08-14T00:00:00"/>
    <x v="0"/>
  </r>
  <r>
    <x v="2"/>
    <s v="oficinasantos08@outlook.com"/>
    <n v="300000000"/>
    <n v="0"/>
    <x v="2"/>
    <x v="5"/>
    <n v="4"/>
    <s v="insuficiente para as ordens"/>
    <m/>
    <m/>
    <d v="2026-08-14T09:31:12"/>
    <m/>
    <n v="2151"/>
    <x v="1"/>
    <n v="0"/>
    <m/>
    <d v="2026-08-14T00:00:00"/>
    <x v="0"/>
  </r>
  <r>
    <x v="11"/>
    <s v="S.a.confeccoesind@gmail.com"/>
    <n v="300288420"/>
    <n v="16186621"/>
    <x v="2"/>
    <x v="61"/>
    <n v="8"/>
    <s v="material danificado no processo"/>
    <m/>
    <s v="8 etiquetas de composição tamanho 38"/>
    <d v="2026-08-14T09:45:51"/>
    <m/>
    <n v="2152"/>
    <x v="1"/>
    <n v="0"/>
    <m/>
    <d v="2026-08-14T00:00:00"/>
    <x v="0"/>
  </r>
  <r>
    <x v="23"/>
    <s v="reposicoesjkmodas@gmail.com"/>
    <n v="300285259"/>
    <n v="16626737"/>
    <x v="2"/>
    <x v="13"/>
    <n v="170"/>
    <s v="NÃO ENVIADO PELA GUARARAPES"/>
    <m/>
    <m/>
    <d v="2026-08-14T10:01:29"/>
    <m/>
    <n v="2153"/>
    <x v="1"/>
    <n v="10000211585"/>
    <m/>
    <d v="2026-08-14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4527F-4AED-441D-AC8B-BA9DDC7F935B}" name="Tabela dinâmica6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H14:I24" firstHeaderRow="1" firstDataRow="1" firstDataCol="1" rowPageCount="2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170">
        <item x="131"/>
        <item x="60"/>
        <item x="98"/>
        <item x="41"/>
        <item x="95"/>
        <item x="54"/>
        <item x="21"/>
        <item x="45"/>
        <item x="28"/>
        <item x="51"/>
        <item x="58"/>
        <item x="158"/>
        <item x="43"/>
        <item x="44"/>
        <item x="27"/>
        <item x="55"/>
        <item x="109"/>
        <item x="23"/>
        <item x="0"/>
        <item x="48"/>
        <item x="25"/>
        <item x="96"/>
        <item x="17"/>
        <item x="79"/>
        <item x="141"/>
        <item x="150"/>
        <item x="87"/>
        <item x="18"/>
        <item x="83"/>
        <item x="74"/>
        <item x="1"/>
        <item x="90"/>
        <item x="2"/>
        <item x="108"/>
        <item x="93"/>
        <item x="61"/>
        <item x="71"/>
        <item x="81"/>
        <item x="138"/>
        <item x="49"/>
        <item x="91"/>
        <item x="89"/>
        <item x="56"/>
        <item x="92"/>
        <item x="94"/>
        <item x="75"/>
        <item x="153"/>
        <item x="3"/>
        <item x="4"/>
        <item x="148"/>
        <item x="112"/>
        <item x="32"/>
        <item x="73"/>
        <item x="132"/>
        <item x="159"/>
        <item x="134"/>
        <item x="63"/>
        <item x="144"/>
        <item x="124"/>
        <item x="70"/>
        <item x="101"/>
        <item x="5"/>
        <item x="88"/>
        <item x="139"/>
        <item x="76"/>
        <item x="117"/>
        <item x="116"/>
        <item x="19"/>
        <item x="122"/>
        <item x="115"/>
        <item x="38"/>
        <item x="22"/>
        <item x="80"/>
        <item x="57"/>
        <item x="39"/>
        <item x="46"/>
        <item x="152"/>
        <item x="133"/>
        <item x="6"/>
        <item x="130"/>
        <item x="40"/>
        <item x="33"/>
        <item x="106"/>
        <item x="107"/>
        <item x="59"/>
        <item x="7"/>
        <item x="47"/>
        <item x="86"/>
        <item x="128"/>
        <item x="162"/>
        <item x="8"/>
        <item x="155"/>
        <item x="129"/>
        <item x="69"/>
        <item x="151"/>
        <item x="142"/>
        <item x="123"/>
        <item x="9"/>
        <item x="30"/>
        <item x="26"/>
        <item x="114"/>
        <item x="113"/>
        <item x="64"/>
        <item x="84"/>
        <item x="36"/>
        <item x="111"/>
        <item x="10"/>
        <item x="16"/>
        <item x="149"/>
        <item x="66"/>
        <item x="164"/>
        <item x="53"/>
        <item x="165"/>
        <item x="34"/>
        <item x="136"/>
        <item x="50"/>
        <item x="65"/>
        <item x="143"/>
        <item x="52"/>
        <item x="78"/>
        <item x="11"/>
        <item x="105"/>
        <item x="85"/>
        <item x="121"/>
        <item x="127"/>
        <item x="119"/>
        <item x="20"/>
        <item x="15"/>
        <item x="97"/>
        <item x="166"/>
        <item x="160"/>
        <item x="110"/>
        <item x="42"/>
        <item x="77"/>
        <item x="35"/>
        <item x="156"/>
        <item x="147"/>
        <item x="31"/>
        <item x="102"/>
        <item x="12"/>
        <item x="140"/>
        <item x="125"/>
        <item x="126"/>
        <item x="135"/>
        <item x="154"/>
        <item x="100"/>
        <item x="67"/>
        <item x="82"/>
        <item x="161"/>
        <item x="14"/>
        <item x="157"/>
        <item x="29"/>
        <item x="120"/>
        <item x="99"/>
        <item x="163"/>
        <item x="24"/>
        <item x="37"/>
        <item x="72"/>
        <item x="13"/>
        <item x="68"/>
        <item x="145"/>
        <item x="104"/>
        <item x="103"/>
        <item x="146"/>
        <item x="62"/>
        <item x="118"/>
        <item x="137"/>
        <item x="167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h="1" x="1"/>
        <item h="1" x="0"/>
        <item h="1" x="3"/>
        <item t="default"/>
      </items>
    </pivotField>
    <pivotField compact="0" outline="0" showAll="0"/>
    <pivotField compact="0" outline="0" showAll="0"/>
    <pivotField compact="0" numFmtId="14" outline="0" showAll="0"/>
    <pivotField axis="axisPage" compact="0" outline="0" showAll="0">
      <items count="3">
        <item h="1" x="0"/>
        <item x="1"/>
        <item t="default"/>
      </items>
    </pivotField>
  </pivotFields>
  <rowFields count="1">
    <field x="5"/>
  </rowFields>
  <rowItems count="10">
    <i>
      <x v="48"/>
    </i>
    <i>
      <x v="168"/>
    </i>
    <i>
      <x v="17"/>
    </i>
    <i>
      <x v="95"/>
    </i>
    <i>
      <x v="27"/>
    </i>
    <i>
      <x v="107"/>
    </i>
    <i>
      <x v="22"/>
    </i>
    <i>
      <x v="67"/>
    </i>
    <i>
      <x v="61"/>
    </i>
    <i t="grand">
      <x/>
    </i>
  </rowItems>
  <colItems count="1">
    <i/>
  </colItems>
  <pageFields count="2">
    <pageField fld="17" hier="-1"/>
    <pageField fld="13" item="0" hier="-1"/>
  </pageFields>
  <dataFields count="1">
    <dataField name="Contagem de PARTE DA PEÇ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BAE608-2F98-4C97-9D51-2A14D69DA5BD}" name="Tabela dinâmica4" cacheId="183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C14:D48" firstHeaderRow="1" firstDataRow="1" firstDataCol="1" rowPageCount="2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x="3"/>
        <item x="1"/>
        <item x="0"/>
        <item t="default"/>
      </items>
    </pivotField>
    <pivotField axis="axisRow" dataField="1" compact="0" outline="0" showAll="0" sortType="descending">
      <items count="170">
        <item x="131"/>
        <item x="60"/>
        <item x="98"/>
        <item x="41"/>
        <item x="95"/>
        <item x="54"/>
        <item x="21"/>
        <item x="45"/>
        <item x="28"/>
        <item x="51"/>
        <item x="58"/>
        <item x="158"/>
        <item x="43"/>
        <item x="44"/>
        <item x="27"/>
        <item x="55"/>
        <item x="109"/>
        <item x="23"/>
        <item x="0"/>
        <item x="48"/>
        <item x="25"/>
        <item x="96"/>
        <item x="17"/>
        <item x="79"/>
        <item x="141"/>
        <item x="150"/>
        <item x="87"/>
        <item x="18"/>
        <item x="83"/>
        <item x="74"/>
        <item x="1"/>
        <item x="90"/>
        <item x="2"/>
        <item x="108"/>
        <item x="93"/>
        <item x="61"/>
        <item x="71"/>
        <item x="81"/>
        <item x="138"/>
        <item x="49"/>
        <item x="91"/>
        <item x="89"/>
        <item x="56"/>
        <item x="92"/>
        <item x="94"/>
        <item x="75"/>
        <item x="153"/>
        <item x="3"/>
        <item x="4"/>
        <item x="148"/>
        <item x="112"/>
        <item x="32"/>
        <item x="73"/>
        <item x="132"/>
        <item x="159"/>
        <item x="134"/>
        <item x="63"/>
        <item x="144"/>
        <item x="124"/>
        <item x="70"/>
        <item x="101"/>
        <item x="5"/>
        <item x="88"/>
        <item x="139"/>
        <item x="76"/>
        <item x="117"/>
        <item x="116"/>
        <item x="19"/>
        <item x="122"/>
        <item x="115"/>
        <item x="38"/>
        <item x="22"/>
        <item x="80"/>
        <item x="57"/>
        <item x="39"/>
        <item x="46"/>
        <item x="152"/>
        <item x="133"/>
        <item x="6"/>
        <item x="130"/>
        <item x="40"/>
        <item x="33"/>
        <item x="106"/>
        <item x="107"/>
        <item x="59"/>
        <item x="7"/>
        <item x="47"/>
        <item x="86"/>
        <item x="128"/>
        <item x="162"/>
        <item x="8"/>
        <item x="155"/>
        <item x="129"/>
        <item x="69"/>
        <item x="151"/>
        <item x="142"/>
        <item x="123"/>
        <item x="9"/>
        <item x="30"/>
        <item x="26"/>
        <item x="114"/>
        <item x="113"/>
        <item x="64"/>
        <item x="84"/>
        <item x="36"/>
        <item x="111"/>
        <item x="10"/>
        <item x="16"/>
        <item x="149"/>
        <item x="66"/>
        <item x="164"/>
        <item x="53"/>
        <item x="165"/>
        <item x="34"/>
        <item x="136"/>
        <item x="50"/>
        <item x="65"/>
        <item x="143"/>
        <item x="52"/>
        <item x="78"/>
        <item x="11"/>
        <item x="105"/>
        <item x="85"/>
        <item x="121"/>
        <item x="127"/>
        <item x="119"/>
        <item x="20"/>
        <item x="15"/>
        <item x="97"/>
        <item x="160"/>
        <item x="110"/>
        <item x="42"/>
        <item x="77"/>
        <item x="35"/>
        <item x="156"/>
        <item x="147"/>
        <item x="31"/>
        <item x="102"/>
        <item x="12"/>
        <item x="140"/>
        <item x="125"/>
        <item x="126"/>
        <item x="135"/>
        <item x="154"/>
        <item x="100"/>
        <item x="67"/>
        <item x="82"/>
        <item x="161"/>
        <item x="14"/>
        <item x="157"/>
        <item x="29"/>
        <item x="120"/>
        <item x="99"/>
        <item x="163"/>
        <item x="24"/>
        <item x="37"/>
        <item x="72"/>
        <item x="13"/>
        <item x="68"/>
        <item x="145"/>
        <item x="104"/>
        <item x="103"/>
        <item x="146"/>
        <item x="62"/>
        <item x="118"/>
        <item x="137"/>
        <item x="166"/>
        <item x="167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3">
        <item h="1" x="0"/>
        <item x="1"/>
        <item t="default"/>
      </items>
    </pivotField>
  </pivotFields>
  <rowFields count="1">
    <field x="5"/>
  </rowFields>
  <rowItems count="34">
    <i>
      <x v="95"/>
    </i>
    <i>
      <x v="35"/>
    </i>
    <i>
      <x v="48"/>
    </i>
    <i>
      <x v="39"/>
    </i>
    <i>
      <x v="61"/>
    </i>
    <i>
      <x v="138"/>
    </i>
    <i>
      <x v="157"/>
    </i>
    <i>
      <x v="67"/>
    </i>
    <i>
      <x v="153"/>
    </i>
    <i>
      <x v="71"/>
    </i>
    <i>
      <x v="6"/>
    </i>
    <i>
      <x v="22"/>
    </i>
    <i>
      <x v="78"/>
    </i>
    <i>
      <x v="106"/>
    </i>
    <i>
      <x v="70"/>
    </i>
    <i>
      <x v="54"/>
    </i>
    <i>
      <x v="27"/>
    </i>
    <i>
      <x v="107"/>
    </i>
    <i>
      <x v="126"/>
    </i>
    <i>
      <x v="112"/>
    </i>
    <i>
      <x v="168"/>
    </i>
    <i>
      <x v="17"/>
    </i>
    <i>
      <x v="5"/>
    </i>
    <i>
      <x v="98"/>
    </i>
    <i>
      <x v="7"/>
    </i>
    <i>
      <x v="42"/>
    </i>
    <i>
      <x v="14"/>
    </i>
    <i>
      <x v="110"/>
    </i>
    <i>
      <x v="155"/>
    </i>
    <i>
      <x v="19"/>
    </i>
    <i>
      <x v="10"/>
    </i>
    <i>
      <x v="99"/>
    </i>
    <i>
      <x v="15"/>
    </i>
    <i t="grand">
      <x/>
    </i>
  </rowItems>
  <colItems count="1">
    <i/>
  </colItems>
  <pageFields count="2">
    <pageField fld="17" hier="-1"/>
    <pageField fld="4" hier="-1"/>
  </pageFields>
  <dataFields count="1">
    <dataField name="Contagem de PARTE DA PEÇ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B5B98-EE3D-4C89-B8CE-7222061AB07A}" name="Tabela dinâmica3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14:F75" firstHeaderRow="1" firstDataRow="1" firstDataCol="1" rowPageCount="2" colPageCount="1"/>
  <pivotFields count="18">
    <pivotField axis="axisRow" dataField="1" compact="0" outline="0" showAll="0" sortType="descending">
      <items count="218">
        <item x="192"/>
        <item x="85"/>
        <item x="11"/>
        <item x="131"/>
        <item x="198"/>
        <item x="155"/>
        <item x="69"/>
        <item x="92"/>
        <item x="134"/>
        <item x="63"/>
        <item x="145"/>
        <item x="169"/>
        <item x="10"/>
        <item x="133"/>
        <item x="104"/>
        <item x="193"/>
        <item x="52"/>
        <item x="172"/>
        <item x="54"/>
        <item x="124"/>
        <item x="206"/>
        <item x="76"/>
        <item x="142"/>
        <item x="79"/>
        <item x="42"/>
        <item x="201"/>
        <item x="67"/>
        <item x="196"/>
        <item x="123"/>
        <item x="89"/>
        <item x="181"/>
        <item x="14"/>
        <item x="207"/>
        <item x="107"/>
        <item x="87"/>
        <item x="30"/>
        <item x="88"/>
        <item x="125"/>
        <item x="26"/>
        <item x="84"/>
        <item x="160"/>
        <item x="152"/>
        <item x="6"/>
        <item x="171"/>
        <item x="111"/>
        <item x="20"/>
        <item x="19"/>
        <item x="167"/>
        <item x="109"/>
        <item x="175"/>
        <item x="7"/>
        <item x="199"/>
        <item x="150"/>
        <item x="15"/>
        <item x="103"/>
        <item x="86"/>
        <item x="34"/>
        <item x="138"/>
        <item x="126"/>
        <item x="32"/>
        <item x="78"/>
        <item x="98"/>
        <item x="178"/>
        <item x="41"/>
        <item x="55"/>
        <item x="97"/>
        <item x="18"/>
        <item x="110"/>
        <item x="187"/>
        <item x="48"/>
        <item x="51"/>
        <item x="1"/>
        <item x="37"/>
        <item x="163"/>
        <item x="27"/>
        <item x="65"/>
        <item x="129"/>
        <item x="118"/>
        <item x="73"/>
        <item x="135"/>
        <item x="161"/>
        <item x="16"/>
        <item x="162"/>
        <item x="154"/>
        <item x="43"/>
        <item x="204"/>
        <item x="101"/>
        <item x="179"/>
        <item x="17"/>
        <item x="202"/>
        <item x="144"/>
        <item x="22"/>
        <item x="213"/>
        <item x="33"/>
        <item x="166"/>
        <item x="139"/>
        <item x="140"/>
        <item x="148"/>
        <item x="83"/>
        <item x="113"/>
        <item x="165"/>
        <item x="0"/>
        <item x="214"/>
        <item x="53"/>
        <item x="122"/>
        <item x="200"/>
        <item x="81"/>
        <item x="143"/>
        <item x="102"/>
        <item x="74"/>
        <item x="105"/>
        <item x="56"/>
        <item x="115"/>
        <item x="141"/>
        <item x="4"/>
        <item x="176"/>
        <item x="120"/>
        <item x="209"/>
        <item x="205"/>
        <item x="45"/>
        <item x="46"/>
        <item x="58"/>
        <item x="174"/>
        <item x="23"/>
        <item x="25"/>
        <item x="136"/>
        <item x="137"/>
        <item x="159"/>
        <item x="203"/>
        <item x="128"/>
        <item x="31"/>
        <item x="156"/>
        <item x="153"/>
        <item x="116"/>
        <item x="117"/>
        <item x="13"/>
        <item x="112"/>
        <item x="114"/>
        <item x="168"/>
        <item x="57"/>
        <item x="183"/>
        <item x="47"/>
        <item x="180"/>
        <item x="151"/>
        <item x="146"/>
        <item x="191"/>
        <item x="12"/>
        <item x="147"/>
        <item x="189"/>
        <item x="39"/>
        <item x="93"/>
        <item x="173"/>
        <item x="71"/>
        <item x="95"/>
        <item x="195"/>
        <item x="28"/>
        <item x="68"/>
        <item x="177"/>
        <item x="190"/>
        <item x="66"/>
        <item x="96"/>
        <item x="210"/>
        <item x="211"/>
        <item x="164"/>
        <item x="185"/>
        <item x="197"/>
        <item x="75"/>
        <item x="60"/>
        <item x="50"/>
        <item x="62"/>
        <item x="80"/>
        <item x="127"/>
        <item x="90"/>
        <item x="186"/>
        <item x="212"/>
        <item x="72"/>
        <item x="99"/>
        <item x="100"/>
        <item x="24"/>
        <item x="64"/>
        <item x="170"/>
        <item x="61"/>
        <item x="149"/>
        <item x="70"/>
        <item x="119"/>
        <item x="2"/>
        <item x="29"/>
        <item x="215"/>
        <item x="40"/>
        <item x="91"/>
        <item x="194"/>
        <item x="38"/>
        <item x="9"/>
        <item x="184"/>
        <item x="158"/>
        <item x="108"/>
        <item x="21"/>
        <item x="49"/>
        <item x="121"/>
        <item x="8"/>
        <item x="106"/>
        <item x="36"/>
        <item x="3"/>
        <item x="44"/>
        <item x="130"/>
        <item x="157"/>
        <item x="188"/>
        <item x="5"/>
        <item x="208"/>
        <item x="35"/>
        <item x="132"/>
        <item x="182"/>
        <item x="59"/>
        <item x="94"/>
        <item x="82"/>
        <item x="77"/>
        <item x="2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3">
        <item h="1" x="0"/>
        <item x="1"/>
        <item t="default"/>
      </items>
    </pivotField>
  </pivotFields>
  <rowFields count="1">
    <field x="0"/>
  </rowFields>
  <rowItems count="61">
    <i>
      <x v="199"/>
    </i>
    <i>
      <x v="196"/>
    </i>
    <i>
      <x v="59"/>
    </i>
    <i>
      <x v="135"/>
    </i>
    <i>
      <x v="49"/>
    </i>
    <i>
      <x v="43"/>
    </i>
    <i>
      <x v="203"/>
    </i>
    <i>
      <x v="115"/>
    </i>
    <i>
      <x v="124"/>
    </i>
    <i>
      <x v="130"/>
    </i>
    <i>
      <x v="100"/>
    </i>
    <i>
      <x v="163"/>
    </i>
    <i>
      <x v="62"/>
    </i>
    <i>
      <x v="211"/>
    </i>
    <i>
      <x v="23"/>
    </i>
    <i>
      <x v="39"/>
    </i>
    <i>
      <x v="111"/>
    </i>
    <i>
      <x v="72"/>
    </i>
    <i>
      <x v="214"/>
    </i>
    <i>
      <x v="206"/>
    </i>
    <i>
      <x v="32"/>
    </i>
    <i>
      <x v="53"/>
    </i>
    <i>
      <x v="105"/>
    </i>
    <i>
      <x v="118"/>
    </i>
    <i>
      <x v="11"/>
    </i>
    <i>
      <x v="174"/>
    </i>
    <i>
      <x v="138"/>
    </i>
    <i>
      <x v="178"/>
    </i>
    <i>
      <x v="197"/>
    </i>
    <i>
      <x v="181"/>
    </i>
    <i>
      <x v="92"/>
    </i>
    <i>
      <x v="187"/>
    </i>
    <i>
      <x v="94"/>
    </i>
    <i>
      <x v="193"/>
    </i>
    <i>
      <x v="128"/>
    </i>
    <i>
      <x v="109"/>
    </i>
    <i>
      <x v="56"/>
    </i>
    <i>
      <x v="215"/>
    </i>
    <i>
      <x v="117"/>
    </i>
    <i>
      <x v="74"/>
    </i>
    <i>
      <x v="102"/>
    </i>
    <i>
      <x v="75"/>
    </i>
    <i>
      <x v="6"/>
    </i>
    <i>
      <x v="82"/>
    </i>
    <i>
      <x v="122"/>
    </i>
    <i>
      <x v="145"/>
    </i>
    <i>
      <x v="186"/>
    </i>
    <i>
      <x v="85"/>
    </i>
    <i>
      <x v="190"/>
    </i>
    <i>
      <x v="164"/>
    </i>
    <i>
      <x v="2"/>
    </i>
    <i>
      <x v="166"/>
    </i>
    <i>
      <x v="60"/>
    </i>
    <i>
      <x v="168"/>
    </i>
    <i>
      <x v="27"/>
    </i>
    <i>
      <x v="30"/>
    </i>
    <i>
      <x v="45"/>
    </i>
    <i>
      <x v="51"/>
    </i>
    <i>
      <x v="73"/>
    </i>
    <i>
      <x v="15"/>
    </i>
    <i t="grand">
      <x/>
    </i>
  </rowItems>
  <colItems count="1">
    <i/>
  </colItems>
  <pageFields count="2">
    <pageField fld="17" hier="-1"/>
    <pageField fld="4" hier="-1"/>
  </pageFields>
  <dataFields count="1">
    <dataField name="Contagem de OFICIN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6D226-0523-4C79-BB90-CDB82AE434AA}" name="Tabela dinâmica7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14:K46" firstHeaderRow="1" firstDataRow="1" firstDataCol="1" rowPageCount="2" colPageCount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170">
        <item x="131"/>
        <item x="60"/>
        <item x="98"/>
        <item x="41"/>
        <item x="95"/>
        <item x="54"/>
        <item x="21"/>
        <item x="45"/>
        <item x="28"/>
        <item x="51"/>
        <item x="58"/>
        <item x="158"/>
        <item x="43"/>
        <item x="44"/>
        <item x="27"/>
        <item x="55"/>
        <item x="109"/>
        <item x="23"/>
        <item x="0"/>
        <item x="48"/>
        <item x="25"/>
        <item x="96"/>
        <item x="17"/>
        <item x="79"/>
        <item x="141"/>
        <item x="150"/>
        <item x="87"/>
        <item x="18"/>
        <item x="83"/>
        <item x="74"/>
        <item x="1"/>
        <item x="90"/>
        <item x="2"/>
        <item x="108"/>
        <item x="93"/>
        <item x="61"/>
        <item x="71"/>
        <item x="81"/>
        <item x="138"/>
        <item x="49"/>
        <item x="91"/>
        <item x="89"/>
        <item x="56"/>
        <item x="92"/>
        <item x="94"/>
        <item x="75"/>
        <item x="153"/>
        <item x="3"/>
        <item x="4"/>
        <item x="148"/>
        <item x="112"/>
        <item x="32"/>
        <item x="73"/>
        <item x="132"/>
        <item x="159"/>
        <item x="134"/>
        <item x="63"/>
        <item x="144"/>
        <item x="124"/>
        <item x="70"/>
        <item x="101"/>
        <item x="5"/>
        <item x="88"/>
        <item x="139"/>
        <item x="76"/>
        <item x="117"/>
        <item x="116"/>
        <item x="19"/>
        <item x="122"/>
        <item x="115"/>
        <item x="38"/>
        <item x="22"/>
        <item x="80"/>
        <item x="57"/>
        <item x="39"/>
        <item x="46"/>
        <item x="152"/>
        <item x="133"/>
        <item x="6"/>
        <item x="130"/>
        <item x="40"/>
        <item x="33"/>
        <item x="106"/>
        <item x="107"/>
        <item x="59"/>
        <item x="7"/>
        <item x="47"/>
        <item x="86"/>
        <item x="128"/>
        <item x="162"/>
        <item x="8"/>
        <item x="155"/>
        <item x="129"/>
        <item x="69"/>
        <item x="151"/>
        <item x="142"/>
        <item x="123"/>
        <item x="9"/>
        <item x="30"/>
        <item x="26"/>
        <item x="114"/>
        <item x="113"/>
        <item x="64"/>
        <item x="84"/>
        <item x="36"/>
        <item x="111"/>
        <item x="10"/>
        <item x="16"/>
        <item x="149"/>
        <item x="66"/>
        <item x="164"/>
        <item x="53"/>
        <item x="165"/>
        <item x="34"/>
        <item x="136"/>
        <item x="50"/>
        <item x="65"/>
        <item x="143"/>
        <item x="52"/>
        <item x="78"/>
        <item x="11"/>
        <item x="105"/>
        <item x="85"/>
        <item x="121"/>
        <item x="127"/>
        <item x="119"/>
        <item x="20"/>
        <item x="15"/>
        <item x="97"/>
        <item x="166"/>
        <item x="160"/>
        <item x="110"/>
        <item x="42"/>
        <item x="77"/>
        <item x="35"/>
        <item x="156"/>
        <item x="147"/>
        <item x="31"/>
        <item x="102"/>
        <item x="12"/>
        <item x="140"/>
        <item x="125"/>
        <item x="126"/>
        <item x="135"/>
        <item x="154"/>
        <item x="100"/>
        <item x="67"/>
        <item x="82"/>
        <item x="161"/>
        <item x="14"/>
        <item x="157"/>
        <item x="29"/>
        <item x="120"/>
        <item x="99"/>
        <item x="163"/>
        <item x="24"/>
        <item x="37"/>
        <item x="72"/>
        <item x="13"/>
        <item x="68"/>
        <item x="145"/>
        <item x="104"/>
        <item x="103"/>
        <item x="146"/>
        <item x="62"/>
        <item x="118"/>
        <item x="137"/>
        <item x="167"/>
        <item x="1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h="1" x="2"/>
        <item x="1"/>
        <item h="1" x="0"/>
        <item h="1" x="3"/>
        <item t="default"/>
      </items>
    </pivotField>
    <pivotField compact="0" outline="0" showAll="0"/>
    <pivotField compact="0" outline="0" showAll="0"/>
    <pivotField compact="0" numFmtId="14" outline="0" showAll="0"/>
    <pivotField axis="axisPage" compact="0" outline="0" showAll="0">
      <items count="3">
        <item h="1" x="0"/>
        <item x="1"/>
        <item t="default"/>
      </items>
    </pivotField>
  </pivotFields>
  <rowFields count="1">
    <field x="5"/>
  </rowFields>
  <rowItems count="32">
    <i>
      <x v="95"/>
    </i>
    <i>
      <x v="35"/>
    </i>
    <i>
      <x v="39"/>
    </i>
    <i>
      <x v="139"/>
    </i>
    <i>
      <x v="61"/>
    </i>
    <i>
      <x v="158"/>
    </i>
    <i>
      <x v="48"/>
    </i>
    <i>
      <x v="67"/>
    </i>
    <i>
      <x v="154"/>
    </i>
    <i>
      <x v="71"/>
    </i>
    <i>
      <x v="6"/>
    </i>
    <i>
      <x v="78"/>
    </i>
    <i>
      <x v="106"/>
    </i>
    <i>
      <x v="22"/>
    </i>
    <i>
      <x v="54"/>
    </i>
    <i>
      <x v="70"/>
    </i>
    <i>
      <x v="112"/>
    </i>
    <i>
      <x v="126"/>
    </i>
    <i>
      <x v="5"/>
    </i>
    <i>
      <x v="27"/>
    </i>
    <i>
      <x v="98"/>
    </i>
    <i>
      <x v="42"/>
    </i>
    <i>
      <x v="10"/>
    </i>
    <i>
      <x v="99"/>
    </i>
    <i>
      <x v="14"/>
    </i>
    <i>
      <x v="19"/>
    </i>
    <i>
      <x v="107"/>
    </i>
    <i>
      <x v="156"/>
    </i>
    <i>
      <x v="110"/>
    </i>
    <i>
      <x v="7"/>
    </i>
    <i>
      <x v="15"/>
    </i>
    <i t="grand">
      <x/>
    </i>
  </rowItems>
  <colItems count="1">
    <i/>
  </colItems>
  <pageFields count="2">
    <pageField fld="17" hier="-1"/>
    <pageField fld="13" item="1" hier="-1"/>
  </pageFields>
  <dataFields count="1">
    <dataField name="Contagem de PARTE DA PEÇA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R2861" totalsRowShown="0" headerRowDxfId="19">
  <autoFilter ref="A1:R2861" xr:uid="{00000000-0009-0000-0100-000001000000}">
    <filterColumn colId="2">
      <filters>
        <filter val="300281898"/>
      </filters>
    </filterColumn>
  </autoFilter>
  <sortState xmlns:xlrd2="http://schemas.microsoft.com/office/spreadsheetml/2017/richdata2" ref="A2:M33">
    <sortCondition ref="F1:F33"/>
  </sortState>
  <tableColumns count="18">
    <tableColumn id="1" xr3:uid="{00000000-0010-0000-0000-000001000000}" name="OFICINA"/>
    <tableColumn id="2" xr3:uid="{00000000-0010-0000-0000-000002000000}" name="EMAIL DA OFICINA"/>
    <tableColumn id="3" xr3:uid="{00000000-0010-0000-0000-000003000000}" name="ORDEM DE PRODUÇÃO"/>
    <tableColumn id="4" xr3:uid="{00000000-0010-0000-0000-000004000000}" name="NÚMERO DO MATERIAL"/>
    <tableColumn id="5" xr3:uid="{00000000-0010-0000-0000-000005000000}" name="MP"/>
    <tableColumn id="6" xr3:uid="{00000000-0010-0000-0000-000006000000}" name="PARTE DA PEÇA"/>
    <tableColumn id="7" xr3:uid="{00000000-0010-0000-0000-000007000000}" name="QUANTIDADE"/>
    <tableColumn id="8" xr3:uid="{00000000-0010-0000-0000-000008000000}" name="MOTIVO DA REPOSIÇÃO"/>
    <tableColumn id="9" xr3:uid="{00000000-0010-0000-0000-000009000000}" name="PROCESSO ANTERIOR?"/>
    <tableColumn id="10" xr3:uid="{00000000-0010-0000-0000-00000A000000}" name="OBSERVAÇÕES"/>
    <tableColumn id="11" xr3:uid="{9ACDCD20-A9A4-4F9D-9F88-0B2C71C7266A}" name="DATA" dataDxfId="18"/>
    <tableColumn id="12" xr3:uid="{980532B2-1CF2-4D2E-B645-C13DFA3E63C2}" name="STATUS"/>
    <tableColumn id="13" xr3:uid="{38D19673-4510-42BD-AA6F-4EB6D01E155E}" name="Reposição N°: "/>
    <tableColumn id="14" xr3:uid="{00E39C3A-CC3F-4BCA-A9D0-86E73DEFFE35}" name="REPOSIÇÃO"/>
    <tableColumn id="15" xr3:uid="{17A20922-3039-4CEF-93F9-724511E2153D}" name="CÓDIGO DO AVIAMENTO"/>
    <tableColumn id="16" xr3:uid="{EF80BB76-BAAF-4E48-8019-6F3BDC5B28DD}" name="__PowerAppsId__" dataDxfId="17"/>
    <tableColumn id="17" xr3:uid="{B6A4D778-D8AB-484E-A0F0-2C8CE00A0B84}" name="DATA_RELATORIO" dataDxfId="16">
      <calculatedColumnFormula>INT(Tabela1[[#This Row],[DATA]])</calculatedColumnFormula>
    </tableColumn>
    <tableColumn id="18" xr3:uid="{F50D3555-495B-4319-8066-77730AF67AD4}" name="SEMANA RELATÓRIO" dataDxfId="15">
      <calculatedColumnFormula>IF(AND(Q2&gt;=TODAY()-WEEKDAY(TODAY(),2)+1,Q2&lt;TODAY()),"SIM","NÃO")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11B547-D1E7-4FE5-B8E8-F2C6B7B3D726}" name="Tabela3" displayName="Tabela3" ref="F2:AM3" totalsRowShown="0" headerRowDxfId="14">
  <autoFilter ref="F2:AM3" xr:uid="{FC11B547-D1E7-4FE5-B8E8-F2C6B7B3D726}"/>
  <tableColumns count="34">
    <tableColumn id="1" xr3:uid="{7FE5EAAB-5AFF-494E-B23B-8ADB71AC94CA}" name="Total_Ontem">
      <calculatedColumnFormula>B2</calculatedColumnFormula>
    </tableColumn>
    <tableColumn id="2" xr3:uid="{44267C5C-BFB2-4FB9-A7BD-6C4C6EC8287F}" name="Completas_Ontem">
      <calculatedColumnFormula>B3</calculatedColumnFormula>
    </tableColumn>
    <tableColumn id="3" xr3:uid="{C0E6A1DD-0D83-48FC-BD07-566E887D2743}" name="Incompletas_Ontem">
      <calculatedColumnFormula>B4</calculatedColumnFormula>
    </tableColumn>
    <tableColumn id="4" xr3:uid="{CF9A6E8A-0AEF-4BB7-A1F5-5F7B04499AC7}" name="Total_Semana">
      <calculatedColumnFormula>B7</calculatedColumnFormula>
    </tableColumn>
    <tableColumn id="5" xr3:uid="{BD9A0A98-844A-4FBD-B950-13B8950655D7}" name="Completas_Semana">
      <calculatedColumnFormula>B8</calculatedColumnFormula>
    </tableColumn>
    <tableColumn id="6" xr3:uid="{7ECEBF81-38D1-4844-B70D-6638D87685D6}" name="Incompletas_Semana">
      <calculatedColumnFormula>B9</calculatedColumnFormula>
    </tableColumn>
    <tableColumn id="7" xr3:uid="{56F02686-45E0-4939-AA38-D2CB131CB29B}" name="Oficina_1">
      <calculatedColumnFormula>E15</calculatedColumnFormula>
    </tableColumn>
    <tableColumn id="8" xr3:uid="{EC00659B-30BC-4A92-95D9-DDCDF8CED43E}" name="Qtd_1">
      <calculatedColumnFormula>F15</calculatedColumnFormula>
    </tableColumn>
    <tableColumn id="9" xr3:uid="{C3699B60-1629-4199-AFB6-7FE1B0C9DFBB}" name="Oficina_2">
      <calculatedColumnFormula>E16</calculatedColumnFormula>
    </tableColumn>
    <tableColumn id="10" xr3:uid="{6A21FBD3-EBE2-4E88-9F8A-D03B5C97AFCC}" name="Qtd_2">
      <calculatedColumnFormula>F16</calculatedColumnFormula>
    </tableColumn>
    <tableColumn id="11" xr3:uid="{530FD5D4-09E1-48C1-9757-557234459C32}" name="Oficina_3">
      <calculatedColumnFormula>E17</calculatedColumnFormula>
    </tableColumn>
    <tableColumn id="12" xr3:uid="{0C45D1C7-343D-41AA-935A-645B2F330247}" name="Qtd_3">
      <calculatedColumnFormula>F17</calculatedColumnFormula>
    </tableColumn>
    <tableColumn id="13" xr3:uid="{3FD1C2A1-761E-4C16-953F-017DC5998180}" name="Peca_1">
      <calculatedColumnFormula>C15</calculatedColumnFormula>
    </tableColumn>
    <tableColumn id="14" xr3:uid="{4369DA3C-5141-4654-8B49-8696090C8EE6}" name="Qtd_Peca_1">
      <calculatedColumnFormula>D15</calculatedColumnFormula>
    </tableColumn>
    <tableColumn id="15" xr3:uid="{AB8E69B4-8173-4824-B42B-957F7797FFFD}" name="Peca_2">
      <calculatedColumnFormula>C16</calculatedColumnFormula>
    </tableColumn>
    <tableColumn id="16" xr3:uid="{0621CB94-BCF9-4C0B-A7A5-D1B90D4BE1A9}" name="Qtd_Peca_2">
      <calculatedColumnFormula>D16</calculatedColumnFormula>
    </tableColumn>
    <tableColumn id="17" xr3:uid="{3E7FF0FD-63A1-4738-BD1A-9E9002BEF354}" name="Peca_3">
      <calculatedColumnFormula>C17</calculatedColumnFormula>
    </tableColumn>
    <tableColumn id="18" xr3:uid="{6E6288B6-50F1-4ED7-A066-C0F0A6E931FA}" name="Qtd_Peca_3">
      <calculatedColumnFormula>D17</calculatedColumnFormula>
    </tableColumn>
    <tableColumn id="19" xr3:uid="{6335DDD3-4E66-4DCA-8130-48D69E0F86F4}" name="MP_Jeans">
      <calculatedColumnFormula>B11</calculatedColumnFormula>
    </tableColumn>
    <tableColumn id="20" xr3:uid="{8F8A35AF-CFD7-43BE-8827-1CE7A931715D}" name="MP_Malha">
      <calculatedColumnFormula>B12</calculatedColumnFormula>
    </tableColumn>
    <tableColumn id="21" xr3:uid="{C2500A26-E713-4CB3-9F5C-5024C4D6447B}" name="MP_Tear">
      <calculatedColumnFormula>B13</calculatedColumnFormula>
    </tableColumn>
    <tableColumn id="22" xr3:uid="{6A0F1B20-6F9D-41BD-A5FA-8ACF93DD3B39}" name="MP_Polo">
      <calculatedColumnFormula>B14</calculatedColumnFormula>
    </tableColumn>
    <tableColumn id="23" xr3:uid="{6C96B2ED-5D2D-44A7-8D4D-0EB3A6925522}" name="Completa_peça">
      <calculatedColumnFormula>H15</calculatedColumnFormula>
    </tableColumn>
    <tableColumn id="24" xr3:uid="{58F4F542-BA03-4AAF-A0E8-D92BB2772284}" name="completa_valor">
      <calculatedColumnFormula>I15</calculatedColumnFormula>
    </tableColumn>
    <tableColumn id="25" xr3:uid="{1ECA34EA-10BA-41DD-9438-3C400C0BB533}" name="Completa_peça2">
      <calculatedColumnFormula>H16</calculatedColumnFormula>
    </tableColumn>
    <tableColumn id="26" xr3:uid="{CD87AC16-41DB-4736-8E63-718A3D96432C}" name="completa_valor2">
      <calculatedColumnFormula>I16</calculatedColumnFormula>
    </tableColumn>
    <tableColumn id="27" xr3:uid="{691A6E7B-58B0-4A50-918B-ED558D37447E}" name="Completa_peça22">
      <calculatedColumnFormula>H17</calculatedColumnFormula>
    </tableColumn>
    <tableColumn id="28" xr3:uid="{BD2C58BD-D5C9-4DE7-ACF3-98E8603D8A35}" name="completa_valor22">
      <calculatedColumnFormula>I17</calculatedColumnFormula>
    </tableColumn>
    <tableColumn id="29" xr3:uid="{B38156A1-6046-4299-BEBB-B09B6D8A6A67}" name="Incompleta_peça3">
      <calculatedColumnFormula>J15</calculatedColumnFormula>
    </tableColumn>
    <tableColumn id="30" xr3:uid="{F53F3A4C-B7D7-41BD-84CD-6C2A3328F9B3}" name="incompleta_valor4">
      <calculatedColumnFormula>K15</calculatedColumnFormula>
    </tableColumn>
    <tableColumn id="31" xr3:uid="{BEABE06B-DD04-4DF9-B1FD-0986A6B02080}" name="Incompleta_peça32">
      <calculatedColumnFormula>J16</calculatedColumnFormula>
    </tableColumn>
    <tableColumn id="32" xr3:uid="{D9B7DB04-F01D-4A45-96A1-DBCD20FA05C1}" name="incompleta_valor42">
      <calculatedColumnFormula>K16</calculatedColumnFormula>
    </tableColumn>
    <tableColumn id="33" xr3:uid="{EF594009-63F9-4CB0-81A3-0ADE04CE93A6}" name="Incompleta_peça33">
      <calculatedColumnFormula>J17</calculatedColumnFormula>
    </tableColumn>
    <tableColumn id="34" xr3:uid="{17C6E5A5-FD55-41F8-A4C7-DE710947F638}" name="incompleta_valor43">
      <calculatedColumnFormula>K17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444692-09E1-4EF7-88FE-50C558CD8540}" name="Tabela4" displayName="Tabela4" ref="F6:K7" totalsRowShown="0">
  <autoFilter ref="F6:K7" xr:uid="{8A444692-09E1-4EF7-88FE-50C558CD8540}"/>
  <tableColumns count="6">
    <tableColumn id="1" xr3:uid="{3EEB4D50-1A66-4495-9C24-B371507338F6}" name="Total_Julho">
      <calculatedColumnFormula>B18</calculatedColumnFormula>
    </tableColumn>
    <tableColumn id="2" xr3:uid="{1616463D-2F3A-4C6E-B551-9D1394ADEFE6}" name="Completas_Julho">
      <calculatedColumnFormula>B19</calculatedColumnFormula>
    </tableColumn>
    <tableColumn id="3" xr3:uid="{1BF1B0D0-5C7F-4663-836F-B64575420B44}" name="Incompletas_Julho">
      <calculatedColumnFormula>B20</calculatedColumnFormula>
    </tableColumn>
    <tableColumn id="4" xr3:uid="{23F30EAA-E3B8-4F65-9FE1-DF87F307C6AB}" name="Total_Junho">
      <calculatedColumnFormula>B22</calculatedColumnFormula>
    </tableColumn>
    <tableColumn id="5" xr3:uid="{5CA723FB-A438-449F-A97C-3F1D6DE7B1E3}" name="Completas_Junho">
      <calculatedColumnFormula>B23</calculatedColumnFormula>
    </tableColumn>
    <tableColumn id="6" xr3:uid="{0CDA7D74-81CD-4F6C-95F0-1A81B76AF53D}" name="Incompletas_Junho">
      <calculatedColumnFormula>B24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FFEBD6-2CD4-4283-89BD-D9FBC554453C}" name="Tabela2" displayName="Tabela2" ref="A1:B1973" totalsRowShown="0">
  <autoFilter ref="A1:B1973" xr:uid="{C1FFEBD6-2CD4-4283-89BD-D9FBC554453C}"/>
  <tableColumns count="2">
    <tableColumn id="1" xr3:uid="{E253A426-45B2-4898-971B-545144D5C72A}" name="DATA DE CONCLUSÃO" dataDxfId="13"/>
    <tableColumn id="2" xr3:uid="{E7D4822C-FBCD-45FB-A090-9033762E1B8F}" name="DETALHES DA TAREFA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65E2CA6-0AF1-4179-9E1C-6E3A327F2151}" name="Tabela5" displayName="Tabela5" ref="A1:K381" totalsRowShown="0" dataDxfId="12" headerRowBorderDxfId="11">
  <autoFilter ref="A1:K381" xr:uid="{665E2CA6-0AF1-4179-9E1C-6E3A327F2151}"/>
  <tableColumns count="11">
    <tableColumn id="1" xr3:uid="{AE62F994-1694-4ED4-8E73-D23510253DE3}" name="ID_Tarefa" dataDxfId="10"/>
    <tableColumn id="9" xr3:uid="{66BBB031-0913-4F18-BBC7-AAEEC865A56D}" name="Tarefa" dataDxfId="9"/>
    <tableColumn id="2" xr3:uid="{0A01DE29-06C0-4CF4-8405-DC256FABFEAA}" name="MP" dataDxfId="8">
      <calculatedColumnFormula>IFERROR(IF(ISNUMBER(VALUE(_xlfn.TEXTBEFORE(B2,"-"))),"",_xlfn.TEXTBEFORE(B2,"-")),"")</calculatedColumnFormula>
    </tableColumn>
    <tableColumn id="5" xr3:uid="{93DE61F0-DCC4-49F7-ABCB-B8A61DD5E660}" name="Reposição Nº" dataDxfId="7">
      <calculatedColumnFormula>IFERROR(IF(ISNUMBER(VALUE(_xlfn.TEXTBEFORE(B2,"-"))),_xlfn.TEXTBEFORE(B2,"-"),_xlfn.TEXTBEFORE(_xlfn.TEXTAFTER(B2,"-"),"-")),"")</calculatedColumnFormula>
    </tableColumn>
    <tableColumn id="6" xr3:uid="{986765FF-99DA-46EA-B0A5-EEDECCC501A1}" name="ORDEM" dataDxfId="6">
      <calculatedColumnFormula>IFERROR(IF(ISNUMBER(VALUE(_xlfn.TEXTBEFORE(B2,"-"))),_xlfn.TEXTBEFORE(_xlfn.TEXTAFTER(B2,"-"),"-"),_xlfn.TEXTBEFORE(_xlfn.TEXTAFTER(B2,"-",2),"-")),"")</calculatedColumnFormula>
    </tableColumn>
    <tableColumn id="7" xr3:uid="{688BDF38-A887-49DF-A548-EE830156A814}" name="OFICINA" dataDxfId="5">
      <calculatedColumnFormula>IFERROR(IF(ISNUMBER(VALUE(_xlfn.TEXTBEFORE(B2,"-"))),_xlfn.TEXTBEFORE(_xlfn.TEXTAFTER(B2,"-",2)," - "),_xlfn.TEXTBEFORE(_xlfn.TEXTAFTER(B2,"-",3)," - ")),"")</calculatedColumnFormula>
    </tableColumn>
    <tableColumn id="8" xr3:uid="{6CCC6C7D-0574-4852-A721-BD112A0D7857}" name="PARTE DA PEÇA" dataDxfId="4">
      <calculatedColumnFormula>IFERROR(_xlfn.TEXTAFTER(B2," - ",-1),"")</calculatedColumnFormula>
    </tableColumn>
    <tableColumn id="3" xr3:uid="{62105373-C877-438C-ABAF-E4D254F90843}" name="Data de criação" dataDxfId="3"/>
    <tableColumn id="10" xr3:uid="{B3910089-E419-4A5B-9584-677FEF89CE35}" name="Data" dataDxfId="2">
      <calculatedColumnFormula>DATE(LEFT(H2,4),MID(H2,6,2),MID(H2,9,2))+TIME(MID(H2,12,2),MID(H2,15,2),MID(H2,18,2))</calculatedColumnFormula>
    </tableColumn>
    <tableColumn id="11" xr3:uid="{BDE990F4-5F01-47E0-816C-7FE448DF32C7}" name="Descrição" dataDxfId="1"/>
    <tableColumn id="4" xr3:uid="{75689352-6851-419C-9C0C-95C88AED1175}" name="Buck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61"/>
  <sheetViews>
    <sheetView tabSelected="1" topLeftCell="B1" workbookViewId="0">
      <selection activeCell="C2779" sqref="C2779"/>
    </sheetView>
  </sheetViews>
  <sheetFormatPr defaultRowHeight="15"/>
  <cols>
    <col min="1" max="1" width="44.28515625" bestFit="1" customWidth="1"/>
    <col min="2" max="2" width="36.42578125" customWidth="1"/>
    <col min="3" max="3" width="23.28515625" customWidth="1"/>
    <col min="4" max="4" width="23.7109375" customWidth="1"/>
    <col min="5" max="5" width="8.7109375" customWidth="1"/>
    <col min="6" max="6" width="41.85546875" customWidth="1"/>
    <col min="7" max="7" width="20.85546875" hidden="1" customWidth="1"/>
    <col min="8" max="8" width="120.5703125" hidden="1" customWidth="1"/>
    <col min="9" max="9" width="25.85546875" hidden="1" customWidth="1"/>
    <col min="10" max="10" width="120.85546875" hidden="1" customWidth="1"/>
    <col min="11" max="11" width="18.5703125" style="10" hidden="1" customWidth="1"/>
    <col min="12" max="12" width="34" hidden="1" customWidth="1"/>
    <col min="13" max="13" width="18.140625" customWidth="1"/>
    <col min="14" max="14" width="13.7109375" bestFit="1" customWidth="1"/>
    <col min="15" max="15" width="255.7109375" bestFit="1" customWidth="1"/>
    <col min="16" max="16" width="39.7109375" bestFit="1" customWidth="1"/>
    <col min="17" max="17" width="22.28515625" style="10" bestFit="1" customWidth="1"/>
    <col min="18" max="18" width="22.140625" bestFit="1" customWidth="1"/>
  </cols>
  <sheetData>
    <row r="1" spans="1:18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0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s="13" t="s">
        <v>16</v>
      </c>
      <c r="R1" t="s">
        <v>17</v>
      </c>
    </row>
    <row r="2" spans="1:18" ht="18" hidden="1" customHeight="1">
      <c r="A2" t="s">
        <v>18</v>
      </c>
      <c r="B2" t="s">
        <v>19</v>
      </c>
      <c r="C2">
        <v>300264432</v>
      </c>
      <c r="D2">
        <v>15581888</v>
      </c>
      <c r="E2" t="s">
        <v>20</v>
      </c>
      <c r="F2" t="s">
        <v>21</v>
      </c>
      <c r="G2">
        <v>35</v>
      </c>
      <c r="H2" t="s">
        <v>22</v>
      </c>
      <c r="I2" t="s">
        <v>23</v>
      </c>
      <c r="J2" t="s">
        <v>24</v>
      </c>
      <c r="K2" s="10" t="s">
        <v>25</v>
      </c>
      <c r="M2">
        <v>48</v>
      </c>
      <c r="P2" t="s">
        <v>26</v>
      </c>
      <c r="Q2" s="10">
        <f>INT(Tabela1[[#This Row],[DATA]])</f>
        <v>46162</v>
      </c>
      <c r="R2" s="14" t="str">
        <f ca="1">IF(AND(Q2&gt;=TODAY()-WEEKDAY(TODAY(),2)+1,Q2&lt;TODAY()),"SIM","NÃO")</f>
        <v>NÃO</v>
      </c>
    </row>
    <row r="3" spans="1:18" hidden="1">
      <c r="A3" t="s">
        <v>27</v>
      </c>
      <c r="B3" t="s">
        <v>28</v>
      </c>
      <c r="C3">
        <v>300261449</v>
      </c>
      <c r="D3">
        <v>16217861</v>
      </c>
      <c r="E3" t="s">
        <v>29</v>
      </c>
      <c r="F3" t="s">
        <v>30</v>
      </c>
      <c r="G3" t="s">
        <v>31</v>
      </c>
      <c r="H3" t="s">
        <v>22</v>
      </c>
      <c r="I3" t="s">
        <v>23</v>
      </c>
      <c r="J3" t="s">
        <v>32</v>
      </c>
      <c r="K3" s="10" t="s">
        <v>33</v>
      </c>
      <c r="M3">
        <v>54</v>
      </c>
      <c r="P3" t="s">
        <v>34</v>
      </c>
      <c r="Q3" s="10">
        <f>INT(Tabela1[[#This Row],[DATA]])</f>
        <v>46162</v>
      </c>
      <c r="R3" s="14" t="str">
        <f ca="1">IF(AND(Q3&gt;=TODAY()-WEEKDAY(TODAY(),2)+1,Q3&lt;TODAY()),"SIM","NÃO")</f>
        <v>NÃO</v>
      </c>
    </row>
    <row r="4" spans="1:18" hidden="1">
      <c r="A4" t="s">
        <v>35</v>
      </c>
      <c r="B4" t="s">
        <v>36</v>
      </c>
      <c r="C4">
        <v>300261824</v>
      </c>
      <c r="D4">
        <v>15411800</v>
      </c>
      <c r="E4" t="s">
        <v>37</v>
      </c>
      <c r="F4" t="s">
        <v>38</v>
      </c>
      <c r="G4">
        <v>75</v>
      </c>
      <c r="H4" t="s">
        <v>39</v>
      </c>
      <c r="I4" t="s">
        <v>23</v>
      </c>
      <c r="J4" t="s">
        <v>40</v>
      </c>
      <c r="K4" s="10" t="s">
        <v>41</v>
      </c>
      <c r="M4">
        <v>31</v>
      </c>
      <c r="P4" s="5" t="s">
        <v>42</v>
      </c>
      <c r="Q4" s="10">
        <f>INT(Tabela1[[#This Row],[DATA]])</f>
        <v>46162</v>
      </c>
      <c r="R4" s="14" t="str">
        <f ca="1">IF(AND(Q4&gt;=TODAY()-WEEKDAY(TODAY(),2)+1,Q4&lt;TODAY()),"SIM","NÃO")</f>
        <v>NÃO</v>
      </c>
    </row>
    <row r="5" spans="1:18" hidden="1">
      <c r="A5" t="s">
        <v>43</v>
      </c>
      <c r="B5" t="s">
        <v>44</v>
      </c>
      <c r="C5">
        <v>300262886</v>
      </c>
      <c r="D5">
        <v>16453751</v>
      </c>
      <c r="E5" t="s">
        <v>45</v>
      </c>
      <c r="F5" t="s">
        <v>38</v>
      </c>
      <c r="G5">
        <v>786</v>
      </c>
      <c r="H5" t="s">
        <v>39</v>
      </c>
      <c r="I5" t="s">
        <v>23</v>
      </c>
      <c r="J5" t="s">
        <v>46</v>
      </c>
      <c r="K5" s="10" t="s">
        <v>47</v>
      </c>
      <c r="M5">
        <v>42</v>
      </c>
      <c r="P5" t="s">
        <v>48</v>
      </c>
      <c r="Q5" s="10">
        <f>INT(Tabela1[[#This Row],[DATA]])</f>
        <v>46162</v>
      </c>
      <c r="R5" s="14" t="str">
        <f ca="1">IF(AND(Q5&gt;=TODAY()-WEEKDAY(TODAY(),2)+1,Q5&lt;TODAY()),"SIM","NÃO")</f>
        <v>NÃO</v>
      </c>
    </row>
    <row r="6" spans="1:18" hidden="1">
      <c r="A6" t="s">
        <v>49</v>
      </c>
      <c r="B6" t="s">
        <v>50</v>
      </c>
      <c r="C6">
        <v>300257641</v>
      </c>
      <c r="D6">
        <v>16217942</v>
      </c>
      <c r="E6" t="s">
        <v>37</v>
      </c>
      <c r="F6" t="s">
        <v>38</v>
      </c>
      <c r="G6">
        <v>15</v>
      </c>
      <c r="H6" t="s">
        <v>39</v>
      </c>
      <c r="I6" t="s">
        <v>23</v>
      </c>
      <c r="J6" t="s">
        <v>51</v>
      </c>
      <c r="K6" s="10" t="s">
        <v>52</v>
      </c>
      <c r="M6">
        <v>45</v>
      </c>
      <c r="P6" t="s">
        <v>53</v>
      </c>
      <c r="Q6" s="10">
        <f>INT(Tabela1[[#This Row],[DATA]])</f>
        <v>46162</v>
      </c>
      <c r="R6" s="14" t="str">
        <f ca="1">IF(AND(Q6&gt;=TODAY()-WEEKDAY(TODAY(),2)+1,Q6&lt;TODAY()),"SIM","NÃO")</f>
        <v>NÃO</v>
      </c>
    </row>
    <row r="7" spans="1:18" hidden="1">
      <c r="A7" t="s">
        <v>54</v>
      </c>
      <c r="B7" t="s">
        <v>55</v>
      </c>
      <c r="C7">
        <v>300260821</v>
      </c>
      <c r="D7">
        <v>16443853</v>
      </c>
      <c r="E7" t="s">
        <v>45</v>
      </c>
      <c r="F7" t="s">
        <v>38</v>
      </c>
      <c r="G7" t="s">
        <v>56</v>
      </c>
      <c r="H7" t="s">
        <v>57</v>
      </c>
      <c r="I7" t="s">
        <v>23</v>
      </c>
      <c r="K7" s="10" t="s">
        <v>58</v>
      </c>
      <c r="M7">
        <v>57</v>
      </c>
      <c r="P7" t="s">
        <v>59</v>
      </c>
      <c r="Q7" s="10">
        <f>INT(Tabela1[[#This Row],[DATA]])</f>
        <v>46162</v>
      </c>
      <c r="R7" s="14" t="str">
        <f ca="1">IF(AND(Q7&gt;=TODAY()-WEEKDAY(TODAY(),2)+1,Q7&lt;TODAY()),"SIM","NÃO")</f>
        <v>NÃO</v>
      </c>
    </row>
    <row r="8" spans="1:18" hidden="1">
      <c r="A8" t="s">
        <v>54</v>
      </c>
      <c r="B8" t="s">
        <v>55</v>
      </c>
      <c r="C8">
        <v>300261083</v>
      </c>
      <c r="D8">
        <v>15774104</v>
      </c>
      <c r="E8" t="s">
        <v>37</v>
      </c>
      <c r="F8" t="s">
        <v>60</v>
      </c>
      <c r="G8">
        <v>110</v>
      </c>
      <c r="H8" t="s">
        <v>39</v>
      </c>
      <c r="I8" t="s">
        <v>23</v>
      </c>
      <c r="J8" t="s">
        <v>61</v>
      </c>
      <c r="K8" s="10" t="s">
        <v>62</v>
      </c>
      <c r="M8">
        <v>30</v>
      </c>
      <c r="P8" t="s">
        <v>63</v>
      </c>
      <c r="Q8" s="10">
        <f>INT(Tabela1[[#This Row],[DATA]])</f>
        <v>46162</v>
      </c>
      <c r="R8" s="14" t="str">
        <f ca="1">IF(AND(Q8&gt;=TODAY()-WEEKDAY(TODAY(),2)+1,Q8&lt;TODAY()),"SIM","NÃO")</f>
        <v>NÃO</v>
      </c>
    </row>
    <row r="9" spans="1:18" hidden="1">
      <c r="A9" t="s">
        <v>54</v>
      </c>
      <c r="B9" t="s">
        <v>55</v>
      </c>
      <c r="C9">
        <v>300260821</v>
      </c>
      <c r="D9">
        <v>16443853</v>
      </c>
      <c r="E9" t="s">
        <v>45</v>
      </c>
      <c r="F9" t="s">
        <v>64</v>
      </c>
      <c r="G9">
        <v>75</v>
      </c>
      <c r="H9" t="s">
        <v>22</v>
      </c>
      <c r="I9" t="s">
        <v>23</v>
      </c>
      <c r="J9" t="s">
        <v>65</v>
      </c>
      <c r="K9" s="10" t="s">
        <v>66</v>
      </c>
      <c r="M9">
        <v>27</v>
      </c>
      <c r="P9" t="s">
        <v>67</v>
      </c>
      <c r="Q9" s="10">
        <f>INT(Tabela1[[#This Row],[DATA]])</f>
        <v>46162</v>
      </c>
      <c r="R9" s="14" t="str">
        <f ca="1">IF(AND(Q9&gt;=TODAY()-WEEKDAY(TODAY(),2)+1,Q9&lt;TODAY()),"SIM","NÃO")</f>
        <v>NÃO</v>
      </c>
    </row>
    <row r="10" spans="1:18" hidden="1">
      <c r="A10" t="s">
        <v>68</v>
      </c>
      <c r="B10" t="s">
        <v>69</v>
      </c>
      <c r="C10">
        <v>300257066</v>
      </c>
      <c r="D10">
        <v>16311841</v>
      </c>
      <c r="E10" t="s">
        <v>45</v>
      </c>
      <c r="F10" t="s">
        <v>64</v>
      </c>
      <c r="G10" t="s">
        <v>70</v>
      </c>
      <c r="H10" t="s">
        <v>22</v>
      </c>
      <c r="I10" t="s">
        <v>23</v>
      </c>
      <c r="K10" s="10" t="s">
        <v>71</v>
      </c>
      <c r="M10">
        <v>35</v>
      </c>
      <c r="P10" t="s">
        <v>72</v>
      </c>
      <c r="Q10" s="10">
        <f>INT(Tabela1[[#This Row],[DATA]])</f>
        <v>46162</v>
      </c>
      <c r="R10" s="14" t="str">
        <f ca="1">IF(AND(Q10&gt;=TODAY()-WEEKDAY(TODAY(),2)+1,Q10&lt;TODAY()),"SIM","NÃO")</f>
        <v>NÃO</v>
      </c>
    </row>
    <row r="11" spans="1:18" hidden="1">
      <c r="A11" t="s">
        <v>73</v>
      </c>
      <c r="B11" t="s">
        <v>74</v>
      </c>
      <c r="C11">
        <v>300261256</v>
      </c>
      <c r="D11">
        <v>16474368</v>
      </c>
      <c r="E11" t="s">
        <v>45</v>
      </c>
      <c r="F11" t="s">
        <v>64</v>
      </c>
      <c r="G11" t="s">
        <v>75</v>
      </c>
      <c r="H11" t="s">
        <v>22</v>
      </c>
      <c r="I11" t="s">
        <v>23</v>
      </c>
      <c r="J11" t="s">
        <v>76</v>
      </c>
      <c r="K11" s="10" t="s">
        <v>77</v>
      </c>
      <c r="M11">
        <v>36</v>
      </c>
      <c r="P11" t="s">
        <v>78</v>
      </c>
      <c r="Q11" s="10">
        <f>INT(Tabela1[[#This Row],[DATA]])</f>
        <v>46162</v>
      </c>
      <c r="R11" s="14" t="str">
        <f ca="1">IF(AND(Q11&gt;=TODAY()-WEEKDAY(TODAY(),2)+1,Q11&lt;TODAY()),"SIM","NÃO")</f>
        <v>NÃO</v>
      </c>
    </row>
    <row r="12" spans="1:18" hidden="1">
      <c r="A12" t="s">
        <v>79</v>
      </c>
      <c r="B12" t="s">
        <v>80</v>
      </c>
      <c r="C12">
        <v>300263202</v>
      </c>
      <c r="D12">
        <v>15215539</v>
      </c>
      <c r="E12" t="s">
        <v>29</v>
      </c>
      <c r="F12" t="s">
        <v>64</v>
      </c>
      <c r="G12" t="s">
        <v>81</v>
      </c>
      <c r="H12" t="s">
        <v>39</v>
      </c>
      <c r="I12" t="s">
        <v>23</v>
      </c>
      <c r="J12" t="s">
        <v>82</v>
      </c>
      <c r="K12" s="10" t="s">
        <v>83</v>
      </c>
      <c r="M12">
        <v>38</v>
      </c>
      <c r="P12" t="s">
        <v>84</v>
      </c>
      <c r="Q12" s="10">
        <f>INT(Tabela1[[#This Row],[DATA]])</f>
        <v>46162</v>
      </c>
      <c r="R12" s="14" t="str">
        <f ca="1">IF(AND(Q12&gt;=TODAY()-WEEKDAY(TODAY(),2)+1,Q12&lt;TODAY()),"SIM","NÃO")</f>
        <v>NÃO</v>
      </c>
    </row>
    <row r="13" spans="1:18" hidden="1">
      <c r="A13" t="s">
        <v>79</v>
      </c>
      <c r="B13" t="s">
        <v>80</v>
      </c>
      <c r="C13">
        <v>300263200</v>
      </c>
      <c r="D13">
        <v>15215539</v>
      </c>
      <c r="E13" t="s">
        <v>29</v>
      </c>
      <c r="F13" t="s">
        <v>64</v>
      </c>
      <c r="G13" t="s">
        <v>85</v>
      </c>
      <c r="H13" t="s">
        <v>39</v>
      </c>
      <c r="I13" t="s">
        <v>23</v>
      </c>
      <c r="J13" t="s">
        <v>82</v>
      </c>
      <c r="K13" s="10" t="s">
        <v>86</v>
      </c>
      <c r="M13">
        <v>39</v>
      </c>
      <c r="P13" t="s">
        <v>87</v>
      </c>
      <c r="Q13" s="10">
        <f>INT(Tabela1[[#This Row],[DATA]])</f>
        <v>46162</v>
      </c>
      <c r="R13" s="14" t="str">
        <f ca="1">IF(AND(Q13&gt;=TODAY()-WEEKDAY(TODAY(),2)+1,Q13&lt;TODAY()),"SIM","NÃO")</f>
        <v>NÃO</v>
      </c>
    </row>
    <row r="14" spans="1:18" hidden="1">
      <c r="A14" t="s">
        <v>88</v>
      </c>
      <c r="B14" t="s">
        <v>89</v>
      </c>
      <c r="C14">
        <v>300263245</v>
      </c>
      <c r="D14">
        <v>16218140</v>
      </c>
      <c r="E14" t="s">
        <v>37</v>
      </c>
      <c r="F14" t="s">
        <v>90</v>
      </c>
      <c r="G14">
        <v>30</v>
      </c>
      <c r="H14" t="s">
        <v>22</v>
      </c>
      <c r="I14" t="s">
        <v>23</v>
      </c>
      <c r="J14" t="s">
        <v>91</v>
      </c>
      <c r="K14" s="10" t="s">
        <v>92</v>
      </c>
      <c r="M14">
        <v>44</v>
      </c>
      <c r="P14" t="s">
        <v>93</v>
      </c>
      <c r="Q14" s="10">
        <f>INT(Tabela1[[#This Row],[DATA]])</f>
        <v>46162</v>
      </c>
      <c r="R14" s="14" t="str">
        <f ca="1">IF(AND(Q14&gt;=TODAY()-WEEKDAY(TODAY(),2)+1,Q14&lt;TODAY()),"SIM","NÃO")</f>
        <v>NÃO</v>
      </c>
    </row>
    <row r="15" spans="1:18" hidden="1">
      <c r="A15" t="s">
        <v>94</v>
      </c>
      <c r="B15" t="s">
        <v>95</v>
      </c>
      <c r="C15">
        <v>300262228</v>
      </c>
      <c r="D15">
        <v>16441435</v>
      </c>
      <c r="E15" t="s">
        <v>45</v>
      </c>
      <c r="F15" t="s">
        <v>96</v>
      </c>
      <c r="G15" t="s">
        <v>97</v>
      </c>
      <c r="H15" t="s">
        <v>22</v>
      </c>
      <c r="I15" t="s">
        <v>23</v>
      </c>
      <c r="J15" t="s">
        <v>98</v>
      </c>
      <c r="K15" s="10" t="s">
        <v>99</v>
      </c>
      <c r="M15">
        <v>32</v>
      </c>
      <c r="P15" t="s">
        <v>100</v>
      </c>
      <c r="Q15" s="10">
        <f>INT(Tabela1[[#This Row],[DATA]])</f>
        <v>46162</v>
      </c>
      <c r="R15" s="14" t="str">
        <f ca="1">IF(AND(Q15&gt;=TODAY()-WEEKDAY(TODAY(),2)+1,Q15&lt;TODAY()),"SIM","NÃO")</f>
        <v>NÃO</v>
      </c>
    </row>
    <row r="16" spans="1:18" hidden="1">
      <c r="A16" t="s">
        <v>101</v>
      </c>
      <c r="B16" t="s">
        <v>102</v>
      </c>
      <c r="C16">
        <v>300260155</v>
      </c>
      <c r="D16">
        <v>15865614</v>
      </c>
      <c r="E16" t="s">
        <v>37</v>
      </c>
      <c r="F16" t="s">
        <v>103</v>
      </c>
      <c r="G16">
        <v>100</v>
      </c>
      <c r="H16" t="s">
        <v>22</v>
      </c>
      <c r="I16" t="s">
        <v>23</v>
      </c>
      <c r="K16" s="10" t="s">
        <v>104</v>
      </c>
      <c r="M16">
        <v>41</v>
      </c>
      <c r="P16" t="s">
        <v>105</v>
      </c>
      <c r="Q16" s="10">
        <f>INT(Tabela1[[#This Row],[DATA]])</f>
        <v>46162</v>
      </c>
      <c r="R16" s="14" t="str">
        <f ca="1">IF(AND(Q16&gt;=TODAY()-WEEKDAY(TODAY(),2)+1,Q16&lt;TODAY()),"SIM","NÃO")</f>
        <v>NÃO</v>
      </c>
    </row>
    <row r="17" spans="1:18" hidden="1">
      <c r="A17" t="s">
        <v>106</v>
      </c>
      <c r="B17" t="s">
        <v>107</v>
      </c>
      <c r="C17">
        <v>300261547</v>
      </c>
      <c r="D17">
        <v>15260828</v>
      </c>
      <c r="E17" t="s">
        <v>45</v>
      </c>
      <c r="F17" t="s">
        <v>103</v>
      </c>
      <c r="G17">
        <v>1166</v>
      </c>
      <c r="H17" t="s">
        <v>39</v>
      </c>
      <c r="I17" t="s">
        <v>23</v>
      </c>
      <c r="J17" t="s">
        <v>108</v>
      </c>
      <c r="K17" s="10" t="s">
        <v>109</v>
      </c>
      <c r="M17">
        <v>43</v>
      </c>
      <c r="P17" t="s">
        <v>110</v>
      </c>
      <c r="Q17" s="10">
        <f>INT(Tabela1[[#This Row],[DATA]])</f>
        <v>46162</v>
      </c>
      <c r="R17" s="14" t="str">
        <f ca="1">IF(AND(Q17&gt;=TODAY()-WEEKDAY(TODAY(),2)+1,Q17&lt;TODAY()),"SIM","NÃO")</f>
        <v>NÃO</v>
      </c>
    </row>
    <row r="18" spans="1:18" hidden="1">
      <c r="A18" t="s">
        <v>111</v>
      </c>
      <c r="B18" t="s">
        <v>112</v>
      </c>
      <c r="C18">
        <v>300260896</v>
      </c>
      <c r="D18">
        <v>16465768</v>
      </c>
      <c r="E18" t="s">
        <v>20</v>
      </c>
      <c r="F18" t="s">
        <v>113</v>
      </c>
      <c r="G18" t="s">
        <v>114</v>
      </c>
      <c r="H18" t="s">
        <v>22</v>
      </c>
      <c r="I18" t="s">
        <v>23</v>
      </c>
      <c r="J18" t="s">
        <v>115</v>
      </c>
      <c r="K18" s="10" t="s">
        <v>116</v>
      </c>
      <c r="M18">
        <v>28</v>
      </c>
      <c r="P18" t="s">
        <v>117</v>
      </c>
      <c r="Q18" s="10">
        <f>INT(Tabela1[[#This Row],[DATA]])</f>
        <v>46162</v>
      </c>
      <c r="R18" s="14" t="str">
        <f ca="1">IF(AND(Q18&gt;=TODAY()-WEEKDAY(TODAY(),2)+1,Q18&lt;TODAY()),"SIM","NÃO")</f>
        <v>NÃO</v>
      </c>
    </row>
    <row r="19" spans="1:18" hidden="1">
      <c r="A19" t="s">
        <v>118</v>
      </c>
      <c r="B19" t="s">
        <v>119</v>
      </c>
      <c r="C19">
        <v>300260969</v>
      </c>
      <c r="D19">
        <v>15345904</v>
      </c>
      <c r="E19" t="s">
        <v>37</v>
      </c>
      <c r="F19" t="s">
        <v>113</v>
      </c>
      <c r="G19">
        <v>6</v>
      </c>
      <c r="H19" t="s">
        <v>22</v>
      </c>
      <c r="I19" t="s">
        <v>23</v>
      </c>
      <c r="J19" t="s">
        <v>120</v>
      </c>
      <c r="K19" s="10" t="s">
        <v>121</v>
      </c>
      <c r="M19">
        <v>47</v>
      </c>
      <c r="P19" t="s">
        <v>122</v>
      </c>
      <c r="Q19" s="10">
        <f>INT(Tabela1[[#This Row],[DATA]])</f>
        <v>46162</v>
      </c>
      <c r="R19" s="14" t="str">
        <f ca="1">IF(AND(Q19&gt;=TODAY()-WEEKDAY(TODAY(),2)+1,Q19&lt;TODAY()),"SIM","NÃO")</f>
        <v>NÃO</v>
      </c>
    </row>
    <row r="20" spans="1:18" hidden="1">
      <c r="A20" t="s">
        <v>123</v>
      </c>
      <c r="B20" t="s">
        <v>124</v>
      </c>
      <c r="C20">
        <v>300260321</v>
      </c>
      <c r="D20">
        <v>15581888</v>
      </c>
      <c r="E20" t="s">
        <v>20</v>
      </c>
      <c r="F20" t="s">
        <v>125</v>
      </c>
      <c r="G20" t="s">
        <v>126</v>
      </c>
      <c r="H20" t="s">
        <v>22</v>
      </c>
      <c r="I20" t="s">
        <v>23</v>
      </c>
      <c r="J20" t="s">
        <v>127</v>
      </c>
      <c r="K20" s="10" t="s">
        <v>128</v>
      </c>
      <c r="M20">
        <v>33</v>
      </c>
      <c r="P20" t="s">
        <v>129</v>
      </c>
      <c r="Q20" s="10">
        <f>INT(Tabela1[[#This Row],[DATA]])</f>
        <v>46162</v>
      </c>
      <c r="R20" s="14" t="str">
        <f ca="1">IF(AND(Q20&gt;=TODAY()-WEEKDAY(TODAY(),2)+1,Q20&lt;TODAY()),"SIM","NÃO")</f>
        <v>NÃO</v>
      </c>
    </row>
    <row r="21" spans="1:18" hidden="1">
      <c r="A21" t="s">
        <v>130</v>
      </c>
      <c r="B21" t="s">
        <v>131</v>
      </c>
      <c r="C21">
        <v>300258755</v>
      </c>
      <c r="D21">
        <v>16380096</v>
      </c>
      <c r="E21" t="s">
        <v>37</v>
      </c>
      <c r="F21" t="s">
        <v>132</v>
      </c>
      <c r="G21" t="s">
        <v>133</v>
      </c>
      <c r="H21" t="s">
        <v>39</v>
      </c>
      <c r="I21" t="s">
        <v>23</v>
      </c>
      <c r="K21" s="10" t="s">
        <v>134</v>
      </c>
      <c r="M21">
        <v>37</v>
      </c>
      <c r="P21" t="s">
        <v>135</v>
      </c>
      <c r="Q21" s="10">
        <f>INT(Tabela1[[#This Row],[DATA]])</f>
        <v>46162</v>
      </c>
      <c r="R21" s="14" t="str">
        <f ca="1">IF(AND(Q21&gt;=TODAY()-WEEKDAY(TODAY(),2)+1,Q21&lt;TODAY()),"SIM","NÃO")</f>
        <v>NÃO</v>
      </c>
    </row>
    <row r="22" spans="1:18" hidden="1">
      <c r="A22" t="s">
        <v>136</v>
      </c>
      <c r="B22" t="s">
        <v>137</v>
      </c>
      <c r="C22">
        <v>300261035</v>
      </c>
      <c r="D22">
        <v>16285328</v>
      </c>
      <c r="E22" t="s">
        <v>37</v>
      </c>
      <c r="F22" t="s">
        <v>132</v>
      </c>
      <c r="G22" t="s">
        <v>138</v>
      </c>
      <c r="H22" t="s">
        <v>22</v>
      </c>
      <c r="I22" t="s">
        <v>23</v>
      </c>
      <c r="K22" s="10" t="s">
        <v>139</v>
      </c>
      <c r="M22">
        <v>40</v>
      </c>
      <c r="P22" t="s">
        <v>140</v>
      </c>
      <c r="Q22" s="10">
        <f>INT(Tabela1[[#This Row],[DATA]])</f>
        <v>46162</v>
      </c>
      <c r="R22" s="14" t="str">
        <f ca="1">IF(AND(Q22&gt;=TODAY()-WEEKDAY(TODAY(),2)+1,Q22&lt;TODAY()),"SIM","NÃO")</f>
        <v>NÃO</v>
      </c>
    </row>
    <row r="23" spans="1:18" hidden="1">
      <c r="A23" t="s">
        <v>27</v>
      </c>
      <c r="B23" t="s">
        <v>28</v>
      </c>
      <c r="C23">
        <v>300263214</v>
      </c>
      <c r="D23">
        <v>16138473</v>
      </c>
      <c r="E23" t="s">
        <v>37</v>
      </c>
      <c r="F23" t="s">
        <v>132</v>
      </c>
      <c r="G23">
        <v>1488</v>
      </c>
      <c r="H23" t="s">
        <v>22</v>
      </c>
      <c r="I23" t="s">
        <v>23</v>
      </c>
      <c r="K23" s="10" t="s">
        <v>141</v>
      </c>
      <c r="M23">
        <v>55</v>
      </c>
      <c r="P23" t="s">
        <v>142</v>
      </c>
      <c r="Q23" s="10">
        <f>INT(Tabela1[[#This Row],[DATA]])</f>
        <v>46162</v>
      </c>
      <c r="R23" s="14" t="str">
        <f ca="1">IF(AND(Q23&gt;=TODAY()-WEEKDAY(TODAY(),2)+1,Q23&lt;TODAY()),"SIM","NÃO")</f>
        <v>NÃO</v>
      </c>
    </row>
    <row r="24" spans="1:18" hidden="1">
      <c r="A24" t="s">
        <v>143</v>
      </c>
      <c r="B24" t="s">
        <v>144</v>
      </c>
      <c r="C24">
        <v>300262214</v>
      </c>
      <c r="D24">
        <v>16252160</v>
      </c>
      <c r="E24" t="s">
        <v>45</v>
      </c>
      <c r="F24" t="s">
        <v>145</v>
      </c>
      <c r="G24">
        <v>2</v>
      </c>
      <c r="H24" t="s">
        <v>57</v>
      </c>
      <c r="I24" t="s">
        <v>23</v>
      </c>
      <c r="J24" t="s">
        <v>146</v>
      </c>
      <c r="K24" s="10" t="s">
        <v>147</v>
      </c>
      <c r="M24">
        <v>53</v>
      </c>
      <c r="P24" t="s">
        <v>148</v>
      </c>
      <c r="Q24" s="10">
        <f>INT(Tabela1[[#This Row],[DATA]])</f>
        <v>46162</v>
      </c>
      <c r="R24" s="14" t="str">
        <f ca="1">IF(AND(Q24&gt;=TODAY()-WEEKDAY(TODAY(),2)+1,Q24&lt;TODAY()),"SIM","NÃO")</f>
        <v>NÃO</v>
      </c>
    </row>
    <row r="25" spans="1:18" hidden="1">
      <c r="A25" t="s">
        <v>149</v>
      </c>
      <c r="B25" t="s">
        <v>150</v>
      </c>
      <c r="C25">
        <v>300260622</v>
      </c>
      <c r="D25">
        <v>16494610</v>
      </c>
      <c r="E25" t="s">
        <v>37</v>
      </c>
      <c r="F25" t="s">
        <v>151</v>
      </c>
      <c r="G25">
        <v>7</v>
      </c>
      <c r="H25" t="s">
        <v>22</v>
      </c>
      <c r="I25" t="s">
        <v>152</v>
      </c>
      <c r="K25" s="10" t="s">
        <v>153</v>
      </c>
      <c r="M25">
        <v>26</v>
      </c>
      <c r="P25" s="5" t="s">
        <v>154</v>
      </c>
      <c r="Q25" s="10">
        <f>INT(Tabela1[[#This Row],[DATA]])</f>
        <v>46162</v>
      </c>
      <c r="R25" s="14" t="str">
        <f ca="1">IF(AND(Q25&gt;=TODAY()-WEEKDAY(TODAY(),2)+1,Q25&lt;TODAY()),"SIM","NÃO")</f>
        <v>NÃO</v>
      </c>
    </row>
    <row r="26" spans="1:18" hidden="1">
      <c r="A26" t="s">
        <v>94</v>
      </c>
      <c r="B26" t="s">
        <v>95</v>
      </c>
      <c r="C26">
        <v>300258842</v>
      </c>
      <c r="D26">
        <v>16222326</v>
      </c>
      <c r="E26" t="s">
        <v>45</v>
      </c>
      <c r="F26" t="s">
        <v>151</v>
      </c>
      <c r="G26" t="s">
        <v>155</v>
      </c>
      <c r="H26" t="s">
        <v>39</v>
      </c>
      <c r="I26" t="s">
        <v>23</v>
      </c>
      <c r="J26" t="s">
        <v>156</v>
      </c>
      <c r="K26" s="10" t="s">
        <v>157</v>
      </c>
      <c r="M26">
        <v>34</v>
      </c>
      <c r="P26" t="s">
        <v>158</v>
      </c>
      <c r="Q26" s="10">
        <f>INT(Tabela1[[#This Row],[DATA]])</f>
        <v>46162</v>
      </c>
      <c r="R26" s="14" t="str">
        <f ca="1">IF(AND(Q26&gt;=TODAY()-WEEKDAY(TODAY(),2)+1,Q26&lt;TODAY()),"SIM","NÃO")</f>
        <v>NÃO</v>
      </c>
    </row>
    <row r="27" spans="1:18" hidden="1">
      <c r="A27" t="s">
        <v>159</v>
      </c>
      <c r="B27" t="s">
        <v>160</v>
      </c>
      <c r="C27">
        <v>300261481</v>
      </c>
      <c r="D27">
        <v>15773477</v>
      </c>
      <c r="E27" t="s">
        <v>37</v>
      </c>
      <c r="F27" t="s">
        <v>151</v>
      </c>
      <c r="G27">
        <v>180</v>
      </c>
      <c r="H27" t="s">
        <v>39</v>
      </c>
      <c r="I27" t="s">
        <v>23</v>
      </c>
      <c r="J27" t="s">
        <v>161</v>
      </c>
      <c r="K27" s="10" t="s">
        <v>52</v>
      </c>
      <c r="M27">
        <v>46</v>
      </c>
      <c r="P27" t="s">
        <v>162</v>
      </c>
      <c r="Q27" s="10">
        <f>INT(Tabela1[[#This Row],[DATA]])</f>
        <v>46162</v>
      </c>
      <c r="R27" s="14" t="str">
        <f ca="1">IF(AND(Q27&gt;=TODAY()-WEEKDAY(TODAY(),2)+1,Q27&lt;TODAY()),"SIM","NÃO")</f>
        <v>NÃO</v>
      </c>
    </row>
    <row r="28" spans="1:18" hidden="1">
      <c r="A28" t="s">
        <v>163</v>
      </c>
      <c r="B28" t="s">
        <v>164</v>
      </c>
      <c r="C28">
        <v>300261554</v>
      </c>
      <c r="D28">
        <v>16457226</v>
      </c>
      <c r="E28" t="s">
        <v>45</v>
      </c>
      <c r="F28" t="s">
        <v>151</v>
      </c>
      <c r="G28">
        <v>798</v>
      </c>
      <c r="H28" t="s">
        <v>39</v>
      </c>
      <c r="I28" t="s">
        <v>23</v>
      </c>
      <c r="J28" t="s">
        <v>165</v>
      </c>
      <c r="K28" s="10" t="s">
        <v>166</v>
      </c>
      <c r="M28">
        <v>49</v>
      </c>
      <c r="P28" t="s">
        <v>167</v>
      </c>
      <c r="Q28" s="10">
        <f>INT(Tabela1[[#This Row],[DATA]])</f>
        <v>46162</v>
      </c>
      <c r="R28" s="14" t="str">
        <f ca="1">IF(AND(Q28&gt;=TODAY()-WEEKDAY(TODAY(),2)+1,Q28&lt;TODAY()),"SIM","NÃO")</f>
        <v>NÃO</v>
      </c>
    </row>
    <row r="29" spans="1:18" hidden="1">
      <c r="A29" t="s">
        <v>163</v>
      </c>
      <c r="B29" t="s">
        <v>164</v>
      </c>
      <c r="C29">
        <v>300261553</v>
      </c>
      <c r="D29">
        <v>16457226</v>
      </c>
      <c r="E29" t="s">
        <v>45</v>
      </c>
      <c r="F29" t="s">
        <v>151</v>
      </c>
      <c r="G29">
        <v>518</v>
      </c>
      <c r="H29" t="s">
        <v>39</v>
      </c>
      <c r="I29" t="s">
        <v>23</v>
      </c>
      <c r="J29" t="s">
        <v>168</v>
      </c>
      <c r="K29" s="10" t="s">
        <v>169</v>
      </c>
      <c r="M29">
        <v>50</v>
      </c>
      <c r="P29" t="s">
        <v>170</v>
      </c>
      <c r="Q29" s="10">
        <f>INT(Tabela1[[#This Row],[DATA]])</f>
        <v>46162</v>
      </c>
      <c r="R29" s="14" t="str">
        <f ca="1">IF(AND(Q29&gt;=TODAY()-WEEKDAY(TODAY(),2)+1,Q29&lt;TODAY()),"SIM","NÃO")</f>
        <v>NÃO</v>
      </c>
    </row>
    <row r="30" spans="1:18" hidden="1">
      <c r="A30" t="s">
        <v>163</v>
      </c>
      <c r="B30" t="s">
        <v>164</v>
      </c>
      <c r="C30">
        <v>300233223</v>
      </c>
      <c r="D30">
        <v>15225539</v>
      </c>
      <c r="E30" t="s">
        <v>29</v>
      </c>
      <c r="F30" t="s">
        <v>151</v>
      </c>
      <c r="G30">
        <v>38</v>
      </c>
      <c r="H30" t="s">
        <v>39</v>
      </c>
      <c r="I30" t="s">
        <v>23</v>
      </c>
      <c r="J30" t="s">
        <v>171</v>
      </c>
      <c r="K30" s="10" t="s">
        <v>172</v>
      </c>
      <c r="M30">
        <v>52</v>
      </c>
      <c r="P30" t="s">
        <v>173</v>
      </c>
      <c r="Q30" s="10">
        <f>INT(Tabela1[[#This Row],[DATA]])</f>
        <v>46162</v>
      </c>
      <c r="R30" s="14" t="str">
        <f ca="1">IF(AND(Q30&gt;=TODAY()-WEEKDAY(TODAY(),2)+1,Q30&lt;TODAY()),"SIM","NÃO")</f>
        <v>NÃO</v>
      </c>
    </row>
    <row r="31" spans="1:18" hidden="1">
      <c r="A31" t="s">
        <v>163</v>
      </c>
      <c r="B31" t="s">
        <v>164</v>
      </c>
      <c r="C31">
        <v>300263223</v>
      </c>
      <c r="D31">
        <v>15215539</v>
      </c>
      <c r="E31" t="s">
        <v>29</v>
      </c>
      <c r="F31" t="s">
        <v>151</v>
      </c>
      <c r="G31">
        <v>38</v>
      </c>
      <c r="H31" t="s">
        <v>39</v>
      </c>
      <c r="I31" t="s">
        <v>23</v>
      </c>
      <c r="J31" t="s">
        <v>174</v>
      </c>
      <c r="K31" s="10" t="s">
        <v>175</v>
      </c>
      <c r="M31">
        <v>56</v>
      </c>
      <c r="P31" s="5" t="s">
        <v>176</v>
      </c>
      <c r="Q31" s="10">
        <f>INT(Tabela1[[#This Row],[DATA]])</f>
        <v>46162</v>
      </c>
      <c r="R31" s="14" t="str">
        <f ca="1">IF(AND(Q31&gt;=TODAY()-WEEKDAY(TODAY(),2)+1,Q31&lt;TODAY()),"SIM","NÃO")</f>
        <v>NÃO</v>
      </c>
    </row>
    <row r="32" spans="1:18" hidden="1">
      <c r="A32" t="s">
        <v>54</v>
      </c>
      <c r="B32" t="s">
        <v>55</v>
      </c>
      <c r="C32">
        <v>300261083</v>
      </c>
      <c r="D32">
        <v>15774104</v>
      </c>
      <c r="E32" t="s">
        <v>37</v>
      </c>
      <c r="F32" t="s">
        <v>177</v>
      </c>
      <c r="G32">
        <v>110</v>
      </c>
      <c r="H32" t="s">
        <v>39</v>
      </c>
      <c r="I32" t="s">
        <v>23</v>
      </c>
      <c r="J32" t="s">
        <v>178</v>
      </c>
      <c r="K32" s="10" t="s">
        <v>116</v>
      </c>
      <c r="M32">
        <v>29</v>
      </c>
      <c r="P32" t="s">
        <v>179</v>
      </c>
      <c r="Q32" s="10">
        <f>INT(Tabela1[[#This Row],[DATA]])</f>
        <v>46162</v>
      </c>
      <c r="R32" s="14" t="str">
        <f ca="1">IF(AND(Q32&gt;=TODAY()-WEEKDAY(TODAY(),2)+1,Q32&lt;TODAY()),"SIM","NÃO")</f>
        <v>NÃO</v>
      </c>
    </row>
    <row r="33" spans="1:18" hidden="1">
      <c r="A33" t="s">
        <v>180</v>
      </c>
      <c r="B33" t="s">
        <v>181</v>
      </c>
      <c r="C33">
        <v>300263683</v>
      </c>
      <c r="D33">
        <v>16474090</v>
      </c>
      <c r="E33" t="s">
        <v>37</v>
      </c>
      <c r="F33" t="s">
        <v>177</v>
      </c>
      <c r="G33">
        <v>1534</v>
      </c>
      <c r="H33" t="s">
        <v>39</v>
      </c>
      <c r="I33" t="s">
        <v>23</v>
      </c>
      <c r="J33" t="s">
        <v>182</v>
      </c>
      <c r="K33" s="10" t="s">
        <v>183</v>
      </c>
      <c r="M33">
        <v>51</v>
      </c>
      <c r="P33" t="s">
        <v>184</v>
      </c>
      <c r="Q33" s="10">
        <f>INT(Tabela1[[#This Row],[DATA]])</f>
        <v>46162</v>
      </c>
      <c r="R33" s="14" t="str">
        <f ca="1">IF(AND(Q33&gt;=TODAY()-WEEKDAY(TODAY(),2)+1,Q33&lt;TODAY()),"SIM","NÃO")</f>
        <v>NÃO</v>
      </c>
    </row>
    <row r="34" spans="1:18" hidden="1">
      <c r="A34" t="s">
        <v>185</v>
      </c>
      <c r="B34" t="s">
        <v>186</v>
      </c>
      <c r="C34">
        <v>300254994</v>
      </c>
      <c r="D34">
        <v>16377311</v>
      </c>
      <c r="E34" t="s">
        <v>37</v>
      </c>
      <c r="F34" t="s">
        <v>187</v>
      </c>
      <c r="G34">
        <v>400</v>
      </c>
      <c r="H34" t="s">
        <v>22</v>
      </c>
      <c r="I34" t="s">
        <v>23</v>
      </c>
      <c r="J34" t="s">
        <v>188</v>
      </c>
      <c r="K34" s="10" t="s">
        <v>189</v>
      </c>
      <c r="M34">
        <v>58</v>
      </c>
      <c r="P34" t="s">
        <v>190</v>
      </c>
      <c r="Q34" s="10">
        <f>INT(Tabela1[[#This Row],[DATA]])</f>
        <v>46162</v>
      </c>
      <c r="R34" s="14" t="str">
        <f ca="1">IF(AND(Q34&gt;=TODAY()-WEEKDAY(TODAY(),2)+1,Q34&lt;TODAY()),"SIM","NÃO")</f>
        <v>NÃO</v>
      </c>
    </row>
    <row r="35" spans="1:18" hidden="1">
      <c r="A35" t="s">
        <v>191</v>
      </c>
      <c r="B35" t="s">
        <v>192</v>
      </c>
      <c r="C35">
        <v>300261298</v>
      </c>
      <c r="D35">
        <v>16481690</v>
      </c>
      <c r="E35" t="s">
        <v>20</v>
      </c>
      <c r="F35" t="s">
        <v>64</v>
      </c>
      <c r="G35" t="s">
        <v>193</v>
      </c>
      <c r="H35" t="s">
        <v>39</v>
      </c>
      <c r="I35" t="s">
        <v>23</v>
      </c>
      <c r="K35" s="10" t="s">
        <v>194</v>
      </c>
      <c r="M35">
        <v>59</v>
      </c>
      <c r="P35" t="s">
        <v>195</v>
      </c>
      <c r="Q35" s="10">
        <f>INT(Tabela1[[#This Row],[DATA]])</f>
        <v>46162</v>
      </c>
      <c r="R35" s="14" t="str">
        <f ca="1">IF(AND(Q35&gt;=TODAY()-WEEKDAY(TODAY(),2)+1,Q35&lt;TODAY()),"SIM","NÃO")</f>
        <v>NÃO</v>
      </c>
    </row>
    <row r="36" spans="1:18" hidden="1">
      <c r="A36" t="s">
        <v>196</v>
      </c>
      <c r="B36" t="s">
        <v>186</v>
      </c>
      <c r="C36">
        <v>300229797</v>
      </c>
      <c r="D36">
        <v>16292740</v>
      </c>
      <c r="E36" t="s">
        <v>37</v>
      </c>
      <c r="F36" t="s">
        <v>197</v>
      </c>
      <c r="G36">
        <v>70</v>
      </c>
      <c r="H36" t="s">
        <v>39</v>
      </c>
      <c r="I36" t="s">
        <v>23</v>
      </c>
      <c r="J36" t="s">
        <v>198</v>
      </c>
      <c r="K36" s="10" t="s">
        <v>199</v>
      </c>
      <c r="M36">
        <v>60</v>
      </c>
      <c r="P36" t="s">
        <v>200</v>
      </c>
      <c r="Q36" s="10">
        <f>INT(Tabela1[[#This Row],[DATA]])</f>
        <v>46162</v>
      </c>
      <c r="R36" s="14" t="str">
        <f ca="1">IF(AND(Q36&gt;=TODAY()-WEEKDAY(TODAY(),2)+1,Q36&lt;TODAY()),"SIM","NÃO")</f>
        <v>NÃO</v>
      </c>
    </row>
    <row r="37" spans="1:18" hidden="1">
      <c r="A37" t="s">
        <v>201</v>
      </c>
      <c r="B37" t="s">
        <v>202</v>
      </c>
      <c r="C37">
        <v>300259160</v>
      </c>
      <c r="D37">
        <v>16474163</v>
      </c>
      <c r="E37" t="s">
        <v>37</v>
      </c>
      <c r="F37" t="s">
        <v>203</v>
      </c>
      <c r="G37" t="s">
        <v>204</v>
      </c>
      <c r="H37" t="s">
        <v>39</v>
      </c>
      <c r="I37" t="s">
        <v>23</v>
      </c>
      <c r="J37" t="s">
        <v>205</v>
      </c>
      <c r="K37" s="10" t="s">
        <v>206</v>
      </c>
      <c r="M37">
        <v>61</v>
      </c>
      <c r="P37" t="s">
        <v>207</v>
      </c>
      <c r="Q37" s="10">
        <f>INT(Tabela1[[#This Row],[DATA]])</f>
        <v>46162</v>
      </c>
      <c r="R37" s="14" t="str">
        <f ca="1">IF(AND(Q37&gt;=TODAY()-WEEKDAY(TODAY(),2)+1,Q37&lt;TODAY()),"SIM","NÃO")</f>
        <v>NÃO</v>
      </c>
    </row>
    <row r="38" spans="1:18" hidden="1">
      <c r="A38" t="s">
        <v>201</v>
      </c>
      <c r="B38" t="s">
        <v>202</v>
      </c>
      <c r="C38">
        <v>300261857</v>
      </c>
      <c r="D38">
        <v>16523164</v>
      </c>
      <c r="E38" t="s">
        <v>37</v>
      </c>
      <c r="F38" t="s">
        <v>90</v>
      </c>
      <c r="G38" t="s">
        <v>208</v>
      </c>
      <c r="H38" t="s">
        <v>22</v>
      </c>
      <c r="I38" t="s">
        <v>23</v>
      </c>
      <c r="J38" t="s">
        <v>13</v>
      </c>
      <c r="K38" s="10" t="s">
        <v>209</v>
      </c>
      <c r="M38">
        <v>62</v>
      </c>
      <c r="P38" t="s">
        <v>210</v>
      </c>
      <c r="Q38" s="10">
        <f>INT(Tabela1[[#This Row],[DATA]])</f>
        <v>46162</v>
      </c>
      <c r="R38" s="14" t="str">
        <f ca="1">IF(AND(Q38&gt;=TODAY()-WEEKDAY(TODAY(),2)+1,Q38&lt;TODAY()),"SIM","NÃO")</f>
        <v>NÃO</v>
      </c>
    </row>
    <row r="39" spans="1:18" hidden="1">
      <c r="A39" t="s">
        <v>201</v>
      </c>
      <c r="B39" t="s">
        <v>202</v>
      </c>
      <c r="C39">
        <v>300261859</v>
      </c>
      <c r="D39">
        <v>16523164</v>
      </c>
      <c r="E39" t="s">
        <v>37</v>
      </c>
      <c r="F39" t="s">
        <v>103</v>
      </c>
      <c r="G39" t="s">
        <v>211</v>
      </c>
      <c r="H39" t="s">
        <v>22</v>
      </c>
      <c r="I39" t="s">
        <v>23</v>
      </c>
      <c r="J39" t="s">
        <v>13</v>
      </c>
      <c r="K39" s="10" t="s">
        <v>212</v>
      </c>
      <c r="M39">
        <v>63</v>
      </c>
      <c r="P39" t="s">
        <v>213</v>
      </c>
      <c r="Q39" s="10">
        <f>INT(Tabela1[[#This Row],[DATA]])</f>
        <v>46162</v>
      </c>
      <c r="R39" s="14" t="str">
        <f ca="1">IF(AND(Q39&gt;=TODAY()-WEEKDAY(TODAY(),2)+1,Q39&lt;TODAY()),"SIM","NÃO")</f>
        <v>NÃO</v>
      </c>
    </row>
    <row r="40" spans="1:18" hidden="1">
      <c r="A40" t="s">
        <v>214</v>
      </c>
      <c r="B40" t="s">
        <v>215</v>
      </c>
      <c r="C40">
        <v>300250901</v>
      </c>
      <c r="D40">
        <v>16430301</v>
      </c>
      <c r="E40" t="s">
        <v>37</v>
      </c>
      <c r="F40" t="s">
        <v>216</v>
      </c>
      <c r="G40">
        <v>1088</v>
      </c>
      <c r="H40" t="s">
        <v>217</v>
      </c>
      <c r="I40" t="s">
        <v>23</v>
      </c>
      <c r="J40" t="s">
        <v>218</v>
      </c>
      <c r="K40" s="10" t="s">
        <v>219</v>
      </c>
      <c r="M40">
        <v>64</v>
      </c>
      <c r="P40" t="s">
        <v>220</v>
      </c>
      <c r="Q40" s="10">
        <f>INT(Tabela1[[#This Row],[DATA]])</f>
        <v>46162</v>
      </c>
      <c r="R40" s="14" t="str">
        <f ca="1">IF(AND(Q40&gt;=TODAY()-WEEKDAY(TODAY(),2)+1,Q40&lt;TODAY()),"SIM","NÃO")</f>
        <v>NÃO</v>
      </c>
    </row>
    <row r="41" spans="1:18" hidden="1">
      <c r="A41" t="s">
        <v>185</v>
      </c>
      <c r="B41" t="s">
        <v>186</v>
      </c>
      <c r="C41">
        <v>300254994</v>
      </c>
      <c r="D41">
        <v>16377311</v>
      </c>
      <c r="E41" t="s">
        <v>37</v>
      </c>
      <c r="F41" t="s">
        <v>221</v>
      </c>
      <c r="G41">
        <v>600</v>
      </c>
      <c r="H41" t="s">
        <v>22</v>
      </c>
      <c r="I41" t="s">
        <v>23</v>
      </c>
      <c r="J41" t="s">
        <v>222</v>
      </c>
      <c r="K41" s="10" t="s">
        <v>223</v>
      </c>
      <c r="M41">
        <v>65</v>
      </c>
      <c r="P41" t="s">
        <v>224</v>
      </c>
      <c r="Q41" s="10">
        <f>INT(Tabela1[[#This Row],[DATA]])</f>
        <v>46162</v>
      </c>
      <c r="R41" s="14" t="str">
        <f ca="1">IF(AND(Q41&gt;=TODAY()-WEEKDAY(TODAY(),2)+1,Q41&lt;TODAY()),"SIM","NÃO")</f>
        <v>NÃO</v>
      </c>
    </row>
    <row r="42" spans="1:18" hidden="1">
      <c r="A42" t="s">
        <v>225</v>
      </c>
      <c r="B42" t="s">
        <v>226</v>
      </c>
      <c r="C42">
        <v>300261850</v>
      </c>
      <c r="D42">
        <v>16523164</v>
      </c>
      <c r="E42" t="s">
        <v>37</v>
      </c>
      <c r="F42" t="s">
        <v>187</v>
      </c>
      <c r="G42">
        <v>700</v>
      </c>
      <c r="H42" t="s">
        <v>22</v>
      </c>
      <c r="I42" t="s">
        <v>23</v>
      </c>
      <c r="J42" t="s">
        <v>227</v>
      </c>
      <c r="K42" s="10" t="s">
        <v>228</v>
      </c>
      <c r="M42">
        <v>66</v>
      </c>
      <c r="P42" t="s">
        <v>229</v>
      </c>
      <c r="Q42" s="10">
        <f>INT(Tabela1[[#This Row],[DATA]])</f>
        <v>46162</v>
      </c>
      <c r="R42" s="14" t="str">
        <f ca="1">IF(AND(Q42&gt;=TODAY()-WEEKDAY(TODAY(),2)+1,Q42&lt;TODAY()),"SIM","NÃO")</f>
        <v>NÃO</v>
      </c>
    </row>
    <row r="43" spans="1:18" hidden="1">
      <c r="A43" t="s">
        <v>54</v>
      </c>
      <c r="B43" t="s">
        <v>55</v>
      </c>
      <c r="C43">
        <v>300259797</v>
      </c>
      <c r="D43">
        <v>16502426</v>
      </c>
      <c r="E43" t="s">
        <v>45</v>
      </c>
      <c r="F43" t="s">
        <v>38</v>
      </c>
      <c r="G43" t="s">
        <v>230</v>
      </c>
      <c r="H43" t="s">
        <v>22</v>
      </c>
      <c r="I43" t="s">
        <v>23</v>
      </c>
      <c r="K43" s="10" t="s">
        <v>231</v>
      </c>
      <c r="M43">
        <v>67</v>
      </c>
      <c r="P43" t="s">
        <v>232</v>
      </c>
      <c r="Q43" s="10">
        <f>INT(Tabela1[[#This Row],[DATA]])</f>
        <v>46162</v>
      </c>
      <c r="R43" s="14" t="str">
        <f ca="1">IF(AND(Q43&gt;=TODAY()-WEEKDAY(TODAY(),2)+1,Q43&lt;TODAY()),"SIM","NÃO")</f>
        <v>NÃO</v>
      </c>
    </row>
    <row r="44" spans="1:18" hidden="1">
      <c r="A44" t="s">
        <v>233</v>
      </c>
      <c r="B44" t="s">
        <v>234</v>
      </c>
      <c r="C44">
        <v>300261482</v>
      </c>
      <c r="D44">
        <v>15773477</v>
      </c>
      <c r="E44" t="s">
        <v>37</v>
      </c>
      <c r="F44" t="s">
        <v>38</v>
      </c>
      <c r="G44">
        <v>1.284</v>
      </c>
      <c r="H44" t="s">
        <v>39</v>
      </c>
      <c r="I44" t="s">
        <v>23</v>
      </c>
      <c r="J44" t="s">
        <v>235</v>
      </c>
      <c r="K44" s="10" t="s">
        <v>236</v>
      </c>
      <c r="M44">
        <v>68</v>
      </c>
      <c r="P44" t="s">
        <v>237</v>
      </c>
      <c r="Q44" s="10">
        <f>INT(Tabela1[[#This Row],[DATA]])</f>
        <v>46162</v>
      </c>
      <c r="R44" s="14" t="str">
        <f ca="1">IF(AND(Q44&gt;=TODAY()-WEEKDAY(TODAY(),2)+1,Q44&lt;TODAY()),"SIM","NÃO")</f>
        <v>NÃO</v>
      </c>
    </row>
    <row r="45" spans="1:18" hidden="1">
      <c r="A45" t="s">
        <v>136</v>
      </c>
      <c r="B45" t="s">
        <v>137</v>
      </c>
      <c r="C45">
        <v>300261037</v>
      </c>
      <c r="D45">
        <v>16285310</v>
      </c>
      <c r="E45" t="s">
        <v>37</v>
      </c>
      <c r="F45" t="s">
        <v>221</v>
      </c>
      <c r="G45">
        <v>400</v>
      </c>
      <c r="H45" t="s">
        <v>22</v>
      </c>
      <c r="I45" t="s">
        <v>23</v>
      </c>
      <c r="J45" t="s">
        <v>238</v>
      </c>
      <c r="K45" s="10" t="s">
        <v>239</v>
      </c>
      <c r="M45">
        <v>69</v>
      </c>
      <c r="P45" t="s">
        <v>240</v>
      </c>
      <c r="Q45" s="10">
        <f>INT(Tabela1[[#This Row],[DATA]])</f>
        <v>46162</v>
      </c>
      <c r="R45" s="14" t="str">
        <f ca="1">IF(AND(Q45&gt;=TODAY()-WEEKDAY(TODAY(),2)+1,Q45&lt;TODAY()),"SIM","NÃO")</f>
        <v>NÃO</v>
      </c>
    </row>
    <row r="46" spans="1:18" hidden="1">
      <c r="A46" t="s">
        <v>241</v>
      </c>
      <c r="B46" t="s">
        <v>242</v>
      </c>
      <c r="C46">
        <v>300262568</v>
      </c>
      <c r="D46">
        <v>16240944</v>
      </c>
      <c r="E46" t="s">
        <v>37</v>
      </c>
      <c r="F46" t="s">
        <v>21</v>
      </c>
      <c r="G46">
        <v>30</v>
      </c>
      <c r="H46" t="s">
        <v>39</v>
      </c>
      <c r="I46" t="s">
        <v>23</v>
      </c>
      <c r="K46" s="10" t="s">
        <v>243</v>
      </c>
      <c r="M46">
        <v>70</v>
      </c>
      <c r="P46" t="s">
        <v>244</v>
      </c>
      <c r="Q46" s="10">
        <f>INT(Tabela1[[#This Row],[DATA]])</f>
        <v>46163</v>
      </c>
      <c r="R46" s="14" t="str">
        <f ca="1">IF(AND(Q46&gt;=TODAY()-WEEKDAY(TODAY(),2)+1,Q46&lt;TODAY()),"SIM","NÃO")</f>
        <v>NÃO</v>
      </c>
    </row>
    <row r="47" spans="1:18" hidden="1">
      <c r="A47" t="s">
        <v>68</v>
      </c>
      <c r="B47" t="s">
        <v>69</v>
      </c>
      <c r="C47">
        <v>300238279</v>
      </c>
      <c r="D47">
        <v>15929086</v>
      </c>
      <c r="E47" t="s">
        <v>45</v>
      </c>
      <c r="F47" t="s">
        <v>60</v>
      </c>
      <c r="G47" t="s">
        <v>245</v>
      </c>
      <c r="H47" t="s">
        <v>39</v>
      </c>
      <c r="I47" t="s">
        <v>23</v>
      </c>
      <c r="J47" t="s">
        <v>246</v>
      </c>
      <c r="K47" s="10" t="s">
        <v>247</v>
      </c>
      <c r="M47">
        <v>71</v>
      </c>
      <c r="P47" t="s">
        <v>248</v>
      </c>
      <c r="Q47" s="10">
        <f>INT(Tabela1[[#This Row],[DATA]])</f>
        <v>46163</v>
      </c>
      <c r="R47" s="14" t="str">
        <f ca="1">IF(AND(Q47&gt;=TODAY()-WEEKDAY(TODAY(),2)+1,Q47&lt;TODAY()),"SIM","NÃO")</f>
        <v>NÃO</v>
      </c>
    </row>
    <row r="48" spans="1:18" hidden="1">
      <c r="A48" t="s">
        <v>249</v>
      </c>
      <c r="B48" t="s">
        <v>112</v>
      </c>
      <c r="C48">
        <v>300261317</v>
      </c>
      <c r="D48">
        <v>16499808</v>
      </c>
      <c r="E48" t="s">
        <v>45</v>
      </c>
      <c r="F48" t="s">
        <v>64</v>
      </c>
      <c r="G48" t="s">
        <v>250</v>
      </c>
      <c r="H48" t="s">
        <v>39</v>
      </c>
      <c r="I48" t="s">
        <v>23</v>
      </c>
      <c r="K48" s="10" t="s">
        <v>251</v>
      </c>
      <c r="M48">
        <v>72</v>
      </c>
      <c r="P48" t="s">
        <v>252</v>
      </c>
      <c r="Q48" s="10">
        <f>INT(Tabela1[[#This Row],[DATA]])</f>
        <v>46163</v>
      </c>
      <c r="R48" s="14" t="str">
        <f ca="1">IF(AND(Q48&gt;=TODAY()-WEEKDAY(TODAY(),2)+1,Q48&lt;TODAY()),"SIM","NÃO")</f>
        <v>NÃO</v>
      </c>
    </row>
    <row r="49" spans="1:18" hidden="1">
      <c r="A49" t="s">
        <v>253</v>
      </c>
      <c r="B49" t="s">
        <v>254</v>
      </c>
      <c r="C49">
        <v>300262586</v>
      </c>
      <c r="D49">
        <v>16441303</v>
      </c>
      <c r="E49" t="s">
        <v>45</v>
      </c>
      <c r="F49" t="s">
        <v>113</v>
      </c>
      <c r="G49" t="s">
        <v>255</v>
      </c>
      <c r="H49" t="s">
        <v>22</v>
      </c>
      <c r="I49" t="s">
        <v>23</v>
      </c>
      <c r="J49" t="s">
        <v>256</v>
      </c>
      <c r="K49" s="10" t="s">
        <v>257</v>
      </c>
      <c r="M49">
        <v>73</v>
      </c>
      <c r="P49" t="s">
        <v>258</v>
      </c>
      <c r="Q49" s="10">
        <f>INT(Tabela1[[#This Row],[DATA]])</f>
        <v>46163</v>
      </c>
      <c r="R49" s="14" t="str">
        <f ca="1">IF(AND(Q49&gt;=TODAY()-WEEKDAY(TODAY(),2)+1,Q49&lt;TODAY()),"SIM","NÃO")</f>
        <v>NÃO</v>
      </c>
    </row>
    <row r="50" spans="1:18" hidden="1">
      <c r="A50" t="s">
        <v>253</v>
      </c>
      <c r="B50" t="s">
        <v>254</v>
      </c>
      <c r="C50">
        <v>300262586</v>
      </c>
      <c r="D50">
        <v>16441303</v>
      </c>
      <c r="E50" t="s">
        <v>45</v>
      </c>
      <c r="F50" t="s">
        <v>259</v>
      </c>
      <c r="G50" t="s">
        <v>255</v>
      </c>
      <c r="H50" t="s">
        <v>22</v>
      </c>
      <c r="I50" t="s">
        <v>23</v>
      </c>
      <c r="J50" t="s">
        <v>256</v>
      </c>
      <c r="K50" s="10" t="s">
        <v>260</v>
      </c>
      <c r="M50">
        <v>74</v>
      </c>
      <c r="P50" t="s">
        <v>261</v>
      </c>
      <c r="Q50" s="10">
        <f>INT(Tabela1[[#This Row],[DATA]])</f>
        <v>46163</v>
      </c>
      <c r="R50" s="14" t="str">
        <f ca="1">IF(AND(Q50&gt;=TODAY()-WEEKDAY(TODAY(),2)+1,Q50&lt;TODAY()),"SIM","NÃO")</f>
        <v>NÃO</v>
      </c>
    </row>
    <row r="51" spans="1:18" hidden="1">
      <c r="A51" t="s">
        <v>253</v>
      </c>
      <c r="B51" t="s">
        <v>254</v>
      </c>
      <c r="C51">
        <v>300259840</v>
      </c>
      <c r="D51">
        <v>16223462</v>
      </c>
      <c r="E51" t="s">
        <v>45</v>
      </c>
      <c r="F51" t="s">
        <v>151</v>
      </c>
      <c r="G51">
        <v>3</v>
      </c>
      <c r="H51" t="s">
        <v>22</v>
      </c>
      <c r="I51" t="s">
        <v>262</v>
      </c>
      <c r="J51" t="s">
        <v>263</v>
      </c>
      <c r="K51" s="10" t="s">
        <v>264</v>
      </c>
      <c r="M51">
        <v>75</v>
      </c>
      <c r="P51" t="s">
        <v>265</v>
      </c>
      <c r="Q51" s="10">
        <f>INT(Tabela1[[#This Row],[DATA]])</f>
        <v>46163</v>
      </c>
      <c r="R51" s="14" t="str">
        <f ca="1">IF(AND(Q51&gt;=TODAY()-WEEKDAY(TODAY(),2)+1,Q51&lt;TODAY()),"SIM","NÃO")</f>
        <v>NÃO</v>
      </c>
    </row>
    <row r="52" spans="1:18" hidden="1">
      <c r="A52" t="s">
        <v>253</v>
      </c>
      <c r="B52" t="s">
        <v>254</v>
      </c>
      <c r="C52">
        <v>300258861</v>
      </c>
      <c r="D52">
        <v>16253515</v>
      </c>
      <c r="E52" t="s">
        <v>45</v>
      </c>
      <c r="F52" t="s">
        <v>151</v>
      </c>
      <c r="G52" t="s">
        <v>266</v>
      </c>
      <c r="H52" t="s">
        <v>22</v>
      </c>
      <c r="I52" t="s">
        <v>262</v>
      </c>
      <c r="J52" t="s">
        <v>267</v>
      </c>
      <c r="K52" s="10" t="s">
        <v>268</v>
      </c>
      <c r="M52">
        <v>76</v>
      </c>
      <c r="P52" t="s">
        <v>269</v>
      </c>
      <c r="Q52" s="10">
        <f>INT(Tabela1[[#This Row],[DATA]])</f>
        <v>46163</v>
      </c>
      <c r="R52" s="14" t="str">
        <f ca="1">IF(AND(Q52&gt;=TODAY()-WEEKDAY(TODAY(),2)+1,Q52&lt;TODAY()),"SIM","NÃO")</f>
        <v>NÃO</v>
      </c>
    </row>
    <row r="53" spans="1:18" hidden="1">
      <c r="A53" t="s">
        <v>111</v>
      </c>
      <c r="B53" t="s">
        <v>112</v>
      </c>
      <c r="C53">
        <v>300264541</v>
      </c>
      <c r="D53">
        <v>16453808</v>
      </c>
      <c r="E53" t="s">
        <v>20</v>
      </c>
      <c r="F53" t="s">
        <v>60</v>
      </c>
      <c r="G53" t="s">
        <v>270</v>
      </c>
      <c r="H53" t="s">
        <v>22</v>
      </c>
      <c r="I53" t="s">
        <v>23</v>
      </c>
      <c r="K53" s="10" t="s">
        <v>271</v>
      </c>
      <c r="M53">
        <v>77</v>
      </c>
      <c r="P53" t="s">
        <v>272</v>
      </c>
      <c r="Q53" s="10">
        <f>INT(Tabela1[[#This Row],[DATA]])</f>
        <v>46163</v>
      </c>
      <c r="R53" s="14" t="str">
        <f ca="1">IF(AND(Q53&gt;=TODAY()-WEEKDAY(TODAY(),2)+1,Q53&lt;TODAY()),"SIM","NÃO")</f>
        <v>NÃO</v>
      </c>
    </row>
    <row r="54" spans="1:18" hidden="1">
      <c r="A54" t="s">
        <v>273</v>
      </c>
      <c r="B54" t="s">
        <v>274</v>
      </c>
      <c r="C54">
        <v>300263206</v>
      </c>
      <c r="D54">
        <v>15215539</v>
      </c>
      <c r="E54" t="s">
        <v>29</v>
      </c>
      <c r="F54" t="s">
        <v>96</v>
      </c>
      <c r="G54">
        <v>1.1000000000000001</v>
      </c>
      <c r="H54" t="s">
        <v>39</v>
      </c>
      <c r="I54" t="s">
        <v>23</v>
      </c>
      <c r="J54" t="s">
        <v>275</v>
      </c>
      <c r="K54" s="10" t="s">
        <v>276</v>
      </c>
      <c r="M54">
        <v>78</v>
      </c>
      <c r="P54" t="s">
        <v>277</v>
      </c>
      <c r="Q54" s="10">
        <f>INT(Tabela1[[#This Row],[DATA]])</f>
        <v>46163</v>
      </c>
      <c r="R54" s="14" t="str">
        <f ca="1">IF(AND(Q54&gt;=TODAY()-WEEKDAY(TODAY(),2)+1,Q54&lt;TODAY()),"SIM","NÃO")</f>
        <v>NÃO</v>
      </c>
    </row>
    <row r="55" spans="1:18" hidden="1">
      <c r="A55" t="s">
        <v>54</v>
      </c>
      <c r="B55" t="s">
        <v>55</v>
      </c>
      <c r="C55">
        <v>300260821</v>
      </c>
      <c r="D55">
        <v>16443853</v>
      </c>
      <c r="E55" t="s">
        <v>45</v>
      </c>
      <c r="F55" t="s">
        <v>64</v>
      </c>
      <c r="G55" t="s">
        <v>278</v>
      </c>
      <c r="H55" t="s">
        <v>22</v>
      </c>
      <c r="I55" t="s">
        <v>23</v>
      </c>
      <c r="K55" s="10" t="s">
        <v>276</v>
      </c>
      <c r="M55">
        <v>79</v>
      </c>
      <c r="P55" t="s">
        <v>279</v>
      </c>
      <c r="Q55" s="10">
        <f>INT(Tabela1[[#This Row],[DATA]])</f>
        <v>46163</v>
      </c>
      <c r="R55" s="14" t="str">
        <f ca="1">IF(AND(Q55&gt;=TODAY()-WEEKDAY(TODAY(),2)+1,Q55&lt;TODAY()),"SIM","NÃO")</f>
        <v>NÃO</v>
      </c>
    </row>
    <row r="56" spans="1:18" hidden="1">
      <c r="A56" t="s">
        <v>106</v>
      </c>
      <c r="B56" t="s">
        <v>107</v>
      </c>
      <c r="C56">
        <v>300262900</v>
      </c>
      <c r="D56">
        <v>16493133</v>
      </c>
      <c r="E56" t="s">
        <v>45</v>
      </c>
      <c r="F56" t="s">
        <v>38</v>
      </c>
      <c r="G56">
        <v>20</v>
      </c>
      <c r="H56" t="s">
        <v>22</v>
      </c>
      <c r="I56" t="s">
        <v>23</v>
      </c>
      <c r="J56" t="s">
        <v>280</v>
      </c>
      <c r="K56" s="10" t="s">
        <v>281</v>
      </c>
      <c r="M56">
        <v>80</v>
      </c>
      <c r="P56" t="s">
        <v>282</v>
      </c>
      <c r="Q56" s="10">
        <f>INT(Tabela1[[#This Row],[DATA]])</f>
        <v>46163</v>
      </c>
      <c r="R56" s="14" t="str">
        <f ca="1">IF(AND(Q56&gt;=TODAY()-WEEKDAY(TODAY(),2)+1,Q56&lt;TODAY()),"SIM","NÃO")</f>
        <v>NÃO</v>
      </c>
    </row>
    <row r="57" spans="1:18" hidden="1">
      <c r="A57" t="s">
        <v>163</v>
      </c>
      <c r="B57" t="s">
        <v>164</v>
      </c>
      <c r="C57">
        <v>300261554</v>
      </c>
      <c r="D57">
        <v>16457226</v>
      </c>
      <c r="E57" t="s">
        <v>45</v>
      </c>
      <c r="F57" t="s">
        <v>38</v>
      </c>
      <c r="G57">
        <v>83</v>
      </c>
      <c r="H57" t="s">
        <v>283</v>
      </c>
      <c r="I57" t="s">
        <v>23</v>
      </c>
      <c r="J57" t="s">
        <v>284</v>
      </c>
      <c r="K57" s="10" t="s">
        <v>285</v>
      </c>
      <c r="M57">
        <v>81</v>
      </c>
      <c r="P57" s="5" t="s">
        <v>286</v>
      </c>
      <c r="Q57" s="10">
        <f>INT(Tabela1[[#This Row],[DATA]])</f>
        <v>46163</v>
      </c>
      <c r="R57" s="14" t="str">
        <f ca="1">IF(AND(Q57&gt;=TODAY()-WEEKDAY(TODAY(),2)+1,Q57&lt;TODAY()),"SIM","NÃO")</f>
        <v>NÃO</v>
      </c>
    </row>
    <row r="58" spans="1:18" hidden="1">
      <c r="A58" t="s">
        <v>287</v>
      </c>
      <c r="B58" t="s">
        <v>288</v>
      </c>
      <c r="C58">
        <v>300256860</v>
      </c>
      <c r="D58">
        <v>16293754</v>
      </c>
      <c r="E58" t="s">
        <v>37</v>
      </c>
      <c r="F58" t="s">
        <v>60</v>
      </c>
      <c r="G58">
        <v>13</v>
      </c>
      <c r="H58" t="s">
        <v>22</v>
      </c>
      <c r="I58" t="s">
        <v>23</v>
      </c>
      <c r="K58" s="10" t="s">
        <v>289</v>
      </c>
      <c r="M58">
        <v>82</v>
      </c>
      <c r="P58" t="s">
        <v>290</v>
      </c>
      <c r="Q58" s="10">
        <f>INT(Tabela1[[#This Row],[DATA]])</f>
        <v>46163</v>
      </c>
      <c r="R58" s="14" t="str">
        <f ca="1">IF(AND(Q58&gt;=TODAY()-WEEKDAY(TODAY(),2)+1,Q58&lt;TODAY()),"SIM","NÃO")</f>
        <v>NÃO</v>
      </c>
    </row>
    <row r="59" spans="1:18" hidden="1">
      <c r="A59" t="s">
        <v>273</v>
      </c>
      <c r="B59" t="s">
        <v>274</v>
      </c>
      <c r="C59">
        <v>300263206</v>
      </c>
      <c r="D59">
        <v>15215539</v>
      </c>
      <c r="E59" t="s">
        <v>29</v>
      </c>
      <c r="F59" t="s">
        <v>291</v>
      </c>
      <c r="G59">
        <v>1100</v>
      </c>
      <c r="H59" t="s">
        <v>39</v>
      </c>
      <c r="I59" t="s">
        <v>23</v>
      </c>
      <c r="J59" t="s">
        <v>275</v>
      </c>
      <c r="K59" s="10" t="s">
        <v>289</v>
      </c>
      <c r="M59">
        <v>83</v>
      </c>
      <c r="P59" t="s">
        <v>292</v>
      </c>
      <c r="Q59" s="10">
        <f>INT(Tabela1[[#This Row],[DATA]])</f>
        <v>46163</v>
      </c>
      <c r="R59" s="14" t="str">
        <f ca="1">IF(AND(Q59&gt;=TODAY()-WEEKDAY(TODAY(),2)+1,Q59&lt;TODAY()),"SIM","NÃO")</f>
        <v>NÃO</v>
      </c>
    </row>
    <row r="60" spans="1:18" hidden="1">
      <c r="A60" t="s">
        <v>273</v>
      </c>
      <c r="B60" t="s">
        <v>274</v>
      </c>
      <c r="C60">
        <v>300263220</v>
      </c>
      <c r="D60">
        <v>15215539</v>
      </c>
      <c r="E60" t="s">
        <v>29</v>
      </c>
      <c r="F60" t="s">
        <v>96</v>
      </c>
      <c r="G60">
        <v>1090</v>
      </c>
      <c r="H60" t="s">
        <v>39</v>
      </c>
      <c r="I60" t="s">
        <v>23</v>
      </c>
      <c r="J60" t="s">
        <v>293</v>
      </c>
      <c r="K60" s="10" t="s">
        <v>294</v>
      </c>
      <c r="M60">
        <v>84</v>
      </c>
      <c r="P60" t="s">
        <v>295</v>
      </c>
      <c r="Q60" s="10">
        <f>INT(Tabela1[[#This Row],[DATA]])</f>
        <v>46163</v>
      </c>
      <c r="R60" s="14" t="str">
        <f ca="1">IF(AND(Q60&gt;=TODAY()-WEEKDAY(TODAY(),2)+1,Q60&lt;TODAY()),"SIM","NÃO")</f>
        <v>NÃO</v>
      </c>
    </row>
    <row r="61" spans="1:18" hidden="1">
      <c r="A61" t="s">
        <v>273</v>
      </c>
      <c r="B61" t="s">
        <v>274</v>
      </c>
      <c r="C61">
        <v>300263220</v>
      </c>
      <c r="D61">
        <v>15215539</v>
      </c>
      <c r="E61" t="s">
        <v>29</v>
      </c>
      <c r="F61" t="s">
        <v>291</v>
      </c>
      <c r="G61">
        <v>1090</v>
      </c>
      <c r="H61" t="s">
        <v>39</v>
      </c>
      <c r="I61" t="s">
        <v>23</v>
      </c>
      <c r="J61" t="s">
        <v>296</v>
      </c>
      <c r="K61" s="10" t="s">
        <v>297</v>
      </c>
      <c r="M61">
        <v>85</v>
      </c>
      <c r="P61" t="s">
        <v>298</v>
      </c>
      <c r="Q61" s="10">
        <f>INT(Tabela1[[#This Row],[DATA]])</f>
        <v>46163</v>
      </c>
      <c r="R61" s="14" t="str">
        <f ca="1">IF(AND(Q61&gt;=TODAY()-WEEKDAY(TODAY(),2)+1,Q61&lt;TODAY()),"SIM","NÃO")</f>
        <v>NÃO</v>
      </c>
    </row>
    <row r="62" spans="1:18" hidden="1">
      <c r="A62" t="s">
        <v>273</v>
      </c>
      <c r="B62" t="s">
        <v>274</v>
      </c>
      <c r="C62">
        <v>300261088</v>
      </c>
      <c r="D62">
        <v>15774104</v>
      </c>
      <c r="E62" t="s">
        <v>37</v>
      </c>
      <c r="F62" t="s">
        <v>103</v>
      </c>
      <c r="G62">
        <v>2</v>
      </c>
      <c r="H62" t="s">
        <v>22</v>
      </c>
      <c r="I62" t="s">
        <v>23</v>
      </c>
      <c r="J62" t="s">
        <v>299</v>
      </c>
      <c r="K62" s="10" t="s">
        <v>300</v>
      </c>
      <c r="M62">
        <v>86</v>
      </c>
      <c r="P62" t="s">
        <v>301</v>
      </c>
      <c r="Q62" s="10">
        <f>INT(Tabela1[[#This Row],[DATA]])</f>
        <v>46163</v>
      </c>
      <c r="R62" s="14" t="str">
        <f ca="1">IF(AND(Q62&gt;=TODAY()-WEEKDAY(TODAY(),2)+1,Q62&lt;TODAY()),"SIM","NÃO")</f>
        <v>NÃO</v>
      </c>
    </row>
    <row r="63" spans="1:18" hidden="1">
      <c r="A63" t="s">
        <v>273</v>
      </c>
      <c r="B63" t="s">
        <v>274</v>
      </c>
      <c r="C63">
        <v>300261088</v>
      </c>
      <c r="D63">
        <v>15774104</v>
      </c>
      <c r="E63" t="s">
        <v>37</v>
      </c>
      <c r="F63" t="s">
        <v>90</v>
      </c>
      <c r="G63">
        <v>10</v>
      </c>
      <c r="H63" t="s">
        <v>39</v>
      </c>
      <c r="I63" t="s">
        <v>23</v>
      </c>
      <c r="J63" t="s">
        <v>302</v>
      </c>
      <c r="K63" s="10" t="s">
        <v>303</v>
      </c>
      <c r="M63">
        <v>87</v>
      </c>
      <c r="P63" t="s">
        <v>304</v>
      </c>
      <c r="Q63" s="10">
        <f>INT(Tabela1[[#This Row],[DATA]])</f>
        <v>46163</v>
      </c>
      <c r="R63" s="14" t="str">
        <f ca="1">IF(AND(Q63&gt;=TODAY()-WEEKDAY(TODAY(),2)+1,Q63&lt;TODAY()),"SIM","NÃO")</f>
        <v>NÃO</v>
      </c>
    </row>
    <row r="64" spans="1:18" hidden="1">
      <c r="A64" t="s">
        <v>305</v>
      </c>
      <c r="B64" t="s">
        <v>306</v>
      </c>
      <c r="C64">
        <v>300256322</v>
      </c>
      <c r="D64">
        <v>16474589</v>
      </c>
      <c r="E64" t="s">
        <v>37</v>
      </c>
      <c r="F64" t="s">
        <v>177</v>
      </c>
      <c r="G64">
        <v>10</v>
      </c>
      <c r="H64" t="s">
        <v>22</v>
      </c>
      <c r="I64" t="s">
        <v>23</v>
      </c>
      <c r="J64" t="s">
        <v>307</v>
      </c>
      <c r="K64" s="10" t="s">
        <v>308</v>
      </c>
      <c r="M64">
        <v>88</v>
      </c>
      <c r="P64" t="s">
        <v>309</v>
      </c>
      <c r="Q64" s="10">
        <f>INT(Tabela1[[#This Row],[DATA]])</f>
        <v>46163</v>
      </c>
      <c r="R64" s="14" t="str">
        <f ca="1">IF(AND(Q64&gt;=TODAY()-WEEKDAY(TODAY(),2)+1,Q64&lt;TODAY()),"SIM","NÃO")</f>
        <v>NÃO</v>
      </c>
    </row>
    <row r="65" spans="1:18" hidden="1">
      <c r="A65" t="s">
        <v>305</v>
      </c>
      <c r="B65" t="s">
        <v>306</v>
      </c>
      <c r="C65">
        <v>300263232</v>
      </c>
      <c r="D65">
        <v>16488067</v>
      </c>
      <c r="E65" t="s">
        <v>37</v>
      </c>
      <c r="F65" t="s">
        <v>132</v>
      </c>
      <c r="G65">
        <v>10</v>
      </c>
      <c r="H65" t="s">
        <v>22</v>
      </c>
      <c r="I65" t="s">
        <v>23</v>
      </c>
      <c r="J65" t="s">
        <v>310</v>
      </c>
      <c r="K65" s="10" t="s">
        <v>311</v>
      </c>
      <c r="M65">
        <v>89</v>
      </c>
      <c r="P65" t="s">
        <v>312</v>
      </c>
      <c r="Q65" s="10">
        <f>INT(Tabela1[[#This Row],[DATA]])</f>
        <v>46163</v>
      </c>
      <c r="R65" s="14" t="str">
        <f ca="1">IF(AND(Q65&gt;=TODAY()-WEEKDAY(TODAY(),2)+1,Q65&lt;TODAY()),"SIM","NÃO")</f>
        <v>NÃO</v>
      </c>
    </row>
    <row r="66" spans="1:18" hidden="1">
      <c r="A66" t="s">
        <v>313</v>
      </c>
      <c r="B66" t="s">
        <v>314</v>
      </c>
      <c r="C66">
        <v>300243911</v>
      </c>
      <c r="D66">
        <v>16346378</v>
      </c>
      <c r="E66" t="s">
        <v>45</v>
      </c>
      <c r="F66" t="s">
        <v>315</v>
      </c>
      <c r="G66">
        <v>5</v>
      </c>
      <c r="H66" t="s">
        <v>39</v>
      </c>
      <c r="I66" t="s">
        <v>23</v>
      </c>
      <c r="J66" t="s">
        <v>316</v>
      </c>
      <c r="K66" s="10" t="s">
        <v>317</v>
      </c>
      <c r="M66">
        <v>90</v>
      </c>
      <c r="P66" t="s">
        <v>318</v>
      </c>
      <c r="Q66" s="10">
        <f>INT(Tabela1[[#This Row],[DATA]])</f>
        <v>46163</v>
      </c>
      <c r="R66" s="14" t="str">
        <f ca="1">IF(AND(Q66&gt;=TODAY()-WEEKDAY(TODAY(),2)+1,Q66&lt;TODAY()),"SIM","NÃO")</f>
        <v>NÃO</v>
      </c>
    </row>
    <row r="67" spans="1:18" hidden="1">
      <c r="A67" t="s">
        <v>94</v>
      </c>
      <c r="B67" t="s">
        <v>95</v>
      </c>
      <c r="C67">
        <v>300258842</v>
      </c>
      <c r="D67">
        <v>16222326</v>
      </c>
      <c r="E67" t="s">
        <v>45</v>
      </c>
      <c r="F67" t="s">
        <v>151</v>
      </c>
      <c r="G67" t="s">
        <v>319</v>
      </c>
      <c r="H67" t="s">
        <v>39</v>
      </c>
      <c r="I67" t="s">
        <v>23</v>
      </c>
      <c r="J67" t="s">
        <v>320</v>
      </c>
      <c r="K67" s="10" t="s">
        <v>321</v>
      </c>
      <c r="M67">
        <v>91</v>
      </c>
      <c r="P67" t="s">
        <v>322</v>
      </c>
      <c r="Q67" s="10">
        <f>INT(Tabela1[[#This Row],[DATA]])</f>
        <v>46163</v>
      </c>
      <c r="R67" s="14" t="str">
        <f ca="1">IF(AND(Q67&gt;=TODAY()-WEEKDAY(TODAY(),2)+1,Q67&lt;TODAY()),"SIM","NÃO")</f>
        <v>NÃO</v>
      </c>
    </row>
    <row r="68" spans="1:18" hidden="1">
      <c r="A68" t="s">
        <v>68</v>
      </c>
      <c r="B68" t="s">
        <v>69</v>
      </c>
      <c r="C68">
        <v>300238279</v>
      </c>
      <c r="D68">
        <v>15929086</v>
      </c>
      <c r="E68" t="s">
        <v>45</v>
      </c>
      <c r="F68" t="s">
        <v>323</v>
      </c>
      <c r="G68" t="s">
        <v>324</v>
      </c>
      <c r="H68" t="s">
        <v>22</v>
      </c>
      <c r="I68" t="s">
        <v>23</v>
      </c>
      <c r="K68" s="10" t="s">
        <v>325</v>
      </c>
      <c r="M68">
        <v>92</v>
      </c>
      <c r="P68" t="s">
        <v>326</v>
      </c>
      <c r="Q68" s="10">
        <f>INT(Tabela1[[#This Row],[DATA]])</f>
        <v>46163</v>
      </c>
      <c r="R68" s="14" t="str">
        <f ca="1">IF(AND(Q68&gt;=TODAY()-WEEKDAY(TODAY(),2)+1,Q68&lt;TODAY()),"SIM","NÃO")</f>
        <v>NÃO</v>
      </c>
    </row>
    <row r="69" spans="1:18" hidden="1">
      <c r="A69" t="s">
        <v>305</v>
      </c>
      <c r="B69" t="s">
        <v>306</v>
      </c>
      <c r="C69">
        <v>300262794</v>
      </c>
      <c r="D69">
        <v>16442679</v>
      </c>
      <c r="E69" t="s">
        <v>29</v>
      </c>
      <c r="F69" t="s">
        <v>187</v>
      </c>
      <c r="G69">
        <v>10</v>
      </c>
      <c r="H69" t="s">
        <v>22</v>
      </c>
      <c r="I69" t="s">
        <v>23</v>
      </c>
      <c r="J69" t="s">
        <v>307</v>
      </c>
      <c r="K69" s="10" t="s">
        <v>327</v>
      </c>
      <c r="M69">
        <v>93</v>
      </c>
      <c r="P69" t="s">
        <v>328</v>
      </c>
      <c r="Q69" s="10">
        <f>INT(Tabela1[[#This Row],[DATA]])</f>
        <v>46163</v>
      </c>
      <c r="R69" s="14" t="str">
        <f ca="1">IF(AND(Q69&gt;=TODAY()-WEEKDAY(TODAY(),2)+1,Q69&lt;TODAY()),"SIM","NÃO")</f>
        <v>NÃO</v>
      </c>
    </row>
    <row r="70" spans="1:18" hidden="1">
      <c r="A70" t="s">
        <v>111</v>
      </c>
      <c r="B70" t="s">
        <v>112</v>
      </c>
      <c r="C70">
        <v>300256375</v>
      </c>
      <c r="D70">
        <v>16375874</v>
      </c>
      <c r="E70" t="s">
        <v>37</v>
      </c>
      <c r="F70" t="s">
        <v>329</v>
      </c>
      <c r="G70">
        <v>1.282</v>
      </c>
      <c r="H70" t="s">
        <v>39</v>
      </c>
      <c r="I70" t="s">
        <v>23</v>
      </c>
      <c r="K70" s="10" t="s">
        <v>330</v>
      </c>
      <c r="M70">
        <v>94</v>
      </c>
      <c r="P70" t="s">
        <v>331</v>
      </c>
      <c r="Q70" s="10">
        <f>INT(Tabela1[[#This Row],[DATA]])</f>
        <v>46163</v>
      </c>
      <c r="R70" s="14" t="str">
        <f ca="1">IF(AND(Q70&gt;=TODAY()-WEEKDAY(TODAY(),2)+1,Q70&lt;TODAY()),"SIM","NÃO")</f>
        <v>NÃO</v>
      </c>
    </row>
    <row r="71" spans="1:18" hidden="1">
      <c r="A71" t="s">
        <v>332</v>
      </c>
      <c r="B71" t="s">
        <v>28</v>
      </c>
      <c r="C71">
        <v>300262202</v>
      </c>
      <c r="D71">
        <v>15456714</v>
      </c>
      <c r="E71" t="s">
        <v>45</v>
      </c>
      <c r="F71" t="s">
        <v>38</v>
      </c>
      <c r="G71">
        <v>16</v>
      </c>
      <c r="H71" t="s">
        <v>22</v>
      </c>
      <c r="I71" t="s">
        <v>23</v>
      </c>
      <c r="K71" s="10" t="s">
        <v>333</v>
      </c>
      <c r="M71">
        <v>95</v>
      </c>
      <c r="P71" t="s">
        <v>334</v>
      </c>
      <c r="Q71" s="10">
        <f>INT(Tabela1[[#This Row],[DATA]])</f>
        <v>46163</v>
      </c>
      <c r="R71" s="14" t="str">
        <f ca="1">IF(AND(Q71&gt;=TODAY()-WEEKDAY(TODAY(),2)+1,Q71&lt;TODAY()),"SIM","NÃO")</f>
        <v>NÃO</v>
      </c>
    </row>
    <row r="72" spans="1:18" hidden="1">
      <c r="A72" t="s">
        <v>185</v>
      </c>
      <c r="B72" t="s">
        <v>186</v>
      </c>
      <c r="C72">
        <v>300000000</v>
      </c>
      <c r="D72">
        <v>12345678</v>
      </c>
      <c r="E72" t="s">
        <v>37</v>
      </c>
      <c r="F72" t="s">
        <v>90</v>
      </c>
      <c r="G72">
        <v>10</v>
      </c>
      <c r="H72" t="s">
        <v>22</v>
      </c>
      <c r="I72" t="s">
        <v>23</v>
      </c>
      <c r="K72" s="10" t="s">
        <v>335</v>
      </c>
      <c r="M72">
        <v>96</v>
      </c>
      <c r="P72" t="s">
        <v>336</v>
      </c>
      <c r="Q72" s="10">
        <f>INT(Tabela1[[#This Row],[DATA]])</f>
        <v>46163</v>
      </c>
      <c r="R72" s="14" t="str">
        <f ca="1">IF(AND(Q72&gt;=TODAY()-WEEKDAY(TODAY(),2)+1,Q72&lt;TODAY()),"SIM","NÃO")</f>
        <v>NÃO</v>
      </c>
    </row>
    <row r="73" spans="1:18" hidden="1">
      <c r="A73" t="s">
        <v>68</v>
      </c>
      <c r="B73" t="s">
        <v>69</v>
      </c>
      <c r="C73">
        <v>300256013</v>
      </c>
      <c r="D73">
        <v>16445007</v>
      </c>
      <c r="E73" t="s">
        <v>45</v>
      </c>
      <c r="F73" t="s">
        <v>60</v>
      </c>
      <c r="G73" t="s">
        <v>337</v>
      </c>
      <c r="H73" t="s">
        <v>22</v>
      </c>
      <c r="I73" t="s">
        <v>23</v>
      </c>
      <c r="K73" s="10" t="s">
        <v>338</v>
      </c>
      <c r="M73">
        <v>97</v>
      </c>
      <c r="P73" t="s">
        <v>339</v>
      </c>
      <c r="Q73" s="10">
        <f>INT(Tabela1[[#This Row],[DATA]])</f>
        <v>46163</v>
      </c>
      <c r="R73" s="14" t="str">
        <f ca="1">IF(AND(Q73&gt;=TODAY()-WEEKDAY(TODAY(),2)+1,Q73&lt;TODAY()),"SIM","NÃO")</f>
        <v>NÃO</v>
      </c>
    </row>
    <row r="74" spans="1:18" hidden="1">
      <c r="A74" t="s">
        <v>54</v>
      </c>
      <c r="B74" t="s">
        <v>55</v>
      </c>
      <c r="C74">
        <v>300234852</v>
      </c>
      <c r="D74">
        <v>15764494</v>
      </c>
      <c r="E74" t="s">
        <v>37</v>
      </c>
      <c r="F74" t="s">
        <v>38</v>
      </c>
      <c r="G74" t="s">
        <v>340</v>
      </c>
      <c r="H74" t="s">
        <v>22</v>
      </c>
      <c r="I74" t="s">
        <v>23</v>
      </c>
      <c r="K74" s="10" t="s">
        <v>341</v>
      </c>
      <c r="M74">
        <v>98</v>
      </c>
      <c r="P74" t="s">
        <v>342</v>
      </c>
      <c r="Q74" s="10">
        <f>INT(Tabela1[[#This Row],[DATA]])</f>
        <v>46163</v>
      </c>
      <c r="R74" s="14" t="str">
        <f ca="1">IF(AND(Q74&gt;=TODAY()-WEEKDAY(TODAY(),2)+1,Q74&lt;TODAY()),"SIM","NÃO")</f>
        <v>NÃO</v>
      </c>
    </row>
    <row r="75" spans="1:18" hidden="1">
      <c r="A75" t="s">
        <v>343</v>
      </c>
      <c r="B75" t="s">
        <v>344</v>
      </c>
      <c r="C75">
        <v>300263218</v>
      </c>
      <c r="D75">
        <v>16488393</v>
      </c>
      <c r="E75" t="s">
        <v>37</v>
      </c>
      <c r="F75" t="s">
        <v>203</v>
      </c>
      <c r="G75">
        <v>550</v>
      </c>
      <c r="H75" t="s">
        <v>22</v>
      </c>
      <c r="I75" t="s">
        <v>23</v>
      </c>
      <c r="K75" s="10" t="s">
        <v>345</v>
      </c>
      <c r="M75">
        <v>99</v>
      </c>
      <c r="P75" t="s">
        <v>346</v>
      </c>
      <c r="Q75" s="10">
        <f>INT(Tabela1[[#This Row],[DATA]])</f>
        <v>46163</v>
      </c>
      <c r="R75" s="14" t="str">
        <f ca="1">IF(AND(Q75&gt;=TODAY()-WEEKDAY(TODAY(),2)+1,Q75&lt;TODAY()),"SIM","NÃO")</f>
        <v>NÃO</v>
      </c>
    </row>
    <row r="76" spans="1:18" hidden="1">
      <c r="A76" t="s">
        <v>79</v>
      </c>
      <c r="B76" t="s">
        <v>80</v>
      </c>
      <c r="C76">
        <v>300263203</v>
      </c>
      <c r="D76">
        <v>15215539</v>
      </c>
      <c r="E76" t="s">
        <v>29</v>
      </c>
      <c r="F76" t="s">
        <v>64</v>
      </c>
      <c r="G76" t="s">
        <v>347</v>
      </c>
      <c r="H76" t="s">
        <v>39</v>
      </c>
      <c r="I76" t="s">
        <v>23</v>
      </c>
      <c r="J76" t="s">
        <v>348</v>
      </c>
      <c r="K76" s="10" t="s">
        <v>349</v>
      </c>
      <c r="M76">
        <v>100</v>
      </c>
      <c r="P76" t="s">
        <v>350</v>
      </c>
      <c r="Q76" s="10">
        <f>INT(Tabela1[[#This Row],[DATA]])</f>
        <v>46164</v>
      </c>
      <c r="R76" s="14" t="str">
        <f ca="1">IF(AND(Q76&gt;=TODAY()-WEEKDAY(TODAY(),2)+1,Q76&lt;TODAY()),"SIM","NÃO")</f>
        <v>NÃO</v>
      </c>
    </row>
    <row r="77" spans="1:18" hidden="1">
      <c r="A77" t="s">
        <v>27</v>
      </c>
      <c r="B77" t="s">
        <v>28</v>
      </c>
      <c r="C77">
        <v>300261449</v>
      </c>
      <c r="D77">
        <v>16217861</v>
      </c>
      <c r="E77" t="s">
        <v>37</v>
      </c>
      <c r="F77" t="s">
        <v>30</v>
      </c>
      <c r="G77">
        <v>15</v>
      </c>
      <c r="H77" t="s">
        <v>22</v>
      </c>
      <c r="I77" t="s">
        <v>23</v>
      </c>
      <c r="K77" s="10" t="s">
        <v>351</v>
      </c>
      <c r="M77">
        <v>101</v>
      </c>
      <c r="P77" t="s">
        <v>352</v>
      </c>
      <c r="Q77" s="10">
        <f>INT(Tabela1[[#This Row],[DATA]])</f>
        <v>46164</v>
      </c>
      <c r="R77" s="14" t="str">
        <f ca="1">IF(AND(Q77&gt;=TODAY()-WEEKDAY(TODAY(),2)+1,Q77&lt;TODAY()),"SIM","NÃO")</f>
        <v>NÃO</v>
      </c>
    </row>
    <row r="78" spans="1:18" hidden="1">
      <c r="A78" t="s">
        <v>79</v>
      </c>
      <c r="B78" t="s">
        <v>80</v>
      </c>
      <c r="C78">
        <v>300263205</v>
      </c>
      <c r="D78">
        <v>15215539</v>
      </c>
      <c r="E78" t="s">
        <v>29</v>
      </c>
      <c r="F78" t="s">
        <v>64</v>
      </c>
      <c r="G78" t="s">
        <v>353</v>
      </c>
      <c r="H78" t="s">
        <v>39</v>
      </c>
      <c r="I78" t="s">
        <v>23</v>
      </c>
      <c r="J78" t="s">
        <v>354</v>
      </c>
      <c r="K78" s="10" t="s">
        <v>355</v>
      </c>
      <c r="M78">
        <v>102</v>
      </c>
      <c r="P78" t="s">
        <v>356</v>
      </c>
      <c r="Q78" s="10">
        <f>INT(Tabela1[[#This Row],[DATA]])</f>
        <v>46164</v>
      </c>
      <c r="R78" s="14" t="str">
        <f ca="1">IF(AND(Q78&gt;=TODAY()-WEEKDAY(TODAY(),2)+1,Q78&lt;TODAY()),"SIM","NÃO")</f>
        <v>NÃO</v>
      </c>
    </row>
    <row r="79" spans="1:18" hidden="1">
      <c r="A79" t="s">
        <v>357</v>
      </c>
      <c r="B79" t="s">
        <v>358</v>
      </c>
      <c r="C79">
        <v>300000000</v>
      </c>
      <c r="D79">
        <v>0</v>
      </c>
      <c r="E79" t="s">
        <v>37</v>
      </c>
      <c r="F79" t="s">
        <v>103</v>
      </c>
      <c r="G79" t="s">
        <v>359</v>
      </c>
      <c r="H79" t="s">
        <v>22</v>
      </c>
      <c r="I79" t="s">
        <v>23</v>
      </c>
      <c r="K79" s="10" t="s">
        <v>360</v>
      </c>
      <c r="M79">
        <v>103</v>
      </c>
      <c r="P79" t="s">
        <v>361</v>
      </c>
      <c r="Q79" s="10">
        <f>INT(Tabela1[[#This Row],[DATA]])</f>
        <v>46164</v>
      </c>
      <c r="R79" s="14" t="str">
        <f ca="1">IF(AND(Q79&gt;=TODAY()-WEEKDAY(TODAY(),2)+1,Q79&lt;TODAY()),"SIM","NÃO")</f>
        <v>NÃO</v>
      </c>
    </row>
    <row r="80" spans="1:18" hidden="1">
      <c r="A80" t="s">
        <v>136</v>
      </c>
      <c r="B80" t="s">
        <v>137</v>
      </c>
      <c r="C80">
        <v>300258508</v>
      </c>
      <c r="D80">
        <v>16223780</v>
      </c>
      <c r="E80" t="s">
        <v>45</v>
      </c>
      <c r="F80" t="s">
        <v>64</v>
      </c>
      <c r="G80" t="s">
        <v>362</v>
      </c>
      <c r="H80" t="s">
        <v>22</v>
      </c>
      <c r="I80" t="s">
        <v>23</v>
      </c>
      <c r="K80" s="10" t="s">
        <v>360</v>
      </c>
      <c r="M80">
        <v>104</v>
      </c>
      <c r="P80" t="s">
        <v>363</v>
      </c>
      <c r="Q80" s="10">
        <f>INT(Tabela1[[#This Row],[DATA]])</f>
        <v>46164</v>
      </c>
      <c r="R80" s="14" t="str">
        <f ca="1">IF(AND(Q80&gt;=TODAY()-WEEKDAY(TODAY(),2)+1,Q80&lt;TODAY()),"SIM","NÃO")</f>
        <v>NÃO</v>
      </c>
    </row>
    <row r="81" spans="1:18" hidden="1">
      <c r="A81" t="s">
        <v>364</v>
      </c>
      <c r="B81" t="s">
        <v>365</v>
      </c>
      <c r="C81">
        <v>300260817</v>
      </c>
      <c r="D81">
        <v>16223608</v>
      </c>
      <c r="E81" t="s">
        <v>45</v>
      </c>
      <c r="F81" t="s">
        <v>64</v>
      </c>
      <c r="G81">
        <v>78</v>
      </c>
      <c r="H81" t="s">
        <v>22</v>
      </c>
      <c r="I81" t="s">
        <v>23</v>
      </c>
      <c r="J81" t="s">
        <v>366</v>
      </c>
      <c r="K81" s="10" t="s">
        <v>367</v>
      </c>
      <c r="M81">
        <v>105</v>
      </c>
      <c r="P81" t="s">
        <v>368</v>
      </c>
      <c r="Q81" s="10">
        <f>INT(Tabela1[[#This Row],[DATA]])</f>
        <v>46164</v>
      </c>
      <c r="R81" s="14" t="str">
        <f ca="1">IF(AND(Q81&gt;=TODAY()-WEEKDAY(TODAY(),2)+1,Q81&lt;TODAY()),"SIM","NÃO")</f>
        <v>NÃO</v>
      </c>
    </row>
    <row r="82" spans="1:18" hidden="1">
      <c r="A82" t="s">
        <v>357</v>
      </c>
      <c r="B82" t="s">
        <v>358</v>
      </c>
      <c r="C82">
        <v>300264021</v>
      </c>
      <c r="D82">
        <v>16474570</v>
      </c>
      <c r="E82" t="s">
        <v>37</v>
      </c>
      <c r="F82" t="s">
        <v>369</v>
      </c>
      <c r="G82">
        <v>22</v>
      </c>
      <c r="H82" t="s">
        <v>39</v>
      </c>
      <c r="I82" t="s">
        <v>152</v>
      </c>
      <c r="J82" t="s">
        <v>370</v>
      </c>
      <c r="K82" s="10" t="s">
        <v>371</v>
      </c>
      <c r="M82">
        <v>106</v>
      </c>
      <c r="P82" t="s">
        <v>372</v>
      </c>
      <c r="Q82" s="10">
        <f>INT(Tabela1[[#This Row],[DATA]])</f>
        <v>46164</v>
      </c>
      <c r="R82" s="14" t="str">
        <f ca="1">IF(AND(Q82&gt;=TODAY()-WEEKDAY(TODAY(),2)+1,Q82&lt;TODAY()),"SIM","NÃO")</f>
        <v>NÃO</v>
      </c>
    </row>
    <row r="83" spans="1:18" hidden="1">
      <c r="A83" t="s">
        <v>49</v>
      </c>
      <c r="B83" t="s">
        <v>50</v>
      </c>
      <c r="C83">
        <v>300262454</v>
      </c>
      <c r="D83">
        <v>16447603</v>
      </c>
      <c r="E83" t="s">
        <v>37</v>
      </c>
      <c r="F83" t="s">
        <v>113</v>
      </c>
      <c r="G83">
        <v>5</v>
      </c>
      <c r="H83" t="s">
        <v>22</v>
      </c>
      <c r="I83" t="s">
        <v>23</v>
      </c>
      <c r="J83" t="s">
        <v>373</v>
      </c>
      <c r="K83" s="10" t="s">
        <v>374</v>
      </c>
      <c r="M83">
        <v>107</v>
      </c>
      <c r="P83" t="s">
        <v>375</v>
      </c>
      <c r="Q83" s="10">
        <f>INT(Tabela1[[#This Row],[DATA]])</f>
        <v>46164</v>
      </c>
      <c r="R83" s="14" t="str">
        <f ca="1">IF(AND(Q83&gt;=TODAY()-WEEKDAY(TODAY(),2)+1,Q83&lt;TODAY()),"SIM","NÃO")</f>
        <v>NÃO</v>
      </c>
    </row>
    <row r="84" spans="1:18" hidden="1">
      <c r="A84" t="s">
        <v>249</v>
      </c>
      <c r="B84" t="s">
        <v>112</v>
      </c>
      <c r="C84">
        <v>300262582</v>
      </c>
      <c r="D84">
        <v>16499883</v>
      </c>
      <c r="E84" t="s">
        <v>45</v>
      </c>
      <c r="F84" t="s">
        <v>21</v>
      </c>
      <c r="G84">
        <v>0</v>
      </c>
      <c r="H84" t="s">
        <v>22</v>
      </c>
      <c r="I84" t="s">
        <v>23</v>
      </c>
      <c r="K84" s="10" t="s">
        <v>376</v>
      </c>
      <c r="M84">
        <v>108</v>
      </c>
      <c r="P84" t="s">
        <v>377</v>
      </c>
      <c r="Q84" s="10">
        <f>INT(Tabela1[[#This Row],[DATA]])</f>
        <v>46164</v>
      </c>
      <c r="R84" s="14" t="str">
        <f ca="1">IF(AND(Q84&gt;=TODAY()-WEEKDAY(TODAY(),2)+1,Q84&lt;TODAY()),"SIM","NÃO")</f>
        <v>NÃO</v>
      </c>
    </row>
    <row r="85" spans="1:18" hidden="1">
      <c r="A85" t="s">
        <v>378</v>
      </c>
      <c r="B85" t="s">
        <v>137</v>
      </c>
      <c r="C85">
        <v>300260245</v>
      </c>
      <c r="D85">
        <v>16440960</v>
      </c>
      <c r="E85" t="s">
        <v>45</v>
      </c>
      <c r="F85" t="s">
        <v>187</v>
      </c>
      <c r="G85">
        <v>100</v>
      </c>
      <c r="H85" t="s">
        <v>22</v>
      </c>
      <c r="I85" t="s">
        <v>23</v>
      </c>
      <c r="J85" t="s">
        <v>379</v>
      </c>
      <c r="K85" s="10" t="s">
        <v>380</v>
      </c>
      <c r="M85">
        <v>109</v>
      </c>
      <c r="P85" t="s">
        <v>381</v>
      </c>
      <c r="Q85" s="10">
        <f>INT(Tabela1[[#This Row],[DATA]])</f>
        <v>46164</v>
      </c>
      <c r="R85" s="14" t="str">
        <f ca="1">IF(AND(Q85&gt;=TODAY()-WEEKDAY(TODAY(),2)+1,Q85&lt;TODAY()),"SIM","NÃO")</f>
        <v>NÃO</v>
      </c>
    </row>
    <row r="86" spans="1:18" hidden="1">
      <c r="A86" t="s">
        <v>382</v>
      </c>
      <c r="B86" t="s">
        <v>383</v>
      </c>
      <c r="C86">
        <v>300257326</v>
      </c>
      <c r="D86">
        <v>16218230</v>
      </c>
      <c r="E86" t="s">
        <v>37</v>
      </c>
      <c r="F86" t="s">
        <v>221</v>
      </c>
      <c r="G86">
        <v>1584</v>
      </c>
      <c r="H86" t="s">
        <v>39</v>
      </c>
      <c r="I86" t="s">
        <v>23</v>
      </c>
      <c r="J86" t="s">
        <v>384</v>
      </c>
      <c r="K86" s="10" t="s">
        <v>385</v>
      </c>
      <c r="M86">
        <v>110</v>
      </c>
      <c r="P86" t="s">
        <v>386</v>
      </c>
      <c r="Q86" s="10">
        <f>INT(Tabela1[[#This Row],[DATA]])</f>
        <v>46164</v>
      </c>
      <c r="R86" s="14" t="str">
        <f ca="1">IF(AND(Q86&gt;=TODAY()-WEEKDAY(TODAY(),2)+1,Q86&lt;TODAY()),"SIM","NÃO")</f>
        <v>NÃO</v>
      </c>
    </row>
    <row r="87" spans="1:18" hidden="1">
      <c r="A87" t="s">
        <v>387</v>
      </c>
      <c r="B87" t="s">
        <v>388</v>
      </c>
      <c r="C87">
        <v>300253751</v>
      </c>
      <c r="D87">
        <v>16450302</v>
      </c>
      <c r="E87" t="s">
        <v>37</v>
      </c>
      <c r="F87" t="s">
        <v>151</v>
      </c>
      <c r="G87" t="s">
        <v>389</v>
      </c>
      <c r="H87" t="s">
        <v>39</v>
      </c>
      <c r="I87" t="s">
        <v>23</v>
      </c>
      <c r="K87" s="10" t="s">
        <v>390</v>
      </c>
      <c r="M87">
        <v>111</v>
      </c>
      <c r="P87" t="s">
        <v>391</v>
      </c>
      <c r="Q87" s="10">
        <f>INT(Tabela1[[#This Row],[DATA]])</f>
        <v>46164</v>
      </c>
      <c r="R87" s="14" t="str">
        <f ca="1">IF(AND(Q87&gt;=TODAY()-WEEKDAY(TODAY(),2)+1,Q87&lt;TODAY()),"SIM","NÃO")</f>
        <v>NÃO</v>
      </c>
    </row>
    <row r="88" spans="1:18" hidden="1">
      <c r="A88" t="s">
        <v>387</v>
      </c>
      <c r="B88" t="s">
        <v>388</v>
      </c>
      <c r="C88">
        <v>300253751</v>
      </c>
      <c r="D88">
        <v>16450302</v>
      </c>
      <c r="E88" t="s">
        <v>37</v>
      </c>
      <c r="F88" t="s">
        <v>151</v>
      </c>
      <c r="G88" t="s">
        <v>392</v>
      </c>
      <c r="H88" t="s">
        <v>39</v>
      </c>
      <c r="I88" t="s">
        <v>23</v>
      </c>
      <c r="J88" t="s">
        <v>393</v>
      </c>
      <c r="K88" s="10" t="s">
        <v>394</v>
      </c>
      <c r="M88">
        <v>112</v>
      </c>
      <c r="P88" t="s">
        <v>395</v>
      </c>
      <c r="Q88" s="10">
        <f>INT(Tabela1[[#This Row],[DATA]])</f>
        <v>46164</v>
      </c>
      <c r="R88" s="14" t="str">
        <f ca="1">IF(AND(Q88&gt;=TODAY()-WEEKDAY(TODAY(),2)+1,Q88&lt;TODAY()),"SIM","NÃO")</f>
        <v>NÃO</v>
      </c>
    </row>
    <row r="89" spans="1:18" hidden="1">
      <c r="A89" t="s">
        <v>387</v>
      </c>
      <c r="B89" t="s">
        <v>388</v>
      </c>
      <c r="C89">
        <v>300253751</v>
      </c>
      <c r="D89">
        <v>16450302</v>
      </c>
      <c r="E89" t="s">
        <v>37</v>
      </c>
      <c r="F89" t="s">
        <v>396</v>
      </c>
      <c r="G89" t="s">
        <v>397</v>
      </c>
      <c r="H89" t="s">
        <v>39</v>
      </c>
      <c r="I89" t="s">
        <v>23</v>
      </c>
      <c r="J89" t="s">
        <v>398</v>
      </c>
      <c r="K89" s="10" t="s">
        <v>399</v>
      </c>
      <c r="M89">
        <v>113</v>
      </c>
      <c r="P89" t="s">
        <v>400</v>
      </c>
      <c r="Q89" s="10">
        <f>INT(Tabela1[[#This Row],[DATA]])</f>
        <v>46164</v>
      </c>
      <c r="R89" s="14" t="str">
        <f ca="1">IF(AND(Q89&gt;=TODAY()-WEEKDAY(TODAY(),2)+1,Q89&lt;TODAY()),"SIM","NÃO")</f>
        <v>NÃO</v>
      </c>
    </row>
    <row r="90" spans="1:18" hidden="1">
      <c r="A90" t="s">
        <v>387</v>
      </c>
      <c r="B90" t="s">
        <v>401</v>
      </c>
      <c r="C90">
        <v>300253751</v>
      </c>
      <c r="D90">
        <v>16450302</v>
      </c>
      <c r="E90" t="s">
        <v>37</v>
      </c>
      <c r="F90" t="s">
        <v>369</v>
      </c>
      <c r="G90" t="s">
        <v>402</v>
      </c>
      <c r="H90" t="s">
        <v>39</v>
      </c>
      <c r="I90" t="s">
        <v>23</v>
      </c>
      <c r="K90" s="10" t="s">
        <v>403</v>
      </c>
      <c r="M90">
        <v>114</v>
      </c>
      <c r="P90" t="s">
        <v>404</v>
      </c>
      <c r="Q90" s="10">
        <f>INT(Tabela1[[#This Row],[DATA]])</f>
        <v>46164</v>
      </c>
      <c r="R90" s="14" t="str">
        <f ca="1">IF(AND(Q90&gt;=TODAY()-WEEKDAY(TODAY(),2)+1,Q90&lt;TODAY()),"SIM","NÃO")</f>
        <v>NÃO</v>
      </c>
    </row>
    <row r="91" spans="1:18" hidden="1">
      <c r="A91" t="s">
        <v>387</v>
      </c>
      <c r="B91" t="s">
        <v>388</v>
      </c>
      <c r="C91">
        <v>300253751</v>
      </c>
      <c r="D91">
        <v>16450302</v>
      </c>
      <c r="E91" t="s">
        <v>37</v>
      </c>
      <c r="F91" t="s">
        <v>323</v>
      </c>
      <c r="G91" t="s">
        <v>405</v>
      </c>
      <c r="H91" t="s">
        <v>39</v>
      </c>
      <c r="I91" t="s">
        <v>23</v>
      </c>
      <c r="K91" s="10" t="s">
        <v>406</v>
      </c>
      <c r="M91">
        <v>115</v>
      </c>
      <c r="P91" t="s">
        <v>407</v>
      </c>
      <c r="Q91" s="10">
        <f>INT(Tabela1[[#This Row],[DATA]])</f>
        <v>46164</v>
      </c>
      <c r="R91" s="14" t="str">
        <f ca="1">IF(AND(Q91&gt;=TODAY()-WEEKDAY(TODAY(),2)+1,Q91&lt;TODAY()),"SIM","NÃO")</f>
        <v>NÃO</v>
      </c>
    </row>
    <row r="92" spans="1:18" hidden="1">
      <c r="A92" t="s">
        <v>387</v>
      </c>
      <c r="B92" t="s">
        <v>388</v>
      </c>
      <c r="C92">
        <v>300253751</v>
      </c>
      <c r="D92">
        <v>16450302</v>
      </c>
      <c r="E92" t="s">
        <v>37</v>
      </c>
      <c r="F92" t="s">
        <v>323</v>
      </c>
      <c r="G92" t="s">
        <v>408</v>
      </c>
      <c r="H92" t="s">
        <v>39</v>
      </c>
      <c r="I92" t="s">
        <v>23</v>
      </c>
      <c r="K92" s="10" t="s">
        <v>409</v>
      </c>
      <c r="M92">
        <v>116</v>
      </c>
      <c r="P92" t="s">
        <v>410</v>
      </c>
      <c r="Q92" s="10">
        <f>INT(Tabela1[[#This Row],[DATA]])</f>
        <v>46164</v>
      </c>
      <c r="R92" s="14" t="str">
        <f ca="1">IF(AND(Q92&gt;=TODAY()-WEEKDAY(TODAY(),2)+1,Q92&lt;TODAY()),"SIM","NÃO")</f>
        <v>NÃO</v>
      </c>
    </row>
    <row r="93" spans="1:18" hidden="1">
      <c r="A93" t="s">
        <v>387</v>
      </c>
      <c r="B93" t="s">
        <v>388</v>
      </c>
      <c r="C93">
        <v>300253751</v>
      </c>
      <c r="D93">
        <v>16450302</v>
      </c>
      <c r="E93" t="s">
        <v>37</v>
      </c>
      <c r="F93" t="s">
        <v>323</v>
      </c>
      <c r="G93" t="s">
        <v>411</v>
      </c>
      <c r="H93" t="s">
        <v>39</v>
      </c>
      <c r="I93" t="s">
        <v>23</v>
      </c>
      <c r="K93" s="10" t="s">
        <v>412</v>
      </c>
      <c r="M93">
        <v>117</v>
      </c>
      <c r="P93" t="s">
        <v>413</v>
      </c>
      <c r="Q93" s="10">
        <f>INT(Tabela1[[#This Row],[DATA]])</f>
        <v>46164</v>
      </c>
      <c r="R93" s="14" t="str">
        <f ca="1">IF(AND(Q93&gt;=TODAY()-WEEKDAY(TODAY(),2)+1,Q93&lt;TODAY()),"SIM","NÃO")</f>
        <v>NÃO</v>
      </c>
    </row>
    <row r="94" spans="1:18" hidden="1">
      <c r="A94" t="s">
        <v>387</v>
      </c>
      <c r="B94" t="s">
        <v>388</v>
      </c>
      <c r="C94">
        <v>300253751</v>
      </c>
      <c r="D94">
        <v>16450302</v>
      </c>
      <c r="E94" t="s">
        <v>37</v>
      </c>
      <c r="F94" t="s">
        <v>369</v>
      </c>
      <c r="G94" t="s">
        <v>414</v>
      </c>
      <c r="H94" t="s">
        <v>39</v>
      </c>
      <c r="I94" t="s">
        <v>23</v>
      </c>
      <c r="K94" s="10" t="s">
        <v>415</v>
      </c>
      <c r="M94">
        <v>118</v>
      </c>
      <c r="P94" t="s">
        <v>416</v>
      </c>
      <c r="Q94" s="10">
        <f>INT(Tabela1[[#This Row],[DATA]])</f>
        <v>46164</v>
      </c>
      <c r="R94" s="14" t="str">
        <f ca="1">IF(AND(Q94&gt;=TODAY()-WEEKDAY(TODAY(),2)+1,Q94&lt;TODAY()),"SIM","NÃO")</f>
        <v>NÃO</v>
      </c>
    </row>
    <row r="95" spans="1:18" hidden="1">
      <c r="A95" t="s">
        <v>191</v>
      </c>
      <c r="B95" t="s">
        <v>192</v>
      </c>
      <c r="C95">
        <v>300261298</v>
      </c>
      <c r="D95">
        <v>16481690</v>
      </c>
      <c r="E95" t="s">
        <v>20</v>
      </c>
      <c r="F95" t="s">
        <v>417</v>
      </c>
      <c r="G95">
        <v>280</v>
      </c>
      <c r="H95" t="s">
        <v>39</v>
      </c>
      <c r="I95" t="s">
        <v>23</v>
      </c>
      <c r="J95" t="s">
        <v>418</v>
      </c>
      <c r="K95" s="10" t="s">
        <v>419</v>
      </c>
      <c r="M95">
        <v>119</v>
      </c>
      <c r="P95" t="s">
        <v>420</v>
      </c>
      <c r="Q95" s="10">
        <f>INT(Tabela1[[#This Row],[DATA]])</f>
        <v>46164</v>
      </c>
      <c r="R95" s="14" t="str">
        <f ca="1">IF(AND(Q95&gt;=TODAY()-WEEKDAY(TODAY(),2)+1,Q95&lt;TODAY()),"SIM","NÃO")</f>
        <v>NÃO</v>
      </c>
    </row>
    <row r="96" spans="1:18" hidden="1">
      <c r="A96" t="s">
        <v>79</v>
      </c>
      <c r="B96" t="s">
        <v>80</v>
      </c>
      <c r="C96">
        <v>300263202</v>
      </c>
      <c r="D96">
        <v>15215539</v>
      </c>
      <c r="E96" t="s">
        <v>29</v>
      </c>
      <c r="F96" t="s">
        <v>38</v>
      </c>
      <c r="G96" t="s">
        <v>421</v>
      </c>
      <c r="H96" t="s">
        <v>39</v>
      </c>
      <c r="I96" t="s">
        <v>23</v>
      </c>
      <c r="J96" t="s">
        <v>422</v>
      </c>
      <c r="K96" s="10" t="s">
        <v>423</v>
      </c>
      <c r="M96">
        <v>120</v>
      </c>
      <c r="P96" t="s">
        <v>424</v>
      </c>
      <c r="Q96" s="10">
        <f>INT(Tabela1[[#This Row],[DATA]])</f>
        <v>46164</v>
      </c>
      <c r="R96" s="14" t="str">
        <f ca="1">IF(AND(Q96&gt;=TODAY()-WEEKDAY(TODAY(),2)+1,Q96&lt;TODAY()),"SIM","NÃO")</f>
        <v>NÃO</v>
      </c>
    </row>
    <row r="97" spans="1:18" hidden="1">
      <c r="A97" t="s">
        <v>185</v>
      </c>
      <c r="B97" t="s">
        <v>186</v>
      </c>
      <c r="C97">
        <v>300231420</v>
      </c>
      <c r="D97">
        <v>16317840</v>
      </c>
      <c r="E97" t="s">
        <v>37</v>
      </c>
      <c r="F97" t="s">
        <v>60</v>
      </c>
      <c r="G97">
        <v>40</v>
      </c>
      <c r="H97" t="s">
        <v>39</v>
      </c>
      <c r="I97" t="s">
        <v>23</v>
      </c>
      <c r="J97" t="s">
        <v>425</v>
      </c>
      <c r="K97" s="10" t="s">
        <v>426</v>
      </c>
      <c r="M97">
        <v>121</v>
      </c>
      <c r="P97" t="s">
        <v>427</v>
      </c>
      <c r="Q97" s="10">
        <f>INT(Tabela1[[#This Row],[DATA]])</f>
        <v>46164</v>
      </c>
      <c r="R97" s="14" t="str">
        <f ca="1">IF(AND(Q97&gt;=TODAY()-WEEKDAY(TODAY(),2)+1,Q97&lt;TODAY()),"SIM","NÃO")</f>
        <v>NÃO</v>
      </c>
    </row>
    <row r="98" spans="1:18" hidden="1">
      <c r="A98" t="s">
        <v>428</v>
      </c>
      <c r="B98" t="s">
        <v>429</v>
      </c>
      <c r="C98">
        <v>300264156</v>
      </c>
      <c r="D98">
        <v>15128288</v>
      </c>
      <c r="E98" t="s">
        <v>29</v>
      </c>
      <c r="F98" t="s">
        <v>430</v>
      </c>
      <c r="G98">
        <v>1476</v>
      </c>
      <c r="H98" t="s">
        <v>39</v>
      </c>
      <c r="I98" t="s">
        <v>23</v>
      </c>
      <c r="K98" s="10" t="s">
        <v>431</v>
      </c>
      <c r="M98">
        <v>122</v>
      </c>
      <c r="P98" t="s">
        <v>432</v>
      </c>
      <c r="Q98" s="10">
        <f>INT(Tabela1[[#This Row],[DATA]])</f>
        <v>46164</v>
      </c>
      <c r="R98" s="14" t="str">
        <f ca="1">IF(AND(Q98&gt;=TODAY()-WEEKDAY(TODAY(),2)+1,Q98&lt;TODAY()),"SIM","NÃO")</f>
        <v>NÃO</v>
      </c>
    </row>
    <row r="99" spans="1:18" hidden="1">
      <c r="A99" t="s">
        <v>428</v>
      </c>
      <c r="B99" t="s">
        <v>429</v>
      </c>
      <c r="C99">
        <v>300264156</v>
      </c>
      <c r="D99">
        <v>15128288</v>
      </c>
      <c r="E99" t="s">
        <v>29</v>
      </c>
      <c r="F99" t="s">
        <v>38</v>
      </c>
      <c r="G99">
        <v>738</v>
      </c>
      <c r="H99" t="s">
        <v>39</v>
      </c>
      <c r="I99" t="s">
        <v>23</v>
      </c>
      <c r="J99" t="s">
        <v>433</v>
      </c>
      <c r="K99" s="10" t="s">
        <v>434</v>
      </c>
      <c r="M99">
        <v>123</v>
      </c>
      <c r="P99" t="s">
        <v>435</v>
      </c>
      <c r="Q99" s="10">
        <f>INT(Tabela1[[#This Row],[DATA]])</f>
        <v>46164</v>
      </c>
      <c r="R99" s="14" t="str">
        <f ca="1">IF(AND(Q99&gt;=TODAY()-WEEKDAY(TODAY(),2)+1,Q99&lt;TODAY()),"SIM","NÃO")</f>
        <v>NÃO</v>
      </c>
    </row>
    <row r="100" spans="1:18" hidden="1">
      <c r="A100" t="s">
        <v>73</v>
      </c>
      <c r="B100" t="s">
        <v>74</v>
      </c>
      <c r="C100">
        <v>300259284</v>
      </c>
      <c r="D100">
        <v>16451090</v>
      </c>
      <c r="E100" t="s">
        <v>20</v>
      </c>
      <c r="F100" t="s">
        <v>436</v>
      </c>
      <c r="G100">
        <v>70</v>
      </c>
      <c r="H100" t="s">
        <v>22</v>
      </c>
      <c r="I100" t="s">
        <v>23</v>
      </c>
      <c r="J100" t="s">
        <v>437</v>
      </c>
      <c r="K100" s="10" t="s">
        <v>438</v>
      </c>
      <c r="M100">
        <v>124</v>
      </c>
      <c r="P100" t="s">
        <v>439</v>
      </c>
      <c r="Q100" s="10">
        <f>INT(Tabela1[[#This Row],[DATA]])</f>
        <v>46164</v>
      </c>
      <c r="R100" s="14" t="str">
        <f ca="1">IF(AND(Q100&gt;=TODAY()-WEEKDAY(TODAY(),2)+1,Q100&lt;TODAY()),"SIM","NÃO")</f>
        <v>NÃO</v>
      </c>
    </row>
    <row r="101" spans="1:18" hidden="1">
      <c r="A101" t="s">
        <v>428</v>
      </c>
      <c r="B101" t="s">
        <v>429</v>
      </c>
      <c r="C101">
        <v>300264157</v>
      </c>
      <c r="D101">
        <v>15128288</v>
      </c>
      <c r="E101" t="s">
        <v>29</v>
      </c>
      <c r="F101" t="s">
        <v>430</v>
      </c>
      <c r="G101">
        <v>1632</v>
      </c>
      <c r="H101" t="s">
        <v>39</v>
      </c>
      <c r="I101" t="s">
        <v>23</v>
      </c>
      <c r="K101" s="10" t="s">
        <v>438</v>
      </c>
      <c r="M101">
        <v>125</v>
      </c>
      <c r="P101" t="s">
        <v>440</v>
      </c>
      <c r="Q101" s="10">
        <f>INT(Tabela1[[#This Row],[DATA]])</f>
        <v>46164</v>
      </c>
      <c r="R101" s="14" t="str">
        <f ca="1">IF(AND(Q101&gt;=TODAY()-WEEKDAY(TODAY(),2)+1,Q101&lt;TODAY()),"SIM","NÃO")</f>
        <v>NÃO</v>
      </c>
    </row>
    <row r="102" spans="1:18" hidden="1">
      <c r="A102" t="s">
        <v>428</v>
      </c>
      <c r="B102" t="s">
        <v>429</v>
      </c>
      <c r="C102">
        <v>300264157</v>
      </c>
      <c r="D102">
        <v>15128288</v>
      </c>
      <c r="E102" t="s">
        <v>29</v>
      </c>
      <c r="F102" t="s">
        <v>38</v>
      </c>
      <c r="G102">
        <v>816</v>
      </c>
      <c r="H102" t="s">
        <v>39</v>
      </c>
      <c r="I102" t="s">
        <v>23</v>
      </c>
      <c r="J102" t="s">
        <v>441</v>
      </c>
      <c r="K102" s="10" t="s">
        <v>442</v>
      </c>
      <c r="M102">
        <v>126</v>
      </c>
      <c r="P102" t="s">
        <v>443</v>
      </c>
      <c r="Q102" s="10">
        <f>INT(Tabela1[[#This Row],[DATA]])</f>
        <v>46164</v>
      </c>
      <c r="R102" s="14" t="str">
        <f ca="1">IF(AND(Q102&gt;=TODAY()-WEEKDAY(TODAY(),2)+1,Q102&lt;TODAY()),"SIM","NÃO")</f>
        <v>NÃO</v>
      </c>
    </row>
    <row r="103" spans="1:18" hidden="1">
      <c r="A103" t="s">
        <v>54</v>
      </c>
      <c r="B103" t="s">
        <v>55</v>
      </c>
      <c r="C103">
        <v>300262834</v>
      </c>
      <c r="D103">
        <v>16226895</v>
      </c>
      <c r="E103" t="s">
        <v>45</v>
      </c>
      <c r="F103" t="s">
        <v>64</v>
      </c>
      <c r="G103" t="s">
        <v>444</v>
      </c>
      <c r="H103" t="s">
        <v>22</v>
      </c>
      <c r="I103" t="s">
        <v>23</v>
      </c>
      <c r="K103" s="10" t="s">
        <v>445</v>
      </c>
      <c r="M103">
        <v>127</v>
      </c>
      <c r="P103" t="s">
        <v>446</v>
      </c>
      <c r="Q103" s="10">
        <f>INT(Tabela1[[#This Row],[DATA]])</f>
        <v>46164</v>
      </c>
      <c r="R103" s="14" t="str">
        <f ca="1">IF(AND(Q103&gt;=TODAY()-WEEKDAY(TODAY(),2)+1,Q103&lt;TODAY()),"SIM","NÃO")</f>
        <v>NÃO</v>
      </c>
    </row>
    <row r="104" spans="1:18" hidden="1">
      <c r="A104" t="s">
        <v>447</v>
      </c>
      <c r="B104" t="s">
        <v>448</v>
      </c>
      <c r="C104">
        <v>300264396</v>
      </c>
      <c r="D104">
        <v>16293755</v>
      </c>
      <c r="E104" t="s">
        <v>37</v>
      </c>
      <c r="F104" t="s">
        <v>103</v>
      </c>
      <c r="G104">
        <v>5</v>
      </c>
      <c r="H104" t="s">
        <v>39</v>
      </c>
      <c r="I104" t="s">
        <v>23</v>
      </c>
      <c r="K104" s="10" t="s">
        <v>449</v>
      </c>
      <c r="M104">
        <v>128</v>
      </c>
      <c r="P104" t="s">
        <v>450</v>
      </c>
      <c r="Q104" s="10">
        <f>INT(Tabela1[[#This Row],[DATA]])</f>
        <v>46164</v>
      </c>
      <c r="R104" s="14" t="str">
        <f ca="1">IF(AND(Q104&gt;=TODAY()-WEEKDAY(TODAY(),2)+1,Q104&lt;TODAY()),"SIM","NÃO")</f>
        <v>NÃO</v>
      </c>
    </row>
    <row r="105" spans="1:18" hidden="1">
      <c r="A105" t="s">
        <v>451</v>
      </c>
      <c r="B105" t="s">
        <v>448</v>
      </c>
      <c r="C105">
        <v>300263215</v>
      </c>
      <c r="D105">
        <v>16138473</v>
      </c>
      <c r="E105" t="s">
        <v>37</v>
      </c>
      <c r="F105" t="s">
        <v>103</v>
      </c>
      <c r="G105">
        <v>1</v>
      </c>
      <c r="H105" t="s">
        <v>22</v>
      </c>
      <c r="I105" t="s">
        <v>23</v>
      </c>
      <c r="K105" s="10" t="s">
        <v>452</v>
      </c>
      <c r="M105">
        <v>129</v>
      </c>
      <c r="P105" t="s">
        <v>453</v>
      </c>
      <c r="Q105" s="10">
        <f>INT(Tabela1[[#This Row],[DATA]])</f>
        <v>46164</v>
      </c>
      <c r="R105" s="14" t="str">
        <f ca="1">IF(AND(Q105&gt;=TODAY()-WEEKDAY(TODAY(),2)+1,Q105&lt;TODAY()),"SIM","NÃO")</f>
        <v>NÃO</v>
      </c>
    </row>
    <row r="106" spans="1:18" hidden="1">
      <c r="A106" t="s">
        <v>163</v>
      </c>
      <c r="B106" t="s">
        <v>164</v>
      </c>
      <c r="C106">
        <v>300260029</v>
      </c>
      <c r="D106">
        <v>16442660</v>
      </c>
      <c r="E106" t="s">
        <v>29</v>
      </c>
      <c r="F106" t="s">
        <v>64</v>
      </c>
      <c r="G106">
        <v>325</v>
      </c>
      <c r="H106" t="s">
        <v>57</v>
      </c>
      <c r="I106" t="s">
        <v>23</v>
      </c>
      <c r="J106" t="s">
        <v>454</v>
      </c>
      <c r="K106" s="10" t="s">
        <v>455</v>
      </c>
      <c r="M106">
        <v>130</v>
      </c>
      <c r="P106" t="s">
        <v>456</v>
      </c>
      <c r="Q106" s="10">
        <f>INT(Tabela1[[#This Row],[DATA]])</f>
        <v>46164</v>
      </c>
      <c r="R106" s="14" t="str">
        <f ca="1">IF(AND(Q106&gt;=TODAY()-WEEKDAY(TODAY(),2)+1,Q106&lt;TODAY()),"SIM","NÃO")</f>
        <v>NÃO</v>
      </c>
    </row>
    <row r="107" spans="1:18" hidden="1">
      <c r="A107" t="s">
        <v>305</v>
      </c>
      <c r="B107" t="s">
        <v>306</v>
      </c>
      <c r="C107">
        <v>300262794</v>
      </c>
      <c r="D107">
        <v>16442679</v>
      </c>
      <c r="E107" t="s">
        <v>29</v>
      </c>
      <c r="F107" t="s">
        <v>187</v>
      </c>
      <c r="G107" t="s">
        <v>457</v>
      </c>
      <c r="H107" t="s">
        <v>22</v>
      </c>
      <c r="I107" t="s">
        <v>23</v>
      </c>
      <c r="K107" s="10" t="s">
        <v>458</v>
      </c>
      <c r="M107">
        <v>131</v>
      </c>
      <c r="P107" t="s">
        <v>459</v>
      </c>
      <c r="Q107" s="10">
        <f>INT(Tabela1[[#This Row],[DATA]])</f>
        <v>46164</v>
      </c>
      <c r="R107" s="14" t="str">
        <f ca="1">IF(AND(Q107&gt;=TODAY()-WEEKDAY(TODAY(),2)+1,Q107&lt;TODAY()),"SIM","NÃO")</f>
        <v>NÃO</v>
      </c>
    </row>
    <row r="108" spans="1:18" hidden="1">
      <c r="A108" t="s">
        <v>305</v>
      </c>
      <c r="B108" t="s">
        <v>306</v>
      </c>
      <c r="C108">
        <v>300262794</v>
      </c>
      <c r="D108">
        <v>16442679</v>
      </c>
      <c r="E108" t="s">
        <v>29</v>
      </c>
      <c r="F108" t="s">
        <v>187</v>
      </c>
      <c r="G108" t="s">
        <v>460</v>
      </c>
      <c r="H108" t="s">
        <v>22</v>
      </c>
      <c r="I108" t="s">
        <v>23</v>
      </c>
      <c r="J108" t="s">
        <v>461</v>
      </c>
      <c r="K108" s="10" t="s">
        <v>462</v>
      </c>
      <c r="M108">
        <v>132</v>
      </c>
      <c r="P108" t="s">
        <v>463</v>
      </c>
      <c r="Q108" s="10">
        <f>INT(Tabela1[[#This Row],[DATA]])</f>
        <v>46164</v>
      </c>
      <c r="R108" s="14" t="str">
        <f ca="1">IF(AND(Q108&gt;=TODAY()-WEEKDAY(TODAY(),2)+1,Q108&lt;TODAY()),"SIM","NÃO")</f>
        <v>NÃO</v>
      </c>
    </row>
    <row r="109" spans="1:18" hidden="1">
      <c r="A109" t="s">
        <v>305</v>
      </c>
      <c r="B109" t="s">
        <v>306</v>
      </c>
      <c r="C109">
        <v>300262794</v>
      </c>
      <c r="D109">
        <v>16442679</v>
      </c>
      <c r="E109" t="s">
        <v>29</v>
      </c>
      <c r="F109" t="s">
        <v>151</v>
      </c>
      <c r="G109" t="s">
        <v>464</v>
      </c>
      <c r="H109" t="s">
        <v>22</v>
      </c>
      <c r="I109" t="s">
        <v>23</v>
      </c>
      <c r="K109" s="10" t="s">
        <v>465</v>
      </c>
      <c r="M109">
        <v>133</v>
      </c>
      <c r="P109" t="s">
        <v>466</v>
      </c>
      <c r="Q109" s="10">
        <f>INT(Tabela1[[#This Row],[DATA]])</f>
        <v>46164</v>
      </c>
      <c r="R109" s="14" t="str">
        <f ca="1">IF(AND(Q109&gt;=TODAY()-WEEKDAY(TODAY(),2)+1,Q109&lt;TODAY()),"SIM","NÃO")</f>
        <v>NÃO</v>
      </c>
    </row>
    <row r="110" spans="1:18" hidden="1">
      <c r="A110" t="s">
        <v>305</v>
      </c>
      <c r="B110" t="s">
        <v>306</v>
      </c>
      <c r="C110">
        <v>300262794</v>
      </c>
      <c r="D110">
        <v>16442679</v>
      </c>
      <c r="E110" t="s">
        <v>29</v>
      </c>
      <c r="F110" t="s">
        <v>38</v>
      </c>
      <c r="G110" t="s">
        <v>467</v>
      </c>
      <c r="H110" t="s">
        <v>57</v>
      </c>
      <c r="I110" t="s">
        <v>23</v>
      </c>
      <c r="K110" s="10" t="s">
        <v>468</v>
      </c>
      <c r="M110">
        <v>134</v>
      </c>
      <c r="P110" t="s">
        <v>469</v>
      </c>
      <c r="Q110" s="10">
        <f>INT(Tabela1[[#This Row],[DATA]])</f>
        <v>46164</v>
      </c>
      <c r="R110" s="14" t="str">
        <f ca="1">IF(AND(Q110&gt;=TODAY()-WEEKDAY(TODAY(),2)+1,Q110&lt;TODAY()),"SIM","NÃO")</f>
        <v>NÃO</v>
      </c>
    </row>
    <row r="111" spans="1:18" hidden="1">
      <c r="A111" t="s">
        <v>470</v>
      </c>
      <c r="B111" t="s">
        <v>471</v>
      </c>
      <c r="C111">
        <v>300260891</v>
      </c>
      <c r="D111">
        <v>16223462</v>
      </c>
      <c r="E111" t="s">
        <v>45</v>
      </c>
      <c r="F111" t="s">
        <v>259</v>
      </c>
      <c r="G111">
        <v>1215</v>
      </c>
      <c r="H111" t="s">
        <v>22</v>
      </c>
      <c r="I111" t="s">
        <v>23</v>
      </c>
      <c r="J111" t="s">
        <v>472</v>
      </c>
      <c r="K111" s="10" t="s">
        <v>473</v>
      </c>
      <c r="M111">
        <v>135</v>
      </c>
      <c r="P111" t="s">
        <v>474</v>
      </c>
      <c r="Q111" s="10">
        <f>INT(Tabela1[[#This Row],[DATA]])</f>
        <v>46164</v>
      </c>
      <c r="R111" s="14" t="str">
        <f ca="1">IF(AND(Q111&gt;=TODAY()-WEEKDAY(TODAY(),2)+1,Q111&lt;TODAY()),"SIM","NÃO")</f>
        <v>NÃO</v>
      </c>
    </row>
    <row r="112" spans="1:18" hidden="1">
      <c r="A112" t="s">
        <v>305</v>
      </c>
      <c r="B112" t="s">
        <v>306</v>
      </c>
      <c r="C112">
        <v>300262794</v>
      </c>
      <c r="D112">
        <v>16442679</v>
      </c>
      <c r="E112" t="s">
        <v>29</v>
      </c>
      <c r="F112" t="s">
        <v>187</v>
      </c>
      <c r="G112">
        <v>180</v>
      </c>
      <c r="H112" t="s">
        <v>22</v>
      </c>
      <c r="I112" t="s">
        <v>23</v>
      </c>
      <c r="K112" s="10" t="s">
        <v>475</v>
      </c>
      <c r="M112">
        <v>136</v>
      </c>
      <c r="P112" t="s">
        <v>476</v>
      </c>
      <c r="Q112" s="10">
        <f>INT(Tabela1[[#This Row],[DATA]])</f>
        <v>46164</v>
      </c>
      <c r="R112" s="14" t="str">
        <f ca="1">IF(AND(Q112&gt;=TODAY()-WEEKDAY(TODAY(),2)+1,Q112&lt;TODAY()),"SIM","NÃO")</f>
        <v>NÃO</v>
      </c>
    </row>
    <row r="113" spans="1:18" hidden="1">
      <c r="A113" t="s">
        <v>305</v>
      </c>
      <c r="B113" t="s">
        <v>306</v>
      </c>
      <c r="C113">
        <v>300263232</v>
      </c>
      <c r="D113">
        <v>16488067</v>
      </c>
      <c r="E113" t="s">
        <v>29</v>
      </c>
      <c r="F113" t="s">
        <v>216</v>
      </c>
      <c r="G113" t="s">
        <v>477</v>
      </c>
      <c r="H113" t="s">
        <v>22</v>
      </c>
      <c r="I113" t="s">
        <v>23</v>
      </c>
      <c r="J113" t="s">
        <v>478</v>
      </c>
      <c r="K113" s="10" t="s">
        <v>479</v>
      </c>
      <c r="M113">
        <v>137</v>
      </c>
      <c r="P113" t="s">
        <v>480</v>
      </c>
      <c r="Q113" s="10">
        <f>INT(Tabela1[[#This Row],[DATA]])</f>
        <v>46164</v>
      </c>
      <c r="R113" s="14" t="str">
        <f ca="1">IF(AND(Q113&gt;=TODAY()-WEEKDAY(TODAY(),2)+1,Q113&lt;TODAY()),"SIM","NÃO")</f>
        <v>NÃO</v>
      </c>
    </row>
    <row r="114" spans="1:18" hidden="1">
      <c r="A114" t="s">
        <v>481</v>
      </c>
      <c r="B114" t="s">
        <v>482</v>
      </c>
      <c r="C114">
        <v>300265382</v>
      </c>
      <c r="D114">
        <v>16272676</v>
      </c>
      <c r="E114" t="s">
        <v>37</v>
      </c>
      <c r="F114" t="s">
        <v>216</v>
      </c>
      <c r="G114" t="s">
        <v>483</v>
      </c>
      <c r="H114" t="s">
        <v>39</v>
      </c>
      <c r="I114" t="s">
        <v>23</v>
      </c>
      <c r="J114" t="s">
        <v>484</v>
      </c>
      <c r="K114" s="10" t="s">
        <v>485</v>
      </c>
      <c r="M114">
        <v>138</v>
      </c>
      <c r="P114" t="s">
        <v>486</v>
      </c>
      <c r="Q114" s="10">
        <f>INT(Tabela1[[#This Row],[DATA]])</f>
        <v>46164</v>
      </c>
      <c r="R114" s="14" t="str">
        <f ca="1">IF(AND(Q114&gt;=TODAY()-WEEKDAY(TODAY(),2)+1,Q114&lt;TODAY()),"SIM","NÃO")</f>
        <v>NÃO</v>
      </c>
    </row>
    <row r="115" spans="1:18" hidden="1">
      <c r="A115" t="s">
        <v>470</v>
      </c>
      <c r="B115" t="s">
        <v>471</v>
      </c>
      <c r="C115">
        <v>300260891</v>
      </c>
      <c r="D115">
        <v>16223462</v>
      </c>
      <c r="E115" t="s">
        <v>45</v>
      </c>
      <c r="F115" t="s">
        <v>113</v>
      </c>
      <c r="G115">
        <v>1215</v>
      </c>
      <c r="H115" t="s">
        <v>22</v>
      </c>
      <c r="I115" t="s">
        <v>23</v>
      </c>
      <c r="J115" t="s">
        <v>472</v>
      </c>
      <c r="K115" s="10" t="s">
        <v>487</v>
      </c>
      <c r="M115">
        <v>139</v>
      </c>
      <c r="P115" t="s">
        <v>488</v>
      </c>
      <c r="Q115" s="10">
        <f>INT(Tabela1[[#This Row],[DATA]])</f>
        <v>46164</v>
      </c>
      <c r="R115" s="14" t="str">
        <f ca="1">IF(AND(Q115&gt;=TODAY()-WEEKDAY(TODAY(),2)+1,Q115&lt;TODAY()),"SIM","NÃO")</f>
        <v>NÃO</v>
      </c>
    </row>
    <row r="116" spans="1:18" hidden="1">
      <c r="A116" t="s">
        <v>489</v>
      </c>
      <c r="B116" t="s">
        <v>490</v>
      </c>
      <c r="C116">
        <v>300264043</v>
      </c>
      <c r="D116">
        <v>16507665</v>
      </c>
      <c r="E116" t="s">
        <v>37</v>
      </c>
      <c r="F116" t="s">
        <v>90</v>
      </c>
      <c r="G116">
        <v>1008</v>
      </c>
      <c r="H116" t="s">
        <v>39</v>
      </c>
      <c r="I116" t="s">
        <v>23</v>
      </c>
      <c r="J116" t="s">
        <v>491</v>
      </c>
      <c r="K116" s="10" t="s">
        <v>487</v>
      </c>
      <c r="M116">
        <v>140</v>
      </c>
      <c r="P116" t="s">
        <v>492</v>
      </c>
      <c r="Q116" s="10">
        <f>INT(Tabela1[[#This Row],[DATA]])</f>
        <v>46164</v>
      </c>
      <c r="R116" s="14" t="str">
        <f ca="1">IF(AND(Q116&gt;=TODAY()-WEEKDAY(TODAY(),2)+1,Q116&lt;TODAY()),"SIM","NÃO")</f>
        <v>NÃO</v>
      </c>
    </row>
    <row r="117" spans="1:18" hidden="1">
      <c r="A117" t="s">
        <v>493</v>
      </c>
      <c r="B117" t="s">
        <v>95</v>
      </c>
      <c r="C117">
        <v>300263577</v>
      </c>
      <c r="D117">
        <v>16507630</v>
      </c>
      <c r="E117" t="s">
        <v>37</v>
      </c>
      <c r="F117" t="s">
        <v>125</v>
      </c>
      <c r="G117" t="s">
        <v>494</v>
      </c>
      <c r="H117" t="s">
        <v>22</v>
      </c>
      <c r="I117" t="s">
        <v>23</v>
      </c>
      <c r="K117" s="10" t="s">
        <v>495</v>
      </c>
      <c r="M117">
        <v>141</v>
      </c>
      <c r="P117" t="s">
        <v>496</v>
      </c>
      <c r="Q117" s="10">
        <f>INT(Tabela1[[#This Row],[DATA]])</f>
        <v>46164</v>
      </c>
      <c r="R117" s="14" t="str">
        <f ca="1">IF(AND(Q117&gt;=TODAY()-WEEKDAY(TODAY(),2)+1,Q117&lt;TODAY()),"SIM","NÃO")</f>
        <v>NÃO</v>
      </c>
    </row>
    <row r="118" spans="1:18" hidden="1">
      <c r="A118" t="s">
        <v>497</v>
      </c>
      <c r="B118" t="s">
        <v>498</v>
      </c>
      <c r="C118">
        <v>300259798</v>
      </c>
      <c r="D118">
        <v>16441630</v>
      </c>
      <c r="E118" t="s">
        <v>45</v>
      </c>
      <c r="F118" t="s">
        <v>96</v>
      </c>
      <c r="G118" t="s">
        <v>499</v>
      </c>
      <c r="H118" t="s">
        <v>22</v>
      </c>
      <c r="I118" t="s">
        <v>23</v>
      </c>
      <c r="K118" s="10" t="s">
        <v>500</v>
      </c>
      <c r="M118">
        <v>143</v>
      </c>
      <c r="P118" t="s">
        <v>501</v>
      </c>
      <c r="Q118" s="10">
        <f>INT(Tabela1[[#This Row],[DATA]])</f>
        <v>46164</v>
      </c>
      <c r="R118" s="14" t="str">
        <f ca="1">IF(AND(Q118&gt;=TODAY()-WEEKDAY(TODAY(),2)+1,Q118&lt;TODAY()),"SIM","NÃO")</f>
        <v>NÃO</v>
      </c>
    </row>
    <row r="119" spans="1:18" hidden="1">
      <c r="A119" t="s">
        <v>497</v>
      </c>
      <c r="B119" t="s">
        <v>498</v>
      </c>
      <c r="C119">
        <v>300259798</v>
      </c>
      <c r="D119">
        <v>16441630</v>
      </c>
      <c r="E119" t="s">
        <v>45</v>
      </c>
      <c r="F119" t="s">
        <v>103</v>
      </c>
      <c r="G119">
        <v>200</v>
      </c>
      <c r="H119" t="s">
        <v>39</v>
      </c>
      <c r="I119" t="s">
        <v>23</v>
      </c>
      <c r="K119" s="10" t="s">
        <v>502</v>
      </c>
      <c r="M119">
        <v>144</v>
      </c>
      <c r="P119" t="s">
        <v>503</v>
      </c>
      <c r="Q119" s="10">
        <f>INT(Tabela1[[#This Row],[DATA]])</f>
        <v>46164</v>
      </c>
      <c r="R119" s="14" t="str">
        <f ca="1">IF(AND(Q119&gt;=TODAY()-WEEKDAY(TODAY(),2)+1,Q119&lt;TODAY()),"SIM","NÃO")</f>
        <v>NÃO</v>
      </c>
    </row>
    <row r="120" spans="1:18" hidden="1">
      <c r="A120" t="s">
        <v>470</v>
      </c>
      <c r="B120" t="s">
        <v>471</v>
      </c>
      <c r="C120">
        <v>300258864</v>
      </c>
      <c r="D120">
        <v>16474295</v>
      </c>
      <c r="E120" t="s">
        <v>45</v>
      </c>
      <c r="F120" t="s">
        <v>259</v>
      </c>
      <c r="G120">
        <v>880</v>
      </c>
      <c r="H120" t="s">
        <v>22</v>
      </c>
      <c r="I120" t="s">
        <v>23</v>
      </c>
      <c r="J120" t="s">
        <v>472</v>
      </c>
      <c r="K120" s="10" t="s">
        <v>504</v>
      </c>
      <c r="M120">
        <v>145</v>
      </c>
      <c r="P120" t="s">
        <v>505</v>
      </c>
      <c r="Q120" s="10">
        <f>INT(Tabela1[[#This Row],[DATA]])</f>
        <v>46164</v>
      </c>
      <c r="R120" s="14" t="str">
        <f ca="1">IF(AND(Q120&gt;=TODAY()-WEEKDAY(TODAY(),2)+1,Q120&lt;TODAY()),"SIM","NÃO")</f>
        <v>NÃO</v>
      </c>
    </row>
    <row r="121" spans="1:18" hidden="1">
      <c r="A121" t="s">
        <v>73</v>
      </c>
      <c r="B121" t="s">
        <v>74</v>
      </c>
      <c r="C121">
        <v>300259284</v>
      </c>
      <c r="D121">
        <v>16451090</v>
      </c>
      <c r="E121" t="s">
        <v>20</v>
      </c>
      <c r="F121" t="s">
        <v>38</v>
      </c>
      <c r="G121" t="s">
        <v>506</v>
      </c>
      <c r="H121" t="s">
        <v>39</v>
      </c>
      <c r="I121" t="s">
        <v>23</v>
      </c>
      <c r="J121" t="s">
        <v>82</v>
      </c>
      <c r="K121" s="10" t="s">
        <v>507</v>
      </c>
      <c r="M121">
        <v>146</v>
      </c>
      <c r="P121" t="s">
        <v>508</v>
      </c>
      <c r="Q121" s="10">
        <f>INT(Tabela1[[#This Row],[DATA]])</f>
        <v>46164</v>
      </c>
      <c r="R121" s="14" t="str">
        <f ca="1">IF(AND(Q121&gt;=TODAY()-WEEKDAY(TODAY(),2)+1,Q121&lt;TODAY()),"SIM","NÃO")</f>
        <v>NÃO</v>
      </c>
    </row>
    <row r="122" spans="1:18" hidden="1">
      <c r="A122" t="s">
        <v>470</v>
      </c>
      <c r="B122" t="s">
        <v>471</v>
      </c>
      <c r="C122">
        <v>300258864</v>
      </c>
      <c r="D122">
        <v>16474295</v>
      </c>
      <c r="E122" t="s">
        <v>45</v>
      </c>
      <c r="F122" t="s">
        <v>113</v>
      </c>
      <c r="G122">
        <v>880</v>
      </c>
      <c r="H122" t="s">
        <v>22</v>
      </c>
      <c r="I122" t="s">
        <v>23</v>
      </c>
      <c r="J122" t="s">
        <v>472</v>
      </c>
      <c r="K122" s="10" t="s">
        <v>509</v>
      </c>
      <c r="M122">
        <v>147</v>
      </c>
      <c r="P122" t="s">
        <v>510</v>
      </c>
      <c r="Q122" s="10">
        <f>INT(Tabela1[[#This Row],[DATA]])</f>
        <v>46164</v>
      </c>
      <c r="R122" s="14" t="str">
        <f ca="1">IF(AND(Q122&gt;=TODAY()-WEEKDAY(TODAY(),2)+1,Q122&lt;TODAY()),"SIM","NÃO")</f>
        <v>NÃO</v>
      </c>
    </row>
    <row r="123" spans="1:18" hidden="1">
      <c r="A123" t="s">
        <v>511</v>
      </c>
      <c r="B123" t="s">
        <v>512</v>
      </c>
      <c r="C123">
        <v>300260824</v>
      </c>
      <c r="D123">
        <v>16443853</v>
      </c>
      <c r="E123" t="s">
        <v>45</v>
      </c>
      <c r="F123" t="s">
        <v>513</v>
      </c>
      <c r="G123">
        <v>200</v>
      </c>
      <c r="H123" t="s">
        <v>22</v>
      </c>
      <c r="I123" t="s">
        <v>23</v>
      </c>
      <c r="J123" t="s">
        <v>514</v>
      </c>
      <c r="K123" s="10" t="s">
        <v>515</v>
      </c>
      <c r="M123">
        <v>148</v>
      </c>
      <c r="P123" t="s">
        <v>516</v>
      </c>
      <c r="Q123" s="10">
        <f>INT(Tabela1[[#This Row],[DATA]])</f>
        <v>46164</v>
      </c>
      <c r="R123" s="14" t="str">
        <f ca="1">IF(AND(Q123&gt;=TODAY()-WEEKDAY(TODAY(),2)+1,Q123&lt;TODAY()),"SIM","NÃO")</f>
        <v>NÃO</v>
      </c>
    </row>
    <row r="124" spans="1:18" hidden="1">
      <c r="A124" t="s">
        <v>136</v>
      </c>
      <c r="B124" t="s">
        <v>137</v>
      </c>
      <c r="C124">
        <v>300236089</v>
      </c>
      <c r="D124">
        <v>16247388</v>
      </c>
      <c r="E124" t="s">
        <v>37</v>
      </c>
      <c r="F124" t="s">
        <v>177</v>
      </c>
      <c r="G124" t="s">
        <v>517</v>
      </c>
      <c r="H124" t="s">
        <v>57</v>
      </c>
      <c r="I124" t="s">
        <v>23</v>
      </c>
      <c r="J124" t="s">
        <v>518</v>
      </c>
      <c r="K124" s="10" t="s">
        <v>519</v>
      </c>
      <c r="M124">
        <v>149</v>
      </c>
      <c r="P124" t="s">
        <v>520</v>
      </c>
      <c r="Q124" s="10">
        <f>INT(Tabela1[[#This Row],[DATA]])</f>
        <v>46164</v>
      </c>
      <c r="R124" s="14" t="str">
        <f ca="1">IF(AND(Q124&gt;=TODAY()-WEEKDAY(TODAY(),2)+1,Q124&lt;TODAY()),"SIM","NÃO")</f>
        <v>NÃO</v>
      </c>
    </row>
    <row r="125" spans="1:18" hidden="1">
      <c r="A125" t="s">
        <v>313</v>
      </c>
      <c r="B125" t="s">
        <v>314</v>
      </c>
      <c r="C125">
        <v>300263372</v>
      </c>
      <c r="D125">
        <v>16099605</v>
      </c>
      <c r="E125" t="s">
        <v>45</v>
      </c>
      <c r="F125" t="s">
        <v>38</v>
      </c>
      <c r="G125" t="s">
        <v>521</v>
      </c>
      <c r="H125" t="s">
        <v>39</v>
      </c>
      <c r="I125" t="s">
        <v>23</v>
      </c>
      <c r="J125" t="s">
        <v>522</v>
      </c>
      <c r="K125" s="10" t="s">
        <v>523</v>
      </c>
      <c r="M125">
        <v>150</v>
      </c>
      <c r="P125" t="s">
        <v>524</v>
      </c>
      <c r="Q125" s="10">
        <f>INT(Tabela1[[#This Row],[DATA]])</f>
        <v>46164</v>
      </c>
      <c r="R125" s="14" t="str">
        <f ca="1">IF(AND(Q125&gt;=TODAY()-WEEKDAY(TODAY(),2)+1,Q125&lt;TODAY()),"SIM","NÃO")</f>
        <v>NÃO</v>
      </c>
    </row>
    <row r="126" spans="1:18" hidden="1">
      <c r="A126" t="s">
        <v>313</v>
      </c>
      <c r="B126" t="s">
        <v>314</v>
      </c>
      <c r="C126">
        <v>300263372</v>
      </c>
      <c r="D126">
        <v>16099605</v>
      </c>
      <c r="E126" t="s">
        <v>45</v>
      </c>
      <c r="F126" t="s">
        <v>525</v>
      </c>
      <c r="G126" t="s">
        <v>526</v>
      </c>
      <c r="H126" t="s">
        <v>39</v>
      </c>
      <c r="I126" t="s">
        <v>23</v>
      </c>
      <c r="J126" t="s">
        <v>527</v>
      </c>
      <c r="K126" s="10" t="s">
        <v>528</v>
      </c>
      <c r="M126">
        <v>151</v>
      </c>
      <c r="P126" t="s">
        <v>529</v>
      </c>
      <c r="Q126" s="10">
        <f>INT(Tabela1[[#This Row],[DATA]])</f>
        <v>46164</v>
      </c>
      <c r="R126" s="14" t="str">
        <f ca="1">IF(AND(Q126&gt;=TODAY()-WEEKDAY(TODAY(),2)+1,Q126&lt;TODAY()),"SIM","NÃO")</f>
        <v>NÃO</v>
      </c>
    </row>
    <row r="127" spans="1:18" hidden="1">
      <c r="A127" t="s">
        <v>249</v>
      </c>
      <c r="B127" t="s">
        <v>112</v>
      </c>
      <c r="C127">
        <v>300261317</v>
      </c>
      <c r="D127">
        <v>16499808</v>
      </c>
      <c r="E127" t="s">
        <v>45</v>
      </c>
      <c r="F127" t="s">
        <v>64</v>
      </c>
      <c r="G127">
        <v>56</v>
      </c>
      <c r="H127" t="s">
        <v>22</v>
      </c>
      <c r="I127" t="s">
        <v>23</v>
      </c>
      <c r="J127" t="s">
        <v>530</v>
      </c>
      <c r="K127" s="10" t="s">
        <v>531</v>
      </c>
      <c r="M127">
        <v>152</v>
      </c>
      <c r="P127" t="s">
        <v>532</v>
      </c>
      <c r="Q127" s="10">
        <f>INT(Tabela1[[#This Row],[DATA]])</f>
        <v>46164</v>
      </c>
      <c r="R127" s="14" t="str">
        <f ca="1">IF(AND(Q127&gt;=TODAY()-WEEKDAY(TODAY(),2)+1,Q127&lt;TODAY()),"SIM","NÃO")</f>
        <v>NÃO</v>
      </c>
    </row>
    <row r="128" spans="1:18" hidden="1">
      <c r="A128" t="s">
        <v>533</v>
      </c>
      <c r="B128" t="s">
        <v>534</v>
      </c>
      <c r="C128">
        <v>300257650</v>
      </c>
      <c r="D128">
        <v>15420000</v>
      </c>
      <c r="E128" t="s">
        <v>37</v>
      </c>
      <c r="F128" t="s">
        <v>216</v>
      </c>
      <c r="G128">
        <v>195</v>
      </c>
      <c r="H128" t="s">
        <v>57</v>
      </c>
      <c r="I128" t="s">
        <v>23</v>
      </c>
      <c r="J128" t="s">
        <v>535</v>
      </c>
      <c r="K128" s="10" t="s">
        <v>536</v>
      </c>
      <c r="M128">
        <v>153</v>
      </c>
      <c r="P128" t="s">
        <v>537</v>
      </c>
      <c r="Q128" s="10">
        <f>INT(Tabela1[[#This Row],[DATA]])</f>
        <v>46164</v>
      </c>
      <c r="R128" s="14" t="str">
        <f ca="1">IF(AND(Q128&gt;=TODAY()-WEEKDAY(TODAY(),2)+1,Q128&lt;TODAY()),"SIM","NÃO")</f>
        <v>NÃO</v>
      </c>
    </row>
    <row r="129" spans="1:18" hidden="1">
      <c r="A129" t="s">
        <v>364</v>
      </c>
      <c r="B129" t="s">
        <v>365</v>
      </c>
      <c r="C129">
        <v>300263350</v>
      </c>
      <c r="D129">
        <v>16099605</v>
      </c>
      <c r="E129" t="s">
        <v>45</v>
      </c>
      <c r="F129" t="s">
        <v>103</v>
      </c>
      <c r="G129">
        <v>200</v>
      </c>
      <c r="H129" t="s">
        <v>22</v>
      </c>
      <c r="I129" t="s">
        <v>23</v>
      </c>
      <c r="J129" t="s">
        <v>538</v>
      </c>
      <c r="K129" s="10" t="s">
        <v>539</v>
      </c>
      <c r="M129">
        <v>154</v>
      </c>
      <c r="P129" t="s">
        <v>540</v>
      </c>
      <c r="Q129" s="10">
        <f>INT(Tabela1[[#This Row],[DATA]])</f>
        <v>46164</v>
      </c>
      <c r="R129" s="14" t="str">
        <f ca="1">IF(AND(Q129&gt;=TODAY()-WEEKDAY(TODAY(),2)+1,Q129&lt;TODAY()),"SIM","NÃO")</f>
        <v>NÃO</v>
      </c>
    </row>
    <row r="130" spans="1:18" hidden="1">
      <c r="A130" t="s">
        <v>541</v>
      </c>
      <c r="B130" t="s">
        <v>542</v>
      </c>
      <c r="C130">
        <v>300250465</v>
      </c>
      <c r="D130">
        <v>16103173</v>
      </c>
      <c r="E130" t="s">
        <v>45</v>
      </c>
      <c r="F130" t="s">
        <v>543</v>
      </c>
      <c r="G130">
        <v>579</v>
      </c>
      <c r="H130" t="s">
        <v>39</v>
      </c>
      <c r="I130" t="s">
        <v>23</v>
      </c>
      <c r="J130" t="s">
        <v>544</v>
      </c>
      <c r="K130" s="10" t="s">
        <v>545</v>
      </c>
      <c r="M130">
        <v>155</v>
      </c>
      <c r="P130" t="s">
        <v>546</v>
      </c>
      <c r="Q130" s="10">
        <f>INT(Tabela1[[#This Row],[DATA]])</f>
        <v>46164</v>
      </c>
      <c r="R130" s="14" t="str">
        <f ca="1">IF(AND(Q130&gt;=TODAY()-WEEKDAY(TODAY(),2)+1,Q130&lt;TODAY()),"SIM","NÃO")</f>
        <v>NÃO</v>
      </c>
    </row>
    <row r="131" spans="1:18" hidden="1">
      <c r="A131" t="s">
        <v>94</v>
      </c>
      <c r="B131" t="s">
        <v>95</v>
      </c>
      <c r="C131">
        <v>300000000</v>
      </c>
      <c r="D131">
        <v>1</v>
      </c>
      <c r="E131" t="s">
        <v>45</v>
      </c>
      <c r="F131" t="s">
        <v>145</v>
      </c>
      <c r="G131">
        <v>1</v>
      </c>
      <c r="H131" t="s">
        <v>547</v>
      </c>
      <c r="I131" t="s">
        <v>23</v>
      </c>
      <c r="J131" t="s">
        <v>548</v>
      </c>
      <c r="K131" s="10" t="s">
        <v>549</v>
      </c>
      <c r="M131">
        <v>156</v>
      </c>
      <c r="P131" t="s">
        <v>550</v>
      </c>
      <c r="Q131" s="10">
        <f>INT(Tabela1[[#This Row],[DATA]])</f>
        <v>46164</v>
      </c>
      <c r="R131" s="14" t="str">
        <f ca="1">IF(AND(Q131&gt;=TODAY()-WEEKDAY(TODAY(),2)+1,Q131&lt;TODAY()),"SIM","NÃO")</f>
        <v>NÃO</v>
      </c>
    </row>
    <row r="132" spans="1:18" hidden="1">
      <c r="A132" t="s">
        <v>191</v>
      </c>
      <c r="B132" t="s">
        <v>192</v>
      </c>
      <c r="C132">
        <v>300261299</v>
      </c>
      <c r="D132">
        <v>16481690</v>
      </c>
      <c r="E132" t="s">
        <v>20</v>
      </c>
      <c r="F132" t="s">
        <v>125</v>
      </c>
      <c r="G132">
        <v>1000</v>
      </c>
      <c r="H132" t="s">
        <v>22</v>
      </c>
      <c r="I132" t="s">
        <v>23</v>
      </c>
      <c r="J132" t="s">
        <v>551</v>
      </c>
      <c r="K132" s="10" t="s">
        <v>552</v>
      </c>
      <c r="M132">
        <v>157</v>
      </c>
      <c r="P132" t="s">
        <v>553</v>
      </c>
      <c r="Q132" s="10">
        <f>INT(Tabela1[[#This Row],[DATA]])</f>
        <v>46164</v>
      </c>
      <c r="R132" s="14" t="str">
        <f ca="1">IF(AND(Q132&gt;=TODAY()-WEEKDAY(TODAY(),2)+1,Q132&lt;TODAY()),"SIM","NÃO")</f>
        <v>NÃO</v>
      </c>
    </row>
    <row r="133" spans="1:18" hidden="1">
      <c r="A133" t="s">
        <v>79</v>
      </c>
      <c r="B133" t="s">
        <v>80</v>
      </c>
      <c r="C133">
        <v>300263203</v>
      </c>
      <c r="D133">
        <v>15215539</v>
      </c>
      <c r="E133" t="s">
        <v>29</v>
      </c>
      <c r="F133" t="s">
        <v>525</v>
      </c>
      <c r="G133" t="s">
        <v>554</v>
      </c>
      <c r="H133" t="s">
        <v>39</v>
      </c>
      <c r="I133" t="s">
        <v>23</v>
      </c>
      <c r="J133" t="s">
        <v>555</v>
      </c>
      <c r="K133" s="10" t="s">
        <v>556</v>
      </c>
      <c r="M133">
        <v>158</v>
      </c>
      <c r="P133" t="s">
        <v>557</v>
      </c>
      <c r="Q133" s="10">
        <f>INT(Tabela1[[#This Row],[DATA]])</f>
        <v>46164</v>
      </c>
      <c r="R133" s="14" t="str">
        <f ca="1">IF(AND(Q133&gt;=TODAY()-WEEKDAY(TODAY(),2)+1,Q133&lt;TODAY()),"SIM","NÃO")</f>
        <v>NÃO</v>
      </c>
    </row>
    <row r="134" spans="1:18" hidden="1">
      <c r="A134" t="s">
        <v>79</v>
      </c>
      <c r="B134" t="s">
        <v>80</v>
      </c>
      <c r="C134">
        <v>300263205</v>
      </c>
      <c r="D134">
        <v>15215539</v>
      </c>
      <c r="E134" t="s">
        <v>29</v>
      </c>
      <c r="F134" t="s">
        <v>525</v>
      </c>
      <c r="G134" t="s">
        <v>558</v>
      </c>
      <c r="H134" t="s">
        <v>39</v>
      </c>
      <c r="I134" t="s">
        <v>23</v>
      </c>
      <c r="J134" t="s">
        <v>555</v>
      </c>
      <c r="K134" s="10" t="s">
        <v>559</v>
      </c>
      <c r="M134">
        <v>159</v>
      </c>
      <c r="P134" t="s">
        <v>560</v>
      </c>
      <c r="Q134" s="10">
        <f>INT(Tabela1[[#This Row],[DATA]])</f>
        <v>46164</v>
      </c>
      <c r="R134" s="14" t="str">
        <f ca="1">IF(AND(Q134&gt;=TODAY()-WEEKDAY(TODAY(),2)+1,Q134&lt;TODAY()),"SIM","NÃO")</f>
        <v>NÃO</v>
      </c>
    </row>
    <row r="135" spans="1:18" hidden="1">
      <c r="A135" t="s">
        <v>201</v>
      </c>
      <c r="B135" t="s">
        <v>202</v>
      </c>
      <c r="C135">
        <v>300252104</v>
      </c>
      <c r="D135">
        <v>15178242</v>
      </c>
      <c r="E135" t="s">
        <v>37</v>
      </c>
      <c r="F135" t="s">
        <v>216</v>
      </c>
      <c r="G135">
        <v>396</v>
      </c>
      <c r="H135" t="s">
        <v>561</v>
      </c>
      <c r="I135" t="s">
        <v>23</v>
      </c>
      <c r="J135" t="s">
        <v>562</v>
      </c>
      <c r="K135" s="10" t="s">
        <v>563</v>
      </c>
      <c r="M135">
        <v>160</v>
      </c>
      <c r="P135" t="s">
        <v>564</v>
      </c>
      <c r="Q135" s="10">
        <f>INT(Tabela1[[#This Row],[DATA]])</f>
        <v>46164</v>
      </c>
      <c r="R135" s="14" t="str">
        <f ca="1">IF(AND(Q135&gt;=TODAY()-WEEKDAY(TODAY(),2)+1,Q135&lt;TODAY()),"SIM","NÃO")</f>
        <v>NÃO</v>
      </c>
    </row>
    <row r="136" spans="1:18" hidden="1">
      <c r="A136" t="s">
        <v>201</v>
      </c>
      <c r="B136" t="s">
        <v>202</v>
      </c>
      <c r="C136">
        <v>300252104</v>
      </c>
      <c r="D136">
        <v>15178242</v>
      </c>
      <c r="E136" t="s">
        <v>37</v>
      </c>
      <c r="F136" t="s">
        <v>203</v>
      </c>
      <c r="G136" t="s">
        <v>565</v>
      </c>
      <c r="H136" t="s">
        <v>561</v>
      </c>
      <c r="I136" t="s">
        <v>23</v>
      </c>
      <c r="J136" t="s">
        <v>566</v>
      </c>
      <c r="K136" s="10" t="s">
        <v>567</v>
      </c>
      <c r="M136">
        <v>161</v>
      </c>
      <c r="P136" t="s">
        <v>568</v>
      </c>
      <c r="Q136" s="10">
        <f>INT(Tabela1[[#This Row],[DATA]])</f>
        <v>46164</v>
      </c>
      <c r="R136" s="14" t="str">
        <f ca="1">IF(AND(Q136&gt;=TODAY()-WEEKDAY(TODAY(),2)+1,Q136&lt;TODAY()),"SIM","NÃO")</f>
        <v>NÃO</v>
      </c>
    </row>
    <row r="137" spans="1:18" hidden="1">
      <c r="A137" t="s">
        <v>111</v>
      </c>
      <c r="B137" t="s">
        <v>112</v>
      </c>
      <c r="C137">
        <v>300260705</v>
      </c>
      <c r="D137">
        <v>15859215</v>
      </c>
      <c r="E137" t="s">
        <v>37</v>
      </c>
      <c r="F137" t="s">
        <v>329</v>
      </c>
      <c r="G137">
        <v>600</v>
      </c>
      <c r="H137" t="s">
        <v>22</v>
      </c>
      <c r="I137" t="s">
        <v>23</v>
      </c>
      <c r="J137" t="s">
        <v>569</v>
      </c>
      <c r="K137" s="10" t="s">
        <v>570</v>
      </c>
      <c r="M137">
        <v>162</v>
      </c>
      <c r="P137" t="s">
        <v>571</v>
      </c>
      <c r="Q137" s="10">
        <f>INT(Tabela1[[#This Row],[DATA]])</f>
        <v>46167</v>
      </c>
      <c r="R137" s="14" t="str">
        <f ca="1">IF(AND(Q137&gt;=TODAY()-WEEKDAY(TODAY(),2)+1,Q137&lt;TODAY()),"SIM","NÃO")</f>
        <v>NÃO</v>
      </c>
    </row>
    <row r="138" spans="1:18" hidden="1">
      <c r="A138" t="s">
        <v>249</v>
      </c>
      <c r="B138" t="s">
        <v>112</v>
      </c>
      <c r="C138">
        <v>300260705</v>
      </c>
      <c r="D138">
        <v>0</v>
      </c>
      <c r="E138" t="s">
        <v>37</v>
      </c>
      <c r="F138" t="s">
        <v>21</v>
      </c>
      <c r="G138">
        <v>1000</v>
      </c>
      <c r="H138" t="s">
        <v>22</v>
      </c>
      <c r="I138" t="s">
        <v>23</v>
      </c>
      <c r="K138" s="10" t="s">
        <v>572</v>
      </c>
      <c r="M138">
        <v>163</v>
      </c>
      <c r="P138" t="s">
        <v>573</v>
      </c>
      <c r="Q138" s="10">
        <f>INT(Tabela1[[#This Row],[DATA]])</f>
        <v>46167</v>
      </c>
      <c r="R138" s="14" t="str">
        <f ca="1">IF(AND(Q138&gt;=TODAY()-WEEKDAY(TODAY(),2)+1,Q138&lt;TODAY()),"SIM","NÃO")</f>
        <v>NÃO</v>
      </c>
    </row>
    <row r="139" spans="1:18" hidden="1">
      <c r="A139" t="s">
        <v>378</v>
      </c>
      <c r="B139" t="s">
        <v>137</v>
      </c>
      <c r="C139">
        <v>300260280</v>
      </c>
      <c r="D139">
        <v>16223691</v>
      </c>
      <c r="E139" t="s">
        <v>45</v>
      </c>
      <c r="F139" t="s">
        <v>187</v>
      </c>
      <c r="G139">
        <v>164</v>
      </c>
      <c r="H139" t="s">
        <v>22</v>
      </c>
      <c r="I139" t="s">
        <v>23</v>
      </c>
      <c r="K139" s="10" t="s">
        <v>574</v>
      </c>
      <c r="M139">
        <v>164</v>
      </c>
      <c r="P139" t="s">
        <v>575</v>
      </c>
      <c r="Q139" s="10">
        <f>INT(Tabela1[[#This Row],[DATA]])</f>
        <v>46167</v>
      </c>
      <c r="R139" s="14" t="str">
        <f ca="1">IF(AND(Q139&gt;=TODAY()-WEEKDAY(TODAY(),2)+1,Q139&lt;TODAY()),"SIM","NÃO")</f>
        <v>NÃO</v>
      </c>
    </row>
    <row r="140" spans="1:18" hidden="1">
      <c r="A140" t="s">
        <v>111</v>
      </c>
      <c r="B140" t="s">
        <v>112</v>
      </c>
      <c r="C140">
        <v>300264541</v>
      </c>
      <c r="D140">
        <v>16453808</v>
      </c>
      <c r="E140" t="s">
        <v>20</v>
      </c>
      <c r="F140" t="s">
        <v>113</v>
      </c>
      <c r="G140">
        <v>10</v>
      </c>
      <c r="H140" t="s">
        <v>22</v>
      </c>
      <c r="I140" t="s">
        <v>23</v>
      </c>
      <c r="J140" t="s">
        <v>576</v>
      </c>
      <c r="K140" s="10" t="s">
        <v>577</v>
      </c>
      <c r="M140">
        <v>165</v>
      </c>
      <c r="P140" t="s">
        <v>578</v>
      </c>
      <c r="Q140" s="10">
        <f>INT(Tabela1[[#This Row],[DATA]])</f>
        <v>46167</v>
      </c>
      <c r="R140" s="14" t="str">
        <f ca="1">IF(AND(Q140&gt;=TODAY()-WEEKDAY(TODAY(),2)+1,Q140&lt;TODAY()),"SIM","NÃO")</f>
        <v>NÃO</v>
      </c>
    </row>
    <row r="141" spans="1:18" hidden="1">
      <c r="A141" t="s">
        <v>253</v>
      </c>
      <c r="B141" t="s">
        <v>254</v>
      </c>
      <c r="C141">
        <v>300246175</v>
      </c>
      <c r="D141">
        <v>16202856</v>
      </c>
      <c r="E141" t="s">
        <v>45</v>
      </c>
      <c r="F141" t="s">
        <v>113</v>
      </c>
      <c r="G141">
        <v>4</v>
      </c>
      <c r="H141" t="s">
        <v>22</v>
      </c>
      <c r="I141" t="s">
        <v>23</v>
      </c>
      <c r="J141" t="s">
        <v>579</v>
      </c>
      <c r="K141" s="10" t="s">
        <v>580</v>
      </c>
      <c r="M141">
        <v>166</v>
      </c>
      <c r="P141" t="s">
        <v>581</v>
      </c>
      <c r="Q141" s="10">
        <f>INT(Tabela1[[#This Row],[DATA]])</f>
        <v>46167</v>
      </c>
      <c r="R141" s="14" t="str">
        <f ca="1">IF(AND(Q141&gt;=TODAY()-WEEKDAY(TODAY(),2)+1,Q141&lt;TODAY()),"SIM","NÃO")</f>
        <v>NÃO</v>
      </c>
    </row>
    <row r="142" spans="1:18" hidden="1">
      <c r="A142" t="s">
        <v>253</v>
      </c>
      <c r="B142" t="s">
        <v>254</v>
      </c>
      <c r="C142">
        <v>300246175</v>
      </c>
      <c r="D142">
        <v>16202856</v>
      </c>
      <c r="E142" t="s">
        <v>45</v>
      </c>
      <c r="F142" t="s">
        <v>259</v>
      </c>
      <c r="G142">
        <v>4</v>
      </c>
      <c r="H142" t="s">
        <v>22</v>
      </c>
      <c r="I142" t="s">
        <v>23</v>
      </c>
      <c r="J142" t="s">
        <v>582</v>
      </c>
      <c r="K142" s="10" t="s">
        <v>583</v>
      </c>
      <c r="M142">
        <v>167</v>
      </c>
      <c r="P142" t="s">
        <v>584</v>
      </c>
      <c r="Q142" s="10">
        <f>INT(Tabela1[[#This Row],[DATA]])</f>
        <v>46167</v>
      </c>
      <c r="R142" s="14" t="str">
        <f ca="1">IF(AND(Q142&gt;=TODAY()-WEEKDAY(TODAY(),2)+1,Q142&lt;TODAY()),"SIM","NÃO")</f>
        <v>NÃO</v>
      </c>
    </row>
    <row r="143" spans="1:18" hidden="1">
      <c r="A143" t="s">
        <v>111</v>
      </c>
      <c r="B143" t="s">
        <v>112</v>
      </c>
      <c r="C143">
        <v>300262458</v>
      </c>
      <c r="D143">
        <v>16243668</v>
      </c>
      <c r="E143" t="s">
        <v>37</v>
      </c>
      <c r="F143" t="s">
        <v>585</v>
      </c>
      <c r="G143">
        <v>3</v>
      </c>
      <c r="H143" t="s">
        <v>22</v>
      </c>
      <c r="I143" t="s">
        <v>23</v>
      </c>
      <c r="K143" s="10" t="s">
        <v>586</v>
      </c>
      <c r="M143">
        <v>169</v>
      </c>
      <c r="P143" t="s">
        <v>587</v>
      </c>
      <c r="Q143" s="10">
        <f>INT(Tabela1[[#This Row],[DATA]])</f>
        <v>46167</v>
      </c>
      <c r="R143" s="14" t="str">
        <f ca="1">IF(AND(Q143&gt;=TODAY()-WEEKDAY(TODAY(),2)+1,Q143&lt;TODAY()),"SIM","NÃO")</f>
        <v>NÃO</v>
      </c>
    </row>
    <row r="144" spans="1:18" hidden="1">
      <c r="A144" t="s">
        <v>249</v>
      </c>
      <c r="B144" t="s">
        <v>112</v>
      </c>
      <c r="C144">
        <v>300262582</v>
      </c>
      <c r="D144">
        <v>16499883</v>
      </c>
      <c r="E144" t="s">
        <v>45</v>
      </c>
      <c r="F144" t="s">
        <v>38</v>
      </c>
      <c r="G144">
        <v>6</v>
      </c>
      <c r="H144" t="s">
        <v>22</v>
      </c>
      <c r="I144" t="s">
        <v>23</v>
      </c>
      <c r="J144" s="3">
        <v>46175</v>
      </c>
      <c r="K144" s="10" t="s">
        <v>588</v>
      </c>
      <c r="M144">
        <v>170</v>
      </c>
      <c r="P144" t="s">
        <v>589</v>
      </c>
      <c r="Q144" s="10">
        <f>INT(Tabela1[[#This Row],[DATA]])</f>
        <v>46167</v>
      </c>
      <c r="R144" s="14" t="str">
        <f ca="1">IF(AND(Q144&gt;=TODAY()-WEEKDAY(TODAY(),2)+1,Q144&lt;TODAY()),"SIM","NÃO")</f>
        <v>NÃO</v>
      </c>
    </row>
    <row r="145" spans="1:18" hidden="1">
      <c r="A145" t="s">
        <v>111</v>
      </c>
      <c r="B145" t="s">
        <v>112</v>
      </c>
      <c r="C145">
        <v>300262458</v>
      </c>
      <c r="D145">
        <v>16243668</v>
      </c>
      <c r="E145" t="s">
        <v>37</v>
      </c>
      <c r="F145" t="s">
        <v>30</v>
      </c>
      <c r="G145">
        <v>20</v>
      </c>
      <c r="H145" t="s">
        <v>22</v>
      </c>
      <c r="I145" t="s">
        <v>23</v>
      </c>
      <c r="J145" s="3">
        <v>44052</v>
      </c>
      <c r="K145" s="10" t="s">
        <v>590</v>
      </c>
      <c r="M145">
        <v>168</v>
      </c>
      <c r="P145" t="s">
        <v>591</v>
      </c>
      <c r="Q145" s="10">
        <f>INT(Tabela1[[#This Row],[DATA]])</f>
        <v>46167</v>
      </c>
      <c r="R145" s="14" t="str">
        <f ca="1">IF(AND(Q145&gt;=TODAY()-WEEKDAY(TODAY(),2)+1,Q145&lt;TODAY()),"SIM","NÃO")</f>
        <v>NÃO</v>
      </c>
    </row>
    <row r="146" spans="1:18" hidden="1">
      <c r="A146" t="s">
        <v>332</v>
      </c>
      <c r="B146" t="s">
        <v>28</v>
      </c>
      <c r="C146">
        <v>300262870</v>
      </c>
      <c r="D146">
        <v>16474228</v>
      </c>
      <c r="E146" t="s">
        <v>45</v>
      </c>
      <c r="F146" t="s">
        <v>96</v>
      </c>
      <c r="G146">
        <v>77</v>
      </c>
      <c r="H146" t="s">
        <v>22</v>
      </c>
      <c r="I146" t="s">
        <v>23</v>
      </c>
      <c r="J146" s="3" t="s">
        <v>592</v>
      </c>
      <c r="K146" s="10" t="s">
        <v>593</v>
      </c>
      <c r="M146">
        <v>171</v>
      </c>
      <c r="P146" t="s">
        <v>594</v>
      </c>
      <c r="Q146" s="10">
        <f>INT(Tabela1[[#This Row],[DATA]])</f>
        <v>46167</v>
      </c>
      <c r="R146" s="14" t="str">
        <f ca="1">IF(AND(Q146&gt;=TODAY()-WEEKDAY(TODAY(),2)+1,Q146&lt;TODAY()),"SIM","NÃO")</f>
        <v>NÃO</v>
      </c>
    </row>
    <row r="147" spans="1:18" hidden="1">
      <c r="A147" t="s">
        <v>595</v>
      </c>
      <c r="B147" t="s">
        <v>137</v>
      </c>
      <c r="C147">
        <v>300260279</v>
      </c>
      <c r="D147">
        <v>16223691</v>
      </c>
      <c r="E147" t="s">
        <v>45</v>
      </c>
      <c r="F147" t="s">
        <v>64</v>
      </c>
      <c r="G147">
        <v>712</v>
      </c>
      <c r="H147" t="s">
        <v>39</v>
      </c>
      <c r="I147" t="s">
        <v>23</v>
      </c>
      <c r="J147" s="3"/>
      <c r="K147" s="10" t="s">
        <v>596</v>
      </c>
      <c r="M147">
        <v>172</v>
      </c>
      <c r="P147" t="s">
        <v>597</v>
      </c>
      <c r="Q147" s="10">
        <f>INT(Tabela1[[#This Row],[DATA]])</f>
        <v>46167</v>
      </c>
      <c r="R147" s="14" t="str">
        <f ca="1">IF(AND(Q147&gt;=TODAY()-WEEKDAY(TODAY(),2)+1,Q147&lt;TODAY()),"SIM","NÃO")</f>
        <v>NÃO</v>
      </c>
    </row>
    <row r="148" spans="1:18" hidden="1">
      <c r="A148" t="s">
        <v>163</v>
      </c>
      <c r="B148" t="s">
        <v>164</v>
      </c>
      <c r="C148">
        <v>300250949</v>
      </c>
      <c r="D148">
        <v>16247477</v>
      </c>
      <c r="E148" t="s">
        <v>45</v>
      </c>
      <c r="F148" t="s">
        <v>598</v>
      </c>
      <c r="G148">
        <v>2</v>
      </c>
      <c r="H148" t="s">
        <v>22</v>
      </c>
      <c r="I148" t="s">
        <v>23</v>
      </c>
      <c r="J148" s="3" t="s">
        <v>599</v>
      </c>
      <c r="K148" s="10" t="s">
        <v>600</v>
      </c>
      <c r="M148">
        <v>173</v>
      </c>
      <c r="P148" t="s">
        <v>601</v>
      </c>
      <c r="Q148" s="10">
        <f>INT(Tabela1[[#This Row],[DATA]])</f>
        <v>46167</v>
      </c>
      <c r="R148" s="14" t="str">
        <f ca="1">IF(AND(Q148&gt;=TODAY()-WEEKDAY(TODAY(),2)+1,Q148&lt;TODAY()),"SIM","NÃO")</f>
        <v>NÃO</v>
      </c>
    </row>
    <row r="149" spans="1:18" hidden="1">
      <c r="A149" t="s">
        <v>233</v>
      </c>
      <c r="B149" t="s">
        <v>234</v>
      </c>
      <c r="C149">
        <v>300259644</v>
      </c>
      <c r="D149">
        <v>10000114</v>
      </c>
      <c r="E149" t="s">
        <v>37</v>
      </c>
      <c r="F149" t="s">
        <v>30</v>
      </c>
      <c r="G149">
        <v>19</v>
      </c>
      <c r="H149" t="s">
        <v>39</v>
      </c>
      <c r="I149" t="s">
        <v>23</v>
      </c>
      <c r="J149" s="3" t="s">
        <v>602</v>
      </c>
      <c r="K149" s="10" t="s">
        <v>603</v>
      </c>
      <c r="M149">
        <v>174</v>
      </c>
      <c r="P149" t="s">
        <v>604</v>
      </c>
      <c r="Q149" s="10">
        <f>INT(Tabela1[[#This Row],[DATA]])</f>
        <v>46167</v>
      </c>
      <c r="R149" s="14" t="str">
        <f ca="1">IF(AND(Q149&gt;=TODAY()-WEEKDAY(TODAY(),2)+1,Q149&lt;TODAY()),"SIM","NÃO")</f>
        <v>NÃO</v>
      </c>
    </row>
    <row r="150" spans="1:18" hidden="1">
      <c r="A150" t="s">
        <v>605</v>
      </c>
      <c r="B150" t="s">
        <v>606</v>
      </c>
      <c r="C150">
        <v>300252567</v>
      </c>
      <c r="D150">
        <v>15758249</v>
      </c>
      <c r="E150" t="s">
        <v>29</v>
      </c>
      <c r="F150" t="s">
        <v>607</v>
      </c>
      <c r="G150">
        <v>10000</v>
      </c>
      <c r="H150" t="s">
        <v>39</v>
      </c>
      <c r="I150" t="s">
        <v>23</v>
      </c>
      <c r="J150" s="3" t="s">
        <v>608</v>
      </c>
      <c r="K150" s="10" t="s">
        <v>609</v>
      </c>
      <c r="M150">
        <v>175</v>
      </c>
      <c r="P150" t="s">
        <v>610</v>
      </c>
      <c r="Q150" s="10">
        <f>INT(Tabela1[[#This Row],[DATA]])</f>
        <v>46167</v>
      </c>
      <c r="R150" s="14" t="str">
        <f ca="1">IF(AND(Q150&gt;=TODAY()-WEEKDAY(TODAY(),2)+1,Q150&lt;TODAY()),"SIM","NÃO")</f>
        <v>NÃO</v>
      </c>
    </row>
    <row r="151" spans="1:18" hidden="1">
      <c r="A151" t="s">
        <v>611</v>
      </c>
      <c r="B151" t="s">
        <v>612</v>
      </c>
      <c r="C151">
        <v>300263690</v>
      </c>
      <c r="D151">
        <v>16473965</v>
      </c>
      <c r="E151" t="s">
        <v>37</v>
      </c>
      <c r="F151" t="s">
        <v>613</v>
      </c>
      <c r="G151" t="s">
        <v>614</v>
      </c>
      <c r="H151" t="s">
        <v>39</v>
      </c>
      <c r="I151" t="s">
        <v>23</v>
      </c>
      <c r="J151" s="3" t="s">
        <v>615</v>
      </c>
      <c r="K151" s="10" t="s">
        <v>616</v>
      </c>
      <c r="M151">
        <v>176</v>
      </c>
      <c r="P151" t="s">
        <v>617</v>
      </c>
      <c r="Q151" s="10">
        <f>INT(Tabela1[[#This Row],[DATA]])</f>
        <v>46167</v>
      </c>
      <c r="R151" s="14" t="str">
        <f ca="1">IF(AND(Q151&gt;=TODAY()-WEEKDAY(TODAY(),2)+1,Q151&lt;TODAY()),"SIM","NÃO")</f>
        <v>NÃO</v>
      </c>
    </row>
    <row r="152" spans="1:18" hidden="1">
      <c r="A152" t="s">
        <v>79</v>
      </c>
      <c r="B152" t="s">
        <v>80</v>
      </c>
      <c r="C152">
        <v>300263205</v>
      </c>
      <c r="D152">
        <v>15215539</v>
      </c>
      <c r="E152" t="s">
        <v>29</v>
      </c>
      <c r="F152" t="s">
        <v>525</v>
      </c>
      <c r="G152" t="s">
        <v>618</v>
      </c>
      <c r="H152" t="s">
        <v>22</v>
      </c>
      <c r="I152" t="s">
        <v>23</v>
      </c>
      <c r="J152" s="3" t="s">
        <v>555</v>
      </c>
      <c r="K152" s="10" t="s">
        <v>619</v>
      </c>
      <c r="M152">
        <v>177</v>
      </c>
      <c r="P152" t="s">
        <v>620</v>
      </c>
      <c r="Q152" s="10">
        <f>INT(Tabela1[[#This Row],[DATA]])</f>
        <v>46167</v>
      </c>
      <c r="R152" s="14" t="str">
        <f ca="1">IF(AND(Q152&gt;=TODAY()-WEEKDAY(TODAY(),2)+1,Q152&lt;TODAY()),"SIM","NÃO")</f>
        <v>NÃO</v>
      </c>
    </row>
    <row r="153" spans="1:18" hidden="1">
      <c r="A153" t="s">
        <v>163</v>
      </c>
      <c r="B153" t="s">
        <v>164</v>
      </c>
      <c r="C153">
        <v>300264419</v>
      </c>
      <c r="D153">
        <v>13132547</v>
      </c>
      <c r="E153" t="s">
        <v>29</v>
      </c>
      <c r="F153" t="s">
        <v>64</v>
      </c>
      <c r="G153">
        <v>963</v>
      </c>
      <c r="H153" t="s">
        <v>39</v>
      </c>
      <c r="I153" t="s">
        <v>23</v>
      </c>
      <c r="J153" s="3"/>
      <c r="K153" s="10" t="s">
        <v>621</v>
      </c>
      <c r="M153">
        <v>178</v>
      </c>
      <c r="P153" t="s">
        <v>622</v>
      </c>
      <c r="Q153" s="10">
        <f>INT(Tabela1[[#This Row],[DATA]])</f>
        <v>46167</v>
      </c>
      <c r="R153" s="14" t="str">
        <f ca="1">IF(AND(Q153&gt;=TODAY()-WEEKDAY(TODAY(),2)+1,Q153&lt;TODAY()),"SIM","NÃO")</f>
        <v>NÃO</v>
      </c>
    </row>
    <row r="154" spans="1:18" hidden="1">
      <c r="A154" t="s">
        <v>79</v>
      </c>
      <c r="B154" t="s">
        <v>80</v>
      </c>
      <c r="C154">
        <v>300263203</v>
      </c>
      <c r="D154">
        <v>15215539</v>
      </c>
      <c r="E154" t="s">
        <v>29</v>
      </c>
      <c r="F154" t="s">
        <v>525</v>
      </c>
      <c r="G154" t="s">
        <v>623</v>
      </c>
      <c r="H154" t="s">
        <v>22</v>
      </c>
      <c r="I154" t="s">
        <v>23</v>
      </c>
      <c r="J154" s="3" t="s">
        <v>555</v>
      </c>
      <c r="K154" s="10" t="s">
        <v>621</v>
      </c>
      <c r="M154">
        <v>179</v>
      </c>
      <c r="P154" t="s">
        <v>624</v>
      </c>
      <c r="Q154" s="10">
        <f>INT(Tabela1[[#This Row],[DATA]])</f>
        <v>46167</v>
      </c>
      <c r="R154" s="14" t="str">
        <f ca="1">IF(AND(Q154&gt;=TODAY()-WEEKDAY(TODAY(),2)+1,Q154&lt;TODAY()),"SIM","NÃO")</f>
        <v>NÃO</v>
      </c>
    </row>
    <row r="155" spans="1:18" hidden="1">
      <c r="A155" t="s">
        <v>106</v>
      </c>
      <c r="B155" t="s">
        <v>107</v>
      </c>
      <c r="C155">
        <v>300262898</v>
      </c>
      <c r="D155">
        <v>16433133</v>
      </c>
      <c r="E155" t="s">
        <v>45</v>
      </c>
      <c r="F155" t="s">
        <v>64</v>
      </c>
      <c r="G155">
        <v>108</v>
      </c>
      <c r="H155" t="s">
        <v>22</v>
      </c>
      <c r="I155" t="s">
        <v>23</v>
      </c>
      <c r="J155" s="3" t="s">
        <v>625</v>
      </c>
      <c r="K155" s="10" t="s">
        <v>626</v>
      </c>
      <c r="M155">
        <v>180</v>
      </c>
      <c r="P155" t="s">
        <v>627</v>
      </c>
      <c r="Q155" s="10">
        <f>INT(Tabela1[[#This Row],[DATA]])</f>
        <v>46167</v>
      </c>
      <c r="R155" s="14" t="str">
        <f ca="1">IF(AND(Q155&gt;=TODAY()-WEEKDAY(TODAY(),2)+1,Q155&lt;TODAY()),"SIM","NÃO")</f>
        <v>NÃO</v>
      </c>
    </row>
    <row r="156" spans="1:18" hidden="1">
      <c r="A156" t="s">
        <v>241</v>
      </c>
      <c r="B156" t="s">
        <v>242</v>
      </c>
      <c r="C156">
        <v>300266213</v>
      </c>
      <c r="D156">
        <v>15187632</v>
      </c>
      <c r="E156" t="s">
        <v>37</v>
      </c>
      <c r="F156" t="s">
        <v>21</v>
      </c>
      <c r="G156">
        <v>30</v>
      </c>
      <c r="H156" t="s">
        <v>22</v>
      </c>
      <c r="I156" t="s">
        <v>23</v>
      </c>
      <c r="J156" s="3"/>
      <c r="K156" s="10" t="s">
        <v>628</v>
      </c>
      <c r="M156">
        <v>181</v>
      </c>
      <c r="P156" t="s">
        <v>629</v>
      </c>
      <c r="Q156" s="10">
        <f>INT(Tabela1[[#This Row],[DATA]])</f>
        <v>46167</v>
      </c>
      <c r="R156" s="14" t="str">
        <f ca="1">IF(AND(Q156&gt;=TODAY()-WEEKDAY(TODAY(),2)+1,Q156&lt;TODAY()),"SIM","NÃO")</f>
        <v>NÃO</v>
      </c>
    </row>
    <row r="157" spans="1:18" hidden="1">
      <c r="A157" t="s">
        <v>241</v>
      </c>
      <c r="B157" t="s">
        <v>242</v>
      </c>
      <c r="C157">
        <v>300264394</v>
      </c>
      <c r="D157">
        <v>16293754</v>
      </c>
      <c r="E157" t="s">
        <v>37</v>
      </c>
      <c r="F157" t="s">
        <v>113</v>
      </c>
      <c r="G157">
        <v>10</v>
      </c>
      <c r="H157" t="s">
        <v>22</v>
      </c>
      <c r="I157" t="s">
        <v>23</v>
      </c>
      <c r="J157" s="3" t="s">
        <v>630</v>
      </c>
      <c r="K157" s="10" t="s">
        <v>631</v>
      </c>
      <c r="M157">
        <v>182</v>
      </c>
      <c r="P157" t="s">
        <v>632</v>
      </c>
      <c r="Q157" s="10">
        <f>INT(Tabela1[[#This Row],[DATA]])</f>
        <v>46167</v>
      </c>
      <c r="R157" s="14" t="str">
        <f ca="1">IF(AND(Q157&gt;=TODAY()-WEEKDAY(TODAY(),2)+1,Q157&lt;TODAY()),"SIM","NÃO")</f>
        <v>NÃO</v>
      </c>
    </row>
    <row r="158" spans="1:18" hidden="1">
      <c r="A158" t="s">
        <v>241</v>
      </c>
      <c r="B158" t="s">
        <v>242</v>
      </c>
      <c r="C158">
        <v>300264394</v>
      </c>
      <c r="D158">
        <v>16293754</v>
      </c>
      <c r="E158" t="s">
        <v>37</v>
      </c>
      <c r="F158" t="s">
        <v>103</v>
      </c>
      <c r="G158">
        <v>50</v>
      </c>
      <c r="H158" t="s">
        <v>22</v>
      </c>
      <c r="I158" t="s">
        <v>23</v>
      </c>
      <c r="J158" s="3"/>
      <c r="K158" s="10" t="s">
        <v>633</v>
      </c>
      <c r="M158">
        <v>183</v>
      </c>
      <c r="P158" t="s">
        <v>634</v>
      </c>
      <c r="Q158" s="10">
        <f>INT(Tabela1[[#This Row],[DATA]])</f>
        <v>46167</v>
      </c>
      <c r="R158" s="14" t="str">
        <f ca="1">IF(AND(Q158&gt;=TODAY()-WEEKDAY(TODAY(),2)+1,Q158&lt;TODAY()),"SIM","NÃO")</f>
        <v>NÃO</v>
      </c>
    </row>
    <row r="159" spans="1:18" hidden="1">
      <c r="A159" t="s">
        <v>611</v>
      </c>
      <c r="B159" t="s">
        <v>612</v>
      </c>
      <c r="C159">
        <v>300263690</v>
      </c>
      <c r="D159">
        <v>16473965</v>
      </c>
      <c r="E159" t="s">
        <v>37</v>
      </c>
      <c r="F159" t="s">
        <v>635</v>
      </c>
      <c r="G159" t="s">
        <v>636</v>
      </c>
      <c r="H159" t="s">
        <v>637</v>
      </c>
      <c r="I159" t="s">
        <v>23</v>
      </c>
      <c r="J159" s="3" t="s">
        <v>638</v>
      </c>
      <c r="K159" s="10" t="s">
        <v>633</v>
      </c>
      <c r="M159">
        <v>184</v>
      </c>
      <c r="P159" t="s">
        <v>639</v>
      </c>
      <c r="Q159" s="10">
        <f>INT(Tabela1[[#This Row],[DATA]])</f>
        <v>46167</v>
      </c>
      <c r="R159" s="14" t="str">
        <f ca="1">IF(AND(Q159&gt;=TODAY()-WEEKDAY(TODAY(),2)+1,Q159&lt;TODAY()),"SIM","NÃO")</f>
        <v>NÃO</v>
      </c>
    </row>
    <row r="160" spans="1:18" hidden="1">
      <c r="A160" t="s">
        <v>54</v>
      </c>
      <c r="B160" t="s">
        <v>55</v>
      </c>
      <c r="C160">
        <v>300263704</v>
      </c>
      <c r="D160">
        <v>16100280</v>
      </c>
      <c r="E160" t="s">
        <v>37</v>
      </c>
      <c r="F160" t="s">
        <v>151</v>
      </c>
      <c r="G160" t="s">
        <v>640</v>
      </c>
      <c r="H160" t="s">
        <v>641</v>
      </c>
      <c r="I160" t="s">
        <v>23</v>
      </c>
      <c r="J160" s="3"/>
      <c r="K160" s="10" t="s">
        <v>633</v>
      </c>
      <c r="M160">
        <v>185</v>
      </c>
      <c r="P160" t="s">
        <v>642</v>
      </c>
      <c r="Q160" s="10">
        <f>INT(Tabela1[[#This Row],[DATA]])</f>
        <v>46167</v>
      </c>
      <c r="R160" s="14" t="str">
        <f ca="1">IF(AND(Q160&gt;=TODAY()-WEEKDAY(TODAY(),2)+1,Q160&lt;TODAY()),"SIM","NÃO")</f>
        <v>NÃO</v>
      </c>
    </row>
    <row r="161" spans="1:18" hidden="1">
      <c r="A161" t="s">
        <v>611</v>
      </c>
      <c r="B161" t="s">
        <v>612</v>
      </c>
      <c r="C161">
        <v>300263690</v>
      </c>
      <c r="D161">
        <v>16473965</v>
      </c>
      <c r="E161" t="s">
        <v>37</v>
      </c>
      <c r="F161" t="s">
        <v>643</v>
      </c>
      <c r="G161">
        <v>998</v>
      </c>
      <c r="H161" t="s">
        <v>644</v>
      </c>
      <c r="I161" t="s">
        <v>23</v>
      </c>
      <c r="J161" s="3" t="s">
        <v>645</v>
      </c>
      <c r="K161" s="10" t="s">
        <v>646</v>
      </c>
      <c r="M161">
        <v>186</v>
      </c>
      <c r="P161" t="s">
        <v>647</v>
      </c>
      <c r="Q161" s="10">
        <f>INT(Tabela1[[#This Row],[DATA]])</f>
        <v>46167</v>
      </c>
      <c r="R161" s="14" t="str">
        <f ca="1">IF(AND(Q161&gt;=TODAY()-WEEKDAY(TODAY(),2)+1,Q161&lt;TODAY()),"SIM","NÃO")</f>
        <v>NÃO</v>
      </c>
    </row>
    <row r="162" spans="1:18" hidden="1">
      <c r="A162" t="s">
        <v>470</v>
      </c>
      <c r="B162" t="s">
        <v>471</v>
      </c>
      <c r="C162">
        <v>300261963</v>
      </c>
      <c r="D162">
        <v>16223691</v>
      </c>
      <c r="E162" t="s">
        <v>45</v>
      </c>
      <c r="F162" t="s">
        <v>323</v>
      </c>
      <c r="G162">
        <v>1040</v>
      </c>
      <c r="H162" t="s">
        <v>57</v>
      </c>
      <c r="I162" t="s">
        <v>23</v>
      </c>
      <c r="J162" s="3" t="s">
        <v>648</v>
      </c>
      <c r="K162" s="10" t="s">
        <v>649</v>
      </c>
      <c r="M162">
        <v>187</v>
      </c>
      <c r="P162" t="s">
        <v>650</v>
      </c>
      <c r="Q162" s="10">
        <f>INT(Tabela1[[#This Row],[DATA]])</f>
        <v>46167</v>
      </c>
      <c r="R162" s="14" t="str">
        <f ca="1">IF(AND(Q162&gt;=TODAY()-WEEKDAY(TODAY(),2)+1,Q162&lt;TODAY()),"SIM","NÃO")</f>
        <v>NÃO</v>
      </c>
    </row>
    <row r="163" spans="1:18" hidden="1">
      <c r="A163" t="s">
        <v>54</v>
      </c>
      <c r="B163" t="s">
        <v>55</v>
      </c>
      <c r="C163">
        <v>300263704</v>
      </c>
      <c r="D163">
        <v>16100280</v>
      </c>
      <c r="E163" t="s">
        <v>37</v>
      </c>
      <c r="F163" t="s">
        <v>651</v>
      </c>
      <c r="G163" t="s">
        <v>640</v>
      </c>
      <c r="H163" t="s">
        <v>652</v>
      </c>
      <c r="I163" t="s">
        <v>23</v>
      </c>
      <c r="J163" s="3"/>
      <c r="K163" s="10" t="s">
        <v>653</v>
      </c>
      <c r="M163">
        <v>188</v>
      </c>
      <c r="P163" t="s">
        <v>654</v>
      </c>
      <c r="Q163" s="10">
        <f>INT(Tabela1[[#This Row],[DATA]])</f>
        <v>46167</v>
      </c>
      <c r="R163" s="14" t="str">
        <f ca="1">IF(AND(Q163&gt;=TODAY()-WEEKDAY(TODAY(),2)+1,Q163&lt;TODAY()),"SIM","NÃO")</f>
        <v>NÃO</v>
      </c>
    </row>
    <row r="164" spans="1:18" hidden="1">
      <c r="A164" t="s">
        <v>611</v>
      </c>
      <c r="B164" t="s">
        <v>612</v>
      </c>
      <c r="C164">
        <v>300263690</v>
      </c>
      <c r="D164">
        <v>16473965</v>
      </c>
      <c r="E164" t="s">
        <v>37</v>
      </c>
      <c r="F164" t="s">
        <v>132</v>
      </c>
      <c r="G164">
        <v>998</v>
      </c>
      <c r="H164" t="s">
        <v>655</v>
      </c>
      <c r="I164" t="s">
        <v>23</v>
      </c>
      <c r="J164" s="3" t="s">
        <v>655</v>
      </c>
      <c r="K164" s="10" t="s">
        <v>653</v>
      </c>
      <c r="M164">
        <v>189</v>
      </c>
      <c r="P164" t="s">
        <v>656</v>
      </c>
      <c r="Q164" s="10">
        <f>INT(Tabela1[[#This Row],[DATA]])</f>
        <v>46167</v>
      </c>
      <c r="R164" s="14" t="str">
        <f ca="1">IF(AND(Q164&gt;=TODAY()-WEEKDAY(TODAY(),2)+1,Q164&lt;TODAY()),"SIM","NÃO")</f>
        <v>NÃO</v>
      </c>
    </row>
    <row r="165" spans="1:18" hidden="1">
      <c r="A165" t="s">
        <v>313</v>
      </c>
      <c r="B165" t="s">
        <v>314</v>
      </c>
      <c r="C165">
        <v>300263339</v>
      </c>
      <c r="D165">
        <v>16099605</v>
      </c>
      <c r="E165" t="s">
        <v>45</v>
      </c>
      <c r="F165" t="s">
        <v>103</v>
      </c>
      <c r="G165">
        <v>100</v>
      </c>
      <c r="H165" t="s">
        <v>657</v>
      </c>
      <c r="I165" t="s">
        <v>23</v>
      </c>
      <c r="J165" s="3" t="s">
        <v>658</v>
      </c>
      <c r="K165" s="10" t="s">
        <v>659</v>
      </c>
      <c r="M165">
        <v>190</v>
      </c>
      <c r="P165" t="s">
        <v>660</v>
      </c>
      <c r="Q165" s="10">
        <f>INT(Tabela1[[#This Row],[DATA]])</f>
        <v>46167</v>
      </c>
      <c r="R165" s="14" t="str">
        <f ca="1">IF(AND(Q165&gt;=TODAY()-WEEKDAY(TODAY(),2)+1,Q165&lt;TODAY()),"SIM","NÃO")</f>
        <v>NÃO</v>
      </c>
    </row>
    <row r="166" spans="1:18" hidden="1">
      <c r="A166" t="s">
        <v>661</v>
      </c>
      <c r="B166" t="s">
        <v>662</v>
      </c>
      <c r="C166">
        <v>300263699</v>
      </c>
      <c r="D166">
        <v>16450280</v>
      </c>
      <c r="E166" t="s">
        <v>37</v>
      </c>
      <c r="F166" t="s">
        <v>221</v>
      </c>
      <c r="G166">
        <v>1496</v>
      </c>
      <c r="H166" t="s">
        <v>39</v>
      </c>
      <c r="I166" t="s">
        <v>23</v>
      </c>
      <c r="J166" s="3"/>
      <c r="K166" s="10" t="s">
        <v>663</v>
      </c>
      <c r="M166">
        <v>191</v>
      </c>
      <c r="P166" t="s">
        <v>664</v>
      </c>
      <c r="Q166" s="10">
        <f>INT(Tabela1[[#This Row],[DATA]])</f>
        <v>46167</v>
      </c>
      <c r="R166" s="14" t="str">
        <f ca="1">IF(AND(Q166&gt;=TODAY()-WEEKDAY(TODAY(),2)+1,Q166&lt;TODAY()),"SIM","NÃO")</f>
        <v>NÃO</v>
      </c>
    </row>
    <row r="167" spans="1:18" hidden="1">
      <c r="A167" t="s">
        <v>661</v>
      </c>
      <c r="B167" t="s">
        <v>662</v>
      </c>
      <c r="C167">
        <v>300263698</v>
      </c>
      <c r="D167">
        <v>16450280</v>
      </c>
      <c r="E167" t="s">
        <v>37</v>
      </c>
      <c r="F167" t="s">
        <v>221</v>
      </c>
      <c r="G167">
        <v>814</v>
      </c>
      <c r="H167" t="s">
        <v>39</v>
      </c>
      <c r="I167" t="s">
        <v>23</v>
      </c>
      <c r="J167" s="3"/>
      <c r="K167" s="10" t="s">
        <v>663</v>
      </c>
      <c r="M167">
        <v>192</v>
      </c>
      <c r="P167" t="s">
        <v>665</v>
      </c>
      <c r="Q167" s="10">
        <f>INT(Tabela1[[#This Row],[DATA]])</f>
        <v>46167</v>
      </c>
      <c r="R167" s="14" t="str">
        <f ca="1">IF(AND(Q167&gt;=TODAY()-WEEKDAY(TODAY(),2)+1,Q167&lt;TODAY()),"SIM","NÃO")</f>
        <v>NÃO</v>
      </c>
    </row>
    <row r="168" spans="1:18" hidden="1">
      <c r="A168" t="s">
        <v>497</v>
      </c>
      <c r="B168" t="s">
        <v>498</v>
      </c>
      <c r="C168">
        <v>300261530</v>
      </c>
      <c r="D168">
        <v>16491912</v>
      </c>
      <c r="E168" t="s">
        <v>29</v>
      </c>
      <c r="F168" t="s">
        <v>323</v>
      </c>
      <c r="G168" t="s">
        <v>666</v>
      </c>
      <c r="H168" t="s">
        <v>39</v>
      </c>
      <c r="I168" t="s">
        <v>23</v>
      </c>
      <c r="J168" s="3"/>
      <c r="K168" s="10" t="s">
        <v>667</v>
      </c>
      <c r="M168">
        <v>193</v>
      </c>
      <c r="P168" t="s">
        <v>668</v>
      </c>
      <c r="Q168" s="10">
        <f>INT(Tabela1[[#This Row],[DATA]])</f>
        <v>46167</v>
      </c>
      <c r="R168" s="14" t="str">
        <f ca="1">IF(AND(Q168&gt;=TODAY()-WEEKDAY(TODAY(),2)+1,Q168&lt;TODAY()),"SIM","NÃO")</f>
        <v>NÃO</v>
      </c>
    </row>
    <row r="169" spans="1:18" hidden="1">
      <c r="A169" t="s">
        <v>661</v>
      </c>
      <c r="B169" t="s">
        <v>662</v>
      </c>
      <c r="C169">
        <v>300257618</v>
      </c>
      <c r="D169">
        <v>16373685</v>
      </c>
      <c r="E169" t="s">
        <v>37</v>
      </c>
      <c r="F169" t="s">
        <v>60</v>
      </c>
      <c r="G169">
        <v>40</v>
      </c>
      <c r="H169" t="s">
        <v>22</v>
      </c>
      <c r="I169" t="s">
        <v>23</v>
      </c>
      <c r="J169" s="3"/>
      <c r="K169" s="10" t="s">
        <v>669</v>
      </c>
      <c r="M169">
        <v>194</v>
      </c>
      <c r="P169" t="s">
        <v>670</v>
      </c>
      <c r="Q169" s="10">
        <f>INT(Tabela1[[#This Row],[DATA]])</f>
        <v>46167</v>
      </c>
      <c r="R169" s="14" t="str">
        <f ca="1">IF(AND(Q169&gt;=TODAY()-WEEKDAY(TODAY(),2)+1,Q169&lt;TODAY()),"SIM","NÃO")</f>
        <v>NÃO</v>
      </c>
    </row>
    <row r="170" spans="1:18" hidden="1">
      <c r="A170" t="s">
        <v>511</v>
      </c>
      <c r="B170" t="s">
        <v>512</v>
      </c>
      <c r="C170">
        <v>300252525</v>
      </c>
      <c r="D170">
        <v>15161718</v>
      </c>
      <c r="E170" t="s">
        <v>37</v>
      </c>
      <c r="F170" t="s">
        <v>90</v>
      </c>
      <c r="G170">
        <v>50</v>
      </c>
      <c r="H170" t="s">
        <v>671</v>
      </c>
      <c r="I170" t="s">
        <v>23</v>
      </c>
      <c r="J170" s="3" t="s">
        <v>671</v>
      </c>
      <c r="K170" s="10" t="s">
        <v>672</v>
      </c>
      <c r="M170">
        <v>195</v>
      </c>
      <c r="P170" t="s">
        <v>673</v>
      </c>
      <c r="Q170" s="10">
        <f>INT(Tabela1[[#This Row],[DATA]])</f>
        <v>46167</v>
      </c>
      <c r="R170" s="14" t="str">
        <f ca="1">IF(AND(Q170&gt;=TODAY()-WEEKDAY(TODAY(),2)+1,Q170&lt;TODAY()),"SIM","NÃO")</f>
        <v>NÃO</v>
      </c>
    </row>
    <row r="171" spans="1:18" hidden="1">
      <c r="A171" t="s">
        <v>378</v>
      </c>
      <c r="B171" t="s">
        <v>137</v>
      </c>
      <c r="C171">
        <v>300260279</v>
      </c>
      <c r="D171">
        <v>16223691</v>
      </c>
      <c r="E171" t="s">
        <v>45</v>
      </c>
      <c r="F171" t="s">
        <v>187</v>
      </c>
      <c r="G171">
        <v>48</v>
      </c>
      <c r="H171" t="s">
        <v>22</v>
      </c>
      <c r="I171" t="s">
        <v>23</v>
      </c>
      <c r="J171" s="3"/>
      <c r="K171" s="10" t="s">
        <v>674</v>
      </c>
      <c r="M171">
        <v>196</v>
      </c>
      <c r="P171" t="s">
        <v>675</v>
      </c>
      <c r="Q171" s="10">
        <f>INT(Tabela1[[#This Row],[DATA]])</f>
        <v>46167</v>
      </c>
      <c r="R171" s="14" t="str">
        <f ca="1">IF(AND(Q171&gt;=TODAY()-WEEKDAY(TODAY(),2)+1,Q171&lt;TODAY()),"SIM","NÃO")</f>
        <v>NÃO</v>
      </c>
    </row>
    <row r="172" spans="1:18" hidden="1">
      <c r="A172" t="s">
        <v>676</v>
      </c>
      <c r="B172" t="s">
        <v>677</v>
      </c>
      <c r="C172">
        <v>300260702</v>
      </c>
      <c r="D172">
        <v>16472209</v>
      </c>
      <c r="E172" t="s">
        <v>37</v>
      </c>
      <c r="F172" t="s">
        <v>90</v>
      </c>
      <c r="G172">
        <v>50000</v>
      </c>
      <c r="H172" t="s">
        <v>655</v>
      </c>
      <c r="I172" t="s">
        <v>23</v>
      </c>
      <c r="J172" s="3" t="s">
        <v>671</v>
      </c>
      <c r="K172" s="10" t="s">
        <v>678</v>
      </c>
      <c r="M172">
        <v>197</v>
      </c>
      <c r="P172" t="s">
        <v>679</v>
      </c>
      <c r="Q172" s="10">
        <f>INT(Tabela1[[#This Row],[DATA]])</f>
        <v>46167</v>
      </c>
      <c r="R172" s="14" t="str">
        <f ca="1">IF(AND(Q172&gt;=TODAY()-WEEKDAY(TODAY(),2)+1,Q172&lt;TODAY()),"SIM","NÃO")</f>
        <v>NÃO</v>
      </c>
    </row>
    <row r="173" spans="1:18" hidden="1">
      <c r="A173" t="s">
        <v>378</v>
      </c>
      <c r="B173" t="s">
        <v>137</v>
      </c>
      <c r="C173">
        <v>300260280</v>
      </c>
      <c r="D173">
        <v>16223691</v>
      </c>
      <c r="E173" t="s">
        <v>45</v>
      </c>
      <c r="F173" t="s">
        <v>64</v>
      </c>
      <c r="G173">
        <v>300</v>
      </c>
      <c r="H173" t="s">
        <v>22</v>
      </c>
      <c r="I173" t="s">
        <v>23</v>
      </c>
      <c r="J173" s="3" t="s">
        <v>680</v>
      </c>
      <c r="K173" s="10" t="s">
        <v>681</v>
      </c>
      <c r="M173">
        <v>198</v>
      </c>
      <c r="P173" t="s">
        <v>682</v>
      </c>
      <c r="Q173" s="10">
        <f>INT(Tabela1[[#This Row],[DATA]])</f>
        <v>46167</v>
      </c>
      <c r="R173" s="14" t="str">
        <f ca="1">IF(AND(Q173&gt;=TODAY()-WEEKDAY(TODAY(),2)+1,Q173&lt;TODAY()),"SIM","NÃO")</f>
        <v>NÃO</v>
      </c>
    </row>
    <row r="174" spans="1:18" hidden="1">
      <c r="A174" t="s">
        <v>378</v>
      </c>
      <c r="B174" t="s">
        <v>137</v>
      </c>
      <c r="C174">
        <v>300260280</v>
      </c>
      <c r="D174">
        <v>16223691</v>
      </c>
      <c r="E174" t="s">
        <v>45</v>
      </c>
      <c r="F174" t="s">
        <v>38</v>
      </c>
      <c r="G174">
        <v>25</v>
      </c>
      <c r="H174" t="s">
        <v>22</v>
      </c>
      <c r="I174" t="s">
        <v>23</v>
      </c>
      <c r="J174" s="3" t="s">
        <v>683</v>
      </c>
      <c r="K174" s="10" t="s">
        <v>681</v>
      </c>
      <c r="M174">
        <v>199</v>
      </c>
      <c r="P174" t="s">
        <v>684</v>
      </c>
      <c r="Q174" s="10">
        <f>INT(Tabela1[[#This Row],[DATA]])</f>
        <v>46167</v>
      </c>
      <c r="R174" s="14" t="str">
        <f ca="1">IF(AND(Q174&gt;=TODAY()-WEEKDAY(TODAY(),2)+1,Q174&lt;TODAY()),"SIM","NÃO")</f>
        <v>NÃO</v>
      </c>
    </row>
    <row r="175" spans="1:18" hidden="1">
      <c r="A175" t="s">
        <v>685</v>
      </c>
      <c r="B175" t="s">
        <v>686</v>
      </c>
      <c r="C175">
        <v>300262455</v>
      </c>
      <c r="D175">
        <v>16447603</v>
      </c>
      <c r="E175" t="s">
        <v>37</v>
      </c>
      <c r="F175" t="s">
        <v>113</v>
      </c>
      <c r="G175">
        <v>1386</v>
      </c>
      <c r="H175" t="s">
        <v>22</v>
      </c>
      <c r="I175" t="s">
        <v>23</v>
      </c>
      <c r="J175" s="3" t="s">
        <v>687</v>
      </c>
      <c r="K175" s="10" t="s">
        <v>688</v>
      </c>
      <c r="M175">
        <v>200</v>
      </c>
      <c r="P175" t="s">
        <v>689</v>
      </c>
      <c r="Q175" s="10">
        <f>INT(Tabela1[[#This Row],[DATA]])</f>
        <v>46167</v>
      </c>
      <c r="R175" s="14" t="str">
        <f ca="1">IF(AND(Q175&gt;=TODAY()-WEEKDAY(TODAY(),2)+1,Q175&lt;TODAY()),"SIM","NÃO")</f>
        <v>NÃO</v>
      </c>
    </row>
    <row r="176" spans="1:18" hidden="1">
      <c r="A176" t="s">
        <v>332</v>
      </c>
      <c r="B176" t="s">
        <v>690</v>
      </c>
      <c r="C176">
        <v>300000000</v>
      </c>
      <c r="D176">
        <v>0</v>
      </c>
      <c r="E176" t="s">
        <v>45</v>
      </c>
      <c r="F176" t="s">
        <v>145</v>
      </c>
      <c r="G176">
        <v>2</v>
      </c>
      <c r="H176" t="s">
        <v>691</v>
      </c>
      <c r="I176" t="s">
        <v>23</v>
      </c>
      <c r="J176" s="3">
        <v>0</v>
      </c>
      <c r="K176" s="10" t="s">
        <v>692</v>
      </c>
      <c r="M176">
        <v>201</v>
      </c>
      <c r="P176" t="s">
        <v>693</v>
      </c>
      <c r="Q176" s="10">
        <f>INT(Tabela1[[#This Row],[DATA]])</f>
        <v>46167</v>
      </c>
      <c r="R176" s="14" t="str">
        <f ca="1">IF(AND(Q176&gt;=TODAY()-WEEKDAY(TODAY(),2)+1,Q176&lt;TODAY()),"SIM","NÃO")</f>
        <v>NÃO</v>
      </c>
    </row>
    <row r="177" spans="1:18" hidden="1">
      <c r="A177" t="s">
        <v>343</v>
      </c>
      <c r="B177" t="s">
        <v>344</v>
      </c>
      <c r="C177">
        <v>300263139</v>
      </c>
      <c r="D177">
        <v>16489985</v>
      </c>
      <c r="E177" t="s">
        <v>37</v>
      </c>
      <c r="F177" t="s">
        <v>90</v>
      </c>
      <c r="G177">
        <v>0</v>
      </c>
      <c r="H177" t="s">
        <v>22</v>
      </c>
      <c r="I177" t="s">
        <v>23</v>
      </c>
      <c r="J177" s="3"/>
      <c r="K177" s="10" t="s">
        <v>694</v>
      </c>
      <c r="M177">
        <v>202</v>
      </c>
      <c r="P177" t="s">
        <v>695</v>
      </c>
      <c r="Q177" s="10">
        <f>INT(Tabela1[[#This Row],[DATA]])</f>
        <v>46167</v>
      </c>
      <c r="R177" s="14" t="str">
        <f ca="1">IF(AND(Q177&gt;=TODAY()-WEEKDAY(TODAY(),2)+1,Q177&lt;TODAY()),"SIM","NÃO")</f>
        <v>NÃO</v>
      </c>
    </row>
    <row r="178" spans="1:18" hidden="1">
      <c r="A178" t="s">
        <v>136</v>
      </c>
      <c r="B178" t="s">
        <v>137</v>
      </c>
      <c r="C178">
        <v>300250247</v>
      </c>
      <c r="D178">
        <v>16440960</v>
      </c>
      <c r="E178" t="s">
        <v>45</v>
      </c>
      <c r="F178" t="s">
        <v>64</v>
      </c>
      <c r="G178">
        <v>415</v>
      </c>
      <c r="H178" t="s">
        <v>22</v>
      </c>
      <c r="I178" t="s">
        <v>23</v>
      </c>
      <c r="J178" s="3" t="s">
        <v>696</v>
      </c>
      <c r="K178" s="10" t="s">
        <v>697</v>
      </c>
      <c r="M178">
        <v>203</v>
      </c>
      <c r="P178" t="s">
        <v>698</v>
      </c>
      <c r="Q178" s="10">
        <f>INT(Tabela1[[#This Row],[DATA]])</f>
        <v>46167</v>
      </c>
      <c r="R178" s="14" t="str">
        <f ca="1">IF(AND(Q178&gt;=TODAY()-WEEKDAY(TODAY(),2)+1,Q178&lt;TODAY()),"SIM","NÃO")</f>
        <v>NÃO</v>
      </c>
    </row>
    <row r="179" spans="1:18" hidden="1">
      <c r="A179" t="s">
        <v>185</v>
      </c>
      <c r="B179" t="s">
        <v>186</v>
      </c>
      <c r="C179">
        <v>300259133</v>
      </c>
      <c r="D179">
        <v>16450361</v>
      </c>
      <c r="E179" t="s">
        <v>37</v>
      </c>
      <c r="F179" t="s">
        <v>221</v>
      </c>
      <c r="G179" t="s">
        <v>699</v>
      </c>
      <c r="H179" t="s">
        <v>39</v>
      </c>
      <c r="I179" t="s">
        <v>23</v>
      </c>
      <c r="J179" s="3" t="s">
        <v>699</v>
      </c>
      <c r="K179" s="10" t="s">
        <v>700</v>
      </c>
      <c r="M179">
        <v>204</v>
      </c>
      <c r="P179" t="s">
        <v>701</v>
      </c>
      <c r="Q179" s="10">
        <f>INT(Tabela1[[#This Row],[DATA]])</f>
        <v>46167</v>
      </c>
      <c r="R179" s="14" t="str">
        <f ca="1">IF(AND(Q179&gt;=TODAY()-WEEKDAY(TODAY(),2)+1,Q179&lt;TODAY()),"SIM","NÃO")</f>
        <v>NÃO</v>
      </c>
    </row>
    <row r="180" spans="1:18" hidden="1">
      <c r="A180" t="s">
        <v>185</v>
      </c>
      <c r="B180" t="s">
        <v>186</v>
      </c>
      <c r="C180">
        <v>300259133</v>
      </c>
      <c r="D180">
        <v>16450361</v>
      </c>
      <c r="E180" t="s">
        <v>37</v>
      </c>
      <c r="F180" t="s">
        <v>430</v>
      </c>
      <c r="G180">
        <v>966</v>
      </c>
      <c r="H180" t="s">
        <v>39</v>
      </c>
      <c r="I180" t="s">
        <v>23</v>
      </c>
      <c r="J180" s="3" t="s">
        <v>702</v>
      </c>
      <c r="K180" s="10" t="s">
        <v>703</v>
      </c>
      <c r="M180">
        <v>205</v>
      </c>
      <c r="P180" t="s">
        <v>704</v>
      </c>
      <c r="Q180" s="10">
        <f>INT(Tabela1[[#This Row],[DATA]])</f>
        <v>46167</v>
      </c>
      <c r="R180" s="14" t="str">
        <f ca="1">IF(AND(Q180&gt;=TODAY()-WEEKDAY(TODAY(),2)+1,Q180&lt;TODAY()),"SIM","NÃO")</f>
        <v>NÃO</v>
      </c>
    </row>
    <row r="181" spans="1:18" hidden="1">
      <c r="A181" t="s">
        <v>185</v>
      </c>
      <c r="B181" t="s">
        <v>186</v>
      </c>
      <c r="C181">
        <v>300255447</v>
      </c>
      <c r="D181">
        <v>16450361</v>
      </c>
      <c r="E181" t="s">
        <v>37</v>
      </c>
      <c r="F181" t="s">
        <v>430</v>
      </c>
      <c r="G181">
        <v>246</v>
      </c>
      <c r="H181" t="s">
        <v>39</v>
      </c>
      <c r="I181" t="s">
        <v>23</v>
      </c>
      <c r="J181" s="3" t="s">
        <v>705</v>
      </c>
      <c r="K181" s="10" t="s">
        <v>706</v>
      </c>
      <c r="M181">
        <v>206</v>
      </c>
      <c r="P181" t="s">
        <v>707</v>
      </c>
      <c r="Q181" s="10">
        <f>INT(Tabela1[[#This Row],[DATA]])</f>
        <v>46167</v>
      </c>
      <c r="R181" s="14" t="str">
        <f ca="1">IF(AND(Q181&gt;=TODAY()-WEEKDAY(TODAY(),2)+1,Q181&lt;TODAY()),"SIM","NÃO")</f>
        <v>NÃO</v>
      </c>
    </row>
    <row r="182" spans="1:18" hidden="1">
      <c r="A182" t="s">
        <v>49</v>
      </c>
      <c r="B182" t="s">
        <v>50</v>
      </c>
      <c r="C182">
        <v>300262454</v>
      </c>
      <c r="D182">
        <v>16447603</v>
      </c>
      <c r="E182" t="s">
        <v>37</v>
      </c>
      <c r="F182" t="s">
        <v>113</v>
      </c>
      <c r="G182" t="s">
        <v>708</v>
      </c>
      <c r="H182" t="s">
        <v>22</v>
      </c>
      <c r="I182" t="s">
        <v>23</v>
      </c>
      <c r="J182" s="3" t="s">
        <v>709</v>
      </c>
      <c r="K182" s="10" t="s">
        <v>710</v>
      </c>
      <c r="M182">
        <v>207</v>
      </c>
      <c r="P182" t="s">
        <v>711</v>
      </c>
      <c r="Q182" s="10">
        <f>INT(Tabela1[[#This Row],[DATA]])</f>
        <v>46167</v>
      </c>
      <c r="R182" s="14" t="str">
        <f ca="1">IF(AND(Q182&gt;=TODAY()-WEEKDAY(TODAY(),2)+1,Q182&lt;TODAY()),"SIM","NÃO")</f>
        <v>NÃO</v>
      </c>
    </row>
    <row r="183" spans="1:18" hidden="1">
      <c r="A183" t="s">
        <v>611</v>
      </c>
      <c r="B183" t="s">
        <v>612</v>
      </c>
      <c r="C183">
        <v>300263231</v>
      </c>
      <c r="D183">
        <v>15773469</v>
      </c>
      <c r="E183" t="s">
        <v>20</v>
      </c>
      <c r="F183" t="s">
        <v>151</v>
      </c>
      <c r="G183" t="s">
        <v>712</v>
      </c>
      <c r="H183" t="s">
        <v>39</v>
      </c>
      <c r="I183" t="s">
        <v>23</v>
      </c>
      <c r="J183" s="3" t="s">
        <v>713</v>
      </c>
      <c r="K183" s="10" t="s">
        <v>714</v>
      </c>
      <c r="M183">
        <v>208</v>
      </c>
      <c r="P183" t="s">
        <v>715</v>
      </c>
      <c r="Q183" s="10">
        <f>INT(Tabela1[[#This Row],[DATA]])</f>
        <v>46167</v>
      </c>
      <c r="R183" s="14" t="str">
        <f ca="1">IF(AND(Q183&gt;=TODAY()-WEEKDAY(TODAY(),2)+1,Q183&lt;TODAY()),"SIM","NÃO")</f>
        <v>NÃO</v>
      </c>
    </row>
    <row r="184" spans="1:18" hidden="1">
      <c r="A184" t="s">
        <v>185</v>
      </c>
      <c r="B184" t="s">
        <v>186</v>
      </c>
      <c r="C184">
        <v>300231420</v>
      </c>
      <c r="D184">
        <v>16317840</v>
      </c>
      <c r="E184" t="s">
        <v>37</v>
      </c>
      <c r="F184" t="s">
        <v>430</v>
      </c>
      <c r="G184" t="s">
        <v>716</v>
      </c>
      <c r="H184" t="s">
        <v>39</v>
      </c>
      <c r="I184" t="s">
        <v>23</v>
      </c>
      <c r="J184" s="3" t="s">
        <v>717</v>
      </c>
      <c r="K184" s="10" t="s">
        <v>718</v>
      </c>
      <c r="M184">
        <v>209</v>
      </c>
      <c r="P184" t="s">
        <v>719</v>
      </c>
      <c r="Q184" s="10">
        <f>INT(Tabela1[[#This Row],[DATA]])</f>
        <v>46167</v>
      </c>
      <c r="R184" s="14" t="str">
        <f ca="1">IF(AND(Q184&gt;=TODAY()-WEEKDAY(TODAY(),2)+1,Q184&lt;TODAY()),"SIM","NÃO")</f>
        <v>NÃO</v>
      </c>
    </row>
    <row r="185" spans="1:18" hidden="1">
      <c r="A185" t="s">
        <v>106</v>
      </c>
      <c r="B185" t="s">
        <v>107</v>
      </c>
      <c r="C185">
        <v>300262205</v>
      </c>
      <c r="D185">
        <v>16464591</v>
      </c>
      <c r="E185" t="s">
        <v>45</v>
      </c>
      <c r="F185" t="s">
        <v>315</v>
      </c>
      <c r="G185">
        <v>756</v>
      </c>
      <c r="H185" t="s">
        <v>22</v>
      </c>
      <c r="I185" t="s">
        <v>23</v>
      </c>
      <c r="J185" s="3"/>
      <c r="K185" s="10" t="s">
        <v>720</v>
      </c>
      <c r="M185">
        <v>210</v>
      </c>
      <c r="P185" t="s">
        <v>721</v>
      </c>
      <c r="Q185" s="10">
        <f>INT(Tabela1[[#This Row],[DATA]])</f>
        <v>46167</v>
      </c>
      <c r="R185" s="14" t="str">
        <f ca="1">IF(AND(Q185&gt;=TODAY()-WEEKDAY(TODAY(),2)+1,Q185&lt;TODAY()),"SIM","NÃO")</f>
        <v>NÃO</v>
      </c>
    </row>
    <row r="186" spans="1:18" hidden="1">
      <c r="A186" t="s">
        <v>106</v>
      </c>
      <c r="B186" t="s">
        <v>107</v>
      </c>
      <c r="C186">
        <v>300262203</v>
      </c>
      <c r="D186">
        <v>16464591</v>
      </c>
      <c r="E186" t="s">
        <v>45</v>
      </c>
      <c r="F186" t="s">
        <v>315</v>
      </c>
      <c r="G186">
        <v>672</v>
      </c>
      <c r="H186" t="s">
        <v>22</v>
      </c>
      <c r="I186" t="s">
        <v>23</v>
      </c>
      <c r="J186" s="3"/>
      <c r="K186" s="10" t="s">
        <v>722</v>
      </c>
      <c r="M186">
        <v>211</v>
      </c>
      <c r="P186" t="s">
        <v>723</v>
      </c>
      <c r="Q186" s="10">
        <f>INT(Tabela1[[#This Row],[DATA]])</f>
        <v>46167</v>
      </c>
      <c r="R186" s="14" t="str">
        <f ca="1">IF(AND(Q186&gt;=TODAY()-WEEKDAY(TODAY(),2)+1,Q186&lt;TODAY()),"SIM","NÃO")</f>
        <v>NÃO</v>
      </c>
    </row>
    <row r="187" spans="1:18" hidden="1">
      <c r="A187" t="s">
        <v>106</v>
      </c>
      <c r="B187" t="s">
        <v>107</v>
      </c>
      <c r="C187">
        <v>300262203</v>
      </c>
      <c r="D187">
        <v>16464591</v>
      </c>
      <c r="E187" t="s">
        <v>45</v>
      </c>
      <c r="F187" t="s">
        <v>21</v>
      </c>
      <c r="G187">
        <v>672</v>
      </c>
      <c r="H187" t="s">
        <v>22</v>
      </c>
      <c r="I187" t="s">
        <v>23</v>
      </c>
      <c r="J187" s="3" t="s">
        <v>724</v>
      </c>
      <c r="K187" s="10" t="s">
        <v>725</v>
      </c>
      <c r="M187">
        <v>212</v>
      </c>
      <c r="P187" t="s">
        <v>726</v>
      </c>
      <c r="Q187" s="10">
        <f>INT(Tabela1[[#This Row],[DATA]])</f>
        <v>46167</v>
      </c>
      <c r="R187" s="14" t="str">
        <f ca="1">IF(AND(Q187&gt;=TODAY()-WEEKDAY(TODAY(),2)+1,Q187&lt;TODAY()),"SIM","NÃO")</f>
        <v>NÃO</v>
      </c>
    </row>
    <row r="188" spans="1:18" hidden="1">
      <c r="A188" t="s">
        <v>106</v>
      </c>
      <c r="B188" t="s">
        <v>107</v>
      </c>
      <c r="C188">
        <v>300260277</v>
      </c>
      <c r="D188">
        <v>16426010</v>
      </c>
      <c r="E188" t="s">
        <v>45</v>
      </c>
      <c r="F188" t="s">
        <v>315</v>
      </c>
      <c r="G188">
        <v>1408</v>
      </c>
      <c r="H188" t="s">
        <v>22</v>
      </c>
      <c r="I188" t="s">
        <v>23</v>
      </c>
      <c r="J188" s="3" t="s">
        <v>727</v>
      </c>
      <c r="K188" s="10" t="s">
        <v>728</v>
      </c>
      <c r="M188">
        <v>213</v>
      </c>
      <c r="P188" t="s">
        <v>729</v>
      </c>
      <c r="Q188" s="10">
        <f>INT(Tabela1[[#This Row],[DATA]])</f>
        <v>46167</v>
      </c>
      <c r="R188" s="14" t="str">
        <f ca="1">IF(AND(Q188&gt;=TODAY()-WEEKDAY(TODAY(),2)+1,Q188&lt;TODAY()),"SIM","NÃO")</f>
        <v>NÃO</v>
      </c>
    </row>
    <row r="189" spans="1:18" hidden="1">
      <c r="A189" t="s">
        <v>106</v>
      </c>
      <c r="B189" t="s">
        <v>107</v>
      </c>
      <c r="C189">
        <v>300260277</v>
      </c>
      <c r="D189">
        <v>16426010</v>
      </c>
      <c r="E189" t="s">
        <v>45</v>
      </c>
      <c r="F189" t="s">
        <v>103</v>
      </c>
      <c r="G189">
        <v>1408</v>
      </c>
      <c r="H189" t="s">
        <v>22</v>
      </c>
      <c r="I189" t="s">
        <v>23</v>
      </c>
      <c r="J189" s="3"/>
      <c r="K189" s="10" t="s">
        <v>730</v>
      </c>
      <c r="M189">
        <v>214</v>
      </c>
      <c r="P189" t="s">
        <v>731</v>
      </c>
      <c r="Q189" s="10">
        <f>INT(Tabela1[[#This Row],[DATA]])</f>
        <v>46167</v>
      </c>
      <c r="R189" s="14" t="str">
        <f ca="1">IF(AND(Q189&gt;=TODAY()-WEEKDAY(TODAY(),2)+1,Q189&lt;TODAY()),"SIM","NÃO")</f>
        <v>NÃO</v>
      </c>
    </row>
    <row r="190" spans="1:18" hidden="1">
      <c r="A190" t="s">
        <v>163</v>
      </c>
      <c r="B190" t="s">
        <v>164</v>
      </c>
      <c r="C190">
        <v>300260278</v>
      </c>
      <c r="D190">
        <v>16426010</v>
      </c>
      <c r="E190" t="s">
        <v>45</v>
      </c>
      <c r="F190" t="s">
        <v>103</v>
      </c>
      <c r="G190">
        <v>1408</v>
      </c>
      <c r="H190" t="s">
        <v>22</v>
      </c>
      <c r="I190" t="s">
        <v>23</v>
      </c>
      <c r="J190" s="3"/>
      <c r="K190" s="10" t="s">
        <v>730</v>
      </c>
      <c r="M190">
        <v>215</v>
      </c>
      <c r="P190" t="s">
        <v>732</v>
      </c>
      <c r="Q190" s="10">
        <f>INT(Tabela1[[#This Row],[DATA]])</f>
        <v>46167</v>
      </c>
      <c r="R190" s="14" t="str">
        <f ca="1">IF(AND(Q190&gt;=TODAY()-WEEKDAY(TODAY(),2)+1,Q190&lt;TODAY()),"SIM","NÃO")</f>
        <v>NÃO</v>
      </c>
    </row>
    <row r="191" spans="1:18" hidden="1">
      <c r="A191" t="s">
        <v>163</v>
      </c>
      <c r="B191" t="s">
        <v>164</v>
      </c>
      <c r="C191">
        <v>300260278</v>
      </c>
      <c r="D191">
        <v>16426010</v>
      </c>
      <c r="E191" t="s">
        <v>45</v>
      </c>
      <c r="F191" t="s">
        <v>315</v>
      </c>
      <c r="G191">
        <v>1408</v>
      </c>
      <c r="H191" t="s">
        <v>22</v>
      </c>
      <c r="I191" t="s">
        <v>23</v>
      </c>
      <c r="J191" s="3"/>
      <c r="K191" s="10" t="s">
        <v>733</v>
      </c>
      <c r="M191">
        <v>216</v>
      </c>
      <c r="P191" t="s">
        <v>734</v>
      </c>
      <c r="Q191" s="10">
        <f>INT(Tabela1[[#This Row],[DATA]])</f>
        <v>46167</v>
      </c>
      <c r="R191" s="14" t="str">
        <f ca="1">IF(AND(Q191&gt;=TODAY()-WEEKDAY(TODAY(),2)+1,Q191&lt;TODAY()),"SIM","NÃO")</f>
        <v>NÃO</v>
      </c>
    </row>
    <row r="192" spans="1:18" hidden="1">
      <c r="A192" t="s">
        <v>163</v>
      </c>
      <c r="B192" t="s">
        <v>164</v>
      </c>
      <c r="C192">
        <v>300265389</v>
      </c>
      <c r="D192">
        <v>16473434</v>
      </c>
      <c r="E192" t="s">
        <v>45</v>
      </c>
      <c r="F192" t="s">
        <v>315</v>
      </c>
      <c r="G192">
        <v>1350</v>
      </c>
      <c r="H192" t="s">
        <v>22</v>
      </c>
      <c r="I192" t="s">
        <v>23</v>
      </c>
      <c r="J192" s="3" t="s">
        <v>735</v>
      </c>
      <c r="K192" s="10" t="s">
        <v>736</v>
      </c>
      <c r="M192">
        <v>217</v>
      </c>
      <c r="P192" t="s">
        <v>737</v>
      </c>
      <c r="Q192" s="10">
        <f>INT(Tabela1[[#This Row],[DATA]])</f>
        <v>46167</v>
      </c>
      <c r="R192" s="14" t="str">
        <f ca="1">IF(AND(Q192&gt;=TODAY()-WEEKDAY(TODAY(),2)+1,Q192&lt;TODAY()),"SIM","NÃO")</f>
        <v>NÃO</v>
      </c>
    </row>
    <row r="193" spans="1:18" hidden="1">
      <c r="A193" t="s">
        <v>163</v>
      </c>
      <c r="B193" t="s">
        <v>164</v>
      </c>
      <c r="C193">
        <v>300269893</v>
      </c>
      <c r="D193">
        <v>16474937</v>
      </c>
      <c r="E193" t="s">
        <v>45</v>
      </c>
      <c r="F193" t="s">
        <v>315</v>
      </c>
      <c r="G193">
        <v>11.06</v>
      </c>
      <c r="H193" t="s">
        <v>22</v>
      </c>
      <c r="I193" t="s">
        <v>23</v>
      </c>
      <c r="J193" s="3" t="s">
        <v>738</v>
      </c>
      <c r="K193" s="10" t="s">
        <v>739</v>
      </c>
      <c r="M193">
        <v>218</v>
      </c>
      <c r="P193" t="s">
        <v>740</v>
      </c>
      <c r="Q193" s="10">
        <f>INT(Tabela1[[#This Row],[DATA]])</f>
        <v>46167</v>
      </c>
      <c r="R193" s="14" t="str">
        <f ca="1">IF(AND(Q193&gt;=TODAY()-WEEKDAY(TODAY(),2)+1,Q193&lt;TODAY()),"SIM","NÃO")</f>
        <v>NÃO</v>
      </c>
    </row>
    <row r="194" spans="1:18" hidden="1">
      <c r="A194" t="s">
        <v>163</v>
      </c>
      <c r="B194" t="s">
        <v>741</v>
      </c>
      <c r="C194">
        <v>300262894</v>
      </c>
      <c r="D194">
        <v>16474837</v>
      </c>
      <c r="E194" t="s">
        <v>45</v>
      </c>
      <c r="F194" t="s">
        <v>315</v>
      </c>
      <c r="G194">
        <v>1022</v>
      </c>
      <c r="H194" t="s">
        <v>22</v>
      </c>
      <c r="I194" t="s">
        <v>23</v>
      </c>
      <c r="J194" s="3" t="s">
        <v>742</v>
      </c>
      <c r="K194" s="10" t="s">
        <v>743</v>
      </c>
      <c r="M194">
        <v>219</v>
      </c>
      <c r="P194" t="s">
        <v>744</v>
      </c>
      <c r="Q194" s="10">
        <f>INT(Tabela1[[#This Row],[DATA]])</f>
        <v>46167</v>
      </c>
      <c r="R194" s="14" t="str">
        <f ca="1">IF(AND(Q194&gt;=TODAY()-WEEKDAY(TODAY(),2)+1,Q194&lt;TODAY()),"SIM","NÃO")</f>
        <v>NÃO</v>
      </c>
    </row>
    <row r="195" spans="1:18" hidden="1">
      <c r="A195" t="s">
        <v>111</v>
      </c>
      <c r="B195" t="s">
        <v>112</v>
      </c>
      <c r="C195">
        <v>300263787</v>
      </c>
      <c r="D195">
        <v>16450590</v>
      </c>
      <c r="E195" t="s">
        <v>45</v>
      </c>
      <c r="F195" t="s">
        <v>38</v>
      </c>
      <c r="G195">
        <v>1456</v>
      </c>
      <c r="H195" t="s">
        <v>57</v>
      </c>
      <c r="I195" t="s">
        <v>23</v>
      </c>
      <c r="J195" s="3" t="s">
        <v>745</v>
      </c>
      <c r="K195" s="10" t="s">
        <v>746</v>
      </c>
      <c r="M195">
        <v>220</v>
      </c>
      <c r="P195" t="s">
        <v>747</v>
      </c>
      <c r="Q195" s="10">
        <f>INT(Tabela1[[#This Row],[DATA]])</f>
        <v>46167</v>
      </c>
      <c r="R195" s="14" t="str">
        <f ca="1">IF(AND(Q195&gt;=TODAY()-WEEKDAY(TODAY(),2)+1,Q195&lt;TODAY()),"SIM","NÃO")</f>
        <v>NÃO</v>
      </c>
    </row>
    <row r="196" spans="1:18" hidden="1">
      <c r="A196" t="s">
        <v>676</v>
      </c>
      <c r="B196" t="s">
        <v>677</v>
      </c>
      <c r="C196">
        <v>300253555</v>
      </c>
      <c r="D196">
        <v>12131415</v>
      </c>
      <c r="E196" t="s">
        <v>37</v>
      </c>
      <c r="F196" t="s">
        <v>21</v>
      </c>
      <c r="G196">
        <v>10</v>
      </c>
      <c r="H196" t="s">
        <v>748</v>
      </c>
      <c r="I196" t="s">
        <v>23</v>
      </c>
      <c r="J196" s="3" t="s">
        <v>749</v>
      </c>
      <c r="K196" s="10" t="s">
        <v>750</v>
      </c>
      <c r="M196">
        <v>221</v>
      </c>
      <c r="P196" t="s">
        <v>751</v>
      </c>
      <c r="Q196" s="10">
        <f>INT(Tabela1[[#This Row],[DATA]])</f>
        <v>46167</v>
      </c>
      <c r="R196" s="14" t="str">
        <f ca="1">IF(AND(Q196&gt;=TODAY()-WEEKDAY(TODAY(),2)+1,Q196&lt;TODAY()),"SIM","NÃO")</f>
        <v>NÃO</v>
      </c>
    </row>
    <row r="197" spans="1:18" hidden="1">
      <c r="A197" t="s">
        <v>185</v>
      </c>
      <c r="B197" t="s">
        <v>186</v>
      </c>
      <c r="C197">
        <v>300259133</v>
      </c>
      <c r="D197">
        <v>16450361</v>
      </c>
      <c r="E197" t="s">
        <v>37</v>
      </c>
      <c r="F197" t="s">
        <v>513</v>
      </c>
      <c r="G197">
        <v>966</v>
      </c>
      <c r="H197" t="s">
        <v>39</v>
      </c>
      <c r="I197" t="s">
        <v>23</v>
      </c>
      <c r="J197" s="3" t="s">
        <v>752</v>
      </c>
      <c r="K197" s="10" t="s">
        <v>753</v>
      </c>
      <c r="M197">
        <v>222</v>
      </c>
      <c r="P197" t="s">
        <v>754</v>
      </c>
      <c r="Q197" s="10">
        <f>INT(Tabela1[[#This Row],[DATA]])</f>
        <v>46167</v>
      </c>
      <c r="R197" s="14" t="str">
        <f ca="1">IF(AND(Q197&gt;=TODAY()-WEEKDAY(TODAY(),2)+1,Q197&lt;TODAY()),"SIM","NÃO")</f>
        <v>NÃO</v>
      </c>
    </row>
    <row r="198" spans="1:18" hidden="1">
      <c r="A198" t="s">
        <v>755</v>
      </c>
      <c r="B198" t="s">
        <v>756</v>
      </c>
      <c r="C198">
        <v>300263926</v>
      </c>
      <c r="D198">
        <v>16483979</v>
      </c>
      <c r="E198" t="s">
        <v>37</v>
      </c>
      <c r="F198" t="s">
        <v>177</v>
      </c>
      <c r="G198" t="s">
        <v>757</v>
      </c>
      <c r="H198" t="s">
        <v>39</v>
      </c>
      <c r="I198" t="s">
        <v>23</v>
      </c>
      <c r="J198" s="3" t="s">
        <v>758</v>
      </c>
      <c r="K198" s="10" t="s">
        <v>759</v>
      </c>
      <c r="M198">
        <v>223</v>
      </c>
      <c r="P198" t="s">
        <v>760</v>
      </c>
      <c r="Q198" s="10">
        <f>INT(Tabela1[[#This Row],[DATA]])</f>
        <v>46167</v>
      </c>
      <c r="R198" s="14" t="str">
        <f ca="1">IF(AND(Q198&gt;=TODAY()-WEEKDAY(TODAY(),2)+1,Q198&lt;TODAY()),"SIM","NÃO")</f>
        <v>NÃO</v>
      </c>
    </row>
    <row r="199" spans="1:18" hidden="1">
      <c r="A199" t="s">
        <v>755</v>
      </c>
      <c r="B199" t="s">
        <v>756</v>
      </c>
      <c r="C199">
        <v>300260709</v>
      </c>
      <c r="D199">
        <v>16473914</v>
      </c>
      <c r="E199" t="s">
        <v>37</v>
      </c>
      <c r="F199" t="s">
        <v>329</v>
      </c>
      <c r="G199">
        <v>1315</v>
      </c>
      <c r="H199" t="s">
        <v>39</v>
      </c>
      <c r="I199" t="s">
        <v>23</v>
      </c>
      <c r="J199" s="3" t="s">
        <v>761</v>
      </c>
      <c r="K199" s="10" t="s">
        <v>762</v>
      </c>
      <c r="M199">
        <v>224</v>
      </c>
      <c r="P199" t="s">
        <v>763</v>
      </c>
      <c r="Q199" s="10">
        <f>INT(Tabela1[[#This Row],[DATA]])</f>
        <v>46167</v>
      </c>
      <c r="R199" s="14" t="str">
        <f ca="1">IF(AND(Q199&gt;=TODAY()-WEEKDAY(TODAY(),2)+1,Q199&lt;TODAY()),"SIM","NÃO")</f>
        <v>NÃO</v>
      </c>
    </row>
    <row r="200" spans="1:18" hidden="1">
      <c r="A200" t="s">
        <v>755</v>
      </c>
      <c r="B200" t="s">
        <v>756</v>
      </c>
      <c r="C200">
        <v>300260609</v>
      </c>
      <c r="D200">
        <v>16473914</v>
      </c>
      <c r="E200" t="s">
        <v>37</v>
      </c>
      <c r="F200" t="s">
        <v>132</v>
      </c>
      <c r="G200">
        <v>10</v>
      </c>
      <c r="H200" t="s">
        <v>22</v>
      </c>
      <c r="I200" t="s">
        <v>23</v>
      </c>
      <c r="J200" s="3" t="s">
        <v>764</v>
      </c>
      <c r="K200" s="10" t="s">
        <v>765</v>
      </c>
      <c r="M200">
        <v>225</v>
      </c>
      <c r="P200" t="s">
        <v>766</v>
      </c>
      <c r="Q200" s="10">
        <f>INT(Tabela1[[#This Row],[DATA]])</f>
        <v>46167</v>
      </c>
      <c r="R200" s="14" t="str">
        <f ca="1">IF(AND(Q200&gt;=TODAY()-WEEKDAY(TODAY(),2)+1,Q200&lt;TODAY()),"SIM","NÃO")</f>
        <v>NÃO</v>
      </c>
    </row>
    <row r="201" spans="1:18" hidden="1">
      <c r="A201" t="s">
        <v>767</v>
      </c>
      <c r="B201" t="s">
        <v>768</v>
      </c>
      <c r="C201">
        <v>300262135</v>
      </c>
      <c r="D201">
        <v>15855880</v>
      </c>
      <c r="E201" t="s">
        <v>37</v>
      </c>
      <c r="F201" t="s">
        <v>769</v>
      </c>
      <c r="G201">
        <v>40</v>
      </c>
      <c r="H201" t="s">
        <v>39</v>
      </c>
      <c r="I201" t="s">
        <v>23</v>
      </c>
      <c r="J201" s="3" t="s">
        <v>770</v>
      </c>
      <c r="K201" s="10" t="s">
        <v>771</v>
      </c>
      <c r="M201">
        <v>226</v>
      </c>
      <c r="P201" t="s">
        <v>772</v>
      </c>
      <c r="Q201" s="10">
        <f>INT(Tabela1[[#This Row],[DATA]])</f>
        <v>46167</v>
      </c>
      <c r="R201" s="14" t="str">
        <f ca="1">IF(AND(Q201&gt;=TODAY()-WEEKDAY(TODAY(),2)+1,Q201&lt;TODAY()),"SIM","NÃO")</f>
        <v>NÃO</v>
      </c>
    </row>
    <row r="202" spans="1:18" hidden="1">
      <c r="A202" t="s">
        <v>378</v>
      </c>
      <c r="B202" t="s">
        <v>137</v>
      </c>
      <c r="C202">
        <v>300259918</v>
      </c>
      <c r="D202">
        <v>15863387</v>
      </c>
      <c r="E202" t="s">
        <v>37</v>
      </c>
      <c r="F202" t="s">
        <v>203</v>
      </c>
      <c r="G202">
        <v>1254</v>
      </c>
      <c r="H202" t="s">
        <v>57</v>
      </c>
      <c r="I202" t="s">
        <v>23</v>
      </c>
      <c r="J202" s="3" t="s">
        <v>773</v>
      </c>
      <c r="K202" s="10" t="s">
        <v>774</v>
      </c>
      <c r="M202">
        <v>227</v>
      </c>
      <c r="P202" t="s">
        <v>775</v>
      </c>
      <c r="Q202" s="10">
        <f>INT(Tabela1[[#This Row],[DATA]])</f>
        <v>46168</v>
      </c>
      <c r="R202" s="14" t="str">
        <f ca="1">IF(AND(Q202&gt;=TODAY()-WEEKDAY(TODAY(),2)+1,Q202&lt;TODAY()),"SIM","NÃO")</f>
        <v>NÃO</v>
      </c>
    </row>
    <row r="203" spans="1:18" hidden="1">
      <c r="A203" t="s">
        <v>94</v>
      </c>
      <c r="B203" t="s">
        <v>95</v>
      </c>
      <c r="C203">
        <v>300265051</v>
      </c>
      <c r="D203">
        <v>16433858</v>
      </c>
      <c r="E203" t="s">
        <v>45</v>
      </c>
      <c r="F203" t="s">
        <v>113</v>
      </c>
      <c r="G203">
        <v>840</v>
      </c>
      <c r="H203" t="s">
        <v>22</v>
      </c>
      <c r="I203" t="s">
        <v>23</v>
      </c>
      <c r="J203" s="3"/>
      <c r="K203" s="10" t="s">
        <v>776</v>
      </c>
      <c r="M203">
        <v>228</v>
      </c>
      <c r="P203" t="s">
        <v>777</v>
      </c>
      <c r="Q203" s="10">
        <f>INT(Tabela1[[#This Row],[DATA]])</f>
        <v>46168</v>
      </c>
      <c r="R203" s="14" t="str">
        <f ca="1">IF(AND(Q203&gt;=TODAY()-WEEKDAY(TODAY(),2)+1,Q203&lt;TODAY()),"SIM","NÃO")</f>
        <v>NÃO</v>
      </c>
    </row>
    <row r="204" spans="1:18" hidden="1">
      <c r="A204" t="s">
        <v>94</v>
      </c>
      <c r="B204" t="s">
        <v>95</v>
      </c>
      <c r="C204">
        <v>300265052</v>
      </c>
      <c r="D204">
        <v>16433858</v>
      </c>
      <c r="E204" t="s">
        <v>45</v>
      </c>
      <c r="F204" t="s">
        <v>113</v>
      </c>
      <c r="G204">
        <v>276</v>
      </c>
      <c r="H204" t="s">
        <v>22</v>
      </c>
      <c r="I204" t="s">
        <v>23</v>
      </c>
      <c r="J204" s="3"/>
      <c r="K204" s="10" t="s">
        <v>778</v>
      </c>
      <c r="M204">
        <v>229</v>
      </c>
      <c r="P204" t="s">
        <v>779</v>
      </c>
      <c r="Q204" s="10">
        <f>INT(Tabela1[[#This Row],[DATA]])</f>
        <v>46168</v>
      </c>
      <c r="R204" s="14" t="str">
        <f ca="1">IF(AND(Q204&gt;=TODAY()-WEEKDAY(TODAY(),2)+1,Q204&lt;TODAY()),"SIM","NÃO")</f>
        <v>NÃO</v>
      </c>
    </row>
    <row r="205" spans="1:18" hidden="1">
      <c r="A205" t="s">
        <v>364</v>
      </c>
      <c r="B205" t="s">
        <v>365</v>
      </c>
      <c r="C205">
        <v>300259845</v>
      </c>
      <c r="D205">
        <v>16099605</v>
      </c>
      <c r="E205" t="s">
        <v>45</v>
      </c>
      <c r="F205" t="s">
        <v>323</v>
      </c>
      <c r="G205" t="s">
        <v>780</v>
      </c>
      <c r="H205" t="s">
        <v>39</v>
      </c>
      <c r="I205" t="s">
        <v>23</v>
      </c>
      <c r="J205" s="3" t="s">
        <v>781</v>
      </c>
      <c r="K205" s="10" t="s">
        <v>782</v>
      </c>
      <c r="M205">
        <v>230</v>
      </c>
      <c r="P205" t="s">
        <v>783</v>
      </c>
      <c r="Q205" s="10">
        <f>INT(Tabela1[[#This Row],[DATA]])</f>
        <v>46168</v>
      </c>
      <c r="R205" s="14" t="str">
        <f ca="1">IF(AND(Q205&gt;=TODAY()-WEEKDAY(TODAY(),2)+1,Q205&lt;TODAY()),"SIM","NÃO")</f>
        <v>NÃO</v>
      </c>
    </row>
    <row r="206" spans="1:18" hidden="1">
      <c r="A206" t="s">
        <v>54</v>
      </c>
      <c r="B206" t="s">
        <v>55</v>
      </c>
      <c r="C206">
        <v>300261083</v>
      </c>
      <c r="D206">
        <v>15774104</v>
      </c>
      <c r="E206" t="s">
        <v>37</v>
      </c>
      <c r="F206" t="s">
        <v>177</v>
      </c>
      <c r="G206" t="s">
        <v>784</v>
      </c>
      <c r="H206" t="s">
        <v>39</v>
      </c>
      <c r="I206" t="s">
        <v>23</v>
      </c>
      <c r="J206" s="3"/>
      <c r="K206" s="10" t="s">
        <v>785</v>
      </c>
      <c r="M206">
        <v>231</v>
      </c>
      <c r="P206" t="s">
        <v>786</v>
      </c>
      <c r="Q206" s="10">
        <f>INT(Tabela1[[#This Row],[DATA]])</f>
        <v>46168</v>
      </c>
      <c r="R206" s="14" t="str">
        <f ca="1">IF(AND(Q206&gt;=TODAY()-WEEKDAY(TODAY(),2)+1,Q206&lt;TODAY()),"SIM","NÃO")</f>
        <v>NÃO</v>
      </c>
    </row>
    <row r="207" spans="1:18" hidden="1">
      <c r="A207" t="s">
        <v>787</v>
      </c>
      <c r="B207" t="s">
        <v>788</v>
      </c>
      <c r="C207">
        <v>300262511</v>
      </c>
      <c r="D207">
        <v>16215117</v>
      </c>
      <c r="E207" t="s">
        <v>37</v>
      </c>
      <c r="F207" t="s">
        <v>38</v>
      </c>
      <c r="G207" t="s">
        <v>789</v>
      </c>
      <c r="H207" t="s">
        <v>22</v>
      </c>
      <c r="I207" t="s">
        <v>23</v>
      </c>
      <c r="J207" s="3" t="s">
        <v>790</v>
      </c>
      <c r="K207" s="10" t="s">
        <v>791</v>
      </c>
      <c r="M207">
        <v>232</v>
      </c>
      <c r="P207" t="s">
        <v>792</v>
      </c>
      <c r="Q207" s="10">
        <f>INT(Tabela1[[#This Row],[DATA]])</f>
        <v>46168</v>
      </c>
      <c r="R207" s="14" t="str">
        <f ca="1">IF(AND(Q207&gt;=TODAY()-WEEKDAY(TODAY(),2)+1,Q207&lt;TODAY()),"SIM","NÃO")</f>
        <v>NÃO</v>
      </c>
    </row>
    <row r="208" spans="1:18" hidden="1">
      <c r="A208" t="s">
        <v>214</v>
      </c>
      <c r="B208" t="s">
        <v>793</v>
      </c>
      <c r="C208">
        <v>300259104</v>
      </c>
      <c r="D208">
        <v>16217683</v>
      </c>
      <c r="E208" t="s">
        <v>37</v>
      </c>
      <c r="F208" t="s">
        <v>113</v>
      </c>
      <c r="G208">
        <v>450</v>
      </c>
      <c r="H208" t="s">
        <v>22</v>
      </c>
      <c r="I208" t="s">
        <v>23</v>
      </c>
      <c r="J208" s="3" t="s">
        <v>794</v>
      </c>
      <c r="K208" s="10" t="s">
        <v>795</v>
      </c>
      <c r="M208">
        <v>233</v>
      </c>
      <c r="P208" t="s">
        <v>796</v>
      </c>
      <c r="Q208" s="10">
        <f>INT(Tabela1[[#This Row],[DATA]])</f>
        <v>46168</v>
      </c>
      <c r="R208" s="14" t="str">
        <f ca="1">IF(AND(Q208&gt;=TODAY()-WEEKDAY(TODAY(),2)+1,Q208&lt;TODAY()),"SIM","NÃO")</f>
        <v>NÃO</v>
      </c>
    </row>
    <row r="209" spans="1:18" hidden="1">
      <c r="A209" t="s">
        <v>797</v>
      </c>
      <c r="B209" t="s">
        <v>798</v>
      </c>
      <c r="C209">
        <v>300260708</v>
      </c>
      <c r="D209">
        <v>16473914</v>
      </c>
      <c r="E209" t="s">
        <v>37</v>
      </c>
      <c r="F209" t="s">
        <v>329</v>
      </c>
      <c r="G209">
        <v>309</v>
      </c>
      <c r="H209" t="s">
        <v>22</v>
      </c>
      <c r="I209" t="s">
        <v>23</v>
      </c>
      <c r="J209" s="3" t="s">
        <v>799</v>
      </c>
      <c r="K209" s="10" t="s">
        <v>800</v>
      </c>
      <c r="M209">
        <v>234</v>
      </c>
      <c r="P209" t="s">
        <v>801</v>
      </c>
      <c r="Q209" s="10">
        <f>INT(Tabela1[[#This Row],[DATA]])</f>
        <v>46168</v>
      </c>
      <c r="R209" s="14" t="str">
        <f ca="1">IF(AND(Q209&gt;=TODAY()-WEEKDAY(TODAY(),2)+1,Q209&lt;TODAY()),"SIM","NÃO")</f>
        <v>NÃO</v>
      </c>
    </row>
    <row r="210" spans="1:18" hidden="1">
      <c r="A210" t="s">
        <v>313</v>
      </c>
      <c r="B210" t="s">
        <v>314</v>
      </c>
      <c r="C210">
        <v>300263362</v>
      </c>
      <c r="D210">
        <v>16099605</v>
      </c>
      <c r="E210" t="s">
        <v>45</v>
      </c>
      <c r="F210" t="s">
        <v>802</v>
      </c>
      <c r="G210" t="s">
        <v>803</v>
      </c>
      <c r="H210" t="s">
        <v>22</v>
      </c>
      <c r="I210" t="s">
        <v>23</v>
      </c>
      <c r="J210" s="3" t="s">
        <v>804</v>
      </c>
      <c r="K210" s="10" t="s">
        <v>805</v>
      </c>
      <c r="M210">
        <v>235</v>
      </c>
      <c r="P210" t="s">
        <v>806</v>
      </c>
      <c r="Q210" s="10">
        <f>INT(Tabela1[[#This Row],[DATA]])</f>
        <v>46168</v>
      </c>
      <c r="R210" s="14" t="str">
        <f ca="1">IF(AND(Q210&gt;=TODAY()-WEEKDAY(TODAY(),2)+1,Q210&lt;TODAY()),"SIM","NÃO")</f>
        <v>NÃO</v>
      </c>
    </row>
    <row r="211" spans="1:18" hidden="1">
      <c r="A211" t="s">
        <v>807</v>
      </c>
      <c r="B211" t="s">
        <v>808</v>
      </c>
      <c r="C211">
        <v>300262863</v>
      </c>
      <c r="D211">
        <v>15433269</v>
      </c>
      <c r="E211" t="s">
        <v>45</v>
      </c>
      <c r="F211" t="s">
        <v>103</v>
      </c>
      <c r="G211">
        <v>100</v>
      </c>
      <c r="H211" t="s">
        <v>809</v>
      </c>
      <c r="I211" t="s">
        <v>23</v>
      </c>
      <c r="J211" s="3" t="s">
        <v>810</v>
      </c>
      <c r="K211" s="10" t="s">
        <v>811</v>
      </c>
      <c r="M211">
        <v>236</v>
      </c>
      <c r="P211" t="s">
        <v>812</v>
      </c>
      <c r="Q211" s="10">
        <f>INT(Tabela1[[#This Row],[DATA]])</f>
        <v>46168</v>
      </c>
      <c r="R211" s="14" t="str">
        <f ca="1">IF(AND(Q211&gt;=TODAY()-WEEKDAY(TODAY(),2)+1,Q211&lt;TODAY()),"SIM","NÃO")</f>
        <v>NÃO</v>
      </c>
    </row>
    <row r="212" spans="1:18" hidden="1">
      <c r="A212" t="s">
        <v>18</v>
      </c>
      <c r="B212" t="s">
        <v>19</v>
      </c>
      <c r="C212">
        <v>300264402</v>
      </c>
      <c r="D212">
        <v>15581888</v>
      </c>
      <c r="E212" t="s">
        <v>20</v>
      </c>
      <c r="F212" t="s">
        <v>813</v>
      </c>
      <c r="G212">
        <v>53</v>
      </c>
      <c r="H212" t="s">
        <v>22</v>
      </c>
      <c r="I212" t="s">
        <v>23</v>
      </c>
      <c r="J212" s="3" t="s">
        <v>814</v>
      </c>
      <c r="K212" s="10" t="s">
        <v>815</v>
      </c>
      <c r="M212">
        <v>237</v>
      </c>
      <c r="P212" t="s">
        <v>816</v>
      </c>
      <c r="Q212" s="10">
        <f>INT(Tabela1[[#This Row],[DATA]])</f>
        <v>46168</v>
      </c>
      <c r="R212" s="14" t="str">
        <f ca="1">IF(AND(Q212&gt;=TODAY()-WEEKDAY(TODAY(),2)+1,Q212&lt;TODAY()),"SIM","NÃO")</f>
        <v>NÃO</v>
      </c>
    </row>
    <row r="213" spans="1:18" hidden="1">
      <c r="A213" t="s">
        <v>387</v>
      </c>
      <c r="B213" t="s">
        <v>388</v>
      </c>
      <c r="C213">
        <v>300264890</v>
      </c>
      <c r="D213">
        <v>16448430</v>
      </c>
      <c r="E213" t="s">
        <v>37</v>
      </c>
      <c r="F213" t="s">
        <v>221</v>
      </c>
      <c r="G213" t="s">
        <v>817</v>
      </c>
      <c r="H213" t="s">
        <v>39</v>
      </c>
      <c r="I213" t="s">
        <v>23</v>
      </c>
      <c r="J213" s="3" t="s">
        <v>818</v>
      </c>
      <c r="K213" s="10" t="s">
        <v>819</v>
      </c>
      <c r="M213">
        <v>238</v>
      </c>
      <c r="P213" t="s">
        <v>820</v>
      </c>
      <c r="Q213" s="10">
        <f>INT(Tabela1[[#This Row],[DATA]])</f>
        <v>46168</v>
      </c>
      <c r="R213" s="14" t="str">
        <f ca="1">IF(AND(Q213&gt;=TODAY()-WEEKDAY(TODAY(),2)+1,Q213&lt;TODAY()),"SIM","NÃO")</f>
        <v>NÃO</v>
      </c>
    </row>
    <row r="214" spans="1:18" hidden="1">
      <c r="A214" t="s">
        <v>821</v>
      </c>
      <c r="B214" t="s">
        <v>822</v>
      </c>
      <c r="C214">
        <v>300261856</v>
      </c>
      <c r="D214">
        <v>16523164</v>
      </c>
      <c r="E214" t="s">
        <v>37</v>
      </c>
      <c r="F214" t="s">
        <v>90</v>
      </c>
      <c r="G214">
        <v>1430</v>
      </c>
      <c r="H214" t="s">
        <v>22</v>
      </c>
      <c r="I214" t="s">
        <v>23</v>
      </c>
      <c r="J214" s="3"/>
      <c r="K214" s="10" t="s">
        <v>823</v>
      </c>
      <c r="M214">
        <v>239</v>
      </c>
      <c r="P214" t="s">
        <v>824</v>
      </c>
      <c r="Q214" s="10">
        <f>INT(Tabela1[[#This Row],[DATA]])</f>
        <v>46168</v>
      </c>
      <c r="R214" s="14" t="str">
        <f ca="1">IF(AND(Q214&gt;=TODAY()-WEEKDAY(TODAY(),2)+1,Q214&lt;TODAY()),"SIM","NÃO")</f>
        <v>NÃO</v>
      </c>
    </row>
    <row r="215" spans="1:18" hidden="1">
      <c r="A215" t="s">
        <v>821</v>
      </c>
      <c r="B215" t="s">
        <v>822</v>
      </c>
      <c r="C215">
        <v>300261856</v>
      </c>
      <c r="D215">
        <v>16523164</v>
      </c>
      <c r="E215" t="s">
        <v>37</v>
      </c>
      <c r="F215" t="s">
        <v>315</v>
      </c>
      <c r="G215">
        <v>1430</v>
      </c>
      <c r="H215" t="s">
        <v>22</v>
      </c>
      <c r="I215" t="s">
        <v>23</v>
      </c>
      <c r="J215" s="3"/>
      <c r="K215" s="10" t="s">
        <v>825</v>
      </c>
      <c r="M215">
        <v>240</v>
      </c>
      <c r="P215" t="s">
        <v>826</v>
      </c>
      <c r="Q215" s="10">
        <f>INT(Tabela1[[#This Row],[DATA]])</f>
        <v>46168</v>
      </c>
      <c r="R215" s="14" t="str">
        <f ca="1">IF(AND(Q215&gt;=TODAY()-WEEKDAY(TODAY(),2)+1,Q215&lt;TODAY()),"SIM","NÃO")</f>
        <v>NÃO</v>
      </c>
    </row>
    <row r="216" spans="1:18" hidden="1">
      <c r="A216" t="s">
        <v>755</v>
      </c>
      <c r="B216" t="s">
        <v>756</v>
      </c>
      <c r="C216">
        <v>300260709</v>
      </c>
      <c r="D216">
        <v>16473914</v>
      </c>
      <c r="E216" t="s">
        <v>37</v>
      </c>
      <c r="F216" t="s">
        <v>177</v>
      </c>
      <c r="G216">
        <v>1315</v>
      </c>
      <c r="H216" t="s">
        <v>39</v>
      </c>
      <c r="I216" t="s">
        <v>23</v>
      </c>
      <c r="J216" s="3" t="s">
        <v>827</v>
      </c>
      <c r="K216" s="10" t="s">
        <v>828</v>
      </c>
      <c r="M216">
        <v>241</v>
      </c>
      <c r="P216" t="s">
        <v>829</v>
      </c>
      <c r="Q216" s="10">
        <f>INT(Tabela1[[#This Row],[DATA]])</f>
        <v>46168</v>
      </c>
      <c r="R216" s="14" t="str">
        <f ca="1">IF(AND(Q216&gt;=TODAY()-WEEKDAY(TODAY(),2)+1,Q216&lt;TODAY()),"SIM","NÃO")</f>
        <v>NÃO</v>
      </c>
    </row>
    <row r="217" spans="1:18" hidden="1">
      <c r="A217" t="s">
        <v>253</v>
      </c>
      <c r="B217" t="s">
        <v>254</v>
      </c>
      <c r="C217">
        <v>300261091</v>
      </c>
      <c r="D217">
        <v>15774104</v>
      </c>
      <c r="E217" t="s">
        <v>37</v>
      </c>
      <c r="F217" t="s">
        <v>151</v>
      </c>
      <c r="G217" t="s">
        <v>830</v>
      </c>
      <c r="H217" t="s">
        <v>22</v>
      </c>
      <c r="I217" t="s">
        <v>23</v>
      </c>
      <c r="J217" s="3" t="s">
        <v>579</v>
      </c>
      <c r="K217" s="10" t="s">
        <v>831</v>
      </c>
      <c r="M217">
        <v>242</v>
      </c>
      <c r="P217" t="s">
        <v>832</v>
      </c>
      <c r="Q217" s="10">
        <f>INT(Tabela1[[#This Row],[DATA]])</f>
        <v>46168</v>
      </c>
      <c r="R217" s="14" t="str">
        <f ca="1">IF(AND(Q217&gt;=TODAY()-WEEKDAY(TODAY(),2)+1,Q217&lt;TODAY()),"SIM","NÃO")</f>
        <v>NÃO</v>
      </c>
    </row>
    <row r="218" spans="1:18" hidden="1">
      <c r="A218" t="s">
        <v>428</v>
      </c>
      <c r="B218" t="s">
        <v>429</v>
      </c>
      <c r="C218">
        <v>300262465</v>
      </c>
      <c r="D218">
        <v>14487004</v>
      </c>
      <c r="E218" t="s">
        <v>29</v>
      </c>
      <c r="F218" t="s">
        <v>430</v>
      </c>
      <c r="G218">
        <v>200</v>
      </c>
      <c r="H218" t="s">
        <v>22</v>
      </c>
      <c r="I218" t="s">
        <v>23</v>
      </c>
      <c r="J218" s="3"/>
      <c r="K218" s="10" t="s">
        <v>833</v>
      </c>
      <c r="M218">
        <v>243</v>
      </c>
      <c r="P218" t="s">
        <v>834</v>
      </c>
      <c r="Q218" s="10">
        <f>INT(Tabela1[[#This Row],[DATA]])</f>
        <v>46168</v>
      </c>
      <c r="R218" s="14" t="str">
        <f ca="1">IF(AND(Q218&gt;=TODAY()-WEEKDAY(TODAY(),2)+1,Q218&lt;TODAY()),"SIM","NÃO")</f>
        <v>NÃO</v>
      </c>
    </row>
    <row r="219" spans="1:18" hidden="1">
      <c r="A219" t="s">
        <v>54</v>
      </c>
      <c r="B219" t="s">
        <v>55</v>
      </c>
      <c r="C219">
        <v>300263702</v>
      </c>
      <c r="D219">
        <v>16100280</v>
      </c>
      <c r="E219" t="s">
        <v>37</v>
      </c>
      <c r="F219" t="s">
        <v>177</v>
      </c>
      <c r="G219">
        <v>10</v>
      </c>
      <c r="H219" t="s">
        <v>22</v>
      </c>
      <c r="I219" t="s">
        <v>23</v>
      </c>
      <c r="J219" s="3"/>
      <c r="K219" s="10" t="s">
        <v>835</v>
      </c>
      <c r="M219">
        <v>244</v>
      </c>
      <c r="P219" t="s">
        <v>836</v>
      </c>
      <c r="Q219" s="10">
        <f>INT(Tabela1[[#This Row],[DATA]])</f>
        <v>46168</v>
      </c>
      <c r="R219" s="14" t="str">
        <f ca="1">IF(AND(Q219&gt;=TODAY()-WEEKDAY(TODAY(),2)+1,Q219&lt;TODAY()),"SIM","NÃO")</f>
        <v>NÃO</v>
      </c>
    </row>
    <row r="220" spans="1:18" hidden="1">
      <c r="A220" t="s">
        <v>273</v>
      </c>
      <c r="B220" t="s">
        <v>274</v>
      </c>
      <c r="C220">
        <v>300262464</v>
      </c>
      <c r="D220">
        <v>14487004</v>
      </c>
      <c r="E220" t="s">
        <v>29</v>
      </c>
      <c r="F220" t="s">
        <v>145</v>
      </c>
      <c r="G220">
        <v>1</v>
      </c>
      <c r="H220" t="s">
        <v>39</v>
      </c>
      <c r="I220" t="s">
        <v>23</v>
      </c>
      <c r="J220" s="3" t="s">
        <v>837</v>
      </c>
      <c r="K220" s="10" t="s">
        <v>838</v>
      </c>
      <c r="M220">
        <v>245</v>
      </c>
      <c r="P220" t="s">
        <v>839</v>
      </c>
      <c r="Q220" s="10">
        <f>INT(Tabela1[[#This Row],[DATA]])</f>
        <v>46168</v>
      </c>
      <c r="R220" s="14" t="str">
        <f ca="1">IF(AND(Q220&gt;=TODAY()-WEEKDAY(TODAY(),2)+1,Q220&lt;TODAY()),"SIM","NÃO")</f>
        <v>NÃO</v>
      </c>
    </row>
    <row r="221" spans="1:18" hidden="1">
      <c r="A221" t="s">
        <v>94</v>
      </c>
      <c r="B221" t="s">
        <v>95</v>
      </c>
      <c r="C221">
        <v>300265051</v>
      </c>
      <c r="D221">
        <v>16433858</v>
      </c>
      <c r="E221" t="s">
        <v>45</v>
      </c>
      <c r="F221" t="s">
        <v>259</v>
      </c>
      <c r="G221">
        <v>840</v>
      </c>
      <c r="H221" t="s">
        <v>547</v>
      </c>
      <c r="I221" t="s">
        <v>23</v>
      </c>
      <c r="J221" s="3"/>
      <c r="K221" s="10" t="s">
        <v>840</v>
      </c>
      <c r="M221">
        <v>246</v>
      </c>
      <c r="P221" t="s">
        <v>841</v>
      </c>
      <c r="Q221" s="10">
        <f>INT(Tabela1[[#This Row],[DATA]])</f>
        <v>46168</v>
      </c>
      <c r="R221" s="14" t="str">
        <f ca="1">IF(AND(Q221&gt;=TODAY()-WEEKDAY(TODAY(),2)+1,Q221&lt;TODAY()),"SIM","NÃO")</f>
        <v>NÃO</v>
      </c>
    </row>
    <row r="222" spans="1:18" hidden="1">
      <c r="A222" t="s">
        <v>136</v>
      </c>
      <c r="B222" t="s">
        <v>137</v>
      </c>
      <c r="C222">
        <v>300248761</v>
      </c>
      <c r="D222">
        <v>16247388</v>
      </c>
      <c r="E222" t="s">
        <v>37</v>
      </c>
      <c r="F222" t="s">
        <v>177</v>
      </c>
      <c r="G222">
        <v>408</v>
      </c>
      <c r="H222" t="s">
        <v>57</v>
      </c>
      <c r="I222" t="s">
        <v>23</v>
      </c>
      <c r="J222" s="3" t="s">
        <v>842</v>
      </c>
      <c r="K222" s="10" t="s">
        <v>843</v>
      </c>
      <c r="M222">
        <v>247</v>
      </c>
      <c r="P222" t="s">
        <v>844</v>
      </c>
      <c r="Q222" s="10">
        <f>INT(Tabela1[[#This Row],[DATA]])</f>
        <v>46168</v>
      </c>
      <c r="R222" s="14" t="str">
        <f ca="1">IF(AND(Q222&gt;=TODAY()-WEEKDAY(TODAY(),2)+1,Q222&lt;TODAY()),"SIM","NÃO")</f>
        <v>NÃO</v>
      </c>
    </row>
    <row r="223" spans="1:18" hidden="1">
      <c r="A223" t="s">
        <v>845</v>
      </c>
      <c r="B223" t="s">
        <v>846</v>
      </c>
      <c r="C223">
        <v>300261089</v>
      </c>
      <c r="D223">
        <v>15774104</v>
      </c>
      <c r="E223" t="s">
        <v>37</v>
      </c>
      <c r="F223" t="s">
        <v>103</v>
      </c>
      <c r="G223">
        <v>1244</v>
      </c>
      <c r="H223" t="s">
        <v>847</v>
      </c>
      <c r="I223" t="s">
        <v>23</v>
      </c>
      <c r="J223" s="3" t="s">
        <v>848</v>
      </c>
      <c r="K223" s="10" t="s">
        <v>849</v>
      </c>
      <c r="M223">
        <v>248</v>
      </c>
      <c r="P223" t="s">
        <v>850</v>
      </c>
      <c r="Q223" s="10">
        <f>INT(Tabela1[[#This Row],[DATA]])</f>
        <v>46168</v>
      </c>
      <c r="R223" s="14" t="str">
        <f ca="1">IF(AND(Q223&gt;=TODAY()-WEEKDAY(TODAY(),2)+1,Q223&lt;TODAY()),"SIM","NÃO")</f>
        <v>NÃO</v>
      </c>
    </row>
    <row r="224" spans="1:18" hidden="1">
      <c r="A224" t="s">
        <v>343</v>
      </c>
      <c r="B224" t="s">
        <v>344</v>
      </c>
      <c r="C224">
        <v>300263218</v>
      </c>
      <c r="D224">
        <v>16488393</v>
      </c>
      <c r="E224" t="s">
        <v>37</v>
      </c>
      <c r="F224" t="s">
        <v>802</v>
      </c>
      <c r="G224">
        <v>4</v>
      </c>
      <c r="H224" t="s">
        <v>39</v>
      </c>
      <c r="I224" t="s">
        <v>23</v>
      </c>
      <c r="J224" s="3" t="s">
        <v>851</v>
      </c>
      <c r="K224" s="10" t="s">
        <v>852</v>
      </c>
      <c r="M224">
        <v>249</v>
      </c>
      <c r="P224" t="s">
        <v>853</v>
      </c>
      <c r="Q224" s="10">
        <f>INT(Tabela1[[#This Row],[DATA]])</f>
        <v>46168</v>
      </c>
      <c r="R224" s="14" t="str">
        <f ca="1">IF(AND(Q224&gt;=TODAY()-WEEKDAY(TODAY(),2)+1,Q224&lt;TODAY()),"SIM","NÃO")</f>
        <v>NÃO</v>
      </c>
    </row>
    <row r="225" spans="1:18" hidden="1">
      <c r="A225" t="s">
        <v>73</v>
      </c>
      <c r="B225" t="s">
        <v>80</v>
      </c>
      <c r="C225">
        <v>300263947</v>
      </c>
      <c r="D225">
        <v>13044826</v>
      </c>
      <c r="E225" t="s">
        <v>29</v>
      </c>
      <c r="F225" t="s">
        <v>38</v>
      </c>
      <c r="G225" t="s">
        <v>854</v>
      </c>
      <c r="H225" t="s">
        <v>22</v>
      </c>
      <c r="I225" t="s">
        <v>23</v>
      </c>
      <c r="J225" s="3" t="s">
        <v>555</v>
      </c>
      <c r="K225" s="10" t="s">
        <v>855</v>
      </c>
      <c r="M225">
        <v>250</v>
      </c>
      <c r="P225" t="s">
        <v>856</v>
      </c>
      <c r="Q225" s="10">
        <f>INT(Tabela1[[#This Row],[DATA]])</f>
        <v>46168</v>
      </c>
      <c r="R225" s="14" t="str">
        <f ca="1">IF(AND(Q225&gt;=TODAY()-WEEKDAY(TODAY(),2)+1,Q225&lt;TODAY()),"SIM","NÃO")</f>
        <v>NÃO</v>
      </c>
    </row>
    <row r="226" spans="1:18" hidden="1">
      <c r="A226" t="s">
        <v>253</v>
      </c>
      <c r="B226" t="s">
        <v>254</v>
      </c>
      <c r="C226">
        <v>300249466</v>
      </c>
      <c r="D226">
        <v>16350588</v>
      </c>
      <c r="E226" t="s">
        <v>45</v>
      </c>
      <c r="F226" t="s">
        <v>323</v>
      </c>
      <c r="G226" t="s">
        <v>857</v>
      </c>
      <c r="H226" t="s">
        <v>22</v>
      </c>
      <c r="I226" t="s">
        <v>23</v>
      </c>
      <c r="J226" s="3" t="s">
        <v>858</v>
      </c>
      <c r="K226" s="10" t="s">
        <v>859</v>
      </c>
      <c r="M226">
        <v>251</v>
      </c>
      <c r="P226" t="s">
        <v>860</v>
      </c>
      <c r="Q226" s="10">
        <f>INT(Tabela1[[#This Row],[DATA]])</f>
        <v>46168</v>
      </c>
      <c r="R226" s="14" t="str">
        <f ca="1">IF(AND(Q226&gt;=TODAY()-WEEKDAY(TODAY(),2)+1,Q226&lt;TODAY()),"SIM","NÃO")</f>
        <v>NÃO</v>
      </c>
    </row>
    <row r="227" spans="1:18" hidden="1">
      <c r="A227" t="s">
        <v>305</v>
      </c>
      <c r="B227" t="s">
        <v>306</v>
      </c>
      <c r="C227">
        <v>300263232</v>
      </c>
      <c r="D227">
        <v>16488067</v>
      </c>
      <c r="E227" t="s">
        <v>37</v>
      </c>
      <c r="F227" t="s">
        <v>216</v>
      </c>
      <c r="G227" t="s">
        <v>861</v>
      </c>
      <c r="H227" t="s">
        <v>22</v>
      </c>
      <c r="I227" t="s">
        <v>23</v>
      </c>
      <c r="J227" s="3" t="s">
        <v>862</v>
      </c>
      <c r="K227" s="10" t="s">
        <v>863</v>
      </c>
      <c r="M227">
        <v>252</v>
      </c>
      <c r="P227" t="s">
        <v>864</v>
      </c>
      <c r="Q227" s="10">
        <f>INT(Tabela1[[#This Row],[DATA]])</f>
        <v>46168</v>
      </c>
      <c r="R227" s="14" t="str">
        <f ca="1">IF(AND(Q227&gt;=TODAY()-WEEKDAY(TODAY(),2)+1,Q227&lt;TODAY()),"SIM","NÃO")</f>
        <v>NÃO</v>
      </c>
    </row>
    <row r="228" spans="1:18" hidden="1">
      <c r="A228" t="s">
        <v>68</v>
      </c>
      <c r="B228" t="s">
        <v>69</v>
      </c>
      <c r="C228">
        <v>300267336</v>
      </c>
      <c r="D228">
        <v>16217799</v>
      </c>
      <c r="E228" t="s">
        <v>37</v>
      </c>
      <c r="F228" t="s">
        <v>60</v>
      </c>
      <c r="G228">
        <v>25</v>
      </c>
      <c r="H228" t="s">
        <v>217</v>
      </c>
      <c r="I228" t="s">
        <v>23</v>
      </c>
      <c r="J228" s="3" t="s">
        <v>865</v>
      </c>
      <c r="K228" s="10" t="s">
        <v>866</v>
      </c>
      <c r="M228">
        <v>253</v>
      </c>
      <c r="N228" t="s">
        <v>867</v>
      </c>
      <c r="P228" t="s">
        <v>868</v>
      </c>
      <c r="Q228" s="10">
        <f>INT(Tabela1[[#This Row],[DATA]])</f>
        <v>46168</v>
      </c>
      <c r="R228" s="14" t="str">
        <f ca="1">IF(AND(Q228&gt;=TODAY()-WEEKDAY(TODAY(),2)+1,Q228&lt;TODAY()),"SIM","NÃO")</f>
        <v>NÃO</v>
      </c>
    </row>
    <row r="229" spans="1:18" hidden="1">
      <c r="A229" t="s">
        <v>605</v>
      </c>
      <c r="B229" t="s">
        <v>606</v>
      </c>
      <c r="C229">
        <v>300263199</v>
      </c>
      <c r="D229">
        <v>15215539</v>
      </c>
      <c r="E229" t="s">
        <v>45</v>
      </c>
      <c r="F229" t="s">
        <v>151</v>
      </c>
      <c r="G229" t="s">
        <v>869</v>
      </c>
      <c r="H229" t="s">
        <v>22</v>
      </c>
      <c r="I229" t="s">
        <v>23</v>
      </c>
      <c r="J229" s="3" t="s">
        <v>870</v>
      </c>
      <c r="K229" s="10" t="s">
        <v>871</v>
      </c>
      <c r="M229">
        <v>254</v>
      </c>
      <c r="N229" t="s">
        <v>867</v>
      </c>
      <c r="P229" t="s">
        <v>872</v>
      </c>
      <c r="Q229" s="10">
        <f>INT(Tabela1[[#This Row],[DATA]])</f>
        <v>46168</v>
      </c>
      <c r="R229" s="14" t="str">
        <f ca="1">IF(AND(Q229&gt;=TODAY()-WEEKDAY(TODAY(),2)+1,Q229&lt;TODAY()),"SIM","NÃO")</f>
        <v>NÃO</v>
      </c>
    </row>
    <row r="230" spans="1:18" hidden="1">
      <c r="A230" t="s">
        <v>163</v>
      </c>
      <c r="B230" t="s">
        <v>164</v>
      </c>
      <c r="C230">
        <v>300264397</v>
      </c>
      <c r="D230">
        <v>16447603</v>
      </c>
      <c r="E230" t="s">
        <v>37</v>
      </c>
      <c r="F230" t="s">
        <v>113</v>
      </c>
      <c r="G230">
        <v>1166</v>
      </c>
      <c r="H230" t="s">
        <v>22</v>
      </c>
      <c r="I230" t="s">
        <v>23</v>
      </c>
      <c r="J230" s="3" t="s">
        <v>873</v>
      </c>
      <c r="K230" s="10" t="s">
        <v>874</v>
      </c>
      <c r="M230">
        <v>255</v>
      </c>
      <c r="N230" t="s">
        <v>867</v>
      </c>
      <c r="P230" t="s">
        <v>875</v>
      </c>
      <c r="Q230" s="10">
        <f>INT(Tabela1[[#This Row],[DATA]])</f>
        <v>46169</v>
      </c>
      <c r="R230" s="14" t="str">
        <f ca="1">IF(AND(Q230&gt;=TODAY()-WEEKDAY(TODAY(),2)+1,Q230&lt;TODAY()),"SIM","NÃO")</f>
        <v>NÃO</v>
      </c>
    </row>
    <row r="231" spans="1:18" hidden="1">
      <c r="A231" t="s">
        <v>163</v>
      </c>
      <c r="B231" t="s">
        <v>164</v>
      </c>
      <c r="C231">
        <v>300244397</v>
      </c>
      <c r="D231">
        <v>16447603</v>
      </c>
      <c r="E231" t="s">
        <v>37</v>
      </c>
      <c r="F231" t="s">
        <v>113</v>
      </c>
      <c r="G231">
        <v>1166</v>
      </c>
      <c r="H231" t="s">
        <v>22</v>
      </c>
      <c r="I231" t="s">
        <v>23</v>
      </c>
      <c r="J231" s="3" t="s">
        <v>876</v>
      </c>
      <c r="K231" s="10" t="s">
        <v>877</v>
      </c>
      <c r="M231">
        <v>256</v>
      </c>
      <c r="N231" t="s">
        <v>878</v>
      </c>
      <c r="P231" t="s">
        <v>879</v>
      </c>
      <c r="Q231" s="10">
        <f>INT(Tabela1[[#This Row],[DATA]])</f>
        <v>46169</v>
      </c>
      <c r="R231" s="14" t="str">
        <f ca="1">IF(AND(Q231&gt;=TODAY()-WEEKDAY(TODAY(),2)+1,Q231&lt;TODAY()),"SIM","NÃO")</f>
        <v>NÃO</v>
      </c>
    </row>
    <row r="232" spans="1:18" hidden="1">
      <c r="A232" t="s">
        <v>111</v>
      </c>
      <c r="B232" t="s">
        <v>112</v>
      </c>
      <c r="C232">
        <v>300265054</v>
      </c>
      <c r="D232">
        <v>16453310</v>
      </c>
      <c r="E232" t="s">
        <v>20</v>
      </c>
      <c r="F232" t="s">
        <v>38</v>
      </c>
      <c r="G232" t="s">
        <v>880</v>
      </c>
      <c r="H232" t="s">
        <v>22</v>
      </c>
      <c r="I232" t="s">
        <v>23</v>
      </c>
      <c r="J232" s="3"/>
      <c r="K232" s="10" t="s">
        <v>881</v>
      </c>
      <c r="M232">
        <v>257</v>
      </c>
      <c r="N232" t="s">
        <v>867</v>
      </c>
      <c r="P232" t="s">
        <v>882</v>
      </c>
      <c r="Q232" s="10">
        <f>INT(Tabela1[[#This Row],[DATA]])</f>
        <v>46169</v>
      </c>
      <c r="R232" s="14" t="str">
        <f ca="1">IF(AND(Q232&gt;=TODAY()-WEEKDAY(TODAY(),2)+1,Q232&lt;TODAY()),"SIM","NÃO")</f>
        <v>NÃO</v>
      </c>
    </row>
    <row r="233" spans="1:18" hidden="1">
      <c r="A233" t="s">
        <v>143</v>
      </c>
      <c r="B233" t="s">
        <v>144</v>
      </c>
      <c r="C233">
        <v>300262881</v>
      </c>
      <c r="D233">
        <v>16474228</v>
      </c>
      <c r="E233" t="s">
        <v>45</v>
      </c>
      <c r="F233" t="s">
        <v>883</v>
      </c>
      <c r="G233">
        <v>2</v>
      </c>
      <c r="H233" t="s">
        <v>884</v>
      </c>
      <c r="I233" t="s">
        <v>23</v>
      </c>
      <c r="J233" s="3" t="s">
        <v>885</v>
      </c>
      <c r="K233" s="10" t="s">
        <v>886</v>
      </c>
      <c r="M233">
        <v>258</v>
      </c>
      <c r="N233" t="s">
        <v>878</v>
      </c>
      <c r="P233" t="s">
        <v>887</v>
      </c>
      <c r="Q233" s="10">
        <f>INT(Tabela1[[#This Row],[DATA]])</f>
        <v>46169</v>
      </c>
      <c r="R233" s="14" t="str">
        <f ca="1">IF(AND(Q233&gt;=TODAY()-WEEKDAY(TODAY(),2)+1,Q233&lt;TODAY()),"SIM","NÃO")</f>
        <v>NÃO</v>
      </c>
    </row>
    <row r="234" spans="1:18" hidden="1">
      <c r="A234" t="s">
        <v>111</v>
      </c>
      <c r="B234" t="s">
        <v>112</v>
      </c>
      <c r="C234">
        <v>300265054</v>
      </c>
      <c r="D234">
        <v>16453310</v>
      </c>
      <c r="E234" t="s">
        <v>20</v>
      </c>
      <c r="F234" t="s">
        <v>60</v>
      </c>
      <c r="G234" t="s">
        <v>888</v>
      </c>
      <c r="H234" t="s">
        <v>22</v>
      </c>
      <c r="I234" t="s">
        <v>23</v>
      </c>
      <c r="J234" s="3"/>
      <c r="K234" s="10" t="s">
        <v>889</v>
      </c>
      <c r="M234">
        <v>259</v>
      </c>
      <c r="N234" t="s">
        <v>867</v>
      </c>
      <c r="P234" t="s">
        <v>890</v>
      </c>
      <c r="Q234" s="10">
        <f>INT(Tabela1[[#This Row],[DATA]])</f>
        <v>46169</v>
      </c>
      <c r="R234" s="14" t="str">
        <f ca="1">IF(AND(Q234&gt;=TODAY()-WEEKDAY(TODAY(),2)+1,Q234&lt;TODAY()),"SIM","NÃO")</f>
        <v>NÃO</v>
      </c>
    </row>
    <row r="235" spans="1:18" hidden="1">
      <c r="A235" t="s">
        <v>253</v>
      </c>
      <c r="B235" t="s">
        <v>254</v>
      </c>
      <c r="C235">
        <v>300261090</v>
      </c>
      <c r="D235">
        <v>15774104</v>
      </c>
      <c r="E235" t="s">
        <v>45</v>
      </c>
      <c r="F235" t="s">
        <v>891</v>
      </c>
      <c r="G235" t="s">
        <v>892</v>
      </c>
      <c r="H235" t="s">
        <v>22</v>
      </c>
      <c r="I235" t="s">
        <v>23</v>
      </c>
      <c r="J235" s="3"/>
      <c r="K235" s="10" t="s">
        <v>893</v>
      </c>
      <c r="M235">
        <v>260</v>
      </c>
      <c r="N235" t="s">
        <v>878</v>
      </c>
      <c r="P235" t="s">
        <v>894</v>
      </c>
      <c r="Q235" s="10">
        <f>INT(Tabela1[[#This Row],[DATA]])</f>
        <v>46169</v>
      </c>
      <c r="R235" s="14" t="str">
        <f ca="1">IF(AND(Q235&gt;=TODAY()-WEEKDAY(TODAY(),2)+1,Q235&lt;TODAY()),"SIM","NÃO")</f>
        <v>NÃO</v>
      </c>
    </row>
    <row r="236" spans="1:18" hidden="1">
      <c r="A236" t="s">
        <v>895</v>
      </c>
      <c r="B236" t="s">
        <v>896</v>
      </c>
      <c r="C236">
        <v>300263216</v>
      </c>
      <c r="D236">
        <v>16488393</v>
      </c>
      <c r="E236" t="s">
        <v>37</v>
      </c>
      <c r="F236" t="s">
        <v>60</v>
      </c>
      <c r="G236">
        <v>910</v>
      </c>
      <c r="H236" t="s">
        <v>39</v>
      </c>
      <c r="I236" t="s">
        <v>23</v>
      </c>
      <c r="J236" s="3"/>
      <c r="K236" s="10" t="s">
        <v>897</v>
      </c>
      <c r="M236">
        <v>261</v>
      </c>
      <c r="N236" t="s">
        <v>878</v>
      </c>
      <c r="P236" t="s">
        <v>898</v>
      </c>
      <c r="Q236" s="10">
        <f>INT(Tabela1[[#This Row],[DATA]])</f>
        <v>46169</v>
      </c>
      <c r="R236" s="14" t="str">
        <f ca="1">IF(AND(Q236&gt;=TODAY()-WEEKDAY(TODAY(),2)+1,Q236&lt;TODAY()),"SIM","NÃO")</f>
        <v>NÃO</v>
      </c>
    </row>
    <row r="237" spans="1:18" hidden="1">
      <c r="A237" t="s">
        <v>899</v>
      </c>
      <c r="B237" t="s">
        <v>900</v>
      </c>
      <c r="C237">
        <v>300259161</v>
      </c>
      <c r="D237">
        <v>16474163</v>
      </c>
      <c r="E237" t="s">
        <v>37</v>
      </c>
      <c r="F237" t="s">
        <v>90</v>
      </c>
      <c r="G237">
        <v>10</v>
      </c>
      <c r="H237" t="s">
        <v>901</v>
      </c>
      <c r="I237" t="s">
        <v>23</v>
      </c>
      <c r="J237" s="3" t="s">
        <v>902</v>
      </c>
      <c r="K237" s="10" t="s">
        <v>903</v>
      </c>
      <c r="M237">
        <v>262</v>
      </c>
      <c r="N237" t="s">
        <v>878</v>
      </c>
      <c r="P237" t="s">
        <v>904</v>
      </c>
      <c r="Q237" s="10">
        <f>INT(Tabela1[[#This Row],[DATA]])</f>
        <v>46169</v>
      </c>
      <c r="R237" s="14" t="str">
        <f ca="1">IF(AND(Q237&gt;=TODAY()-WEEKDAY(TODAY(),2)+1,Q237&lt;TODAY()),"SIM","NÃO")</f>
        <v>NÃO</v>
      </c>
    </row>
    <row r="238" spans="1:18" hidden="1">
      <c r="A238" t="s">
        <v>899</v>
      </c>
      <c r="B238" t="s">
        <v>900</v>
      </c>
      <c r="C238">
        <v>300259161</v>
      </c>
      <c r="D238">
        <v>16474163</v>
      </c>
      <c r="E238" t="s">
        <v>37</v>
      </c>
      <c r="F238" t="s">
        <v>103</v>
      </c>
      <c r="G238">
        <v>100</v>
      </c>
      <c r="H238" t="s">
        <v>905</v>
      </c>
      <c r="I238" t="s">
        <v>23</v>
      </c>
      <c r="J238" s="3" t="s">
        <v>655</v>
      </c>
      <c r="K238" s="10" t="s">
        <v>906</v>
      </c>
      <c r="M238">
        <v>263</v>
      </c>
      <c r="N238" t="s">
        <v>878</v>
      </c>
      <c r="P238" t="s">
        <v>907</v>
      </c>
      <c r="Q238" s="10">
        <f>INT(Tabela1[[#This Row],[DATA]])</f>
        <v>46169</v>
      </c>
      <c r="R238" s="14" t="str">
        <f ca="1">IF(AND(Q238&gt;=TODAY()-WEEKDAY(TODAY(),2)+1,Q238&lt;TODAY()),"SIM","NÃO")</f>
        <v>NÃO</v>
      </c>
    </row>
    <row r="239" spans="1:18" hidden="1">
      <c r="A239" t="s">
        <v>332</v>
      </c>
      <c r="B239" t="s">
        <v>690</v>
      </c>
      <c r="C239">
        <v>300265943</v>
      </c>
      <c r="D239">
        <v>16251962</v>
      </c>
      <c r="E239" t="s">
        <v>45</v>
      </c>
      <c r="F239" t="s">
        <v>187</v>
      </c>
      <c r="G239" t="s">
        <v>908</v>
      </c>
      <c r="H239" t="s">
        <v>22</v>
      </c>
      <c r="I239" t="s">
        <v>23</v>
      </c>
      <c r="J239" s="3"/>
      <c r="K239" s="10" t="s">
        <v>909</v>
      </c>
      <c r="M239">
        <v>264</v>
      </c>
      <c r="N239" t="s">
        <v>867</v>
      </c>
      <c r="P239" t="s">
        <v>910</v>
      </c>
      <c r="Q239" s="10">
        <f>INT(Tabela1[[#This Row],[DATA]])</f>
        <v>46169</v>
      </c>
      <c r="R239" s="14" t="str">
        <f ca="1">IF(AND(Q239&gt;=TODAY()-WEEKDAY(TODAY(),2)+1,Q239&lt;TODAY()),"SIM","NÃO")</f>
        <v>NÃO</v>
      </c>
    </row>
    <row r="240" spans="1:18" hidden="1">
      <c r="A240" t="s">
        <v>35</v>
      </c>
      <c r="B240" t="s">
        <v>36</v>
      </c>
      <c r="C240">
        <v>300261824</v>
      </c>
      <c r="D240">
        <v>15411800</v>
      </c>
      <c r="E240" t="s">
        <v>37</v>
      </c>
      <c r="F240" t="s">
        <v>60</v>
      </c>
      <c r="G240">
        <v>1.028</v>
      </c>
      <c r="H240" t="s">
        <v>561</v>
      </c>
      <c r="I240" t="s">
        <v>23</v>
      </c>
      <c r="J240" s="3" t="s">
        <v>911</v>
      </c>
      <c r="K240" s="10" t="s">
        <v>912</v>
      </c>
      <c r="M240">
        <v>265</v>
      </c>
      <c r="N240" t="s">
        <v>878</v>
      </c>
      <c r="P240" t="s">
        <v>913</v>
      </c>
      <c r="Q240" s="10">
        <f>INT(Tabela1[[#This Row],[DATA]])</f>
        <v>46169</v>
      </c>
      <c r="R240" s="14" t="str">
        <f ca="1">IF(AND(Q240&gt;=TODAY()-WEEKDAY(TODAY(),2)+1,Q240&lt;TODAY()),"SIM","NÃO")</f>
        <v>NÃO</v>
      </c>
    </row>
    <row r="241" spans="1:18" hidden="1">
      <c r="A241" t="s">
        <v>914</v>
      </c>
      <c r="B241" t="s">
        <v>915</v>
      </c>
      <c r="C241">
        <v>300262509</v>
      </c>
      <c r="D241">
        <v>16187416</v>
      </c>
      <c r="E241" t="s">
        <v>37</v>
      </c>
      <c r="F241" t="s">
        <v>769</v>
      </c>
      <c r="G241">
        <v>297</v>
      </c>
      <c r="H241" t="s">
        <v>39</v>
      </c>
      <c r="I241" t="s">
        <v>23</v>
      </c>
      <c r="J241" s="3" t="s">
        <v>916</v>
      </c>
      <c r="K241" s="10" t="s">
        <v>917</v>
      </c>
      <c r="M241">
        <v>266</v>
      </c>
      <c r="N241" t="s">
        <v>867</v>
      </c>
      <c r="P241" t="s">
        <v>918</v>
      </c>
      <c r="Q241" s="10">
        <f>INT(Tabela1[[#This Row],[DATA]])</f>
        <v>46169</v>
      </c>
      <c r="R241" s="14" t="str">
        <f ca="1">IF(AND(Q241&gt;=TODAY()-WEEKDAY(TODAY(),2)+1,Q241&lt;TODAY()),"SIM","NÃO")</f>
        <v>NÃO</v>
      </c>
    </row>
    <row r="242" spans="1:18" hidden="1">
      <c r="A242" t="s">
        <v>253</v>
      </c>
      <c r="B242" t="s">
        <v>254</v>
      </c>
      <c r="C242">
        <v>300251486</v>
      </c>
      <c r="D242">
        <v>16222326</v>
      </c>
      <c r="E242" t="s">
        <v>45</v>
      </c>
      <c r="F242" t="s">
        <v>323</v>
      </c>
      <c r="G242" t="s">
        <v>919</v>
      </c>
      <c r="H242" t="s">
        <v>39</v>
      </c>
      <c r="I242" t="s">
        <v>23</v>
      </c>
      <c r="J242" s="3" t="s">
        <v>920</v>
      </c>
      <c r="K242" s="10" t="s">
        <v>921</v>
      </c>
      <c r="M242">
        <v>267</v>
      </c>
      <c r="N242" t="s">
        <v>867</v>
      </c>
      <c r="P242" t="s">
        <v>922</v>
      </c>
      <c r="Q242" s="10">
        <f>INT(Tabela1[[#This Row],[DATA]])</f>
        <v>46169</v>
      </c>
      <c r="R242" s="14" t="str">
        <f ca="1">IF(AND(Q242&gt;=TODAY()-WEEKDAY(TODAY(),2)+1,Q242&lt;TODAY()),"SIM","NÃO")</f>
        <v>NÃO</v>
      </c>
    </row>
    <row r="243" spans="1:18" hidden="1">
      <c r="A243" t="s">
        <v>253</v>
      </c>
      <c r="B243" t="s">
        <v>254</v>
      </c>
      <c r="C243">
        <v>300251486</v>
      </c>
      <c r="D243">
        <v>16222326</v>
      </c>
      <c r="E243" t="s">
        <v>45</v>
      </c>
      <c r="F243" t="s">
        <v>525</v>
      </c>
      <c r="G243" t="s">
        <v>919</v>
      </c>
      <c r="H243" t="s">
        <v>39</v>
      </c>
      <c r="I243" t="s">
        <v>23</v>
      </c>
      <c r="J243" s="3" t="s">
        <v>923</v>
      </c>
      <c r="K243" s="10" t="s">
        <v>924</v>
      </c>
      <c r="M243">
        <v>268</v>
      </c>
      <c r="N243" t="s">
        <v>867</v>
      </c>
      <c r="P243" t="s">
        <v>925</v>
      </c>
      <c r="Q243" s="10">
        <f>INT(Tabela1[[#This Row],[DATA]])</f>
        <v>46169</v>
      </c>
      <c r="R243" s="14" t="str">
        <f ca="1">IF(AND(Q243&gt;=TODAY()-WEEKDAY(TODAY(),2)+1,Q243&lt;TODAY()),"SIM","NÃO")</f>
        <v>NÃO</v>
      </c>
    </row>
    <row r="244" spans="1:18" hidden="1">
      <c r="A244" t="s">
        <v>253</v>
      </c>
      <c r="B244" t="s">
        <v>254</v>
      </c>
      <c r="C244">
        <v>300251486</v>
      </c>
      <c r="D244">
        <v>16222326</v>
      </c>
      <c r="E244" t="s">
        <v>45</v>
      </c>
      <c r="F244" t="s">
        <v>96</v>
      </c>
      <c r="G244" t="s">
        <v>919</v>
      </c>
      <c r="H244" t="s">
        <v>39</v>
      </c>
      <c r="I244" t="s">
        <v>23</v>
      </c>
      <c r="J244" s="3" t="s">
        <v>923</v>
      </c>
      <c r="K244" s="10" t="s">
        <v>926</v>
      </c>
      <c r="M244">
        <v>269</v>
      </c>
      <c r="N244" t="s">
        <v>867</v>
      </c>
      <c r="P244" t="s">
        <v>927</v>
      </c>
      <c r="Q244" s="10">
        <f>INT(Tabela1[[#This Row],[DATA]])</f>
        <v>46169</v>
      </c>
      <c r="R244" s="14" t="str">
        <f ca="1">IF(AND(Q244&gt;=TODAY()-WEEKDAY(TODAY(),2)+1,Q244&lt;TODAY()),"SIM","NÃO")</f>
        <v>NÃO</v>
      </c>
    </row>
    <row r="245" spans="1:18" hidden="1">
      <c r="A245" t="s">
        <v>928</v>
      </c>
      <c r="B245" t="s">
        <v>929</v>
      </c>
      <c r="C245">
        <v>300266686</v>
      </c>
      <c r="D245">
        <v>16243340</v>
      </c>
      <c r="E245" t="s">
        <v>37</v>
      </c>
      <c r="F245" t="s">
        <v>132</v>
      </c>
      <c r="G245">
        <v>1</v>
      </c>
      <c r="H245" t="s">
        <v>22</v>
      </c>
      <c r="I245" t="s">
        <v>23</v>
      </c>
      <c r="J245" s="3" t="s">
        <v>930</v>
      </c>
      <c r="K245" s="10" t="s">
        <v>931</v>
      </c>
      <c r="M245">
        <v>270</v>
      </c>
      <c r="N245" t="s">
        <v>878</v>
      </c>
      <c r="P245" t="s">
        <v>932</v>
      </c>
      <c r="Q245" s="10">
        <f>INT(Tabela1[[#This Row],[DATA]])</f>
        <v>46169</v>
      </c>
      <c r="R245" s="14" t="str">
        <f ca="1">IF(AND(Q245&gt;=TODAY()-WEEKDAY(TODAY(),2)+1,Q245&lt;TODAY()),"SIM","NÃO")</f>
        <v>NÃO</v>
      </c>
    </row>
    <row r="246" spans="1:18" hidden="1">
      <c r="A246" t="s">
        <v>807</v>
      </c>
      <c r="B246" t="s">
        <v>808</v>
      </c>
      <c r="C246">
        <v>300264453</v>
      </c>
      <c r="D246">
        <v>16229215</v>
      </c>
      <c r="E246" t="s">
        <v>45</v>
      </c>
      <c r="F246" t="s">
        <v>323</v>
      </c>
      <c r="G246">
        <v>44</v>
      </c>
      <c r="H246" t="s">
        <v>933</v>
      </c>
      <c r="I246" t="s">
        <v>934</v>
      </c>
      <c r="J246" s="3" t="s">
        <v>935</v>
      </c>
      <c r="K246" s="10" t="s">
        <v>936</v>
      </c>
      <c r="M246">
        <v>271</v>
      </c>
      <c r="N246" t="s">
        <v>867</v>
      </c>
      <c r="P246" t="s">
        <v>937</v>
      </c>
      <c r="Q246" s="10">
        <f>INT(Tabela1[[#This Row],[DATA]])</f>
        <v>46169</v>
      </c>
      <c r="R246" s="14" t="str">
        <f ca="1">IF(AND(Q246&gt;=TODAY()-WEEKDAY(TODAY(),2)+1,Q246&lt;TODAY()),"SIM","NÃO")</f>
        <v>NÃO</v>
      </c>
    </row>
    <row r="247" spans="1:18" hidden="1">
      <c r="A247" t="s">
        <v>73</v>
      </c>
      <c r="B247" t="s">
        <v>74</v>
      </c>
      <c r="C247">
        <v>300262245</v>
      </c>
      <c r="D247">
        <v>16464591</v>
      </c>
      <c r="E247" t="s">
        <v>45</v>
      </c>
      <c r="F247" t="s">
        <v>64</v>
      </c>
      <c r="G247" t="s">
        <v>938</v>
      </c>
      <c r="H247" t="s">
        <v>22</v>
      </c>
      <c r="I247" t="s">
        <v>23</v>
      </c>
      <c r="J247" s="3" t="s">
        <v>555</v>
      </c>
      <c r="K247" s="10" t="s">
        <v>939</v>
      </c>
      <c r="M247">
        <v>272</v>
      </c>
      <c r="N247" t="s">
        <v>867</v>
      </c>
      <c r="P247" t="s">
        <v>940</v>
      </c>
      <c r="Q247" s="10">
        <f>INT(Tabela1[[#This Row],[DATA]])</f>
        <v>46169</v>
      </c>
      <c r="R247" s="14" t="str">
        <f ca="1">IF(AND(Q247&gt;=TODAY()-WEEKDAY(TODAY(),2)+1,Q247&lt;TODAY()),"SIM","NÃO")</f>
        <v>NÃO</v>
      </c>
    </row>
    <row r="248" spans="1:18" hidden="1">
      <c r="A248" t="s">
        <v>79</v>
      </c>
      <c r="B248" t="s">
        <v>80</v>
      </c>
      <c r="C248">
        <v>300263203</v>
      </c>
      <c r="D248">
        <v>15215539</v>
      </c>
      <c r="E248" t="s">
        <v>29</v>
      </c>
      <c r="F248" t="s">
        <v>525</v>
      </c>
      <c r="G248" t="s">
        <v>941</v>
      </c>
      <c r="H248" t="s">
        <v>22</v>
      </c>
      <c r="I248" t="s">
        <v>23</v>
      </c>
      <c r="J248" s="3" t="s">
        <v>555</v>
      </c>
      <c r="K248" s="10" t="s">
        <v>942</v>
      </c>
      <c r="M248">
        <v>273</v>
      </c>
      <c r="N248" t="s">
        <v>867</v>
      </c>
      <c r="P248" t="s">
        <v>943</v>
      </c>
      <c r="Q248" s="10">
        <f>INT(Tabela1[[#This Row],[DATA]])</f>
        <v>46169</v>
      </c>
      <c r="R248" s="14" t="str">
        <f ca="1">IF(AND(Q248&gt;=TODAY()-WEEKDAY(TODAY(),2)+1,Q248&lt;TODAY()),"SIM","NÃO")</f>
        <v>NÃO</v>
      </c>
    </row>
    <row r="249" spans="1:18" hidden="1">
      <c r="A249" t="s">
        <v>54</v>
      </c>
      <c r="B249" t="s">
        <v>55</v>
      </c>
      <c r="C249">
        <v>300261565</v>
      </c>
      <c r="D249">
        <v>15888533</v>
      </c>
      <c r="E249" t="s">
        <v>45</v>
      </c>
      <c r="F249" t="s">
        <v>64</v>
      </c>
      <c r="G249" t="s">
        <v>944</v>
      </c>
      <c r="H249" t="s">
        <v>22</v>
      </c>
      <c r="I249" t="s">
        <v>23</v>
      </c>
      <c r="J249" s="3"/>
      <c r="K249" s="10" t="s">
        <v>945</v>
      </c>
      <c r="M249">
        <v>274</v>
      </c>
      <c r="N249" t="s">
        <v>867</v>
      </c>
      <c r="P249" t="s">
        <v>946</v>
      </c>
      <c r="Q249" s="10">
        <f>INT(Tabela1[[#This Row],[DATA]])</f>
        <v>46169</v>
      </c>
      <c r="R249" s="14" t="str">
        <f ca="1">IF(AND(Q249&gt;=TODAY()-WEEKDAY(TODAY(),2)+1,Q249&lt;TODAY()),"SIM","NÃO")</f>
        <v>NÃO</v>
      </c>
    </row>
    <row r="250" spans="1:18" hidden="1">
      <c r="A250" t="s">
        <v>787</v>
      </c>
      <c r="B250" t="s">
        <v>788</v>
      </c>
      <c r="C250">
        <v>300266267</v>
      </c>
      <c r="D250">
        <v>16187415</v>
      </c>
      <c r="E250" t="s">
        <v>37</v>
      </c>
      <c r="F250" t="s">
        <v>60</v>
      </c>
      <c r="G250">
        <v>1.08</v>
      </c>
      <c r="H250" t="s">
        <v>57</v>
      </c>
      <c r="I250" t="s">
        <v>23</v>
      </c>
      <c r="J250" s="3" t="s">
        <v>947</v>
      </c>
      <c r="K250" s="10" t="s">
        <v>945</v>
      </c>
      <c r="M250">
        <v>275</v>
      </c>
      <c r="N250" t="s">
        <v>878</v>
      </c>
      <c r="P250" t="s">
        <v>948</v>
      </c>
      <c r="Q250" s="10">
        <f>INT(Tabela1[[#This Row],[DATA]])</f>
        <v>46169</v>
      </c>
      <c r="R250" s="14" t="str">
        <f ca="1">IF(AND(Q250&gt;=TODAY()-WEEKDAY(TODAY(),2)+1,Q250&lt;TODAY()),"SIM","NÃO")</f>
        <v>NÃO</v>
      </c>
    </row>
    <row r="251" spans="1:18" hidden="1">
      <c r="A251" t="s">
        <v>79</v>
      </c>
      <c r="B251" t="s">
        <v>80</v>
      </c>
      <c r="C251">
        <v>300263205</v>
      </c>
      <c r="D251">
        <v>15215539</v>
      </c>
      <c r="E251" t="s">
        <v>29</v>
      </c>
      <c r="F251" t="s">
        <v>525</v>
      </c>
      <c r="G251" t="s">
        <v>949</v>
      </c>
      <c r="H251" t="s">
        <v>22</v>
      </c>
      <c r="I251" t="s">
        <v>23</v>
      </c>
      <c r="J251" s="3" t="s">
        <v>555</v>
      </c>
      <c r="K251" s="10" t="s">
        <v>945</v>
      </c>
      <c r="M251">
        <v>276</v>
      </c>
      <c r="N251" t="s">
        <v>867</v>
      </c>
      <c r="P251" t="s">
        <v>950</v>
      </c>
      <c r="Q251" s="10">
        <f>INT(Tabela1[[#This Row],[DATA]])</f>
        <v>46169</v>
      </c>
      <c r="R251" s="14" t="str">
        <f ca="1">IF(AND(Q251&gt;=TODAY()-WEEKDAY(TODAY(),2)+1,Q251&lt;TODAY()),"SIM","NÃO")</f>
        <v>NÃO</v>
      </c>
    </row>
    <row r="252" spans="1:18" hidden="1">
      <c r="A252" t="s">
        <v>787</v>
      </c>
      <c r="B252" t="s">
        <v>788</v>
      </c>
      <c r="C252">
        <v>300260144</v>
      </c>
      <c r="D252">
        <v>16215176</v>
      </c>
      <c r="E252" t="s">
        <v>37</v>
      </c>
      <c r="F252" t="s">
        <v>60</v>
      </c>
      <c r="G252">
        <v>1.4</v>
      </c>
      <c r="H252" t="s">
        <v>57</v>
      </c>
      <c r="I252" t="s">
        <v>23</v>
      </c>
      <c r="J252" s="3" t="s">
        <v>951</v>
      </c>
      <c r="K252" s="10" t="s">
        <v>952</v>
      </c>
      <c r="M252">
        <v>277</v>
      </c>
      <c r="N252" t="s">
        <v>878</v>
      </c>
      <c r="P252" t="s">
        <v>953</v>
      </c>
      <c r="Q252" s="10">
        <f>INT(Tabela1[[#This Row],[DATA]])</f>
        <v>46169</v>
      </c>
      <c r="R252" s="14" t="str">
        <f ca="1">IF(AND(Q252&gt;=TODAY()-WEEKDAY(TODAY(),2)+1,Q252&lt;TODAY()),"SIM","NÃO")</f>
        <v>NÃO</v>
      </c>
    </row>
    <row r="253" spans="1:18" hidden="1">
      <c r="A253" t="s">
        <v>787</v>
      </c>
      <c r="B253" t="s">
        <v>788</v>
      </c>
      <c r="C253">
        <v>300260144</v>
      </c>
      <c r="D253">
        <v>16215176</v>
      </c>
      <c r="E253" t="s">
        <v>37</v>
      </c>
      <c r="F253" t="s">
        <v>113</v>
      </c>
      <c r="G253" t="s">
        <v>954</v>
      </c>
      <c r="H253" t="s">
        <v>22</v>
      </c>
      <c r="I253" t="s">
        <v>23</v>
      </c>
      <c r="J253" s="3" t="s">
        <v>955</v>
      </c>
      <c r="K253" s="10" t="s">
        <v>956</v>
      </c>
      <c r="M253">
        <v>278</v>
      </c>
      <c r="N253" t="s">
        <v>867</v>
      </c>
      <c r="P253" t="s">
        <v>957</v>
      </c>
      <c r="Q253" s="10">
        <f>INT(Tabela1[[#This Row],[DATA]])</f>
        <v>46169</v>
      </c>
      <c r="R253" s="14" t="str">
        <f ca="1">IF(AND(Q253&gt;=TODAY()-WEEKDAY(TODAY(),2)+1,Q253&lt;TODAY()),"SIM","NÃO")</f>
        <v>NÃO</v>
      </c>
    </row>
    <row r="254" spans="1:18" hidden="1">
      <c r="A254" t="s">
        <v>49</v>
      </c>
      <c r="B254" t="s">
        <v>50</v>
      </c>
      <c r="C254">
        <v>300262454</v>
      </c>
      <c r="D254">
        <v>16447603</v>
      </c>
      <c r="E254" t="s">
        <v>37</v>
      </c>
      <c r="F254" t="s">
        <v>323</v>
      </c>
      <c r="G254">
        <v>18</v>
      </c>
      <c r="H254" t="s">
        <v>958</v>
      </c>
      <c r="I254" t="s">
        <v>23</v>
      </c>
      <c r="J254" s="3" t="s">
        <v>959</v>
      </c>
      <c r="K254" s="10" t="s">
        <v>960</v>
      </c>
      <c r="M254">
        <v>279</v>
      </c>
      <c r="N254" t="s">
        <v>867</v>
      </c>
      <c r="P254" t="s">
        <v>961</v>
      </c>
      <c r="Q254" s="10">
        <f>INT(Tabela1[[#This Row],[DATA]])</f>
        <v>46169</v>
      </c>
      <c r="R254" s="14" t="str">
        <f ca="1">IF(AND(Q254&gt;=TODAY()-WEEKDAY(TODAY(),2)+1,Q254&lt;TODAY()),"SIM","NÃO")</f>
        <v>NÃO</v>
      </c>
    </row>
    <row r="255" spans="1:18" hidden="1">
      <c r="A255" t="s">
        <v>35</v>
      </c>
      <c r="B255" t="s">
        <v>36</v>
      </c>
      <c r="C255">
        <v>300264368</v>
      </c>
      <c r="D255">
        <v>16473604</v>
      </c>
      <c r="E255" t="s">
        <v>37</v>
      </c>
      <c r="F255" t="s">
        <v>962</v>
      </c>
      <c r="G255" t="s">
        <v>963</v>
      </c>
      <c r="H255" t="s">
        <v>39</v>
      </c>
      <c r="I255" t="s">
        <v>23</v>
      </c>
      <c r="J255" s="3" t="s">
        <v>964</v>
      </c>
      <c r="K255" s="10" t="s">
        <v>960</v>
      </c>
      <c r="M255">
        <v>280</v>
      </c>
      <c r="N255" t="s">
        <v>867</v>
      </c>
      <c r="P255" t="s">
        <v>965</v>
      </c>
      <c r="Q255" s="10">
        <f>INT(Tabela1[[#This Row],[DATA]])</f>
        <v>46169</v>
      </c>
      <c r="R255" s="14" t="str">
        <f ca="1">IF(AND(Q255&gt;=TODAY()-WEEKDAY(TODAY(),2)+1,Q255&lt;TODAY()),"SIM","NÃO")</f>
        <v>NÃO</v>
      </c>
    </row>
    <row r="256" spans="1:18" hidden="1">
      <c r="A256" t="s">
        <v>49</v>
      </c>
      <c r="B256" t="s">
        <v>50</v>
      </c>
      <c r="C256">
        <v>300262454</v>
      </c>
      <c r="D256">
        <v>16447603</v>
      </c>
      <c r="E256" t="s">
        <v>37</v>
      </c>
      <c r="F256" t="s">
        <v>38</v>
      </c>
      <c r="G256" t="s">
        <v>966</v>
      </c>
      <c r="H256" t="s">
        <v>22</v>
      </c>
      <c r="I256" t="s">
        <v>23</v>
      </c>
      <c r="J256" s="3" t="s">
        <v>967</v>
      </c>
      <c r="K256" s="10" t="s">
        <v>968</v>
      </c>
      <c r="M256">
        <v>281</v>
      </c>
      <c r="N256" t="s">
        <v>878</v>
      </c>
      <c r="P256" t="s">
        <v>969</v>
      </c>
      <c r="Q256" s="10">
        <f>INT(Tabela1[[#This Row],[DATA]])</f>
        <v>46169</v>
      </c>
      <c r="R256" s="14" t="str">
        <f ca="1">IF(AND(Q256&gt;=TODAY()-WEEKDAY(TODAY(),2)+1,Q256&lt;TODAY()),"SIM","NÃO")</f>
        <v>NÃO</v>
      </c>
    </row>
    <row r="257" spans="1:18" hidden="1">
      <c r="A257" t="s">
        <v>970</v>
      </c>
      <c r="B257" t="s">
        <v>383</v>
      </c>
      <c r="C257">
        <v>300263686</v>
      </c>
      <c r="D257">
        <v>16445678</v>
      </c>
      <c r="E257" t="s">
        <v>37</v>
      </c>
      <c r="F257" t="s">
        <v>971</v>
      </c>
      <c r="G257">
        <v>20</v>
      </c>
      <c r="H257" t="s">
        <v>972</v>
      </c>
      <c r="I257" t="s">
        <v>973</v>
      </c>
      <c r="J257" s="3" t="s">
        <v>974</v>
      </c>
      <c r="K257" s="10" t="s">
        <v>975</v>
      </c>
      <c r="M257">
        <v>282</v>
      </c>
      <c r="N257" t="s">
        <v>867</v>
      </c>
      <c r="P257" t="s">
        <v>976</v>
      </c>
      <c r="Q257" s="10">
        <f>INT(Tabela1[[#This Row],[DATA]])</f>
        <v>46169</v>
      </c>
      <c r="R257" s="14" t="str">
        <f ca="1">IF(AND(Q257&gt;=TODAY()-WEEKDAY(TODAY(),2)+1,Q257&lt;TODAY()),"SIM","NÃO")</f>
        <v>NÃO</v>
      </c>
    </row>
    <row r="258" spans="1:18" hidden="1">
      <c r="A258" t="s">
        <v>378</v>
      </c>
      <c r="B258" t="s">
        <v>977</v>
      </c>
      <c r="C258">
        <v>300000000</v>
      </c>
      <c r="D258">
        <v>11111111</v>
      </c>
      <c r="E258" t="s">
        <v>37</v>
      </c>
      <c r="F258" t="s">
        <v>132</v>
      </c>
      <c r="G258" t="s">
        <v>138</v>
      </c>
      <c r="H258" t="s">
        <v>13</v>
      </c>
      <c r="I258" t="s">
        <v>23</v>
      </c>
      <c r="J258" s="3"/>
      <c r="K258" s="10" t="s">
        <v>978</v>
      </c>
      <c r="M258">
        <v>283</v>
      </c>
      <c r="N258" t="s">
        <v>878</v>
      </c>
      <c r="P258" t="s">
        <v>979</v>
      </c>
      <c r="Q258" s="10">
        <f>INT(Tabela1[[#This Row],[DATA]])</f>
        <v>46169</v>
      </c>
      <c r="R258" s="14" t="str">
        <f ca="1">IF(AND(Q258&gt;=TODAY()-WEEKDAY(TODAY(),2)+1,Q258&lt;TODAY()),"SIM","NÃO")</f>
        <v>NÃO</v>
      </c>
    </row>
    <row r="259" spans="1:18" hidden="1">
      <c r="A259" t="s">
        <v>214</v>
      </c>
      <c r="B259" t="s">
        <v>793</v>
      </c>
      <c r="C259">
        <v>300250255</v>
      </c>
      <c r="D259">
        <v>16473914</v>
      </c>
      <c r="E259" t="s">
        <v>37</v>
      </c>
      <c r="F259" t="s">
        <v>151</v>
      </c>
      <c r="G259">
        <v>15</v>
      </c>
      <c r="H259" t="s">
        <v>39</v>
      </c>
      <c r="I259" t="s">
        <v>152</v>
      </c>
      <c r="J259" s="3" t="s">
        <v>980</v>
      </c>
      <c r="K259" s="10" t="s">
        <v>981</v>
      </c>
      <c r="M259">
        <v>284</v>
      </c>
      <c r="N259" t="s">
        <v>867</v>
      </c>
      <c r="P259" t="s">
        <v>982</v>
      </c>
      <c r="Q259" s="10">
        <f>INT(Tabela1[[#This Row],[DATA]])</f>
        <v>46169</v>
      </c>
      <c r="R259" s="14" t="str">
        <f ca="1">IF(AND(Q259&gt;=TODAY()-WEEKDAY(TODAY(),2)+1,Q259&lt;TODAY()),"SIM","NÃO")</f>
        <v>NÃO</v>
      </c>
    </row>
    <row r="260" spans="1:18" hidden="1">
      <c r="A260" t="s">
        <v>481</v>
      </c>
      <c r="B260" t="s">
        <v>482</v>
      </c>
      <c r="C260">
        <v>300265382</v>
      </c>
      <c r="D260">
        <v>16272676</v>
      </c>
      <c r="E260" t="s">
        <v>37</v>
      </c>
      <c r="F260" t="s">
        <v>113</v>
      </c>
      <c r="G260">
        <v>250</v>
      </c>
      <c r="H260" t="s">
        <v>22</v>
      </c>
      <c r="I260" t="s">
        <v>23</v>
      </c>
      <c r="J260" s="3" t="s">
        <v>983</v>
      </c>
      <c r="K260" s="10" t="s">
        <v>984</v>
      </c>
      <c r="M260">
        <v>285</v>
      </c>
      <c r="N260" t="s">
        <v>867</v>
      </c>
      <c r="P260" t="s">
        <v>985</v>
      </c>
      <c r="Q260" s="10">
        <f>INT(Tabela1[[#This Row],[DATA]])</f>
        <v>46169</v>
      </c>
      <c r="R260" s="14" t="str">
        <f ca="1">IF(AND(Q260&gt;=TODAY()-WEEKDAY(TODAY(),2)+1,Q260&lt;TODAY()),"SIM","NÃO")</f>
        <v>NÃO</v>
      </c>
    </row>
    <row r="261" spans="1:18" hidden="1">
      <c r="A261" t="s">
        <v>185</v>
      </c>
      <c r="B261" t="s">
        <v>186</v>
      </c>
      <c r="C261">
        <v>300259133</v>
      </c>
      <c r="D261">
        <v>16450361</v>
      </c>
      <c r="E261" t="s">
        <v>37</v>
      </c>
      <c r="F261" t="s">
        <v>113</v>
      </c>
      <c r="G261" t="s">
        <v>986</v>
      </c>
      <c r="H261" t="s">
        <v>22</v>
      </c>
      <c r="I261" t="s">
        <v>23</v>
      </c>
      <c r="J261" s="3" t="s">
        <v>987</v>
      </c>
      <c r="K261" s="10" t="s">
        <v>988</v>
      </c>
      <c r="M261">
        <v>286</v>
      </c>
      <c r="N261" t="s">
        <v>867</v>
      </c>
      <c r="P261" t="s">
        <v>989</v>
      </c>
      <c r="Q261" s="10">
        <f>INT(Tabela1[[#This Row],[DATA]])</f>
        <v>46169</v>
      </c>
      <c r="R261" s="14" t="str">
        <f ca="1">IF(AND(Q261&gt;=TODAY()-WEEKDAY(TODAY(),2)+1,Q261&lt;TODAY()),"SIM","NÃO")</f>
        <v>NÃO</v>
      </c>
    </row>
    <row r="262" spans="1:18" hidden="1">
      <c r="A262" t="s">
        <v>101</v>
      </c>
      <c r="B262" t="s">
        <v>990</v>
      </c>
      <c r="C262">
        <v>300264792</v>
      </c>
      <c r="D262">
        <v>15773949</v>
      </c>
      <c r="E262" t="s">
        <v>37</v>
      </c>
      <c r="F262" t="s">
        <v>991</v>
      </c>
      <c r="G262">
        <v>699</v>
      </c>
      <c r="H262" t="s">
        <v>57</v>
      </c>
      <c r="I262" t="s">
        <v>23</v>
      </c>
      <c r="J262" s="3" t="s">
        <v>992</v>
      </c>
      <c r="K262" s="10" t="s">
        <v>993</v>
      </c>
      <c r="M262">
        <v>287</v>
      </c>
      <c r="N262" t="s">
        <v>878</v>
      </c>
      <c r="P262" t="s">
        <v>994</v>
      </c>
      <c r="Q262" s="10">
        <f>INT(Tabela1[[#This Row],[DATA]])</f>
        <v>46169</v>
      </c>
      <c r="R262" s="14" t="str">
        <f ca="1">IF(AND(Q262&gt;=TODAY()-WEEKDAY(TODAY(),2)+1,Q262&lt;TODAY()),"SIM","NÃO")</f>
        <v>NÃO</v>
      </c>
    </row>
    <row r="263" spans="1:18" hidden="1">
      <c r="A263" t="s">
        <v>68</v>
      </c>
      <c r="B263" t="s">
        <v>69</v>
      </c>
      <c r="C263">
        <v>300265376</v>
      </c>
      <c r="D263">
        <v>16440617</v>
      </c>
      <c r="E263" t="s">
        <v>37</v>
      </c>
      <c r="F263" t="s">
        <v>995</v>
      </c>
      <c r="G263" t="s">
        <v>996</v>
      </c>
      <c r="H263" t="s">
        <v>22</v>
      </c>
      <c r="I263" t="s">
        <v>23</v>
      </c>
      <c r="J263" s="3" t="s">
        <v>996</v>
      </c>
      <c r="K263" s="10" t="s">
        <v>997</v>
      </c>
      <c r="M263">
        <v>288</v>
      </c>
      <c r="N263" t="s">
        <v>878</v>
      </c>
      <c r="P263" t="s">
        <v>998</v>
      </c>
      <c r="Q263" s="10">
        <f>INT(Tabela1[[#This Row],[DATA]])</f>
        <v>46169</v>
      </c>
      <c r="R263" s="14" t="str">
        <f ca="1">IF(AND(Q263&gt;=TODAY()-WEEKDAY(TODAY(),2)+1,Q263&lt;TODAY()),"SIM","NÃO")</f>
        <v>NÃO</v>
      </c>
    </row>
    <row r="264" spans="1:18" hidden="1">
      <c r="A264" t="s">
        <v>68</v>
      </c>
      <c r="B264" t="s">
        <v>69</v>
      </c>
      <c r="C264">
        <v>300265376</v>
      </c>
      <c r="D264">
        <v>16440617</v>
      </c>
      <c r="E264" t="s">
        <v>37</v>
      </c>
      <c r="F264" t="s">
        <v>132</v>
      </c>
      <c r="G264" t="s">
        <v>999</v>
      </c>
      <c r="H264" t="s">
        <v>22</v>
      </c>
      <c r="I264" t="s">
        <v>23</v>
      </c>
      <c r="J264" s="3"/>
      <c r="K264" s="10" t="s">
        <v>1000</v>
      </c>
      <c r="M264">
        <v>289</v>
      </c>
      <c r="N264" t="s">
        <v>878</v>
      </c>
      <c r="P264" t="s">
        <v>1001</v>
      </c>
      <c r="Q264" s="10">
        <f>INT(Tabela1[[#This Row],[DATA]])</f>
        <v>46169</v>
      </c>
      <c r="R264" s="14" t="str">
        <f ca="1">IF(AND(Q264&gt;=TODAY()-WEEKDAY(TODAY(),2)+1,Q264&lt;TODAY()),"SIM","NÃO")</f>
        <v>NÃO</v>
      </c>
    </row>
    <row r="265" spans="1:18" hidden="1">
      <c r="A265" t="s">
        <v>378</v>
      </c>
      <c r="B265" t="s">
        <v>137</v>
      </c>
      <c r="C265">
        <v>300260245</v>
      </c>
      <c r="D265">
        <v>16440960</v>
      </c>
      <c r="E265" t="s">
        <v>45</v>
      </c>
      <c r="F265" t="s">
        <v>38</v>
      </c>
      <c r="G265" t="s">
        <v>1002</v>
      </c>
      <c r="H265" t="s">
        <v>217</v>
      </c>
      <c r="I265" t="s">
        <v>23</v>
      </c>
      <c r="J265" s="3"/>
      <c r="K265" s="10" t="s">
        <v>1003</v>
      </c>
      <c r="M265">
        <v>290</v>
      </c>
      <c r="N265" t="s">
        <v>867</v>
      </c>
      <c r="P265" t="s">
        <v>1004</v>
      </c>
      <c r="Q265" s="10">
        <f>INT(Tabela1[[#This Row],[DATA]])</f>
        <v>46169</v>
      </c>
      <c r="R265" s="14" t="str">
        <f ca="1">IF(AND(Q265&gt;=TODAY()-WEEKDAY(TODAY(),2)+1,Q265&lt;TODAY()),"SIM","NÃO")</f>
        <v>NÃO</v>
      </c>
    </row>
    <row r="266" spans="1:18" hidden="1">
      <c r="A266" t="s">
        <v>378</v>
      </c>
      <c r="B266" t="s">
        <v>137</v>
      </c>
      <c r="C266">
        <v>300260279</v>
      </c>
      <c r="D266">
        <v>16223691</v>
      </c>
      <c r="E266" t="s">
        <v>45</v>
      </c>
      <c r="F266" t="s">
        <v>64</v>
      </c>
      <c r="G266" t="s">
        <v>1005</v>
      </c>
      <c r="H266" t="s">
        <v>22</v>
      </c>
      <c r="I266" t="s">
        <v>23</v>
      </c>
      <c r="J266" s="3"/>
      <c r="K266" s="10" t="s">
        <v>1006</v>
      </c>
      <c r="M266">
        <v>291</v>
      </c>
      <c r="N266" t="s">
        <v>867</v>
      </c>
      <c r="P266" t="s">
        <v>1007</v>
      </c>
      <c r="Q266" s="10">
        <f>INT(Tabela1[[#This Row],[DATA]])</f>
        <v>46169</v>
      </c>
      <c r="R266" s="14" t="str">
        <f ca="1">IF(AND(Q266&gt;=TODAY()-WEEKDAY(TODAY(),2)+1,Q266&lt;TODAY()),"SIM","NÃO")</f>
        <v>NÃO</v>
      </c>
    </row>
    <row r="267" spans="1:18" hidden="1">
      <c r="A267" t="s">
        <v>136</v>
      </c>
      <c r="B267" t="s">
        <v>137</v>
      </c>
      <c r="C267">
        <v>300248761</v>
      </c>
      <c r="D267">
        <v>16247388</v>
      </c>
      <c r="E267" t="s">
        <v>37</v>
      </c>
      <c r="F267" t="s">
        <v>30</v>
      </c>
      <c r="G267">
        <v>884</v>
      </c>
      <c r="H267" t="s">
        <v>39</v>
      </c>
      <c r="I267" t="s">
        <v>23</v>
      </c>
      <c r="J267" s="3"/>
      <c r="K267" s="10" t="s">
        <v>1008</v>
      </c>
      <c r="M267">
        <v>292</v>
      </c>
      <c r="N267" t="s">
        <v>878</v>
      </c>
      <c r="P267" t="s">
        <v>1009</v>
      </c>
      <c r="Q267" s="10">
        <f>INT(Tabela1[[#This Row],[DATA]])</f>
        <v>46169</v>
      </c>
      <c r="R267" s="14" t="str">
        <f ca="1">IF(AND(Q267&gt;=TODAY()-WEEKDAY(TODAY(),2)+1,Q267&lt;TODAY()),"SIM","NÃO")</f>
        <v>NÃO</v>
      </c>
    </row>
    <row r="268" spans="1:18" hidden="1">
      <c r="A268" t="s">
        <v>136</v>
      </c>
      <c r="B268" t="s">
        <v>137</v>
      </c>
      <c r="C268">
        <v>300249483</v>
      </c>
      <c r="D268">
        <v>15206637</v>
      </c>
      <c r="E268" t="s">
        <v>45</v>
      </c>
      <c r="F268" t="s">
        <v>64</v>
      </c>
      <c r="G268">
        <v>210</v>
      </c>
      <c r="H268" t="s">
        <v>217</v>
      </c>
      <c r="I268" t="s">
        <v>23</v>
      </c>
      <c r="J268" s="3"/>
      <c r="K268" s="10" t="s">
        <v>1010</v>
      </c>
      <c r="M268">
        <v>293</v>
      </c>
      <c r="N268" t="s">
        <v>878</v>
      </c>
      <c r="P268" t="s">
        <v>1011</v>
      </c>
      <c r="Q268" s="10">
        <f>INT(Tabela1[[#This Row],[DATA]])</f>
        <v>46169</v>
      </c>
      <c r="R268" s="14" t="str">
        <f ca="1">IF(AND(Q268&gt;=TODAY()-WEEKDAY(TODAY(),2)+1,Q268&lt;TODAY()),"SIM","NÃO")</f>
        <v>NÃO</v>
      </c>
    </row>
    <row r="269" spans="1:18" hidden="1">
      <c r="A269" t="s">
        <v>387</v>
      </c>
      <c r="B269" t="s">
        <v>1012</v>
      </c>
      <c r="C269">
        <v>300261821</v>
      </c>
      <c r="D269">
        <v>16416538</v>
      </c>
      <c r="E269" t="s">
        <v>37</v>
      </c>
      <c r="F269" t="s">
        <v>1013</v>
      </c>
      <c r="G269">
        <v>14</v>
      </c>
      <c r="H269" t="s">
        <v>1014</v>
      </c>
      <c r="I269" t="s">
        <v>23</v>
      </c>
      <c r="J269" s="3"/>
      <c r="K269" s="10" t="s">
        <v>1015</v>
      </c>
      <c r="M269">
        <v>294</v>
      </c>
      <c r="N269" t="s">
        <v>867</v>
      </c>
      <c r="P269" t="s">
        <v>1016</v>
      </c>
      <c r="Q269" s="10">
        <f>INT(Tabela1[[#This Row],[DATA]])</f>
        <v>46169</v>
      </c>
      <c r="R269" s="14" t="str">
        <f ca="1">IF(AND(Q269&gt;=TODAY()-WEEKDAY(TODAY(),2)+1,Q269&lt;TODAY()),"SIM","NÃO")</f>
        <v>NÃO</v>
      </c>
    </row>
    <row r="270" spans="1:18" hidden="1">
      <c r="A270" t="s">
        <v>163</v>
      </c>
      <c r="B270" t="s">
        <v>164</v>
      </c>
      <c r="C270">
        <v>300264442</v>
      </c>
      <c r="D270">
        <v>13132547</v>
      </c>
      <c r="E270" t="s">
        <v>29</v>
      </c>
      <c r="F270" t="s">
        <v>525</v>
      </c>
      <c r="G270">
        <v>28</v>
      </c>
      <c r="H270" t="s">
        <v>283</v>
      </c>
      <c r="I270" t="s">
        <v>23</v>
      </c>
      <c r="J270" s="3" t="s">
        <v>1017</v>
      </c>
      <c r="K270" s="10" t="s">
        <v>1018</v>
      </c>
      <c r="M270">
        <v>295</v>
      </c>
      <c r="N270" t="s">
        <v>867</v>
      </c>
      <c r="P270" t="s">
        <v>1019</v>
      </c>
      <c r="Q270" s="10">
        <f>INT(Tabela1[[#This Row],[DATA]])</f>
        <v>46169</v>
      </c>
      <c r="R270" s="14" t="str">
        <f ca="1">IF(AND(Q270&gt;=TODAY()-WEEKDAY(TODAY(),2)+1,Q270&lt;TODAY()),"SIM","NÃO")</f>
        <v>NÃO</v>
      </c>
    </row>
    <row r="271" spans="1:18" hidden="1">
      <c r="A271" t="s">
        <v>163</v>
      </c>
      <c r="B271" t="s">
        <v>164</v>
      </c>
      <c r="C271">
        <v>300265106</v>
      </c>
      <c r="D271">
        <v>15128288</v>
      </c>
      <c r="E271" t="s">
        <v>29</v>
      </c>
      <c r="F271" t="s">
        <v>430</v>
      </c>
      <c r="G271">
        <v>840</v>
      </c>
      <c r="H271" t="s">
        <v>39</v>
      </c>
      <c r="I271" t="s">
        <v>23</v>
      </c>
      <c r="J271" s="3" t="s">
        <v>1020</v>
      </c>
      <c r="K271" s="10" t="s">
        <v>1021</v>
      </c>
      <c r="M271">
        <v>296</v>
      </c>
      <c r="N271" t="s">
        <v>878</v>
      </c>
      <c r="P271" t="s">
        <v>1022</v>
      </c>
      <c r="Q271" s="10">
        <f>INT(Tabela1[[#This Row],[DATA]])</f>
        <v>46169</v>
      </c>
      <c r="R271" s="14" t="str">
        <f ca="1">IF(AND(Q271&gt;=TODAY()-WEEKDAY(TODAY(),2)+1,Q271&lt;TODAY()),"SIM","NÃO")</f>
        <v>NÃO</v>
      </c>
    </row>
    <row r="272" spans="1:18" hidden="1">
      <c r="A272" t="s">
        <v>163</v>
      </c>
      <c r="B272" t="s">
        <v>164</v>
      </c>
      <c r="C272">
        <v>300267147</v>
      </c>
      <c r="D272">
        <v>15128288</v>
      </c>
      <c r="E272" t="s">
        <v>29</v>
      </c>
      <c r="F272" t="s">
        <v>430</v>
      </c>
      <c r="G272">
        <v>870</v>
      </c>
      <c r="H272" t="s">
        <v>39</v>
      </c>
      <c r="I272" t="s">
        <v>23</v>
      </c>
      <c r="J272" s="3" t="s">
        <v>1023</v>
      </c>
      <c r="K272" s="10" t="s">
        <v>1024</v>
      </c>
      <c r="M272">
        <v>297</v>
      </c>
      <c r="N272" t="s">
        <v>878</v>
      </c>
      <c r="P272" t="s">
        <v>1025</v>
      </c>
      <c r="Q272" s="10">
        <f>INT(Tabela1[[#This Row],[DATA]])</f>
        <v>46169</v>
      </c>
      <c r="R272" s="14" t="str">
        <f ca="1">IF(AND(Q272&gt;=TODAY()-WEEKDAY(TODAY(),2)+1,Q272&lt;TODAY()),"SIM","NÃO")</f>
        <v>NÃO</v>
      </c>
    </row>
    <row r="273" spans="1:18" hidden="1">
      <c r="A273" t="s">
        <v>253</v>
      </c>
      <c r="B273" t="s">
        <v>254</v>
      </c>
      <c r="C273">
        <v>300266476</v>
      </c>
      <c r="D273">
        <v>16441656</v>
      </c>
      <c r="E273" t="s">
        <v>45</v>
      </c>
      <c r="F273" t="s">
        <v>125</v>
      </c>
      <c r="G273" t="s">
        <v>1026</v>
      </c>
      <c r="H273" t="s">
        <v>22</v>
      </c>
      <c r="I273" t="s">
        <v>23</v>
      </c>
      <c r="J273" s="3" t="s">
        <v>582</v>
      </c>
      <c r="K273" s="10" t="s">
        <v>1027</v>
      </c>
      <c r="M273">
        <v>298</v>
      </c>
      <c r="N273" t="s">
        <v>867</v>
      </c>
      <c r="P273" t="s">
        <v>1028</v>
      </c>
      <c r="Q273" s="10">
        <f>INT(Tabela1[[#This Row],[DATA]])</f>
        <v>46169</v>
      </c>
      <c r="R273" s="14" t="str">
        <f ca="1">IF(AND(Q273&gt;=TODAY()-WEEKDAY(TODAY(),2)+1,Q273&lt;TODAY()),"SIM","NÃO")</f>
        <v>NÃO</v>
      </c>
    </row>
    <row r="274" spans="1:18" hidden="1">
      <c r="A274" t="s">
        <v>106</v>
      </c>
      <c r="B274" t="s">
        <v>164</v>
      </c>
      <c r="C274">
        <v>300267146</v>
      </c>
      <c r="D274">
        <v>15128288</v>
      </c>
      <c r="E274" t="s">
        <v>29</v>
      </c>
      <c r="F274" t="s">
        <v>430</v>
      </c>
      <c r="G274">
        <v>371</v>
      </c>
      <c r="H274" t="s">
        <v>39</v>
      </c>
      <c r="I274" t="s">
        <v>23</v>
      </c>
      <c r="J274" s="3" t="s">
        <v>1029</v>
      </c>
      <c r="K274" s="10" t="s">
        <v>1030</v>
      </c>
      <c r="M274">
        <v>299</v>
      </c>
      <c r="N274" t="s">
        <v>878</v>
      </c>
      <c r="P274" t="s">
        <v>1031</v>
      </c>
      <c r="Q274" s="10">
        <f>INT(Tabela1[[#This Row],[DATA]])</f>
        <v>46169</v>
      </c>
      <c r="R274" s="14" t="str">
        <f ca="1">IF(AND(Q274&gt;=TODAY()-WEEKDAY(TODAY(),2)+1,Q274&lt;TODAY()),"SIM","NÃO")</f>
        <v>NÃO</v>
      </c>
    </row>
    <row r="275" spans="1:18" hidden="1">
      <c r="A275" t="s">
        <v>68</v>
      </c>
      <c r="B275" t="s">
        <v>69</v>
      </c>
      <c r="C275">
        <v>300265376</v>
      </c>
      <c r="D275">
        <v>16440617</v>
      </c>
      <c r="E275" t="s">
        <v>37</v>
      </c>
      <c r="F275" t="s">
        <v>1032</v>
      </c>
      <c r="G275" t="s">
        <v>1033</v>
      </c>
      <c r="H275" t="s">
        <v>22</v>
      </c>
      <c r="I275" t="s">
        <v>23</v>
      </c>
      <c r="J275" s="3" t="s">
        <v>1034</v>
      </c>
      <c r="K275" s="10" t="s">
        <v>1035</v>
      </c>
      <c r="M275">
        <v>300</v>
      </c>
      <c r="N275" t="s">
        <v>878</v>
      </c>
      <c r="P275" t="s">
        <v>1036</v>
      </c>
      <c r="Q275" s="10">
        <f>INT(Tabela1[[#This Row],[DATA]])</f>
        <v>46169</v>
      </c>
      <c r="R275" s="14" t="str">
        <f ca="1">IF(AND(Q275&gt;=TODAY()-WEEKDAY(TODAY(),2)+1,Q275&lt;TODAY()),"SIM","NÃO")</f>
        <v>NÃO</v>
      </c>
    </row>
    <row r="276" spans="1:18" hidden="1">
      <c r="A276" t="s">
        <v>68</v>
      </c>
      <c r="B276" t="s">
        <v>69</v>
      </c>
      <c r="C276">
        <v>300263620</v>
      </c>
      <c r="D276">
        <v>16450582</v>
      </c>
      <c r="E276" t="s">
        <v>45</v>
      </c>
      <c r="F276" t="s">
        <v>60</v>
      </c>
      <c r="G276">
        <v>1824</v>
      </c>
      <c r="H276" t="s">
        <v>39</v>
      </c>
      <c r="I276" t="s">
        <v>23</v>
      </c>
      <c r="J276" s="3"/>
      <c r="K276" s="10" t="s">
        <v>1037</v>
      </c>
      <c r="M276">
        <v>301</v>
      </c>
      <c r="N276" t="s">
        <v>878</v>
      </c>
      <c r="P276" t="s">
        <v>1038</v>
      </c>
      <c r="Q276" s="10">
        <f>INT(Tabela1[[#This Row],[DATA]])</f>
        <v>46169</v>
      </c>
      <c r="R276" s="14" t="str">
        <f ca="1">IF(AND(Q276&gt;=TODAY()-WEEKDAY(TODAY(),2)+1,Q276&lt;TODAY()),"SIM","NÃO")</f>
        <v>NÃO</v>
      </c>
    </row>
    <row r="277" spans="1:18" hidden="1">
      <c r="A277" t="s">
        <v>68</v>
      </c>
      <c r="B277" t="s">
        <v>69</v>
      </c>
      <c r="C277">
        <v>300263609</v>
      </c>
      <c r="D277">
        <v>16450582</v>
      </c>
      <c r="E277" t="s">
        <v>45</v>
      </c>
      <c r="F277" t="s">
        <v>60</v>
      </c>
      <c r="G277">
        <v>1704</v>
      </c>
      <c r="H277" t="s">
        <v>39</v>
      </c>
      <c r="I277" t="s">
        <v>23</v>
      </c>
      <c r="J277" s="3"/>
      <c r="K277" s="10" t="s">
        <v>1037</v>
      </c>
      <c r="M277">
        <v>302</v>
      </c>
      <c r="N277" t="s">
        <v>878</v>
      </c>
      <c r="P277" t="s">
        <v>1039</v>
      </c>
      <c r="Q277" s="10">
        <f>INT(Tabela1[[#This Row],[DATA]])</f>
        <v>46169</v>
      </c>
      <c r="R277" s="14" t="str">
        <f ca="1">IF(AND(Q277&gt;=TODAY()-WEEKDAY(TODAY(),2)+1,Q277&lt;TODAY()),"SIM","NÃO")</f>
        <v>NÃO</v>
      </c>
    </row>
    <row r="278" spans="1:18" hidden="1">
      <c r="A278" t="s">
        <v>253</v>
      </c>
      <c r="B278" t="s">
        <v>254</v>
      </c>
      <c r="C278">
        <v>300266474</v>
      </c>
      <c r="D278">
        <v>16441656</v>
      </c>
      <c r="E278" t="s">
        <v>45</v>
      </c>
      <c r="F278" t="s">
        <v>125</v>
      </c>
      <c r="G278" t="s">
        <v>1026</v>
      </c>
      <c r="H278" t="s">
        <v>22</v>
      </c>
      <c r="I278" t="s">
        <v>23</v>
      </c>
      <c r="J278" s="3" t="s">
        <v>582</v>
      </c>
      <c r="K278" s="10" t="s">
        <v>1040</v>
      </c>
      <c r="M278">
        <v>303</v>
      </c>
      <c r="N278" t="s">
        <v>867</v>
      </c>
      <c r="P278" s="5" t="s">
        <v>1041</v>
      </c>
      <c r="Q278" s="10">
        <f>INT(Tabela1[[#This Row],[DATA]])</f>
        <v>46169</v>
      </c>
      <c r="R278" s="14" t="str">
        <f ca="1">IF(AND(Q278&gt;=TODAY()-WEEKDAY(TODAY(),2)+1,Q278&lt;TODAY()),"SIM","NÃO")</f>
        <v>NÃO</v>
      </c>
    </row>
    <row r="279" spans="1:18" hidden="1">
      <c r="A279" t="s">
        <v>68</v>
      </c>
      <c r="B279" t="s">
        <v>69</v>
      </c>
      <c r="C279">
        <v>300267336</v>
      </c>
      <c r="D279">
        <v>16247799</v>
      </c>
      <c r="E279" t="s">
        <v>37</v>
      </c>
      <c r="F279" t="s">
        <v>60</v>
      </c>
      <c r="G279" t="s">
        <v>1042</v>
      </c>
      <c r="H279" t="s">
        <v>22</v>
      </c>
      <c r="I279" t="s">
        <v>23</v>
      </c>
      <c r="J279" s="3"/>
      <c r="K279" s="10" t="s">
        <v>1043</v>
      </c>
      <c r="M279">
        <v>304</v>
      </c>
      <c r="N279" t="s">
        <v>878</v>
      </c>
      <c r="P279" t="s">
        <v>1044</v>
      </c>
      <c r="Q279" s="10">
        <f>INT(Tabela1[[#This Row],[DATA]])</f>
        <v>46169</v>
      </c>
      <c r="R279" s="14" t="str">
        <f ca="1">IF(AND(Q279&gt;=TODAY()-WEEKDAY(TODAY(),2)+1,Q279&lt;TODAY()),"SIM","NÃO")</f>
        <v>NÃO</v>
      </c>
    </row>
    <row r="280" spans="1:18" hidden="1">
      <c r="A280" t="s">
        <v>378</v>
      </c>
      <c r="B280" t="s">
        <v>137</v>
      </c>
      <c r="C280">
        <v>300260816</v>
      </c>
      <c r="D280">
        <v>16223608</v>
      </c>
      <c r="E280" t="s">
        <v>45</v>
      </c>
      <c r="F280" t="s">
        <v>38</v>
      </c>
      <c r="G280" t="s">
        <v>1045</v>
      </c>
      <c r="H280" t="s">
        <v>217</v>
      </c>
      <c r="I280" t="s">
        <v>23</v>
      </c>
      <c r="J280" s="3"/>
      <c r="K280" s="10" t="s">
        <v>1046</v>
      </c>
      <c r="M280">
        <v>305</v>
      </c>
      <c r="N280" t="s">
        <v>867</v>
      </c>
      <c r="P280" t="s">
        <v>1047</v>
      </c>
      <c r="Q280" s="10">
        <f>INT(Tabela1[[#This Row],[DATA]])</f>
        <v>46169</v>
      </c>
      <c r="R280" s="14" t="str">
        <f ca="1">IF(AND(Q280&gt;=TODAY()-WEEKDAY(TODAY(),2)+1,Q280&lt;TODAY()),"SIM","NÃO")</f>
        <v>NÃO</v>
      </c>
    </row>
    <row r="281" spans="1:18" hidden="1">
      <c r="A281" t="s">
        <v>249</v>
      </c>
      <c r="B281" t="s">
        <v>112</v>
      </c>
      <c r="C281">
        <v>300263332</v>
      </c>
      <c r="D281">
        <v>16099605</v>
      </c>
      <c r="E281" t="s">
        <v>45</v>
      </c>
      <c r="F281" t="s">
        <v>151</v>
      </c>
      <c r="G281" t="s">
        <v>1048</v>
      </c>
      <c r="H281" t="s">
        <v>22</v>
      </c>
      <c r="I281" t="s">
        <v>934</v>
      </c>
      <c r="J281" s="3"/>
      <c r="K281" s="10" t="s">
        <v>1049</v>
      </c>
      <c r="M281">
        <v>306</v>
      </c>
      <c r="N281" t="s">
        <v>867</v>
      </c>
      <c r="P281" t="s">
        <v>1050</v>
      </c>
      <c r="Q281" s="10">
        <f>INT(Tabela1[[#This Row],[DATA]])</f>
        <v>46169</v>
      </c>
      <c r="R281" s="14" t="str">
        <f ca="1">IF(AND(Q281&gt;=TODAY()-WEEKDAY(TODAY(),2)+1,Q281&lt;TODAY()),"SIM","NÃO")</f>
        <v>NÃO</v>
      </c>
    </row>
    <row r="282" spans="1:18" hidden="1">
      <c r="A282" t="s">
        <v>787</v>
      </c>
      <c r="B282" t="s">
        <v>788</v>
      </c>
      <c r="C282">
        <v>300260144</v>
      </c>
      <c r="D282">
        <v>16215176</v>
      </c>
      <c r="E282" t="s">
        <v>37</v>
      </c>
      <c r="F282" t="s">
        <v>113</v>
      </c>
      <c r="G282">
        <v>700</v>
      </c>
      <c r="H282" t="s">
        <v>1051</v>
      </c>
      <c r="I282" t="s">
        <v>23</v>
      </c>
      <c r="J282" s="3" t="s">
        <v>1052</v>
      </c>
      <c r="K282" s="10" t="s">
        <v>1053</v>
      </c>
      <c r="M282">
        <v>307</v>
      </c>
      <c r="N282" t="s">
        <v>867</v>
      </c>
      <c r="P282" t="s">
        <v>1054</v>
      </c>
      <c r="Q282" s="10">
        <f>INT(Tabela1[[#This Row],[DATA]])</f>
        <v>46169</v>
      </c>
      <c r="R282" s="14" t="str">
        <f ca="1">IF(AND(Q282&gt;=TODAY()-WEEKDAY(TODAY(),2)+1,Q282&lt;TODAY()),"SIM","NÃO")</f>
        <v>NÃO</v>
      </c>
    </row>
    <row r="283" spans="1:18" hidden="1">
      <c r="A283" t="s">
        <v>118</v>
      </c>
      <c r="B283" t="s">
        <v>119</v>
      </c>
      <c r="C283">
        <v>300265360</v>
      </c>
      <c r="D283">
        <v>16474120</v>
      </c>
      <c r="E283" t="s">
        <v>37</v>
      </c>
      <c r="F283" t="s">
        <v>113</v>
      </c>
      <c r="G283" t="s">
        <v>1055</v>
      </c>
      <c r="H283" t="s">
        <v>39</v>
      </c>
      <c r="I283" t="s">
        <v>23</v>
      </c>
      <c r="J283" s="3" t="s">
        <v>1056</v>
      </c>
      <c r="K283" s="10" t="s">
        <v>1057</v>
      </c>
      <c r="M283">
        <v>308</v>
      </c>
      <c r="N283" t="s">
        <v>878</v>
      </c>
      <c r="P283" t="s">
        <v>1058</v>
      </c>
      <c r="Q283" s="10">
        <f>INT(Tabela1[[#This Row],[DATA]])</f>
        <v>46169</v>
      </c>
      <c r="R283" s="14" t="str">
        <f ca="1">IF(AND(Q283&gt;=TODAY()-WEEKDAY(TODAY(),2)+1,Q283&lt;TODAY()),"SIM","NÃO")</f>
        <v>NÃO</v>
      </c>
    </row>
    <row r="284" spans="1:18" hidden="1">
      <c r="A284" t="s">
        <v>118</v>
      </c>
      <c r="B284" t="s">
        <v>119</v>
      </c>
      <c r="C284">
        <v>300265360</v>
      </c>
      <c r="D284">
        <v>16474120</v>
      </c>
      <c r="E284" t="s">
        <v>37</v>
      </c>
      <c r="F284" t="s">
        <v>177</v>
      </c>
      <c r="G284" t="s">
        <v>1059</v>
      </c>
      <c r="H284" t="s">
        <v>22</v>
      </c>
      <c r="I284" t="s">
        <v>23</v>
      </c>
      <c r="J284" s="3" t="s">
        <v>1060</v>
      </c>
      <c r="K284" s="10" t="s">
        <v>1061</v>
      </c>
      <c r="M284">
        <v>309</v>
      </c>
      <c r="N284" t="s">
        <v>867</v>
      </c>
      <c r="P284" t="s">
        <v>1062</v>
      </c>
      <c r="Q284" s="10">
        <f>INT(Tabela1[[#This Row],[DATA]])</f>
        <v>46169</v>
      </c>
      <c r="R284" s="14" t="str">
        <f ca="1">IF(AND(Q284&gt;=TODAY()-WEEKDAY(TODAY(),2)+1,Q284&lt;TODAY()),"SIM","NÃO")</f>
        <v>NÃO</v>
      </c>
    </row>
    <row r="285" spans="1:18" hidden="1">
      <c r="A285" t="s">
        <v>185</v>
      </c>
      <c r="B285" t="s">
        <v>186</v>
      </c>
      <c r="C285">
        <v>300259133</v>
      </c>
      <c r="D285">
        <v>16450361</v>
      </c>
      <c r="E285" t="s">
        <v>37</v>
      </c>
      <c r="F285" t="s">
        <v>323</v>
      </c>
      <c r="G285">
        <v>25</v>
      </c>
      <c r="H285" t="s">
        <v>1063</v>
      </c>
      <c r="I285" t="s">
        <v>23</v>
      </c>
      <c r="J285" s="3" t="s">
        <v>1064</v>
      </c>
      <c r="K285" s="10" t="s">
        <v>1065</v>
      </c>
      <c r="M285">
        <v>310</v>
      </c>
      <c r="N285" t="s">
        <v>867</v>
      </c>
      <c r="P285" t="s">
        <v>1066</v>
      </c>
      <c r="Q285" s="10">
        <f>INT(Tabela1[[#This Row],[DATA]])</f>
        <v>46169</v>
      </c>
      <c r="R285" s="14" t="str">
        <f ca="1">IF(AND(Q285&gt;=TODAY()-WEEKDAY(TODAY(),2)+1,Q285&lt;TODAY()),"SIM","NÃO")</f>
        <v>NÃO</v>
      </c>
    </row>
    <row r="286" spans="1:18" hidden="1">
      <c r="A286" t="s">
        <v>481</v>
      </c>
      <c r="B286" t="s">
        <v>482</v>
      </c>
      <c r="C286">
        <v>300265382</v>
      </c>
      <c r="D286">
        <v>16272676</v>
      </c>
      <c r="E286" t="s">
        <v>37</v>
      </c>
      <c r="F286" t="s">
        <v>113</v>
      </c>
      <c r="G286">
        <v>250</v>
      </c>
      <c r="H286" t="s">
        <v>22</v>
      </c>
      <c r="I286" t="s">
        <v>23</v>
      </c>
      <c r="J286" s="3" t="s">
        <v>1067</v>
      </c>
      <c r="K286" s="10" t="s">
        <v>1065</v>
      </c>
      <c r="M286">
        <v>311</v>
      </c>
      <c r="N286" t="s">
        <v>867</v>
      </c>
      <c r="P286" t="s">
        <v>1068</v>
      </c>
      <c r="Q286" s="10">
        <f>INT(Tabela1[[#This Row],[DATA]])</f>
        <v>46169</v>
      </c>
      <c r="R286" s="14" t="str">
        <f ca="1">IF(AND(Q286&gt;=TODAY()-WEEKDAY(TODAY(),2)+1,Q286&lt;TODAY()),"SIM","NÃO")</f>
        <v>NÃO</v>
      </c>
    </row>
    <row r="287" spans="1:18" hidden="1">
      <c r="A287" t="s">
        <v>387</v>
      </c>
      <c r="B287" t="s">
        <v>388</v>
      </c>
      <c r="C287">
        <v>300261835</v>
      </c>
      <c r="D287">
        <v>16429959</v>
      </c>
      <c r="E287" t="s">
        <v>37</v>
      </c>
      <c r="F287" t="s">
        <v>103</v>
      </c>
      <c r="G287">
        <v>1</v>
      </c>
      <c r="H287" t="s">
        <v>644</v>
      </c>
      <c r="I287" t="s">
        <v>23</v>
      </c>
      <c r="J287" s="3"/>
      <c r="K287" s="10" t="s">
        <v>1065</v>
      </c>
      <c r="M287">
        <v>312</v>
      </c>
      <c r="N287" t="s">
        <v>878</v>
      </c>
      <c r="P287" t="s">
        <v>1069</v>
      </c>
      <c r="Q287" s="10">
        <f>INT(Tabela1[[#This Row],[DATA]])</f>
        <v>46169</v>
      </c>
      <c r="R287" s="14" t="str">
        <f ca="1">IF(AND(Q287&gt;=TODAY()-WEEKDAY(TODAY(),2)+1,Q287&lt;TODAY()),"SIM","NÃO")</f>
        <v>NÃO</v>
      </c>
    </row>
    <row r="288" spans="1:18" hidden="1">
      <c r="A288" t="s">
        <v>143</v>
      </c>
      <c r="B288" t="s">
        <v>144</v>
      </c>
      <c r="C288">
        <v>300262877</v>
      </c>
      <c r="D288">
        <v>16474228</v>
      </c>
      <c r="E288" t="s">
        <v>45</v>
      </c>
      <c r="F288" t="s">
        <v>103</v>
      </c>
      <c r="G288">
        <v>1</v>
      </c>
      <c r="H288" t="s">
        <v>644</v>
      </c>
      <c r="I288" t="s">
        <v>23</v>
      </c>
      <c r="J288" s="3"/>
      <c r="K288" s="10" t="s">
        <v>1070</v>
      </c>
      <c r="M288">
        <v>313</v>
      </c>
      <c r="N288" t="s">
        <v>878</v>
      </c>
      <c r="P288" s="5" t="s">
        <v>1071</v>
      </c>
      <c r="Q288" s="10">
        <f>INT(Tabela1[[#This Row],[DATA]])</f>
        <v>46169</v>
      </c>
      <c r="R288" s="14" t="str">
        <f ca="1">IF(AND(Q288&gt;=TODAY()-WEEKDAY(TODAY(),2)+1,Q288&lt;TODAY()),"SIM","NÃO")</f>
        <v>NÃO</v>
      </c>
    </row>
    <row r="289" spans="1:18" hidden="1">
      <c r="A289" t="s">
        <v>1072</v>
      </c>
      <c r="B289" t="s">
        <v>1073</v>
      </c>
      <c r="C289">
        <v>300259994</v>
      </c>
      <c r="D289">
        <v>15863387</v>
      </c>
      <c r="E289" t="s">
        <v>37</v>
      </c>
      <c r="F289" t="s">
        <v>151</v>
      </c>
      <c r="G289" t="s">
        <v>1074</v>
      </c>
      <c r="H289" t="s">
        <v>39</v>
      </c>
      <c r="I289" t="s">
        <v>152</v>
      </c>
      <c r="J289" s="3" t="s">
        <v>1075</v>
      </c>
      <c r="K289" s="10" t="s">
        <v>1076</v>
      </c>
      <c r="M289">
        <v>314</v>
      </c>
      <c r="N289" t="s">
        <v>878</v>
      </c>
      <c r="P289" t="s">
        <v>1077</v>
      </c>
      <c r="Q289" s="10">
        <f>INT(Tabela1[[#This Row],[DATA]])</f>
        <v>46169</v>
      </c>
      <c r="R289" s="14" t="str">
        <f ca="1">IF(AND(Q289&gt;=TODAY()-WEEKDAY(TODAY(),2)+1,Q289&lt;TODAY()),"SIM","NÃO")</f>
        <v>NÃO</v>
      </c>
    </row>
    <row r="290" spans="1:18" hidden="1">
      <c r="A290" t="s">
        <v>1072</v>
      </c>
      <c r="B290" t="s">
        <v>1073</v>
      </c>
      <c r="C290">
        <v>300259994</v>
      </c>
      <c r="D290">
        <v>15863387</v>
      </c>
      <c r="E290" t="s">
        <v>37</v>
      </c>
      <c r="F290" t="s">
        <v>151</v>
      </c>
      <c r="G290" t="s">
        <v>1078</v>
      </c>
      <c r="H290" t="s">
        <v>39</v>
      </c>
      <c r="I290" t="s">
        <v>152</v>
      </c>
      <c r="J290" s="3" t="s">
        <v>1079</v>
      </c>
      <c r="K290" s="10" t="s">
        <v>1080</v>
      </c>
      <c r="M290">
        <v>315</v>
      </c>
      <c r="N290" t="s">
        <v>867</v>
      </c>
      <c r="P290" t="s">
        <v>1081</v>
      </c>
      <c r="Q290" s="10">
        <f>INT(Tabela1[[#This Row],[DATA]])</f>
        <v>46169</v>
      </c>
      <c r="R290" s="14" t="str">
        <f ca="1">IF(AND(Q290&gt;=TODAY()-WEEKDAY(TODAY(),2)+1,Q290&lt;TODAY()),"SIM","NÃO")</f>
        <v>NÃO</v>
      </c>
    </row>
    <row r="291" spans="1:18" hidden="1">
      <c r="A291" t="s">
        <v>201</v>
      </c>
      <c r="B291" t="s">
        <v>202</v>
      </c>
      <c r="C291">
        <v>300263211</v>
      </c>
      <c r="D291">
        <v>16138473</v>
      </c>
      <c r="E291" t="s">
        <v>37</v>
      </c>
      <c r="F291" t="s">
        <v>769</v>
      </c>
      <c r="G291" t="s">
        <v>1082</v>
      </c>
      <c r="H291" t="s">
        <v>22</v>
      </c>
      <c r="I291" t="s">
        <v>23</v>
      </c>
      <c r="J291" s="3" t="s">
        <v>1083</v>
      </c>
      <c r="K291" s="10" t="s">
        <v>1084</v>
      </c>
      <c r="M291">
        <v>316</v>
      </c>
      <c r="N291" t="s">
        <v>867</v>
      </c>
      <c r="P291" t="s">
        <v>1085</v>
      </c>
      <c r="Q291" s="10">
        <f>INT(Tabela1[[#This Row],[DATA]])</f>
        <v>46169</v>
      </c>
      <c r="R291" s="14" t="str">
        <f ca="1">IF(AND(Q291&gt;=TODAY()-WEEKDAY(TODAY(),2)+1,Q291&lt;TODAY()),"SIM","NÃO")</f>
        <v>NÃO</v>
      </c>
    </row>
    <row r="292" spans="1:18" hidden="1">
      <c r="A292" t="s">
        <v>201</v>
      </c>
      <c r="B292" t="s">
        <v>202</v>
      </c>
      <c r="C292">
        <v>300263211</v>
      </c>
      <c r="D292">
        <v>16138473</v>
      </c>
      <c r="E292" t="s">
        <v>37</v>
      </c>
      <c r="F292" t="s">
        <v>369</v>
      </c>
      <c r="G292" t="s">
        <v>1086</v>
      </c>
      <c r="H292" t="s">
        <v>22</v>
      </c>
      <c r="I292" t="s">
        <v>23</v>
      </c>
      <c r="J292" s="3" t="s">
        <v>1087</v>
      </c>
      <c r="K292" s="10" t="s">
        <v>1088</v>
      </c>
      <c r="M292">
        <v>317</v>
      </c>
      <c r="N292" t="s">
        <v>867</v>
      </c>
      <c r="P292" t="s">
        <v>1089</v>
      </c>
      <c r="Q292" s="10">
        <f>INT(Tabela1[[#This Row],[DATA]])</f>
        <v>46169</v>
      </c>
      <c r="R292" s="14" t="str">
        <f ca="1">IF(AND(Q292&gt;=TODAY()-WEEKDAY(TODAY(),2)+1,Q292&lt;TODAY()),"SIM","NÃO")</f>
        <v>NÃO</v>
      </c>
    </row>
    <row r="293" spans="1:18" hidden="1">
      <c r="A293" t="s">
        <v>94</v>
      </c>
      <c r="B293" t="s">
        <v>95</v>
      </c>
      <c r="C293">
        <v>300255569</v>
      </c>
      <c r="D293">
        <v>16223780</v>
      </c>
      <c r="E293" t="s">
        <v>45</v>
      </c>
      <c r="F293" t="s">
        <v>187</v>
      </c>
      <c r="G293">
        <v>200</v>
      </c>
      <c r="H293" t="s">
        <v>22</v>
      </c>
      <c r="I293" t="s">
        <v>23</v>
      </c>
      <c r="J293" s="3" t="s">
        <v>1090</v>
      </c>
      <c r="K293" s="10" t="s">
        <v>1091</v>
      </c>
      <c r="M293">
        <v>318</v>
      </c>
      <c r="N293" t="s">
        <v>878</v>
      </c>
      <c r="P293" t="s">
        <v>1092</v>
      </c>
      <c r="Q293" s="10">
        <f>INT(Tabela1[[#This Row],[DATA]])</f>
        <v>46170</v>
      </c>
      <c r="R293" s="14" t="str">
        <f ca="1">IF(AND(Q293&gt;=TODAY()-WEEKDAY(TODAY(),2)+1,Q293&lt;TODAY()),"SIM","NÃO")</f>
        <v>NÃO</v>
      </c>
    </row>
    <row r="294" spans="1:18" hidden="1">
      <c r="A294" t="s">
        <v>378</v>
      </c>
      <c r="B294" t="s">
        <v>137</v>
      </c>
      <c r="C294">
        <v>300260816</v>
      </c>
      <c r="D294">
        <v>16223608</v>
      </c>
      <c r="E294" t="s">
        <v>45</v>
      </c>
      <c r="F294" t="s">
        <v>525</v>
      </c>
      <c r="G294">
        <v>116</v>
      </c>
      <c r="H294" t="s">
        <v>22</v>
      </c>
      <c r="I294" t="s">
        <v>23</v>
      </c>
      <c r="J294" s="3" t="s">
        <v>1093</v>
      </c>
      <c r="K294" s="10" t="s">
        <v>1094</v>
      </c>
      <c r="M294">
        <v>319</v>
      </c>
      <c r="N294" t="s">
        <v>867</v>
      </c>
      <c r="P294" t="s">
        <v>1095</v>
      </c>
      <c r="Q294" s="10">
        <f>INT(Tabela1[[#This Row],[DATA]])</f>
        <v>46170</v>
      </c>
      <c r="R294" s="14" t="str">
        <f ca="1">IF(AND(Q294&gt;=TODAY()-WEEKDAY(TODAY(),2)+1,Q294&lt;TODAY()),"SIM","NÃO")</f>
        <v>NÃO</v>
      </c>
    </row>
    <row r="295" spans="1:18" hidden="1">
      <c r="A295" t="s">
        <v>1096</v>
      </c>
      <c r="B295" t="s">
        <v>1097</v>
      </c>
      <c r="C295">
        <v>300264295</v>
      </c>
      <c r="D295">
        <v>16508920</v>
      </c>
      <c r="E295" t="s">
        <v>37</v>
      </c>
      <c r="F295" t="s">
        <v>113</v>
      </c>
      <c r="G295">
        <v>400</v>
      </c>
      <c r="H295" t="s">
        <v>39</v>
      </c>
      <c r="I295" t="s">
        <v>23</v>
      </c>
      <c r="J295" s="3" t="s">
        <v>1098</v>
      </c>
      <c r="K295" s="10" t="s">
        <v>1099</v>
      </c>
      <c r="M295">
        <v>320</v>
      </c>
      <c r="N295" t="s">
        <v>867</v>
      </c>
      <c r="P295" t="s">
        <v>1100</v>
      </c>
      <c r="Q295" s="10">
        <f>INT(Tabela1[[#This Row],[DATA]])</f>
        <v>46170</v>
      </c>
      <c r="R295" s="14" t="str">
        <f ca="1">IF(AND(Q295&gt;=TODAY()-WEEKDAY(TODAY(),2)+1,Q295&lt;TODAY()),"SIM","NÃO")</f>
        <v>NÃO</v>
      </c>
    </row>
    <row r="296" spans="1:18" hidden="1">
      <c r="A296" t="s">
        <v>378</v>
      </c>
      <c r="B296" t="s">
        <v>137</v>
      </c>
      <c r="C296">
        <v>300247381</v>
      </c>
      <c r="D296">
        <v>16376129</v>
      </c>
      <c r="E296" t="s">
        <v>37</v>
      </c>
      <c r="F296" t="s">
        <v>203</v>
      </c>
      <c r="G296">
        <v>532</v>
      </c>
      <c r="H296" t="s">
        <v>561</v>
      </c>
      <c r="I296" t="s">
        <v>23</v>
      </c>
      <c r="J296" s="3"/>
      <c r="K296" s="10" t="s">
        <v>1101</v>
      </c>
      <c r="M296">
        <v>321</v>
      </c>
      <c r="N296" t="s">
        <v>878</v>
      </c>
      <c r="P296" t="s">
        <v>1102</v>
      </c>
      <c r="Q296" s="10">
        <f>INT(Tabela1[[#This Row],[DATA]])</f>
        <v>46170</v>
      </c>
      <c r="R296" s="14" t="str">
        <f ca="1">IF(AND(Q296&gt;=TODAY()-WEEKDAY(TODAY(),2)+1,Q296&lt;TODAY()),"SIM","NÃO")</f>
        <v>NÃO</v>
      </c>
    </row>
    <row r="297" spans="1:18" hidden="1">
      <c r="A297" t="s">
        <v>378</v>
      </c>
      <c r="B297" t="s">
        <v>137</v>
      </c>
      <c r="C297">
        <v>300247382</v>
      </c>
      <c r="D297">
        <v>16376129</v>
      </c>
      <c r="E297" t="s">
        <v>37</v>
      </c>
      <c r="F297" t="s">
        <v>203</v>
      </c>
      <c r="G297">
        <v>608</v>
      </c>
      <c r="H297" t="s">
        <v>561</v>
      </c>
      <c r="I297" t="s">
        <v>23</v>
      </c>
      <c r="J297" s="3"/>
      <c r="K297" s="10" t="s">
        <v>1103</v>
      </c>
      <c r="M297">
        <v>322</v>
      </c>
      <c r="N297" t="s">
        <v>878</v>
      </c>
      <c r="P297" s="5" t="s">
        <v>1104</v>
      </c>
      <c r="Q297" s="10">
        <f>INT(Tabela1[[#This Row],[DATA]])</f>
        <v>46170</v>
      </c>
      <c r="R297" s="14" t="str">
        <f ca="1">IF(AND(Q297&gt;=TODAY()-WEEKDAY(TODAY(),2)+1,Q297&lt;TODAY()),"SIM","NÃO")</f>
        <v>NÃO</v>
      </c>
    </row>
    <row r="298" spans="1:18" hidden="1">
      <c r="A298" t="s">
        <v>1072</v>
      </c>
      <c r="B298" t="s">
        <v>1073</v>
      </c>
      <c r="C298">
        <v>300259994</v>
      </c>
      <c r="D298">
        <v>15863387</v>
      </c>
      <c r="E298" t="s">
        <v>37</v>
      </c>
      <c r="F298" t="s">
        <v>151</v>
      </c>
      <c r="G298" t="s">
        <v>1105</v>
      </c>
      <c r="H298" t="s">
        <v>1106</v>
      </c>
      <c r="I298" t="s">
        <v>152</v>
      </c>
      <c r="J298" s="3" t="s">
        <v>1107</v>
      </c>
      <c r="K298" s="10" t="s">
        <v>1108</v>
      </c>
      <c r="M298">
        <v>323</v>
      </c>
      <c r="N298" t="s">
        <v>867</v>
      </c>
      <c r="P298" t="s">
        <v>1109</v>
      </c>
      <c r="Q298" s="10">
        <f>INT(Tabela1[[#This Row],[DATA]])</f>
        <v>46170</v>
      </c>
      <c r="R298" s="14" t="str">
        <f ca="1">IF(AND(Q298&gt;=TODAY()-WEEKDAY(TODAY(),2)+1,Q298&lt;TODAY()),"SIM","NÃO")</f>
        <v>NÃO</v>
      </c>
    </row>
    <row r="299" spans="1:18" hidden="1">
      <c r="A299" t="s">
        <v>1110</v>
      </c>
      <c r="B299" t="s">
        <v>1111</v>
      </c>
      <c r="C299">
        <v>300262517</v>
      </c>
      <c r="D299">
        <v>16292987</v>
      </c>
      <c r="E299" t="s">
        <v>37</v>
      </c>
      <c r="F299" t="s">
        <v>38</v>
      </c>
      <c r="G299">
        <v>70</v>
      </c>
      <c r="H299" t="s">
        <v>1112</v>
      </c>
      <c r="I299" t="s">
        <v>23</v>
      </c>
      <c r="J299" s="3" t="s">
        <v>1113</v>
      </c>
      <c r="K299" s="10" t="s">
        <v>1114</v>
      </c>
      <c r="M299">
        <v>324</v>
      </c>
      <c r="N299" t="s">
        <v>867</v>
      </c>
      <c r="P299" t="s">
        <v>1115</v>
      </c>
      <c r="Q299" s="10">
        <f>INT(Tabela1[[#This Row],[DATA]])</f>
        <v>46170</v>
      </c>
      <c r="R299" s="14" t="str">
        <f ca="1">IF(AND(Q299&gt;=TODAY()-WEEKDAY(TODAY(),2)+1,Q299&lt;TODAY()),"SIM","NÃO")</f>
        <v>NÃO</v>
      </c>
    </row>
    <row r="300" spans="1:18" hidden="1">
      <c r="A300" t="s">
        <v>1110</v>
      </c>
      <c r="B300" t="s">
        <v>1111</v>
      </c>
      <c r="C300">
        <v>300263692</v>
      </c>
      <c r="D300">
        <v>16473965</v>
      </c>
      <c r="E300" t="s">
        <v>37</v>
      </c>
      <c r="F300" t="s">
        <v>369</v>
      </c>
      <c r="G300" t="s">
        <v>1116</v>
      </c>
      <c r="H300" t="s">
        <v>1117</v>
      </c>
      <c r="I300" t="s">
        <v>23</v>
      </c>
      <c r="J300" s="3"/>
      <c r="K300" s="10" t="s">
        <v>1118</v>
      </c>
      <c r="M300">
        <v>325</v>
      </c>
      <c r="N300" t="s">
        <v>867</v>
      </c>
      <c r="P300" t="s">
        <v>1119</v>
      </c>
      <c r="Q300" s="10">
        <f>INT(Tabela1[[#This Row],[DATA]])</f>
        <v>46170</v>
      </c>
      <c r="R300" s="14" t="str">
        <f ca="1">IF(AND(Q300&gt;=TODAY()-WEEKDAY(TODAY(),2)+1,Q300&lt;TODAY()),"SIM","NÃO")</f>
        <v>NÃO</v>
      </c>
    </row>
    <row r="301" spans="1:18" hidden="1">
      <c r="A301" t="s">
        <v>1110</v>
      </c>
      <c r="B301" t="s">
        <v>1111</v>
      </c>
      <c r="C301">
        <v>300257636</v>
      </c>
      <c r="D301">
        <v>16472217</v>
      </c>
      <c r="E301" t="s">
        <v>37</v>
      </c>
      <c r="F301" t="s">
        <v>113</v>
      </c>
      <c r="G301" t="s">
        <v>1120</v>
      </c>
      <c r="H301" t="s">
        <v>1117</v>
      </c>
      <c r="I301" t="s">
        <v>23</v>
      </c>
      <c r="J301" s="3"/>
      <c r="K301" s="10" t="s">
        <v>1121</v>
      </c>
      <c r="M301">
        <v>326</v>
      </c>
      <c r="N301" t="s">
        <v>867</v>
      </c>
      <c r="P301" t="s">
        <v>1122</v>
      </c>
      <c r="Q301" s="10">
        <f>INT(Tabela1[[#This Row],[DATA]])</f>
        <v>46170</v>
      </c>
      <c r="R301" s="14" t="str">
        <f ca="1">IF(AND(Q301&gt;=TODAY()-WEEKDAY(TODAY(),2)+1,Q301&lt;TODAY()),"SIM","NÃO")</f>
        <v>NÃO</v>
      </c>
    </row>
    <row r="302" spans="1:18" hidden="1">
      <c r="A302" t="s">
        <v>163</v>
      </c>
      <c r="B302" t="s">
        <v>164</v>
      </c>
      <c r="C302">
        <v>300264397</v>
      </c>
      <c r="D302">
        <v>16447603</v>
      </c>
      <c r="E302" t="s">
        <v>37</v>
      </c>
      <c r="F302" t="s">
        <v>90</v>
      </c>
      <c r="G302">
        <v>1151</v>
      </c>
      <c r="H302" t="s">
        <v>39</v>
      </c>
      <c r="I302" t="s">
        <v>23</v>
      </c>
      <c r="J302" s="3"/>
      <c r="K302" s="10" t="s">
        <v>1123</v>
      </c>
      <c r="M302">
        <v>327</v>
      </c>
      <c r="N302" t="s">
        <v>878</v>
      </c>
      <c r="P302" t="s">
        <v>1124</v>
      </c>
      <c r="Q302" s="10">
        <f>INT(Tabela1[[#This Row],[DATA]])</f>
        <v>46170</v>
      </c>
      <c r="R302" s="14" t="str">
        <f ca="1">IF(AND(Q302&gt;=TODAY()-WEEKDAY(TODAY(),2)+1,Q302&lt;TODAY()),"SIM","NÃO")</f>
        <v>NÃO</v>
      </c>
    </row>
    <row r="303" spans="1:18" hidden="1">
      <c r="A303" t="s">
        <v>163</v>
      </c>
      <c r="B303" t="s">
        <v>164</v>
      </c>
      <c r="C303">
        <v>300261831</v>
      </c>
      <c r="D303">
        <v>16448642</v>
      </c>
      <c r="E303" t="s">
        <v>37</v>
      </c>
      <c r="F303" t="s">
        <v>90</v>
      </c>
      <c r="G303">
        <v>1.2849999999999999</v>
      </c>
      <c r="H303" t="s">
        <v>39</v>
      </c>
      <c r="I303" t="s">
        <v>23</v>
      </c>
      <c r="J303" s="3"/>
      <c r="K303" s="10" t="s">
        <v>1125</v>
      </c>
      <c r="M303">
        <v>328</v>
      </c>
      <c r="N303" t="s">
        <v>878</v>
      </c>
      <c r="P303" t="s">
        <v>1126</v>
      </c>
      <c r="Q303" s="10">
        <f>INT(Tabela1[[#This Row],[DATA]])</f>
        <v>46170</v>
      </c>
      <c r="R303" s="14" t="str">
        <f ca="1">IF(AND(Q303&gt;=TODAY()-WEEKDAY(TODAY(),2)+1,Q303&lt;TODAY()),"SIM","NÃO")</f>
        <v>NÃO</v>
      </c>
    </row>
    <row r="304" spans="1:18" hidden="1">
      <c r="A304" t="s">
        <v>163</v>
      </c>
      <c r="B304" t="s">
        <v>164</v>
      </c>
      <c r="C304">
        <v>300263681</v>
      </c>
      <c r="D304">
        <v>16387414</v>
      </c>
      <c r="E304" t="s">
        <v>37</v>
      </c>
      <c r="F304" t="s">
        <v>90</v>
      </c>
      <c r="G304">
        <v>475</v>
      </c>
      <c r="H304" t="s">
        <v>39</v>
      </c>
      <c r="I304" t="s">
        <v>23</v>
      </c>
      <c r="J304" s="3"/>
      <c r="K304" s="10" t="s">
        <v>1127</v>
      </c>
      <c r="M304">
        <v>329</v>
      </c>
      <c r="N304" t="s">
        <v>878</v>
      </c>
      <c r="P304" t="s">
        <v>1128</v>
      </c>
      <c r="Q304" s="10">
        <f>INT(Tabela1[[#This Row],[DATA]])</f>
        <v>46170</v>
      </c>
      <c r="R304" s="14" t="str">
        <f ca="1">IF(AND(Q304&gt;=TODAY()-WEEKDAY(TODAY(),2)+1,Q304&lt;TODAY()),"SIM","NÃO")</f>
        <v>NÃO</v>
      </c>
    </row>
    <row r="305" spans="1:18" hidden="1">
      <c r="A305" t="s">
        <v>249</v>
      </c>
      <c r="B305" t="s">
        <v>112</v>
      </c>
      <c r="C305">
        <v>300263353</v>
      </c>
      <c r="D305">
        <v>16099605</v>
      </c>
      <c r="E305" t="s">
        <v>45</v>
      </c>
      <c r="F305" t="s">
        <v>38</v>
      </c>
      <c r="G305" t="s">
        <v>1129</v>
      </c>
      <c r="H305" t="s">
        <v>22</v>
      </c>
      <c r="I305" t="s">
        <v>23</v>
      </c>
      <c r="J305" s="3"/>
      <c r="K305" s="10" t="s">
        <v>1130</v>
      </c>
      <c r="M305">
        <v>330</v>
      </c>
      <c r="N305" t="s">
        <v>867</v>
      </c>
      <c r="P305" t="s">
        <v>1131</v>
      </c>
      <c r="Q305" s="10">
        <f>INT(Tabela1[[#This Row],[DATA]])</f>
        <v>46170</v>
      </c>
      <c r="R305" s="14" t="str">
        <f ca="1">IF(AND(Q305&gt;=TODAY()-WEEKDAY(TODAY(),2)+1,Q305&lt;TODAY()),"SIM","NÃO")</f>
        <v>NÃO</v>
      </c>
    </row>
    <row r="306" spans="1:18" hidden="1">
      <c r="A306" t="s">
        <v>511</v>
      </c>
      <c r="B306" t="s">
        <v>512</v>
      </c>
      <c r="C306">
        <v>300261936</v>
      </c>
      <c r="D306">
        <v>16227336</v>
      </c>
      <c r="E306" t="s">
        <v>45</v>
      </c>
      <c r="F306" t="s">
        <v>38</v>
      </c>
      <c r="G306" t="s">
        <v>1132</v>
      </c>
      <c r="H306" t="s">
        <v>39</v>
      </c>
      <c r="I306" t="s">
        <v>23</v>
      </c>
      <c r="J306" s="3" t="s">
        <v>1133</v>
      </c>
      <c r="K306" s="10" t="s">
        <v>1134</v>
      </c>
      <c r="M306">
        <v>331</v>
      </c>
      <c r="N306" t="s">
        <v>867</v>
      </c>
      <c r="P306" t="s">
        <v>1135</v>
      </c>
      <c r="Q306" s="10">
        <f>INT(Tabela1[[#This Row],[DATA]])</f>
        <v>46170</v>
      </c>
      <c r="R306" s="14" t="str">
        <f ca="1">IF(AND(Q306&gt;=TODAY()-WEEKDAY(TODAY(),2)+1,Q306&lt;TODAY()),"SIM","NÃO")</f>
        <v>NÃO</v>
      </c>
    </row>
    <row r="307" spans="1:18" hidden="1">
      <c r="A307" t="s">
        <v>895</v>
      </c>
      <c r="B307" t="s">
        <v>1136</v>
      </c>
      <c r="C307">
        <v>300242504</v>
      </c>
      <c r="D307">
        <v>16379390</v>
      </c>
      <c r="E307" t="s">
        <v>37</v>
      </c>
      <c r="F307" t="s">
        <v>1137</v>
      </c>
      <c r="G307">
        <v>910</v>
      </c>
      <c r="H307" t="s">
        <v>39</v>
      </c>
      <c r="I307" t="s">
        <v>23</v>
      </c>
      <c r="J307" s="3" t="s">
        <v>1138</v>
      </c>
      <c r="K307" s="10" t="s">
        <v>1139</v>
      </c>
      <c r="M307">
        <v>332</v>
      </c>
      <c r="N307" t="s">
        <v>878</v>
      </c>
      <c r="P307" t="s">
        <v>1140</v>
      </c>
      <c r="Q307" s="10">
        <f>INT(Tabela1[[#This Row],[DATA]])</f>
        <v>46170</v>
      </c>
      <c r="R307" s="14" t="str">
        <f ca="1">IF(AND(Q307&gt;=TODAY()-WEEKDAY(TODAY(),2)+1,Q307&lt;TODAY()),"SIM","NÃO")</f>
        <v>NÃO</v>
      </c>
    </row>
    <row r="308" spans="1:18" hidden="1">
      <c r="A308" t="s">
        <v>489</v>
      </c>
      <c r="B308" t="s">
        <v>490</v>
      </c>
      <c r="C308">
        <v>300265765</v>
      </c>
      <c r="D308">
        <v>16520076</v>
      </c>
      <c r="E308" t="s">
        <v>37</v>
      </c>
      <c r="F308" t="s">
        <v>90</v>
      </c>
      <c r="G308">
        <v>944</v>
      </c>
      <c r="H308" t="s">
        <v>39</v>
      </c>
      <c r="I308" t="s">
        <v>23</v>
      </c>
      <c r="J308" s="3" t="s">
        <v>1141</v>
      </c>
      <c r="K308" s="10" t="s">
        <v>1142</v>
      </c>
      <c r="M308">
        <v>333</v>
      </c>
      <c r="N308" t="s">
        <v>878</v>
      </c>
      <c r="P308" t="s">
        <v>1143</v>
      </c>
      <c r="Q308" s="10">
        <f>INT(Tabela1[[#This Row],[DATA]])</f>
        <v>46170</v>
      </c>
      <c r="R308" s="14" t="str">
        <f ca="1">IF(AND(Q308&gt;=TODAY()-WEEKDAY(TODAY(),2)+1,Q308&lt;TODAY()),"SIM","NÃO")</f>
        <v>NÃO</v>
      </c>
    </row>
    <row r="309" spans="1:18" hidden="1">
      <c r="A309" t="s">
        <v>1144</v>
      </c>
      <c r="B309" t="s">
        <v>344</v>
      </c>
      <c r="C309">
        <v>300263682</v>
      </c>
      <c r="D309">
        <v>0</v>
      </c>
      <c r="E309" t="s">
        <v>37</v>
      </c>
      <c r="F309" t="s">
        <v>103</v>
      </c>
      <c r="G309">
        <v>0</v>
      </c>
      <c r="H309" t="s">
        <v>22</v>
      </c>
      <c r="I309" t="s">
        <v>23</v>
      </c>
      <c r="J309" s="3" t="s">
        <v>1145</v>
      </c>
      <c r="K309" s="10" t="s">
        <v>1146</v>
      </c>
      <c r="M309">
        <v>334</v>
      </c>
      <c r="N309" t="s">
        <v>878</v>
      </c>
      <c r="P309" t="s">
        <v>1147</v>
      </c>
      <c r="Q309" s="10">
        <f>INT(Tabela1[[#This Row],[DATA]])</f>
        <v>46170</v>
      </c>
      <c r="R309" s="14" t="str">
        <f ca="1">IF(AND(Q309&gt;=TODAY()-WEEKDAY(TODAY(),2)+1,Q309&lt;TODAY()),"SIM","NÃO")</f>
        <v>NÃO</v>
      </c>
    </row>
    <row r="310" spans="1:18" hidden="1">
      <c r="A310" t="s">
        <v>1144</v>
      </c>
      <c r="B310" t="s">
        <v>344</v>
      </c>
      <c r="C310">
        <v>300263682</v>
      </c>
      <c r="D310">
        <v>0</v>
      </c>
      <c r="E310" t="s">
        <v>37</v>
      </c>
      <c r="F310" t="s">
        <v>132</v>
      </c>
      <c r="G310">
        <v>0</v>
      </c>
      <c r="H310" t="s">
        <v>22</v>
      </c>
      <c r="I310" t="s">
        <v>23</v>
      </c>
      <c r="J310" s="3"/>
      <c r="K310" s="10" t="s">
        <v>1148</v>
      </c>
      <c r="M310">
        <v>335</v>
      </c>
      <c r="N310" t="s">
        <v>878</v>
      </c>
      <c r="P310" t="s">
        <v>1149</v>
      </c>
      <c r="Q310" s="10">
        <f>INT(Tabela1[[#This Row],[DATA]])</f>
        <v>46170</v>
      </c>
      <c r="R310" s="14" t="str">
        <f ca="1">IF(AND(Q310&gt;=TODAY()-WEEKDAY(TODAY(),2)+1,Q310&lt;TODAY()),"SIM","NÃO")</f>
        <v>NÃO</v>
      </c>
    </row>
    <row r="311" spans="1:18" hidden="1">
      <c r="A311" t="s">
        <v>541</v>
      </c>
      <c r="B311" t="s">
        <v>542</v>
      </c>
      <c r="C311">
        <v>300265953</v>
      </c>
      <c r="D311">
        <v>16099605</v>
      </c>
      <c r="E311" t="s">
        <v>45</v>
      </c>
      <c r="F311" t="s">
        <v>38</v>
      </c>
      <c r="G311" t="s">
        <v>1150</v>
      </c>
      <c r="H311" t="s">
        <v>22</v>
      </c>
      <c r="I311" t="s">
        <v>23</v>
      </c>
      <c r="J311" s="3" t="s">
        <v>1151</v>
      </c>
      <c r="K311" s="10" t="s">
        <v>1152</v>
      </c>
      <c r="M311">
        <v>336</v>
      </c>
      <c r="N311" t="s">
        <v>867</v>
      </c>
      <c r="P311" t="s">
        <v>1153</v>
      </c>
      <c r="Q311" s="10">
        <f>INT(Tabela1[[#This Row],[DATA]])</f>
        <v>46170</v>
      </c>
      <c r="R311" s="14" t="str">
        <f ca="1">IF(AND(Q311&gt;=TODAY()-WEEKDAY(TODAY(),2)+1,Q311&lt;TODAY()),"SIM","NÃO")</f>
        <v>NÃO</v>
      </c>
    </row>
    <row r="312" spans="1:18" hidden="1">
      <c r="A312" t="s">
        <v>1154</v>
      </c>
      <c r="B312" t="s">
        <v>1155</v>
      </c>
      <c r="C312">
        <v>300261852</v>
      </c>
      <c r="D312">
        <v>16523164</v>
      </c>
      <c r="E312" t="s">
        <v>37</v>
      </c>
      <c r="F312" t="s">
        <v>38</v>
      </c>
      <c r="G312" t="s">
        <v>1156</v>
      </c>
      <c r="H312" t="s">
        <v>22</v>
      </c>
      <c r="I312" t="s">
        <v>23</v>
      </c>
      <c r="J312" s="3" t="s">
        <v>1157</v>
      </c>
      <c r="K312" s="10" t="s">
        <v>1158</v>
      </c>
      <c r="M312">
        <v>337</v>
      </c>
      <c r="N312" t="s">
        <v>867</v>
      </c>
      <c r="P312" t="s">
        <v>1159</v>
      </c>
      <c r="Q312" s="10">
        <f>INT(Tabela1[[#This Row],[DATA]])</f>
        <v>46170</v>
      </c>
      <c r="R312" s="14" t="str">
        <f ca="1">IF(AND(Q312&gt;=TODAY()-WEEKDAY(TODAY(),2)+1,Q312&lt;TODAY()),"SIM","NÃO")</f>
        <v>NÃO</v>
      </c>
    </row>
    <row r="313" spans="1:18" hidden="1">
      <c r="A313" t="s">
        <v>185</v>
      </c>
      <c r="B313" t="s">
        <v>186</v>
      </c>
      <c r="C313">
        <v>300248836</v>
      </c>
      <c r="D313">
        <v>16441443</v>
      </c>
      <c r="E313" t="s">
        <v>37</v>
      </c>
      <c r="F313" t="s">
        <v>60</v>
      </c>
      <c r="G313">
        <v>216</v>
      </c>
      <c r="H313" t="s">
        <v>39</v>
      </c>
      <c r="I313" t="s">
        <v>23</v>
      </c>
      <c r="J313" s="3" t="s">
        <v>1160</v>
      </c>
      <c r="K313" s="10" t="s">
        <v>1161</v>
      </c>
      <c r="M313">
        <v>338</v>
      </c>
      <c r="N313" t="s">
        <v>878</v>
      </c>
      <c r="P313" t="s">
        <v>1162</v>
      </c>
      <c r="Q313" s="10">
        <f>INT(Tabela1[[#This Row],[DATA]])</f>
        <v>46170</v>
      </c>
      <c r="R313" s="14" t="str">
        <f ca="1">IF(AND(Q313&gt;=TODAY()-WEEKDAY(TODAY(),2)+1,Q313&lt;TODAY()),"SIM","NÃO")</f>
        <v>NÃO</v>
      </c>
    </row>
    <row r="314" spans="1:18" hidden="1">
      <c r="A314" t="s">
        <v>185</v>
      </c>
      <c r="B314" t="s">
        <v>186</v>
      </c>
      <c r="C314">
        <v>300248836</v>
      </c>
      <c r="D314">
        <v>16441443</v>
      </c>
      <c r="E314" t="s">
        <v>37</v>
      </c>
      <c r="F314" t="s">
        <v>323</v>
      </c>
      <c r="G314">
        <v>25</v>
      </c>
      <c r="H314" t="s">
        <v>39</v>
      </c>
      <c r="I314" t="s">
        <v>23</v>
      </c>
      <c r="J314" s="3" t="s">
        <v>1163</v>
      </c>
      <c r="K314" s="10" t="s">
        <v>1164</v>
      </c>
      <c r="M314">
        <v>339</v>
      </c>
      <c r="N314" t="s">
        <v>867</v>
      </c>
      <c r="P314" t="s">
        <v>1165</v>
      </c>
      <c r="Q314" s="10">
        <f>INT(Tabela1[[#This Row],[DATA]])</f>
        <v>46170</v>
      </c>
      <c r="R314" s="14" t="str">
        <f ca="1">IF(AND(Q314&gt;=TODAY()-WEEKDAY(TODAY(),2)+1,Q314&lt;TODAY()),"SIM","NÃO")</f>
        <v>NÃO</v>
      </c>
    </row>
    <row r="315" spans="1:18" hidden="1">
      <c r="A315" t="s">
        <v>1154</v>
      </c>
      <c r="B315" t="s">
        <v>1155</v>
      </c>
      <c r="C315">
        <v>300259642</v>
      </c>
      <c r="D315">
        <v>10114787</v>
      </c>
      <c r="E315" t="s">
        <v>37</v>
      </c>
      <c r="F315" t="s">
        <v>125</v>
      </c>
      <c r="G315">
        <v>148</v>
      </c>
      <c r="H315" t="s">
        <v>1166</v>
      </c>
      <c r="I315" t="s">
        <v>23</v>
      </c>
      <c r="J315" s="3" t="s">
        <v>1167</v>
      </c>
      <c r="K315" s="10" t="s">
        <v>1168</v>
      </c>
      <c r="M315">
        <v>340</v>
      </c>
      <c r="N315" t="s">
        <v>878</v>
      </c>
      <c r="P315" t="s">
        <v>1169</v>
      </c>
      <c r="Q315" s="10">
        <f>INT(Tabela1[[#This Row],[DATA]])</f>
        <v>46170</v>
      </c>
      <c r="R315" s="14" t="str">
        <f ca="1">IF(AND(Q315&gt;=TODAY()-WEEKDAY(TODAY(),2)+1,Q315&lt;TODAY()),"SIM","NÃO")</f>
        <v>NÃO</v>
      </c>
    </row>
    <row r="316" spans="1:18" hidden="1">
      <c r="A316" t="s">
        <v>1154</v>
      </c>
      <c r="B316" t="s">
        <v>1155</v>
      </c>
      <c r="C316">
        <v>300259642</v>
      </c>
      <c r="D316">
        <v>10114787</v>
      </c>
      <c r="E316" t="s">
        <v>37</v>
      </c>
      <c r="F316" t="s">
        <v>1170</v>
      </c>
      <c r="G316" t="s">
        <v>1171</v>
      </c>
      <c r="H316" t="s">
        <v>39</v>
      </c>
      <c r="I316" t="s">
        <v>23</v>
      </c>
      <c r="J316" s="3" t="s">
        <v>1172</v>
      </c>
      <c r="K316" s="10" t="s">
        <v>1173</v>
      </c>
      <c r="M316">
        <v>341</v>
      </c>
      <c r="N316" t="s">
        <v>878</v>
      </c>
      <c r="P316" t="s">
        <v>1174</v>
      </c>
      <c r="Q316" s="10">
        <f>INT(Tabela1[[#This Row],[DATA]])</f>
        <v>46170</v>
      </c>
      <c r="R316" s="14" t="str">
        <f ca="1">IF(AND(Q316&gt;=TODAY()-WEEKDAY(TODAY(),2)+1,Q316&lt;TODAY()),"SIM","NÃO")</f>
        <v>NÃO</v>
      </c>
    </row>
    <row r="317" spans="1:18" hidden="1">
      <c r="A317" t="s">
        <v>1175</v>
      </c>
      <c r="B317" t="s">
        <v>1176</v>
      </c>
      <c r="C317">
        <v>300261464</v>
      </c>
      <c r="D317">
        <v>15711854</v>
      </c>
      <c r="E317" t="s">
        <v>37</v>
      </c>
      <c r="F317" t="s">
        <v>151</v>
      </c>
      <c r="G317">
        <v>19</v>
      </c>
      <c r="H317" t="s">
        <v>39</v>
      </c>
      <c r="I317" t="s">
        <v>23</v>
      </c>
      <c r="J317" s="3" t="s">
        <v>1177</v>
      </c>
      <c r="K317" s="10" t="s">
        <v>1178</v>
      </c>
      <c r="M317">
        <v>342</v>
      </c>
      <c r="N317" t="s">
        <v>867</v>
      </c>
      <c r="P317" t="s">
        <v>1179</v>
      </c>
      <c r="Q317" s="10">
        <f>INT(Tabela1[[#This Row],[DATA]])</f>
        <v>46170</v>
      </c>
      <c r="R317" s="14" t="str">
        <f ca="1">IF(AND(Q317&gt;=TODAY()-WEEKDAY(TODAY(),2)+1,Q317&lt;TODAY()),"SIM","NÃO")</f>
        <v>NÃO</v>
      </c>
    </row>
    <row r="318" spans="1:18" hidden="1">
      <c r="A318" t="s">
        <v>787</v>
      </c>
      <c r="B318" t="s">
        <v>1180</v>
      </c>
      <c r="C318">
        <v>300264801</v>
      </c>
      <c r="D318">
        <v>15773949</v>
      </c>
      <c r="E318" t="s">
        <v>37</v>
      </c>
      <c r="F318" t="s">
        <v>177</v>
      </c>
      <c r="G318" t="s">
        <v>1181</v>
      </c>
      <c r="H318" t="s">
        <v>22</v>
      </c>
      <c r="I318" t="s">
        <v>23</v>
      </c>
      <c r="J318" s="3" t="s">
        <v>1182</v>
      </c>
      <c r="K318" s="10" t="s">
        <v>1183</v>
      </c>
      <c r="M318">
        <v>343</v>
      </c>
      <c r="N318" t="s">
        <v>867</v>
      </c>
      <c r="P318" t="s">
        <v>1184</v>
      </c>
      <c r="Q318" s="10">
        <f>INT(Tabela1[[#This Row],[DATA]])</f>
        <v>46170</v>
      </c>
      <c r="R318" s="14" t="str">
        <f ca="1">IF(AND(Q318&gt;=TODAY()-WEEKDAY(TODAY(),2)+1,Q318&lt;TODAY()),"SIM","NÃO")</f>
        <v>NÃO</v>
      </c>
    </row>
    <row r="319" spans="1:18" hidden="1">
      <c r="A319" t="s">
        <v>787</v>
      </c>
      <c r="B319" t="s">
        <v>788</v>
      </c>
      <c r="C319">
        <v>300264801</v>
      </c>
      <c r="D319">
        <v>15773949</v>
      </c>
      <c r="E319" t="s">
        <v>37</v>
      </c>
      <c r="F319" t="s">
        <v>177</v>
      </c>
      <c r="G319" t="s">
        <v>1185</v>
      </c>
      <c r="H319" t="s">
        <v>22</v>
      </c>
      <c r="I319" t="s">
        <v>23</v>
      </c>
      <c r="J319" s="3" t="s">
        <v>1186</v>
      </c>
      <c r="K319" s="10" t="s">
        <v>1187</v>
      </c>
      <c r="M319">
        <v>344</v>
      </c>
      <c r="N319" t="s">
        <v>867</v>
      </c>
      <c r="P319" t="s">
        <v>1188</v>
      </c>
      <c r="Q319" s="10">
        <f>INT(Tabela1[[#This Row],[DATA]])</f>
        <v>46170</v>
      </c>
      <c r="R319" s="14" t="str">
        <f ca="1">IF(AND(Q319&gt;=TODAY()-WEEKDAY(TODAY(),2)+1,Q319&lt;TODAY()),"SIM","NÃO")</f>
        <v>NÃO</v>
      </c>
    </row>
    <row r="320" spans="1:18" hidden="1">
      <c r="A320" t="s">
        <v>68</v>
      </c>
      <c r="B320" t="s">
        <v>1189</v>
      </c>
      <c r="C320">
        <v>300252306</v>
      </c>
      <c r="D320">
        <v>15412326</v>
      </c>
      <c r="E320" t="s">
        <v>45</v>
      </c>
      <c r="F320" t="s">
        <v>64</v>
      </c>
      <c r="G320" t="s">
        <v>1190</v>
      </c>
      <c r="H320" t="s">
        <v>39</v>
      </c>
      <c r="I320" t="s">
        <v>23</v>
      </c>
      <c r="J320" s="3" t="s">
        <v>1191</v>
      </c>
      <c r="K320" s="10" t="s">
        <v>1192</v>
      </c>
      <c r="M320">
        <v>345</v>
      </c>
      <c r="N320" t="s">
        <v>878</v>
      </c>
      <c r="P320" t="s">
        <v>1193</v>
      </c>
      <c r="Q320" s="10">
        <f>INT(Tabela1[[#This Row],[DATA]])</f>
        <v>46170</v>
      </c>
      <c r="R320" s="14" t="str">
        <f ca="1">IF(AND(Q320&gt;=TODAY()-WEEKDAY(TODAY(),2)+1,Q320&lt;TODAY()),"SIM","NÃO")</f>
        <v>NÃO</v>
      </c>
    </row>
    <row r="321" spans="1:18" hidden="1">
      <c r="A321" t="s">
        <v>68</v>
      </c>
      <c r="B321" t="s">
        <v>69</v>
      </c>
      <c r="C321">
        <v>300253306</v>
      </c>
      <c r="D321">
        <v>15412326</v>
      </c>
      <c r="E321" t="s">
        <v>45</v>
      </c>
      <c r="F321" t="s">
        <v>38</v>
      </c>
      <c r="G321" t="s">
        <v>1194</v>
      </c>
      <c r="H321" t="s">
        <v>39</v>
      </c>
      <c r="I321" t="s">
        <v>23</v>
      </c>
      <c r="J321" s="3" t="s">
        <v>1195</v>
      </c>
      <c r="K321" s="10" t="s">
        <v>1196</v>
      </c>
      <c r="M321">
        <v>346</v>
      </c>
      <c r="N321" t="s">
        <v>878</v>
      </c>
      <c r="P321" t="s">
        <v>1197</v>
      </c>
      <c r="Q321" s="10">
        <f>INT(Tabela1[[#This Row],[DATA]])</f>
        <v>46170</v>
      </c>
      <c r="R321" s="14" t="str">
        <f ca="1">IF(AND(Q321&gt;=TODAY()-WEEKDAY(TODAY(),2)+1,Q321&lt;TODAY()),"SIM","NÃO")</f>
        <v>NÃO</v>
      </c>
    </row>
    <row r="322" spans="1:18" hidden="1">
      <c r="A322" t="s">
        <v>68</v>
      </c>
      <c r="B322" t="s">
        <v>69</v>
      </c>
      <c r="C322">
        <v>300253306</v>
      </c>
      <c r="D322">
        <v>15412326</v>
      </c>
      <c r="E322" t="s">
        <v>45</v>
      </c>
      <c r="F322" t="s">
        <v>64</v>
      </c>
      <c r="G322" t="s">
        <v>1198</v>
      </c>
      <c r="H322" t="s">
        <v>39</v>
      </c>
      <c r="I322" t="s">
        <v>23</v>
      </c>
      <c r="J322" s="3" t="s">
        <v>1199</v>
      </c>
      <c r="K322" s="10" t="s">
        <v>1200</v>
      </c>
      <c r="M322">
        <v>347</v>
      </c>
      <c r="N322" t="s">
        <v>878</v>
      </c>
      <c r="P322" t="s">
        <v>1201</v>
      </c>
      <c r="Q322" s="10">
        <f>INT(Tabela1[[#This Row],[DATA]])</f>
        <v>46170</v>
      </c>
      <c r="R322" s="14" t="str">
        <f ca="1">IF(AND(Q322&gt;=TODAY()-WEEKDAY(TODAY(),2)+1,Q322&lt;TODAY()),"SIM","NÃO")</f>
        <v>NÃO</v>
      </c>
    </row>
    <row r="323" spans="1:18" hidden="1">
      <c r="A323" t="s">
        <v>68</v>
      </c>
      <c r="B323" t="s">
        <v>69</v>
      </c>
      <c r="C323">
        <v>300265376</v>
      </c>
      <c r="D323">
        <v>16440617</v>
      </c>
      <c r="E323" t="s">
        <v>37</v>
      </c>
      <c r="F323" t="s">
        <v>315</v>
      </c>
      <c r="G323">
        <v>1220</v>
      </c>
      <c r="H323" t="s">
        <v>39</v>
      </c>
      <c r="I323" t="s">
        <v>23</v>
      </c>
      <c r="J323" s="3" t="s">
        <v>1202</v>
      </c>
      <c r="K323" s="10" t="s">
        <v>1203</v>
      </c>
      <c r="M323">
        <v>348</v>
      </c>
      <c r="N323" t="s">
        <v>878</v>
      </c>
      <c r="P323" t="s">
        <v>1204</v>
      </c>
      <c r="Q323" s="10">
        <f>INT(Tabela1[[#This Row],[DATA]])</f>
        <v>46170</v>
      </c>
      <c r="R323" s="14" t="str">
        <f ca="1">IF(AND(Q323&gt;=TODAY()-WEEKDAY(TODAY(),2)+1,Q323&lt;TODAY()),"SIM","NÃO")</f>
        <v>NÃO</v>
      </c>
    </row>
    <row r="324" spans="1:18" hidden="1">
      <c r="A324" t="s">
        <v>185</v>
      </c>
      <c r="B324" t="s">
        <v>186</v>
      </c>
      <c r="C324">
        <v>300259133</v>
      </c>
      <c r="D324">
        <v>16450361</v>
      </c>
      <c r="E324" t="s">
        <v>37</v>
      </c>
      <c r="F324" t="s">
        <v>1205</v>
      </c>
      <c r="G324" t="s">
        <v>1206</v>
      </c>
      <c r="H324" t="s">
        <v>39</v>
      </c>
      <c r="I324" t="s">
        <v>23</v>
      </c>
      <c r="J324" s="3" t="s">
        <v>1206</v>
      </c>
      <c r="K324" s="10" t="s">
        <v>1207</v>
      </c>
      <c r="M324">
        <v>349</v>
      </c>
      <c r="N324" t="s">
        <v>867</v>
      </c>
      <c r="P324" t="s">
        <v>1208</v>
      </c>
      <c r="Q324" s="10">
        <f>INT(Tabela1[[#This Row],[DATA]])</f>
        <v>46170</v>
      </c>
      <c r="R324" s="14" t="str">
        <f ca="1">IF(AND(Q324&gt;=TODAY()-WEEKDAY(TODAY(),2)+1,Q324&lt;TODAY()),"SIM","NÃO")</f>
        <v>NÃO</v>
      </c>
    </row>
    <row r="325" spans="1:18" hidden="1">
      <c r="A325" t="s">
        <v>378</v>
      </c>
      <c r="B325" t="s">
        <v>137</v>
      </c>
      <c r="C325">
        <v>300248729</v>
      </c>
      <c r="D325">
        <v>16247388</v>
      </c>
      <c r="E325" t="s">
        <v>37</v>
      </c>
      <c r="F325" t="s">
        <v>177</v>
      </c>
      <c r="G325" t="s">
        <v>1209</v>
      </c>
      <c r="H325" t="s">
        <v>1210</v>
      </c>
      <c r="I325" t="s">
        <v>23</v>
      </c>
      <c r="J325" s="3"/>
      <c r="K325" s="10" t="s">
        <v>1211</v>
      </c>
      <c r="M325">
        <v>350</v>
      </c>
      <c r="N325" t="s">
        <v>867</v>
      </c>
      <c r="P325" t="s">
        <v>1212</v>
      </c>
      <c r="Q325" s="10">
        <f>INT(Tabela1[[#This Row],[DATA]])</f>
        <v>46170</v>
      </c>
      <c r="R325" s="14" t="str">
        <f ca="1">IF(AND(Q325&gt;=TODAY()-WEEKDAY(TODAY(),2)+1,Q325&lt;TODAY()),"SIM","NÃO")</f>
        <v>NÃO</v>
      </c>
    </row>
    <row r="326" spans="1:18" hidden="1">
      <c r="A326" t="s">
        <v>378</v>
      </c>
      <c r="B326" t="s">
        <v>137</v>
      </c>
      <c r="C326">
        <v>300248760</v>
      </c>
      <c r="D326">
        <v>16247388</v>
      </c>
      <c r="E326" t="s">
        <v>37</v>
      </c>
      <c r="F326" t="s">
        <v>177</v>
      </c>
      <c r="G326" t="s">
        <v>1213</v>
      </c>
      <c r="H326" t="s">
        <v>1210</v>
      </c>
      <c r="I326" t="s">
        <v>23</v>
      </c>
      <c r="J326" s="3"/>
      <c r="K326" s="10" t="s">
        <v>1214</v>
      </c>
      <c r="M326">
        <v>351</v>
      </c>
      <c r="N326" t="s">
        <v>867</v>
      </c>
      <c r="P326" t="s">
        <v>1215</v>
      </c>
      <c r="Q326" s="10">
        <f>INT(Tabela1[[#This Row],[DATA]])</f>
        <v>46170</v>
      </c>
      <c r="R326" s="14" t="str">
        <f ca="1">IF(AND(Q326&gt;=TODAY()-WEEKDAY(TODAY(),2)+1,Q326&lt;TODAY()),"SIM","NÃO")</f>
        <v>NÃO</v>
      </c>
    </row>
    <row r="327" spans="1:18" hidden="1">
      <c r="A327" t="s">
        <v>241</v>
      </c>
      <c r="B327" t="s">
        <v>242</v>
      </c>
      <c r="C327">
        <v>300266213</v>
      </c>
      <c r="D327">
        <v>15187632</v>
      </c>
      <c r="E327" t="s">
        <v>37</v>
      </c>
      <c r="F327" t="s">
        <v>21</v>
      </c>
      <c r="G327" t="s">
        <v>1216</v>
      </c>
      <c r="H327" t="s">
        <v>39</v>
      </c>
      <c r="I327" t="s">
        <v>23</v>
      </c>
      <c r="J327" s="3" t="s">
        <v>1217</v>
      </c>
      <c r="K327" s="10" t="s">
        <v>1218</v>
      </c>
      <c r="M327">
        <v>352</v>
      </c>
      <c r="N327" t="s">
        <v>878</v>
      </c>
      <c r="P327" t="s">
        <v>1219</v>
      </c>
      <c r="Q327" s="10">
        <f>INT(Tabela1[[#This Row],[DATA]])</f>
        <v>46170</v>
      </c>
      <c r="R327" s="14" t="str">
        <f ca="1">IF(AND(Q327&gt;=TODAY()-WEEKDAY(TODAY(),2)+1,Q327&lt;TODAY()),"SIM","NÃO")</f>
        <v>NÃO</v>
      </c>
    </row>
    <row r="328" spans="1:18" hidden="1">
      <c r="A328" t="s">
        <v>233</v>
      </c>
      <c r="B328" t="s">
        <v>234</v>
      </c>
      <c r="C328">
        <v>300259644</v>
      </c>
      <c r="D328">
        <v>10000144</v>
      </c>
      <c r="E328" t="s">
        <v>37</v>
      </c>
      <c r="F328" t="s">
        <v>30</v>
      </c>
      <c r="G328">
        <v>19</v>
      </c>
      <c r="H328" t="s">
        <v>39</v>
      </c>
      <c r="I328" t="s">
        <v>23</v>
      </c>
      <c r="J328" s="3" t="s">
        <v>1220</v>
      </c>
      <c r="K328" s="10" t="s">
        <v>1221</v>
      </c>
      <c r="M328">
        <v>353</v>
      </c>
      <c r="N328" t="s">
        <v>867</v>
      </c>
      <c r="P328" t="s">
        <v>1222</v>
      </c>
      <c r="Q328" s="10">
        <f>INT(Tabela1[[#This Row],[DATA]])</f>
        <v>46170</v>
      </c>
      <c r="R328" s="14" t="str">
        <f ca="1">IF(AND(Q328&gt;=TODAY()-WEEKDAY(TODAY(),2)+1,Q328&lt;TODAY()),"SIM","NÃO")</f>
        <v>NÃO</v>
      </c>
    </row>
    <row r="329" spans="1:18" hidden="1">
      <c r="A329" t="s">
        <v>233</v>
      </c>
      <c r="B329" t="s">
        <v>234</v>
      </c>
      <c r="C329">
        <v>300266217</v>
      </c>
      <c r="D329">
        <v>15187632</v>
      </c>
      <c r="E329" t="s">
        <v>37</v>
      </c>
      <c r="F329" t="s">
        <v>417</v>
      </c>
      <c r="G329">
        <v>42</v>
      </c>
      <c r="H329" t="s">
        <v>39</v>
      </c>
      <c r="I329" t="s">
        <v>23</v>
      </c>
      <c r="J329" s="3" t="s">
        <v>1223</v>
      </c>
      <c r="K329" s="10" t="s">
        <v>1224</v>
      </c>
      <c r="M329">
        <v>354</v>
      </c>
      <c r="N329" t="s">
        <v>867</v>
      </c>
      <c r="P329" t="s">
        <v>1225</v>
      </c>
      <c r="Q329" s="10">
        <f>INT(Tabela1[[#This Row],[DATA]])</f>
        <v>46170</v>
      </c>
      <c r="R329" s="14" t="str">
        <f ca="1">IF(AND(Q329&gt;=TODAY()-WEEKDAY(TODAY(),2)+1,Q329&lt;TODAY()),"SIM","NÃO")</f>
        <v>NÃO</v>
      </c>
    </row>
    <row r="330" spans="1:18" hidden="1">
      <c r="A330" t="s">
        <v>685</v>
      </c>
      <c r="B330" t="s">
        <v>686</v>
      </c>
      <c r="C330">
        <v>300262455</v>
      </c>
      <c r="D330">
        <v>16447603</v>
      </c>
      <c r="E330" t="s">
        <v>37</v>
      </c>
      <c r="F330" t="s">
        <v>113</v>
      </c>
      <c r="G330">
        <v>400</v>
      </c>
      <c r="H330" t="s">
        <v>22</v>
      </c>
      <c r="I330" t="s">
        <v>23</v>
      </c>
      <c r="J330" s="3" t="s">
        <v>1226</v>
      </c>
      <c r="K330" s="10" t="s">
        <v>1227</v>
      </c>
      <c r="M330">
        <v>355</v>
      </c>
      <c r="N330" t="s">
        <v>867</v>
      </c>
      <c r="P330" t="s">
        <v>1228</v>
      </c>
      <c r="Q330" s="10">
        <f>INT(Tabela1[[#This Row],[DATA]])</f>
        <v>46170</v>
      </c>
      <c r="R330" s="14" t="str">
        <f ca="1">IF(AND(Q330&gt;=TODAY()-WEEKDAY(TODAY(),2)+1,Q330&lt;TODAY()),"SIM","NÃO")</f>
        <v>NÃO</v>
      </c>
    </row>
    <row r="331" spans="1:18" hidden="1">
      <c r="A331" t="s">
        <v>94</v>
      </c>
      <c r="B331" t="s">
        <v>95</v>
      </c>
      <c r="C331">
        <v>300265051</v>
      </c>
      <c r="D331">
        <v>16433858</v>
      </c>
      <c r="E331" t="s">
        <v>45</v>
      </c>
      <c r="F331" t="s">
        <v>513</v>
      </c>
      <c r="G331">
        <v>600</v>
      </c>
      <c r="H331" t="s">
        <v>22</v>
      </c>
      <c r="I331" t="s">
        <v>23</v>
      </c>
      <c r="J331" s="3" t="s">
        <v>1229</v>
      </c>
      <c r="K331" s="10" t="s">
        <v>1230</v>
      </c>
      <c r="M331">
        <v>356</v>
      </c>
      <c r="N331" t="s">
        <v>878</v>
      </c>
      <c r="P331" t="s">
        <v>1231</v>
      </c>
      <c r="Q331" s="10">
        <f>INT(Tabela1[[#This Row],[DATA]])</f>
        <v>46170</v>
      </c>
      <c r="R331" s="14" t="str">
        <f ca="1">IF(AND(Q331&gt;=TODAY()-WEEKDAY(TODAY(),2)+1,Q331&lt;TODAY()),"SIM","NÃO")</f>
        <v>NÃO</v>
      </c>
    </row>
    <row r="332" spans="1:18" hidden="1">
      <c r="A332" t="s">
        <v>595</v>
      </c>
      <c r="B332" t="s">
        <v>137</v>
      </c>
      <c r="C332">
        <v>300260830</v>
      </c>
      <c r="D332">
        <v>16440978</v>
      </c>
      <c r="E332" t="s">
        <v>45</v>
      </c>
      <c r="F332" t="s">
        <v>525</v>
      </c>
      <c r="G332" t="s">
        <v>1232</v>
      </c>
      <c r="H332" t="s">
        <v>1233</v>
      </c>
      <c r="I332" t="s">
        <v>23</v>
      </c>
      <c r="J332" s="3"/>
      <c r="K332" s="10" t="s">
        <v>1234</v>
      </c>
      <c r="M332">
        <v>357</v>
      </c>
      <c r="N332" t="s">
        <v>867</v>
      </c>
      <c r="P332" t="s">
        <v>1235</v>
      </c>
      <c r="Q332" s="10">
        <f>INT(Tabela1[[#This Row],[DATA]])</f>
        <v>46170</v>
      </c>
      <c r="R332" s="14" t="str">
        <f ca="1">IF(AND(Q332&gt;=TODAY()-WEEKDAY(TODAY(),2)+1,Q332&lt;TODAY()),"SIM","NÃO")</f>
        <v>NÃO</v>
      </c>
    </row>
    <row r="333" spans="1:18" hidden="1">
      <c r="A333" t="s">
        <v>1236</v>
      </c>
      <c r="B333" t="s">
        <v>1237</v>
      </c>
      <c r="C333">
        <v>300258186</v>
      </c>
      <c r="D333">
        <v>16482611</v>
      </c>
      <c r="E333" t="s">
        <v>37</v>
      </c>
      <c r="F333" t="s">
        <v>216</v>
      </c>
      <c r="G333">
        <v>50</v>
      </c>
      <c r="H333" t="s">
        <v>22</v>
      </c>
      <c r="I333" t="s">
        <v>23</v>
      </c>
      <c r="J333" s="3" t="s">
        <v>1238</v>
      </c>
      <c r="K333" s="10" t="s">
        <v>1239</v>
      </c>
      <c r="M333">
        <v>358</v>
      </c>
      <c r="N333" t="s">
        <v>867</v>
      </c>
      <c r="P333" t="s">
        <v>1240</v>
      </c>
      <c r="Q333" s="10">
        <f>INT(Tabela1[[#This Row],[DATA]])</f>
        <v>46170</v>
      </c>
      <c r="R333" s="14" t="str">
        <f ca="1">IF(AND(Q333&gt;=TODAY()-WEEKDAY(TODAY(),2)+1,Q333&lt;TODAY()),"SIM","NÃO")</f>
        <v>NÃO</v>
      </c>
    </row>
    <row r="334" spans="1:18" hidden="1">
      <c r="A334" t="s">
        <v>123</v>
      </c>
      <c r="B334" t="s">
        <v>1241</v>
      </c>
      <c r="C334">
        <v>300261110</v>
      </c>
      <c r="D334">
        <v>16191005</v>
      </c>
      <c r="E334" t="s">
        <v>37</v>
      </c>
      <c r="F334" t="s">
        <v>132</v>
      </c>
      <c r="G334">
        <v>1</v>
      </c>
      <c r="H334" t="s">
        <v>22</v>
      </c>
      <c r="I334" t="s">
        <v>23</v>
      </c>
      <c r="J334" s="3" t="s">
        <v>1242</v>
      </c>
      <c r="K334" s="10" t="s">
        <v>1243</v>
      </c>
      <c r="M334">
        <v>359</v>
      </c>
      <c r="N334" t="s">
        <v>878</v>
      </c>
      <c r="P334" t="s">
        <v>1244</v>
      </c>
      <c r="Q334" s="10">
        <f>INT(Tabela1[[#This Row],[DATA]])</f>
        <v>46170</v>
      </c>
      <c r="R334" s="14" t="str">
        <f ca="1">IF(AND(Q334&gt;=TODAY()-WEEKDAY(TODAY(),2)+1,Q334&lt;TODAY()),"SIM","NÃO")</f>
        <v>NÃO</v>
      </c>
    </row>
    <row r="335" spans="1:18" hidden="1">
      <c r="A335" t="s">
        <v>787</v>
      </c>
      <c r="B335" t="s">
        <v>788</v>
      </c>
      <c r="C335">
        <v>300266267</v>
      </c>
      <c r="D335">
        <v>16187415</v>
      </c>
      <c r="E335" t="s">
        <v>37</v>
      </c>
      <c r="F335" t="s">
        <v>216</v>
      </c>
      <c r="G335">
        <v>80</v>
      </c>
      <c r="H335" t="s">
        <v>22</v>
      </c>
      <c r="I335" t="s">
        <v>23</v>
      </c>
      <c r="J335" s="3" t="s">
        <v>1245</v>
      </c>
      <c r="K335" s="10" t="s">
        <v>1246</v>
      </c>
      <c r="M335">
        <v>360</v>
      </c>
      <c r="N335" t="s">
        <v>867</v>
      </c>
      <c r="P335" t="s">
        <v>1247</v>
      </c>
      <c r="Q335" s="10">
        <f>INT(Tabela1[[#This Row],[DATA]])</f>
        <v>46170</v>
      </c>
      <c r="R335" s="14" t="str">
        <f ca="1">IF(AND(Q335&gt;=TODAY()-WEEKDAY(TODAY(),2)+1,Q335&lt;TODAY()),"SIM","NÃO")</f>
        <v>NÃO</v>
      </c>
    </row>
    <row r="336" spans="1:18" hidden="1">
      <c r="A336" t="s">
        <v>123</v>
      </c>
      <c r="B336" t="s">
        <v>124</v>
      </c>
      <c r="C336">
        <v>300259107</v>
      </c>
      <c r="D336">
        <v>16160959</v>
      </c>
      <c r="E336" t="s">
        <v>37</v>
      </c>
      <c r="F336" t="s">
        <v>103</v>
      </c>
      <c r="G336">
        <v>200</v>
      </c>
      <c r="H336" t="s">
        <v>22</v>
      </c>
      <c r="I336" t="s">
        <v>23</v>
      </c>
      <c r="J336" s="3" t="s">
        <v>1248</v>
      </c>
      <c r="K336" s="10" t="s">
        <v>1249</v>
      </c>
      <c r="M336">
        <v>361</v>
      </c>
      <c r="N336" t="s">
        <v>878</v>
      </c>
      <c r="P336" t="s">
        <v>1250</v>
      </c>
      <c r="Q336" s="10">
        <f>INT(Tabela1[[#This Row],[DATA]])</f>
        <v>46170</v>
      </c>
      <c r="R336" s="14" t="str">
        <f ca="1">IF(AND(Q336&gt;=TODAY()-WEEKDAY(TODAY(),2)+1,Q336&lt;TODAY()),"SIM","NÃO")</f>
        <v>NÃO</v>
      </c>
    </row>
    <row r="337" spans="1:18" hidden="1">
      <c r="A337" t="s">
        <v>1236</v>
      </c>
      <c r="B337" t="s">
        <v>1237</v>
      </c>
      <c r="C337">
        <v>300261829</v>
      </c>
      <c r="D337">
        <v>15411800</v>
      </c>
      <c r="E337" t="s">
        <v>37</v>
      </c>
      <c r="F337" t="s">
        <v>203</v>
      </c>
      <c r="G337">
        <v>895</v>
      </c>
      <c r="H337" t="s">
        <v>22</v>
      </c>
      <c r="I337" t="s">
        <v>23</v>
      </c>
      <c r="J337" s="3" t="s">
        <v>1251</v>
      </c>
      <c r="K337" s="10" t="s">
        <v>1249</v>
      </c>
      <c r="M337">
        <v>362</v>
      </c>
      <c r="N337" t="s">
        <v>878</v>
      </c>
      <c r="P337" t="s">
        <v>1252</v>
      </c>
      <c r="Q337" s="10">
        <f>INT(Tabela1[[#This Row],[DATA]])</f>
        <v>46170</v>
      </c>
      <c r="R337" s="14" t="str">
        <f ca="1">IF(AND(Q337&gt;=TODAY()-WEEKDAY(TODAY(),2)+1,Q337&lt;TODAY()),"SIM","NÃO")</f>
        <v>NÃO</v>
      </c>
    </row>
    <row r="338" spans="1:18" hidden="1">
      <c r="A338" t="s">
        <v>787</v>
      </c>
      <c r="B338" t="s">
        <v>788</v>
      </c>
      <c r="C338">
        <v>300266267</v>
      </c>
      <c r="D338">
        <v>16187415</v>
      </c>
      <c r="E338" t="s">
        <v>37</v>
      </c>
      <c r="F338" t="s">
        <v>177</v>
      </c>
      <c r="G338" t="s">
        <v>1253</v>
      </c>
      <c r="H338" t="s">
        <v>22</v>
      </c>
      <c r="I338" t="s">
        <v>23</v>
      </c>
      <c r="J338" s="3" t="s">
        <v>1254</v>
      </c>
      <c r="K338" s="10" t="s">
        <v>1255</v>
      </c>
      <c r="M338">
        <v>363</v>
      </c>
      <c r="N338" t="s">
        <v>867</v>
      </c>
      <c r="P338" t="s">
        <v>1256</v>
      </c>
      <c r="Q338" s="10">
        <f>INT(Tabela1[[#This Row],[DATA]])</f>
        <v>46170</v>
      </c>
      <c r="R338" s="14" t="str">
        <f ca="1">IF(AND(Q338&gt;=TODAY()-WEEKDAY(TODAY(),2)+1,Q338&lt;TODAY()),"SIM","NÃO")</f>
        <v>NÃO</v>
      </c>
    </row>
    <row r="339" spans="1:18" hidden="1">
      <c r="A339" t="s">
        <v>1236</v>
      </c>
      <c r="B339" t="s">
        <v>1237</v>
      </c>
      <c r="C339">
        <v>300261829</v>
      </c>
      <c r="D339">
        <v>15411800</v>
      </c>
      <c r="E339" t="s">
        <v>37</v>
      </c>
      <c r="F339" t="s">
        <v>203</v>
      </c>
      <c r="G339">
        <v>895</v>
      </c>
      <c r="H339" t="s">
        <v>217</v>
      </c>
      <c r="I339" t="s">
        <v>23</v>
      </c>
      <c r="J339" s="3" t="s">
        <v>1257</v>
      </c>
      <c r="K339" s="10" t="s">
        <v>1258</v>
      </c>
      <c r="M339">
        <v>364</v>
      </c>
      <c r="N339" t="s">
        <v>878</v>
      </c>
      <c r="P339" t="s">
        <v>1259</v>
      </c>
      <c r="Q339" s="10">
        <f>INT(Tabela1[[#This Row],[DATA]])</f>
        <v>46170</v>
      </c>
      <c r="R339" s="14" t="str">
        <f ca="1">IF(AND(Q339&gt;=TODAY()-WEEKDAY(TODAY(),2)+1,Q339&lt;TODAY()),"SIM","NÃO")</f>
        <v>NÃO</v>
      </c>
    </row>
    <row r="340" spans="1:18" hidden="1">
      <c r="A340" t="s">
        <v>332</v>
      </c>
      <c r="B340" t="s">
        <v>28</v>
      </c>
      <c r="C340">
        <v>300262874</v>
      </c>
      <c r="D340">
        <v>16474228</v>
      </c>
      <c r="E340" t="s">
        <v>45</v>
      </c>
      <c r="F340" t="s">
        <v>151</v>
      </c>
      <c r="G340" t="s">
        <v>1260</v>
      </c>
      <c r="H340" t="s">
        <v>22</v>
      </c>
      <c r="I340" t="s">
        <v>23</v>
      </c>
      <c r="J340" s="3"/>
      <c r="K340" s="10" t="s">
        <v>1261</v>
      </c>
      <c r="M340">
        <v>365</v>
      </c>
      <c r="N340" t="s">
        <v>867</v>
      </c>
      <c r="P340" t="s">
        <v>1262</v>
      </c>
      <c r="Q340" s="10">
        <f>INT(Tabela1[[#This Row],[DATA]])</f>
        <v>46170</v>
      </c>
      <c r="R340" s="14" t="str">
        <f ca="1">IF(AND(Q340&gt;=TODAY()-WEEKDAY(TODAY(),2)+1,Q340&lt;TODAY()),"SIM","NÃO")</f>
        <v>NÃO</v>
      </c>
    </row>
    <row r="341" spans="1:18" hidden="1">
      <c r="A341" t="s">
        <v>332</v>
      </c>
      <c r="B341" t="s">
        <v>690</v>
      </c>
      <c r="C341">
        <v>300262874</v>
      </c>
      <c r="D341">
        <v>16474228</v>
      </c>
      <c r="E341" t="s">
        <v>45</v>
      </c>
      <c r="F341" t="s">
        <v>151</v>
      </c>
      <c r="G341" t="s">
        <v>1263</v>
      </c>
      <c r="H341" t="s">
        <v>22</v>
      </c>
      <c r="I341" t="s">
        <v>23</v>
      </c>
      <c r="J341" s="3"/>
      <c r="K341" s="10" t="s">
        <v>1264</v>
      </c>
      <c r="M341">
        <v>366</v>
      </c>
      <c r="N341" t="s">
        <v>867</v>
      </c>
      <c r="P341" t="s">
        <v>1265</v>
      </c>
      <c r="Q341" s="10">
        <f>INT(Tabela1[[#This Row],[DATA]])</f>
        <v>46170</v>
      </c>
      <c r="R341" s="14" t="str">
        <f ca="1">IF(AND(Q341&gt;=TODAY()-WEEKDAY(TODAY(),2)+1,Q341&lt;TODAY()),"SIM","NÃO")</f>
        <v>NÃO</v>
      </c>
    </row>
    <row r="342" spans="1:18" hidden="1">
      <c r="A342" t="s">
        <v>49</v>
      </c>
      <c r="B342" t="s">
        <v>50</v>
      </c>
      <c r="C342">
        <v>300263693</v>
      </c>
      <c r="D342">
        <v>16473965</v>
      </c>
      <c r="E342" t="s">
        <v>37</v>
      </c>
      <c r="F342" t="s">
        <v>151</v>
      </c>
      <c r="G342" t="s">
        <v>1266</v>
      </c>
      <c r="H342" t="s">
        <v>39</v>
      </c>
      <c r="I342" t="s">
        <v>23</v>
      </c>
      <c r="J342" s="3" t="s">
        <v>1266</v>
      </c>
      <c r="K342" s="10" t="s">
        <v>1267</v>
      </c>
      <c r="M342">
        <v>367</v>
      </c>
      <c r="N342" t="s">
        <v>878</v>
      </c>
      <c r="P342" t="s">
        <v>1268</v>
      </c>
      <c r="Q342" s="10">
        <f>INT(Tabela1[[#This Row],[DATA]])</f>
        <v>46170</v>
      </c>
      <c r="R342" s="14" t="str">
        <f ca="1">IF(AND(Q342&gt;=TODAY()-WEEKDAY(TODAY(),2)+1,Q342&lt;TODAY()),"SIM","NÃO")</f>
        <v>NÃO</v>
      </c>
    </row>
    <row r="343" spans="1:18" hidden="1">
      <c r="A343" t="s">
        <v>895</v>
      </c>
      <c r="B343" t="s">
        <v>1136</v>
      </c>
      <c r="C343">
        <v>300263216</v>
      </c>
      <c r="D343">
        <v>16488393</v>
      </c>
      <c r="E343" t="s">
        <v>37</v>
      </c>
      <c r="F343" t="s">
        <v>38</v>
      </c>
      <c r="G343">
        <v>20</v>
      </c>
      <c r="H343" t="s">
        <v>22</v>
      </c>
      <c r="I343" t="s">
        <v>23</v>
      </c>
      <c r="J343" s="3" t="s">
        <v>1269</v>
      </c>
      <c r="K343" s="10" t="s">
        <v>1270</v>
      </c>
      <c r="M343">
        <v>368</v>
      </c>
      <c r="N343" t="s">
        <v>867</v>
      </c>
      <c r="P343" t="s">
        <v>1271</v>
      </c>
      <c r="Q343" s="10">
        <f>INT(Tabela1[[#This Row],[DATA]])</f>
        <v>46170</v>
      </c>
      <c r="R343" s="14" t="str">
        <f ca="1">IF(AND(Q343&gt;=TODAY()-WEEKDAY(TODAY(),2)+1,Q343&lt;TODAY()),"SIM","NÃO")</f>
        <v>NÃO</v>
      </c>
    </row>
    <row r="344" spans="1:18" hidden="1">
      <c r="A344" t="s">
        <v>49</v>
      </c>
      <c r="B344" t="s">
        <v>50</v>
      </c>
      <c r="C344">
        <v>300263693</v>
      </c>
      <c r="D344">
        <v>16473965</v>
      </c>
      <c r="E344" t="s">
        <v>37</v>
      </c>
      <c r="F344" t="s">
        <v>417</v>
      </c>
      <c r="G344" t="s">
        <v>1272</v>
      </c>
      <c r="H344" t="s">
        <v>39</v>
      </c>
      <c r="I344" t="s">
        <v>23</v>
      </c>
      <c r="J344" s="3" t="s">
        <v>1272</v>
      </c>
      <c r="K344" s="10" t="s">
        <v>1273</v>
      </c>
      <c r="M344">
        <v>369</v>
      </c>
      <c r="N344" t="s">
        <v>878</v>
      </c>
      <c r="P344" t="s">
        <v>1274</v>
      </c>
      <c r="Q344" s="10">
        <f>INT(Tabela1[[#This Row],[DATA]])</f>
        <v>46170</v>
      </c>
      <c r="R344" s="14" t="str">
        <f ca="1">IF(AND(Q344&gt;=TODAY()-WEEKDAY(TODAY(),2)+1,Q344&lt;TODAY()),"SIM","NÃO")</f>
        <v>NÃO</v>
      </c>
    </row>
    <row r="345" spans="1:18" hidden="1">
      <c r="A345" t="s">
        <v>49</v>
      </c>
      <c r="B345" t="s">
        <v>50</v>
      </c>
      <c r="C345">
        <v>300263693</v>
      </c>
      <c r="D345">
        <v>16473965</v>
      </c>
      <c r="E345" t="s">
        <v>37</v>
      </c>
      <c r="F345" t="s">
        <v>1275</v>
      </c>
      <c r="G345" t="s">
        <v>1276</v>
      </c>
      <c r="H345" t="s">
        <v>39</v>
      </c>
      <c r="I345" t="s">
        <v>23</v>
      </c>
      <c r="J345" s="3" t="s">
        <v>1277</v>
      </c>
      <c r="K345" s="10" t="s">
        <v>1278</v>
      </c>
      <c r="M345">
        <v>370</v>
      </c>
      <c r="N345" t="s">
        <v>878</v>
      </c>
      <c r="P345" t="s">
        <v>1279</v>
      </c>
      <c r="Q345" s="10">
        <f>INT(Tabela1[[#This Row],[DATA]])</f>
        <v>46170</v>
      </c>
      <c r="R345" s="14" t="str">
        <f ca="1">IF(AND(Q345&gt;=TODAY()-WEEKDAY(TODAY(),2)+1,Q345&lt;TODAY()),"SIM","NÃO")</f>
        <v>NÃO</v>
      </c>
    </row>
    <row r="346" spans="1:18" hidden="1">
      <c r="A346" t="s">
        <v>287</v>
      </c>
      <c r="B346" t="s">
        <v>288</v>
      </c>
      <c r="C346">
        <v>300264296</v>
      </c>
      <c r="D346">
        <v>16508920</v>
      </c>
      <c r="E346" t="s">
        <v>37</v>
      </c>
      <c r="F346" t="s">
        <v>113</v>
      </c>
      <c r="G346">
        <v>10</v>
      </c>
      <c r="H346" t="s">
        <v>22</v>
      </c>
      <c r="I346" t="s">
        <v>23</v>
      </c>
      <c r="J346" s="3" t="s">
        <v>1280</v>
      </c>
      <c r="K346" s="10" t="s">
        <v>1281</v>
      </c>
      <c r="M346">
        <v>372</v>
      </c>
      <c r="N346" t="s">
        <v>867</v>
      </c>
      <c r="P346" t="s">
        <v>1282</v>
      </c>
      <c r="Q346" s="10">
        <f>INT(Tabela1[[#This Row],[DATA]])</f>
        <v>46170</v>
      </c>
      <c r="R346" s="14" t="str">
        <f ca="1">IF(AND(Q346&gt;=TODAY()-WEEKDAY(TODAY(),2)+1,Q346&lt;TODAY()),"SIM","NÃO")</f>
        <v>NÃO</v>
      </c>
    </row>
    <row r="347" spans="1:18" hidden="1">
      <c r="A347" t="s">
        <v>1283</v>
      </c>
      <c r="B347" t="s">
        <v>1284</v>
      </c>
      <c r="C347">
        <v>300263241</v>
      </c>
      <c r="D347">
        <v>15773469</v>
      </c>
      <c r="E347" t="s">
        <v>37</v>
      </c>
      <c r="F347" t="s">
        <v>132</v>
      </c>
      <c r="G347">
        <v>1</v>
      </c>
      <c r="H347" t="s">
        <v>22</v>
      </c>
      <c r="I347" t="s">
        <v>152</v>
      </c>
      <c r="J347" s="3"/>
      <c r="K347" s="10" t="s">
        <v>1285</v>
      </c>
      <c r="M347">
        <v>373</v>
      </c>
      <c r="N347" t="s">
        <v>878</v>
      </c>
      <c r="P347" t="s">
        <v>1286</v>
      </c>
      <c r="Q347" s="10">
        <f>INT(Tabela1[[#This Row],[DATA]])</f>
        <v>46170</v>
      </c>
      <c r="R347" s="14" t="str">
        <f ca="1">IF(AND(Q347&gt;=TODAY()-WEEKDAY(TODAY(),2)+1,Q347&lt;TODAY()),"SIM","NÃO")</f>
        <v>NÃO</v>
      </c>
    </row>
    <row r="348" spans="1:18" hidden="1">
      <c r="A348" t="s">
        <v>143</v>
      </c>
      <c r="B348" t="s">
        <v>144</v>
      </c>
      <c r="C348">
        <v>300262871</v>
      </c>
      <c r="D348">
        <v>16474228</v>
      </c>
      <c r="E348" t="s">
        <v>45</v>
      </c>
      <c r="F348" t="s">
        <v>1287</v>
      </c>
      <c r="G348">
        <v>1</v>
      </c>
      <c r="H348" t="s">
        <v>644</v>
      </c>
      <c r="I348" t="s">
        <v>23</v>
      </c>
      <c r="J348" s="3"/>
      <c r="K348" s="10" t="s">
        <v>1288</v>
      </c>
      <c r="M348">
        <v>374</v>
      </c>
      <c r="N348" t="s">
        <v>878</v>
      </c>
      <c r="P348" t="s">
        <v>1289</v>
      </c>
      <c r="Q348" s="10">
        <f>INT(Tabela1[[#This Row],[DATA]])</f>
        <v>46171</v>
      </c>
      <c r="R348" s="14" t="str">
        <f ca="1">IF(AND(Q348&gt;=TODAY()-WEEKDAY(TODAY(),2)+1,Q348&lt;TODAY()),"SIM","NÃO")</f>
        <v>NÃO</v>
      </c>
    </row>
    <row r="349" spans="1:18" hidden="1">
      <c r="A349" t="s">
        <v>163</v>
      </c>
      <c r="B349" t="s">
        <v>164</v>
      </c>
      <c r="C349">
        <v>300262893</v>
      </c>
      <c r="D349">
        <v>16474937</v>
      </c>
      <c r="E349" t="s">
        <v>37</v>
      </c>
      <c r="F349" t="s">
        <v>38</v>
      </c>
      <c r="G349">
        <v>20</v>
      </c>
      <c r="H349" t="s">
        <v>22</v>
      </c>
      <c r="I349" t="s">
        <v>23</v>
      </c>
      <c r="J349" s="3" t="s">
        <v>1290</v>
      </c>
      <c r="K349" s="10" t="s">
        <v>1291</v>
      </c>
      <c r="M349">
        <v>375</v>
      </c>
      <c r="N349" t="s">
        <v>867</v>
      </c>
      <c r="P349" t="s">
        <v>1292</v>
      </c>
      <c r="Q349" s="10">
        <f>INT(Tabela1[[#This Row],[DATA]])</f>
        <v>46171</v>
      </c>
      <c r="R349" s="14" t="str">
        <f ca="1">IF(AND(Q349&gt;=TODAY()-WEEKDAY(TODAY(),2)+1,Q349&lt;TODAY()),"SIM","NÃO")</f>
        <v>NÃO</v>
      </c>
    </row>
    <row r="350" spans="1:18" hidden="1">
      <c r="A350" t="s">
        <v>159</v>
      </c>
      <c r="B350" t="s">
        <v>1293</v>
      </c>
      <c r="C350">
        <v>300261481</v>
      </c>
      <c r="D350">
        <v>15773477</v>
      </c>
      <c r="E350" t="s">
        <v>37</v>
      </c>
      <c r="F350" t="s">
        <v>38</v>
      </c>
      <c r="G350">
        <v>25</v>
      </c>
      <c r="H350" t="s">
        <v>22</v>
      </c>
      <c r="I350" t="s">
        <v>23</v>
      </c>
      <c r="J350" s="3" t="s">
        <v>1294</v>
      </c>
      <c r="K350" s="10" t="s">
        <v>1295</v>
      </c>
      <c r="M350">
        <v>376</v>
      </c>
      <c r="N350" t="s">
        <v>867</v>
      </c>
      <c r="P350" t="s">
        <v>1296</v>
      </c>
      <c r="Q350" s="10">
        <f>INT(Tabela1[[#This Row],[DATA]])</f>
        <v>46171</v>
      </c>
      <c r="R350" s="14" t="str">
        <f ca="1">IF(AND(Q350&gt;=TODAY()-WEEKDAY(TODAY(),2)+1,Q350&lt;TODAY()),"SIM","NÃO")</f>
        <v>NÃO</v>
      </c>
    </row>
    <row r="351" spans="1:18" hidden="1">
      <c r="A351" t="s">
        <v>1072</v>
      </c>
      <c r="B351" t="s">
        <v>1073</v>
      </c>
      <c r="C351">
        <v>300259994</v>
      </c>
      <c r="D351">
        <v>15863387</v>
      </c>
      <c r="E351" t="s">
        <v>37</v>
      </c>
      <c r="F351" t="s">
        <v>38</v>
      </c>
      <c r="G351">
        <v>59</v>
      </c>
      <c r="H351" t="s">
        <v>39</v>
      </c>
      <c r="I351" t="s">
        <v>23</v>
      </c>
      <c r="J351" s="3" t="s">
        <v>1297</v>
      </c>
      <c r="K351" s="10" t="s">
        <v>1298</v>
      </c>
      <c r="M351">
        <v>377</v>
      </c>
      <c r="N351" t="s">
        <v>867</v>
      </c>
      <c r="P351" t="s">
        <v>1299</v>
      </c>
      <c r="Q351" s="10">
        <f>INT(Tabela1[[#This Row],[DATA]])</f>
        <v>46171</v>
      </c>
      <c r="R351" s="14" t="str">
        <f ca="1">IF(AND(Q351&gt;=TODAY()-WEEKDAY(TODAY(),2)+1,Q351&lt;TODAY()),"SIM","NÃO")</f>
        <v>NÃO</v>
      </c>
    </row>
    <row r="352" spans="1:18" hidden="1">
      <c r="A352" t="s">
        <v>241</v>
      </c>
      <c r="B352" t="s">
        <v>242</v>
      </c>
      <c r="C352">
        <v>300265852</v>
      </c>
      <c r="D352">
        <v>16523741</v>
      </c>
      <c r="E352" t="s">
        <v>37</v>
      </c>
      <c r="F352" t="s">
        <v>113</v>
      </c>
      <c r="G352">
        <v>15</v>
      </c>
      <c r="H352" t="s">
        <v>22</v>
      </c>
      <c r="I352" t="s">
        <v>23</v>
      </c>
      <c r="J352" s="3" t="s">
        <v>1300</v>
      </c>
      <c r="K352" s="10" t="s">
        <v>1301</v>
      </c>
      <c r="M352">
        <v>378</v>
      </c>
      <c r="N352" t="s">
        <v>867</v>
      </c>
      <c r="P352" t="s">
        <v>1302</v>
      </c>
      <c r="Q352" s="10">
        <f>INT(Tabela1[[#This Row],[DATA]])</f>
        <v>46171</v>
      </c>
      <c r="R352" s="14" t="str">
        <f ca="1">IF(AND(Q352&gt;=TODAY()-WEEKDAY(TODAY(),2)+1,Q352&lt;TODAY()),"SIM","NÃO")</f>
        <v>NÃO</v>
      </c>
    </row>
    <row r="353" spans="1:18" hidden="1">
      <c r="A353" t="s">
        <v>273</v>
      </c>
      <c r="B353" t="s">
        <v>1303</v>
      </c>
      <c r="C353">
        <v>300262464</v>
      </c>
      <c r="D353">
        <v>14487004</v>
      </c>
      <c r="E353" t="s">
        <v>29</v>
      </c>
      <c r="F353" t="s">
        <v>187</v>
      </c>
      <c r="G353">
        <v>6</v>
      </c>
      <c r="H353" t="s">
        <v>22</v>
      </c>
      <c r="I353" t="s">
        <v>23</v>
      </c>
      <c r="J353" s="3"/>
      <c r="K353" s="10" t="s">
        <v>1304</v>
      </c>
      <c r="M353">
        <v>380</v>
      </c>
      <c r="N353" t="s">
        <v>867</v>
      </c>
      <c r="P353" t="s">
        <v>1305</v>
      </c>
      <c r="Q353" s="10">
        <f>INT(Tabela1[[#This Row],[DATA]])</f>
        <v>46171</v>
      </c>
      <c r="R353" s="14" t="str">
        <f ca="1">IF(AND(Q353&gt;=TODAY()-WEEKDAY(TODAY(),2)+1,Q353&lt;TODAY()),"SIM","NÃO")</f>
        <v>NÃO</v>
      </c>
    </row>
    <row r="354" spans="1:18" hidden="1">
      <c r="A354" t="s">
        <v>35</v>
      </c>
      <c r="B354" t="s">
        <v>36</v>
      </c>
      <c r="C354">
        <v>300261824</v>
      </c>
      <c r="D354">
        <v>15411800</v>
      </c>
      <c r="E354" t="s">
        <v>37</v>
      </c>
      <c r="F354" t="s">
        <v>113</v>
      </c>
      <c r="G354">
        <v>1.028</v>
      </c>
      <c r="H354" t="s">
        <v>217</v>
      </c>
      <c r="I354" t="s">
        <v>23</v>
      </c>
      <c r="J354" s="3" t="s">
        <v>1306</v>
      </c>
      <c r="K354" s="10" t="s">
        <v>1307</v>
      </c>
      <c r="M354">
        <v>379</v>
      </c>
      <c r="N354" t="s">
        <v>867</v>
      </c>
      <c r="P354" t="s">
        <v>1308</v>
      </c>
      <c r="Q354" s="10">
        <f>INT(Tabela1[[#This Row],[DATA]])</f>
        <v>46171</v>
      </c>
      <c r="R354" s="14" t="str">
        <f ca="1">IF(AND(Q354&gt;=TODAY()-WEEKDAY(TODAY(),2)+1,Q354&lt;TODAY()),"SIM","NÃO")</f>
        <v>NÃO</v>
      </c>
    </row>
    <row r="355" spans="1:18" hidden="1">
      <c r="A355" t="s">
        <v>196</v>
      </c>
      <c r="B355" t="s">
        <v>186</v>
      </c>
      <c r="C355">
        <v>300260650</v>
      </c>
      <c r="D355">
        <v>16448090</v>
      </c>
      <c r="E355" t="s">
        <v>37</v>
      </c>
      <c r="F355" t="s">
        <v>60</v>
      </c>
      <c r="G355">
        <v>1</v>
      </c>
      <c r="H355" t="s">
        <v>39</v>
      </c>
      <c r="I355" t="s">
        <v>23</v>
      </c>
      <c r="J355" s="3">
        <v>10000216483</v>
      </c>
      <c r="K355" s="10" t="s">
        <v>1309</v>
      </c>
      <c r="M355">
        <v>381</v>
      </c>
      <c r="N355" t="s">
        <v>867</v>
      </c>
      <c r="P355" t="s">
        <v>1310</v>
      </c>
      <c r="Q355" s="10">
        <f>INT(Tabela1[[#This Row],[DATA]])</f>
        <v>46171</v>
      </c>
      <c r="R355" s="14" t="str">
        <f ca="1">IF(AND(Q355&gt;=TODAY()-WEEKDAY(TODAY(),2)+1,Q355&lt;TODAY()),"SIM","NÃO")</f>
        <v>NÃO</v>
      </c>
    </row>
    <row r="356" spans="1:18" hidden="1">
      <c r="A356" t="s">
        <v>253</v>
      </c>
      <c r="B356" t="s">
        <v>254</v>
      </c>
      <c r="C356">
        <v>300266476</v>
      </c>
      <c r="D356">
        <v>16441656</v>
      </c>
      <c r="E356" t="s">
        <v>45</v>
      </c>
      <c r="F356" t="s">
        <v>323</v>
      </c>
      <c r="G356">
        <v>5</v>
      </c>
      <c r="H356" t="s">
        <v>22</v>
      </c>
      <c r="I356" t="s">
        <v>23</v>
      </c>
      <c r="J356" s="3" t="s">
        <v>1311</v>
      </c>
      <c r="K356" s="10" t="s">
        <v>1312</v>
      </c>
      <c r="M356">
        <v>382</v>
      </c>
      <c r="N356" t="s">
        <v>867</v>
      </c>
      <c r="P356" t="s">
        <v>1313</v>
      </c>
      <c r="Q356" s="10">
        <f>INT(Tabela1[[#This Row],[DATA]])</f>
        <v>46171</v>
      </c>
      <c r="R356" s="14" t="str">
        <f ca="1">IF(AND(Q356&gt;=TODAY()-WEEKDAY(TODAY(),2)+1,Q356&lt;TODAY()),"SIM","NÃO")</f>
        <v>NÃO</v>
      </c>
    </row>
    <row r="357" spans="1:18" hidden="1">
      <c r="A357" t="s">
        <v>273</v>
      </c>
      <c r="B357" t="s">
        <v>1314</v>
      </c>
      <c r="C357">
        <v>300265966</v>
      </c>
      <c r="D357">
        <v>12438235</v>
      </c>
      <c r="E357" t="s">
        <v>29</v>
      </c>
      <c r="F357" t="s">
        <v>323</v>
      </c>
      <c r="G357">
        <v>19</v>
      </c>
      <c r="H357" t="s">
        <v>39</v>
      </c>
      <c r="I357" t="s">
        <v>23</v>
      </c>
      <c r="J357" s="3" t="s">
        <v>1315</v>
      </c>
      <c r="K357" s="10" t="s">
        <v>1316</v>
      </c>
      <c r="M357">
        <v>383</v>
      </c>
      <c r="N357" t="s">
        <v>867</v>
      </c>
      <c r="P357" t="s">
        <v>1317</v>
      </c>
      <c r="Q357" s="10">
        <f>INT(Tabela1[[#This Row],[DATA]])</f>
        <v>46171</v>
      </c>
      <c r="R357" s="14" t="str">
        <f ca="1">IF(AND(Q357&gt;=TODAY()-WEEKDAY(TODAY(),2)+1,Q357&lt;TODAY()),"SIM","NÃO")</f>
        <v>NÃO</v>
      </c>
    </row>
    <row r="358" spans="1:18" hidden="1">
      <c r="A358" t="s">
        <v>273</v>
      </c>
      <c r="B358" t="s">
        <v>1318</v>
      </c>
      <c r="C358">
        <v>300265966</v>
      </c>
      <c r="D358">
        <v>12438235</v>
      </c>
      <c r="E358" t="s">
        <v>29</v>
      </c>
      <c r="F358" t="s">
        <v>525</v>
      </c>
      <c r="G358">
        <v>324</v>
      </c>
      <c r="H358" t="s">
        <v>39</v>
      </c>
      <c r="I358" t="s">
        <v>23</v>
      </c>
      <c r="J358" s="3" t="s">
        <v>1319</v>
      </c>
      <c r="K358" s="10" t="s">
        <v>1320</v>
      </c>
      <c r="M358">
        <v>384</v>
      </c>
      <c r="N358" t="s">
        <v>867</v>
      </c>
      <c r="P358" t="s">
        <v>1321</v>
      </c>
      <c r="Q358" s="10">
        <f>INT(Tabela1[[#This Row],[DATA]])</f>
        <v>46171</v>
      </c>
      <c r="R358" s="14" t="str">
        <f ca="1">IF(AND(Q358&gt;=TODAY()-WEEKDAY(TODAY(),2)+1,Q358&lt;TODAY()),"SIM","NÃO")</f>
        <v>NÃO</v>
      </c>
    </row>
    <row r="359" spans="1:18" hidden="1">
      <c r="A359" t="s">
        <v>273</v>
      </c>
      <c r="B359" t="s">
        <v>274</v>
      </c>
      <c r="C359">
        <v>300265966</v>
      </c>
      <c r="D359">
        <v>12438235</v>
      </c>
      <c r="E359" t="s">
        <v>29</v>
      </c>
      <c r="F359" t="s">
        <v>323</v>
      </c>
      <c r="G359">
        <v>19</v>
      </c>
      <c r="H359" t="s">
        <v>22</v>
      </c>
      <c r="I359" t="s">
        <v>23</v>
      </c>
      <c r="J359" s="3" t="s">
        <v>1322</v>
      </c>
      <c r="K359" s="10" t="s">
        <v>1323</v>
      </c>
      <c r="M359">
        <v>385</v>
      </c>
      <c r="N359" t="s">
        <v>867</v>
      </c>
      <c r="P359" t="s">
        <v>1324</v>
      </c>
      <c r="Q359" s="10">
        <f>INT(Tabela1[[#This Row],[DATA]])</f>
        <v>46171</v>
      </c>
      <c r="R359" s="14" t="str">
        <f ca="1">IF(AND(Q359&gt;=TODAY()-WEEKDAY(TODAY(),2)+1,Q359&lt;TODAY()),"SIM","NÃO")</f>
        <v>NÃO</v>
      </c>
    </row>
    <row r="360" spans="1:18" hidden="1">
      <c r="A360" t="s">
        <v>273</v>
      </c>
      <c r="B360" t="s">
        <v>274</v>
      </c>
      <c r="C360">
        <v>300265966</v>
      </c>
      <c r="D360">
        <v>12438235</v>
      </c>
      <c r="E360" t="s">
        <v>29</v>
      </c>
      <c r="F360" t="s">
        <v>525</v>
      </c>
      <c r="G360">
        <v>324</v>
      </c>
      <c r="H360" t="s">
        <v>39</v>
      </c>
      <c r="I360" t="s">
        <v>23</v>
      </c>
      <c r="J360" s="3" t="s">
        <v>1325</v>
      </c>
      <c r="K360" s="10" t="s">
        <v>1326</v>
      </c>
      <c r="M360">
        <v>386</v>
      </c>
      <c r="N360" t="s">
        <v>867</v>
      </c>
      <c r="P360" t="s">
        <v>1327</v>
      </c>
      <c r="Q360" s="10">
        <f>INT(Tabela1[[#This Row],[DATA]])</f>
        <v>46171</v>
      </c>
      <c r="R360" s="14" t="str">
        <f ca="1">IF(AND(Q360&gt;=TODAY()-WEEKDAY(TODAY(),2)+1,Q360&lt;TODAY()),"SIM","NÃO")</f>
        <v>NÃO</v>
      </c>
    </row>
    <row r="361" spans="1:18" hidden="1">
      <c r="A361" t="s">
        <v>541</v>
      </c>
      <c r="B361" t="s">
        <v>542</v>
      </c>
      <c r="C361">
        <v>300241488</v>
      </c>
      <c r="D361">
        <v>16227425</v>
      </c>
      <c r="E361" t="s">
        <v>45</v>
      </c>
      <c r="F361" t="s">
        <v>64</v>
      </c>
      <c r="G361">
        <v>846</v>
      </c>
      <c r="H361" t="s">
        <v>39</v>
      </c>
      <c r="I361" t="s">
        <v>23</v>
      </c>
      <c r="J361" s="3" t="s">
        <v>1328</v>
      </c>
      <c r="K361" s="10" t="s">
        <v>1329</v>
      </c>
      <c r="M361">
        <v>388</v>
      </c>
      <c r="N361" t="s">
        <v>878</v>
      </c>
      <c r="P361" t="s">
        <v>1330</v>
      </c>
      <c r="Q361" s="10">
        <f>INT(Tabela1[[#This Row],[DATA]])</f>
        <v>46171</v>
      </c>
      <c r="R361" s="14" t="str">
        <f ca="1">IF(AND(Q361&gt;=TODAY()-WEEKDAY(TODAY(),2)+1,Q361&lt;TODAY()),"SIM","NÃO")</f>
        <v>NÃO</v>
      </c>
    </row>
    <row r="362" spans="1:18" hidden="1">
      <c r="A362" t="s">
        <v>273</v>
      </c>
      <c r="B362" t="s">
        <v>274</v>
      </c>
      <c r="C362">
        <v>300265966</v>
      </c>
      <c r="D362">
        <v>12438235</v>
      </c>
      <c r="E362" t="s">
        <v>29</v>
      </c>
      <c r="F362" t="s">
        <v>259</v>
      </c>
      <c r="G362">
        <v>7</v>
      </c>
      <c r="H362" t="s">
        <v>22</v>
      </c>
      <c r="I362" t="s">
        <v>23</v>
      </c>
      <c r="J362" s="3"/>
      <c r="K362" s="10" t="s">
        <v>1329</v>
      </c>
      <c r="M362">
        <v>387</v>
      </c>
      <c r="N362" t="s">
        <v>867</v>
      </c>
      <c r="P362" t="s">
        <v>1331</v>
      </c>
      <c r="Q362" s="10">
        <f>INT(Tabela1[[#This Row],[DATA]])</f>
        <v>46171</v>
      </c>
      <c r="R362" s="14" t="str">
        <f ca="1">IF(AND(Q362&gt;=TODAY()-WEEKDAY(TODAY(),2)+1,Q362&lt;TODAY()),"SIM","NÃO")</f>
        <v>NÃO</v>
      </c>
    </row>
    <row r="363" spans="1:18" hidden="1">
      <c r="A363" t="s">
        <v>605</v>
      </c>
      <c r="B363" t="s">
        <v>606</v>
      </c>
      <c r="C363">
        <v>300263198</v>
      </c>
      <c r="D363">
        <v>15215539</v>
      </c>
      <c r="E363" t="s">
        <v>45</v>
      </c>
      <c r="F363" t="s">
        <v>113</v>
      </c>
      <c r="G363">
        <v>10</v>
      </c>
      <c r="H363" t="s">
        <v>22</v>
      </c>
      <c r="I363" t="s">
        <v>23</v>
      </c>
      <c r="J363" s="3" t="s">
        <v>1332</v>
      </c>
      <c r="K363" s="10" t="s">
        <v>1333</v>
      </c>
      <c r="M363">
        <v>389</v>
      </c>
      <c r="N363" t="s">
        <v>867</v>
      </c>
      <c r="P363" t="s">
        <v>1334</v>
      </c>
      <c r="Q363" s="10">
        <f>INT(Tabela1[[#This Row],[DATA]])</f>
        <v>46171</v>
      </c>
      <c r="R363" s="14" t="str">
        <f ca="1">IF(AND(Q363&gt;=TODAY()-WEEKDAY(TODAY(),2)+1,Q363&lt;TODAY()),"SIM","NÃO")</f>
        <v>NÃO</v>
      </c>
    </row>
    <row r="364" spans="1:18" hidden="1">
      <c r="A364" t="s">
        <v>605</v>
      </c>
      <c r="B364" t="s">
        <v>606</v>
      </c>
      <c r="C364">
        <v>300266687</v>
      </c>
      <c r="D364">
        <v>16243340</v>
      </c>
      <c r="E364" t="s">
        <v>37</v>
      </c>
      <c r="F364" t="s">
        <v>90</v>
      </c>
      <c r="G364">
        <v>10</v>
      </c>
      <c r="H364" t="s">
        <v>22</v>
      </c>
      <c r="I364" t="s">
        <v>23</v>
      </c>
      <c r="J364" s="3" t="s">
        <v>1335</v>
      </c>
      <c r="K364" s="10" t="s">
        <v>1336</v>
      </c>
      <c r="M364">
        <v>390</v>
      </c>
      <c r="N364" t="s">
        <v>867</v>
      </c>
      <c r="P364" t="s">
        <v>1337</v>
      </c>
      <c r="Q364" s="10">
        <f>INT(Tabela1[[#This Row],[DATA]])</f>
        <v>46171</v>
      </c>
      <c r="R364" s="14" t="str">
        <f ca="1">IF(AND(Q364&gt;=TODAY()-WEEKDAY(TODAY(),2)+1,Q364&lt;TODAY()),"SIM","NÃO")</f>
        <v>NÃO</v>
      </c>
    </row>
    <row r="365" spans="1:18" hidden="1">
      <c r="A365" t="s">
        <v>163</v>
      </c>
      <c r="B365" t="s">
        <v>164</v>
      </c>
      <c r="C365">
        <v>300264843</v>
      </c>
      <c r="D365">
        <v>16444620</v>
      </c>
      <c r="E365" t="s">
        <v>37</v>
      </c>
      <c r="F365" t="s">
        <v>221</v>
      </c>
      <c r="G365">
        <v>945</v>
      </c>
      <c r="H365" t="s">
        <v>39</v>
      </c>
      <c r="I365" t="s">
        <v>23</v>
      </c>
      <c r="J365" s="3" t="s">
        <v>1338</v>
      </c>
      <c r="K365" s="10" t="s">
        <v>1339</v>
      </c>
      <c r="M365">
        <v>391</v>
      </c>
      <c r="N365" t="s">
        <v>878</v>
      </c>
      <c r="P365" t="s">
        <v>1340</v>
      </c>
      <c r="Q365" s="10">
        <f>INT(Tabela1[[#This Row],[DATA]])</f>
        <v>46171</v>
      </c>
      <c r="R365" s="14" t="str">
        <f ca="1">IF(AND(Q365&gt;=TODAY()-WEEKDAY(TODAY(),2)+1,Q365&lt;TODAY()),"SIM","NÃO")</f>
        <v>NÃO</v>
      </c>
    </row>
    <row r="366" spans="1:18" hidden="1">
      <c r="A366" t="s">
        <v>387</v>
      </c>
      <c r="B366" t="s">
        <v>388</v>
      </c>
      <c r="C366">
        <v>300260620</v>
      </c>
      <c r="D366">
        <v>16444876</v>
      </c>
      <c r="E366" t="s">
        <v>37</v>
      </c>
      <c r="F366" t="s">
        <v>216</v>
      </c>
      <c r="G366">
        <v>152</v>
      </c>
      <c r="H366" t="s">
        <v>39</v>
      </c>
      <c r="I366" t="s">
        <v>23</v>
      </c>
      <c r="J366" s="3" t="s">
        <v>1341</v>
      </c>
      <c r="K366" s="10" t="s">
        <v>1342</v>
      </c>
      <c r="M366">
        <v>392</v>
      </c>
      <c r="N366" t="s">
        <v>867</v>
      </c>
      <c r="P366" t="s">
        <v>1343</v>
      </c>
      <c r="Q366" s="10">
        <f>INT(Tabela1[[#This Row],[DATA]])</f>
        <v>46171</v>
      </c>
      <c r="R366" s="14" t="str">
        <f ca="1">IF(AND(Q366&gt;=TODAY()-WEEKDAY(TODAY(),2)+1,Q366&lt;TODAY()),"SIM","NÃO")</f>
        <v>NÃO</v>
      </c>
    </row>
    <row r="367" spans="1:18" hidden="1">
      <c r="A367" t="s">
        <v>54</v>
      </c>
      <c r="B367" t="s">
        <v>55</v>
      </c>
      <c r="C367">
        <v>300263327</v>
      </c>
      <c r="D367">
        <v>16500784</v>
      </c>
      <c r="E367" t="s">
        <v>45</v>
      </c>
      <c r="F367" t="s">
        <v>38</v>
      </c>
      <c r="G367">
        <v>10</v>
      </c>
      <c r="H367" t="s">
        <v>22</v>
      </c>
      <c r="I367" t="s">
        <v>23</v>
      </c>
      <c r="J367" s="3" t="s">
        <v>1344</v>
      </c>
      <c r="K367" s="10" t="s">
        <v>1345</v>
      </c>
      <c r="M367">
        <v>393</v>
      </c>
      <c r="N367" t="s">
        <v>867</v>
      </c>
      <c r="P367" t="s">
        <v>1346</v>
      </c>
      <c r="Q367" s="10">
        <f>INT(Tabela1[[#This Row],[DATA]])</f>
        <v>46171</v>
      </c>
      <c r="R367" s="14" t="str">
        <f ca="1">IF(AND(Q367&gt;=TODAY()-WEEKDAY(TODAY(),2)+1,Q367&lt;TODAY()),"SIM","NÃO")</f>
        <v>NÃO</v>
      </c>
    </row>
    <row r="368" spans="1:18" hidden="1">
      <c r="A368" t="s">
        <v>511</v>
      </c>
      <c r="B368" t="s">
        <v>512</v>
      </c>
      <c r="C368">
        <v>300267103</v>
      </c>
      <c r="D368">
        <v>16223608</v>
      </c>
      <c r="E368" t="s">
        <v>45</v>
      </c>
      <c r="F368" t="s">
        <v>151</v>
      </c>
      <c r="G368">
        <v>22</v>
      </c>
      <c r="H368" t="s">
        <v>39</v>
      </c>
      <c r="I368" t="s">
        <v>23</v>
      </c>
      <c r="J368" s="3" t="s">
        <v>1347</v>
      </c>
      <c r="K368" s="10" t="s">
        <v>1348</v>
      </c>
      <c r="M368">
        <v>394</v>
      </c>
      <c r="N368" t="s">
        <v>867</v>
      </c>
      <c r="P368" t="s">
        <v>1349</v>
      </c>
      <c r="Q368" s="10">
        <f>INT(Tabela1[[#This Row],[DATA]])</f>
        <v>46171</v>
      </c>
      <c r="R368" s="14" t="str">
        <f ca="1">IF(AND(Q368&gt;=TODAY()-WEEKDAY(TODAY(),2)+1,Q368&lt;TODAY()),"SIM","NÃO")</f>
        <v>NÃO</v>
      </c>
    </row>
    <row r="369" spans="1:18" hidden="1">
      <c r="A369" t="s">
        <v>73</v>
      </c>
      <c r="B369" t="s">
        <v>74</v>
      </c>
      <c r="C369">
        <v>300262245</v>
      </c>
      <c r="D369">
        <v>16464591</v>
      </c>
      <c r="E369" t="s">
        <v>45</v>
      </c>
      <c r="F369" t="s">
        <v>64</v>
      </c>
      <c r="G369">
        <v>80</v>
      </c>
      <c r="H369" t="s">
        <v>22</v>
      </c>
      <c r="I369" t="s">
        <v>23</v>
      </c>
      <c r="J369" s="3" t="s">
        <v>1350</v>
      </c>
      <c r="K369" s="10" t="s">
        <v>1348</v>
      </c>
      <c r="M369">
        <v>395</v>
      </c>
      <c r="N369" t="s">
        <v>867</v>
      </c>
      <c r="P369" t="s">
        <v>1351</v>
      </c>
      <c r="Q369" s="10">
        <f>INT(Tabela1[[#This Row],[DATA]])</f>
        <v>46171</v>
      </c>
      <c r="R369" s="14" t="str">
        <f ca="1">IF(AND(Q369&gt;=TODAY()-WEEKDAY(TODAY(),2)+1,Q369&lt;TODAY()),"SIM","NÃO")</f>
        <v>NÃO</v>
      </c>
    </row>
    <row r="370" spans="1:18" hidden="1">
      <c r="A370" t="s">
        <v>73</v>
      </c>
      <c r="B370" t="s">
        <v>74</v>
      </c>
      <c r="C370">
        <v>300261310</v>
      </c>
      <c r="D370">
        <v>16481690</v>
      </c>
      <c r="E370" t="s">
        <v>45</v>
      </c>
      <c r="F370" t="s">
        <v>125</v>
      </c>
      <c r="G370">
        <v>10</v>
      </c>
      <c r="H370" t="s">
        <v>22</v>
      </c>
      <c r="I370" t="s">
        <v>23</v>
      </c>
      <c r="J370" s="3" t="s">
        <v>1352</v>
      </c>
      <c r="K370" s="10" t="s">
        <v>1353</v>
      </c>
      <c r="M370">
        <v>396</v>
      </c>
      <c r="N370" t="s">
        <v>867</v>
      </c>
      <c r="P370" t="s">
        <v>1354</v>
      </c>
      <c r="Q370" s="10">
        <f>INT(Tabela1[[#This Row],[DATA]])</f>
        <v>46171</v>
      </c>
      <c r="R370" s="14" t="str">
        <f ca="1">IF(AND(Q370&gt;=TODAY()-WEEKDAY(TODAY(),2)+1,Q370&lt;TODAY()),"SIM","NÃO")</f>
        <v>NÃO</v>
      </c>
    </row>
    <row r="371" spans="1:18" hidden="1">
      <c r="A371" t="s">
        <v>1283</v>
      </c>
      <c r="B371" t="s">
        <v>1284</v>
      </c>
      <c r="C371">
        <v>300266999</v>
      </c>
      <c r="D371">
        <v>16430271</v>
      </c>
      <c r="E371" t="s">
        <v>37</v>
      </c>
      <c r="F371" t="s">
        <v>103</v>
      </c>
      <c r="G371">
        <v>2</v>
      </c>
      <c r="H371" t="s">
        <v>39</v>
      </c>
      <c r="I371" t="s">
        <v>23</v>
      </c>
      <c r="J371" s="3"/>
      <c r="K371" s="10" t="s">
        <v>1355</v>
      </c>
      <c r="M371">
        <v>397</v>
      </c>
      <c r="N371" t="s">
        <v>878</v>
      </c>
      <c r="P371" t="s">
        <v>1356</v>
      </c>
      <c r="Q371" s="10">
        <f>INT(Tabela1[[#This Row],[DATA]])</f>
        <v>46171</v>
      </c>
      <c r="R371" s="14" t="str">
        <f ca="1">IF(AND(Q371&gt;=TODAY()-WEEKDAY(TODAY(),2)+1,Q371&lt;TODAY()),"SIM","NÃO")</f>
        <v>NÃO</v>
      </c>
    </row>
    <row r="372" spans="1:18" hidden="1">
      <c r="A372" t="s">
        <v>1283</v>
      </c>
      <c r="B372" t="s">
        <v>1284</v>
      </c>
      <c r="C372">
        <v>300266999</v>
      </c>
      <c r="D372">
        <v>16430271</v>
      </c>
      <c r="E372" t="s">
        <v>37</v>
      </c>
      <c r="F372" t="s">
        <v>203</v>
      </c>
      <c r="G372">
        <v>1</v>
      </c>
      <c r="H372" t="s">
        <v>39</v>
      </c>
      <c r="I372" t="s">
        <v>23</v>
      </c>
      <c r="J372" s="3"/>
      <c r="K372" s="10" t="s">
        <v>1357</v>
      </c>
      <c r="M372">
        <v>398</v>
      </c>
      <c r="N372" t="s">
        <v>878</v>
      </c>
      <c r="P372" t="s">
        <v>1358</v>
      </c>
      <c r="Q372" s="10">
        <f>INT(Tabela1[[#This Row],[DATA]])</f>
        <v>46171</v>
      </c>
      <c r="R372" s="14" t="str">
        <f ca="1">IF(AND(Q372&gt;=TODAY()-WEEKDAY(TODAY(),2)+1,Q372&lt;TODAY()),"SIM","NÃO")</f>
        <v>NÃO</v>
      </c>
    </row>
    <row r="373" spans="1:18" hidden="1">
      <c r="A373" t="s">
        <v>253</v>
      </c>
      <c r="B373" t="s">
        <v>254</v>
      </c>
      <c r="C373">
        <v>300267388</v>
      </c>
      <c r="D373">
        <v>16217403</v>
      </c>
      <c r="E373" t="s">
        <v>37</v>
      </c>
      <c r="F373" t="s">
        <v>132</v>
      </c>
      <c r="G373">
        <v>10</v>
      </c>
      <c r="H373" t="s">
        <v>22</v>
      </c>
      <c r="I373" t="s">
        <v>23</v>
      </c>
      <c r="J373" s="3" t="s">
        <v>13</v>
      </c>
      <c r="K373" s="10" t="s">
        <v>1359</v>
      </c>
      <c r="M373">
        <v>399</v>
      </c>
      <c r="N373" t="s">
        <v>878</v>
      </c>
      <c r="P373" t="s">
        <v>1360</v>
      </c>
      <c r="Q373" s="10">
        <f>INT(Tabela1[[#This Row],[DATA]])</f>
        <v>46171</v>
      </c>
      <c r="R373" s="14" t="str">
        <f ca="1">IF(AND(Q373&gt;=TODAY()-WEEKDAY(TODAY(),2)+1,Q373&lt;TODAY()),"SIM","NÃO")</f>
        <v>NÃO</v>
      </c>
    </row>
    <row r="374" spans="1:18" hidden="1">
      <c r="A374" t="s">
        <v>118</v>
      </c>
      <c r="B374" t="s">
        <v>119</v>
      </c>
      <c r="C374">
        <v>300265360</v>
      </c>
      <c r="D374">
        <v>16474120</v>
      </c>
      <c r="E374" t="s">
        <v>37</v>
      </c>
      <c r="F374" t="s">
        <v>113</v>
      </c>
      <c r="G374">
        <v>15</v>
      </c>
      <c r="H374" t="s">
        <v>39</v>
      </c>
      <c r="I374" t="s">
        <v>23</v>
      </c>
      <c r="J374" s="3" t="s">
        <v>1361</v>
      </c>
      <c r="K374" s="10" t="s">
        <v>1362</v>
      </c>
      <c r="M374">
        <v>400</v>
      </c>
      <c r="N374" t="s">
        <v>878</v>
      </c>
      <c r="P374" s="5" t="s">
        <v>1363</v>
      </c>
      <c r="Q374" s="10">
        <f>INT(Tabela1[[#This Row],[DATA]])</f>
        <v>46171</v>
      </c>
      <c r="R374" s="14" t="str">
        <f ca="1">IF(AND(Q374&gt;=TODAY()-WEEKDAY(TODAY(),2)+1,Q374&lt;TODAY()),"SIM","NÃO")</f>
        <v>NÃO</v>
      </c>
    </row>
    <row r="375" spans="1:18" hidden="1">
      <c r="A375" t="s">
        <v>191</v>
      </c>
      <c r="B375" t="s">
        <v>192</v>
      </c>
      <c r="C375">
        <v>300266419</v>
      </c>
      <c r="D375">
        <v>15128288</v>
      </c>
      <c r="E375" t="s">
        <v>29</v>
      </c>
      <c r="F375" t="s">
        <v>430</v>
      </c>
      <c r="G375">
        <v>1028</v>
      </c>
      <c r="H375" t="s">
        <v>39</v>
      </c>
      <c r="I375" t="s">
        <v>23</v>
      </c>
      <c r="J375" s="3"/>
      <c r="K375" s="10" t="s">
        <v>1364</v>
      </c>
      <c r="M375">
        <v>401</v>
      </c>
      <c r="N375" t="s">
        <v>878</v>
      </c>
      <c r="P375" t="s">
        <v>1365</v>
      </c>
      <c r="Q375" s="10">
        <f>INT(Tabela1[[#This Row],[DATA]])</f>
        <v>46171</v>
      </c>
      <c r="R375" s="14" t="str">
        <f ca="1">IF(AND(Q375&gt;=TODAY()-WEEKDAY(TODAY(),2)+1,Q375&lt;TODAY()),"SIM","NÃO")</f>
        <v>NÃO</v>
      </c>
    </row>
    <row r="376" spans="1:18" hidden="1">
      <c r="A376" t="s">
        <v>191</v>
      </c>
      <c r="B376" t="s">
        <v>192</v>
      </c>
      <c r="C376">
        <v>300266430</v>
      </c>
      <c r="D376">
        <v>15128288</v>
      </c>
      <c r="E376" t="s">
        <v>29</v>
      </c>
      <c r="F376" t="s">
        <v>430</v>
      </c>
      <c r="G376">
        <v>928</v>
      </c>
      <c r="H376" t="s">
        <v>39</v>
      </c>
      <c r="I376" t="s">
        <v>23</v>
      </c>
      <c r="J376" s="3"/>
      <c r="K376" s="10" t="s">
        <v>1366</v>
      </c>
      <c r="M376">
        <v>402</v>
      </c>
      <c r="N376" t="s">
        <v>878</v>
      </c>
      <c r="P376" t="s">
        <v>1367</v>
      </c>
      <c r="Q376" s="10">
        <f>INT(Tabela1[[#This Row],[DATA]])</f>
        <v>46171</v>
      </c>
      <c r="R376" s="14" t="str">
        <f ca="1">IF(AND(Q376&gt;=TODAY()-WEEKDAY(TODAY(),2)+1,Q376&lt;TODAY()),"SIM","NÃO")</f>
        <v>NÃO</v>
      </c>
    </row>
    <row r="377" spans="1:18" hidden="1">
      <c r="A377" t="s">
        <v>191</v>
      </c>
      <c r="B377" t="s">
        <v>192</v>
      </c>
      <c r="C377">
        <v>300266431</v>
      </c>
      <c r="D377">
        <v>15128288</v>
      </c>
      <c r="E377" t="s">
        <v>29</v>
      </c>
      <c r="F377" t="s">
        <v>430</v>
      </c>
      <c r="G377">
        <v>879</v>
      </c>
      <c r="H377" t="s">
        <v>39</v>
      </c>
      <c r="I377" t="s">
        <v>23</v>
      </c>
      <c r="J377" s="3"/>
      <c r="K377" s="10" t="s">
        <v>1368</v>
      </c>
      <c r="M377">
        <v>403</v>
      </c>
      <c r="N377" t="s">
        <v>878</v>
      </c>
      <c r="P377" t="s">
        <v>1369</v>
      </c>
      <c r="Q377" s="10">
        <f>INT(Tabela1[[#This Row],[DATA]])</f>
        <v>46171</v>
      </c>
      <c r="R377" s="14" t="str">
        <f ca="1">IF(AND(Q377&gt;=TODAY()-WEEKDAY(TODAY(),2)+1,Q377&lt;TODAY()),"SIM","NÃO")</f>
        <v>NÃO</v>
      </c>
    </row>
    <row r="378" spans="1:18" hidden="1">
      <c r="A378" t="s">
        <v>1283</v>
      </c>
      <c r="B378" t="s">
        <v>1284</v>
      </c>
      <c r="C378">
        <v>300266999</v>
      </c>
      <c r="D378">
        <v>16430271</v>
      </c>
      <c r="E378" t="s">
        <v>37</v>
      </c>
      <c r="F378" t="s">
        <v>203</v>
      </c>
      <c r="G378">
        <v>10</v>
      </c>
      <c r="H378" t="s">
        <v>39</v>
      </c>
      <c r="I378" t="s">
        <v>23</v>
      </c>
      <c r="J378" s="3"/>
      <c r="K378" s="10" t="s">
        <v>1370</v>
      </c>
      <c r="M378">
        <v>404</v>
      </c>
      <c r="N378" t="s">
        <v>878</v>
      </c>
      <c r="P378" t="s">
        <v>1371</v>
      </c>
      <c r="Q378" s="10">
        <f>INT(Tabela1[[#This Row],[DATA]])</f>
        <v>46171</v>
      </c>
      <c r="R378" s="14" t="str">
        <f ca="1">IF(AND(Q378&gt;=TODAY()-WEEKDAY(TODAY(),2)+1,Q378&lt;TODAY()),"SIM","NÃO")</f>
        <v>NÃO</v>
      </c>
    </row>
    <row r="379" spans="1:18" hidden="1">
      <c r="A379" t="s">
        <v>201</v>
      </c>
      <c r="B379" t="s">
        <v>202</v>
      </c>
      <c r="C379">
        <v>300263211</v>
      </c>
      <c r="D379">
        <v>16138473</v>
      </c>
      <c r="E379" t="s">
        <v>37</v>
      </c>
      <c r="F379" t="s">
        <v>369</v>
      </c>
      <c r="G379">
        <v>82</v>
      </c>
      <c r="H379" t="s">
        <v>22</v>
      </c>
      <c r="I379" t="s">
        <v>23</v>
      </c>
      <c r="J379" s="3" t="s">
        <v>1372</v>
      </c>
      <c r="K379" s="10" t="s">
        <v>1373</v>
      </c>
      <c r="M379">
        <v>405</v>
      </c>
      <c r="N379" t="s">
        <v>878</v>
      </c>
      <c r="P379" t="s">
        <v>1374</v>
      </c>
      <c r="Q379" s="10">
        <f>INT(Tabela1[[#This Row],[DATA]])</f>
        <v>46171</v>
      </c>
      <c r="R379" s="14" t="str">
        <f ca="1">IF(AND(Q379&gt;=TODAY()-WEEKDAY(TODAY(),2)+1,Q379&lt;TODAY()),"SIM","NÃO")</f>
        <v>NÃO</v>
      </c>
    </row>
    <row r="380" spans="1:18" hidden="1">
      <c r="A380" t="s">
        <v>201</v>
      </c>
      <c r="B380" t="s">
        <v>202</v>
      </c>
      <c r="C380">
        <v>300263211</v>
      </c>
      <c r="D380">
        <v>16138473</v>
      </c>
      <c r="E380" t="s">
        <v>37</v>
      </c>
      <c r="F380" t="s">
        <v>769</v>
      </c>
      <c r="G380">
        <v>371</v>
      </c>
      <c r="H380" t="s">
        <v>22</v>
      </c>
      <c r="I380" t="s">
        <v>23</v>
      </c>
      <c r="J380" s="3" t="s">
        <v>1375</v>
      </c>
      <c r="K380" s="10" t="s">
        <v>1376</v>
      </c>
      <c r="M380">
        <v>406</v>
      </c>
      <c r="N380" t="s">
        <v>867</v>
      </c>
      <c r="P380" t="s">
        <v>1377</v>
      </c>
      <c r="Q380" s="10">
        <f>INT(Tabela1[[#This Row],[DATA]])</f>
        <v>46171</v>
      </c>
      <c r="R380" s="14" t="str">
        <f ca="1">IF(AND(Q380&gt;=TODAY()-WEEKDAY(TODAY(),2)+1,Q380&lt;TODAY()),"SIM","NÃO")</f>
        <v>NÃO</v>
      </c>
    </row>
    <row r="381" spans="1:18" hidden="1">
      <c r="A381" t="s">
        <v>196</v>
      </c>
      <c r="B381" t="s">
        <v>186</v>
      </c>
      <c r="C381">
        <v>300248836</v>
      </c>
      <c r="D381">
        <v>16441443</v>
      </c>
      <c r="E381" t="s">
        <v>37</v>
      </c>
      <c r="F381" t="s">
        <v>60</v>
      </c>
      <c r="G381">
        <v>10</v>
      </c>
      <c r="H381" t="s">
        <v>39</v>
      </c>
      <c r="I381" t="s">
        <v>23</v>
      </c>
      <c r="J381" s="3" t="s">
        <v>1378</v>
      </c>
      <c r="K381" s="10" t="s">
        <v>1379</v>
      </c>
      <c r="M381">
        <v>407</v>
      </c>
      <c r="N381" t="s">
        <v>867</v>
      </c>
      <c r="P381" t="s">
        <v>1380</v>
      </c>
      <c r="Q381" s="10">
        <f>INT(Tabela1[[#This Row],[DATA]])</f>
        <v>46171</v>
      </c>
      <c r="R381" s="14" t="str">
        <f ca="1">IF(AND(Q381&gt;=TODAY()-WEEKDAY(TODAY(),2)+1,Q381&lt;TODAY()),"SIM","NÃO")</f>
        <v>NÃO</v>
      </c>
    </row>
    <row r="382" spans="1:18" hidden="1">
      <c r="A382" t="s">
        <v>1072</v>
      </c>
      <c r="B382" t="s">
        <v>1073</v>
      </c>
      <c r="C382">
        <v>300259994</v>
      </c>
      <c r="D382">
        <v>15863387</v>
      </c>
      <c r="E382" t="s">
        <v>37</v>
      </c>
      <c r="F382" t="s">
        <v>113</v>
      </c>
      <c r="G382">
        <v>506</v>
      </c>
      <c r="H382" t="s">
        <v>22</v>
      </c>
      <c r="I382" t="s">
        <v>23</v>
      </c>
      <c r="J382" s="3" t="s">
        <v>1381</v>
      </c>
      <c r="K382" s="10" t="s">
        <v>1382</v>
      </c>
      <c r="M382">
        <v>408</v>
      </c>
      <c r="N382" t="s">
        <v>867</v>
      </c>
      <c r="P382" t="s">
        <v>1383</v>
      </c>
      <c r="Q382" s="10">
        <f>INT(Tabela1[[#This Row],[DATA]])</f>
        <v>46171</v>
      </c>
      <c r="R382" s="14" t="str">
        <f ca="1">IF(AND(Q382&gt;=TODAY()-WEEKDAY(TODAY(),2)+1,Q382&lt;TODAY()),"SIM","NÃO")</f>
        <v>NÃO</v>
      </c>
    </row>
    <row r="383" spans="1:18" hidden="1">
      <c r="A383" t="s">
        <v>185</v>
      </c>
      <c r="B383" t="s">
        <v>186</v>
      </c>
      <c r="C383">
        <v>300260651</v>
      </c>
      <c r="D383">
        <v>16448090</v>
      </c>
      <c r="E383" t="s">
        <v>37</v>
      </c>
      <c r="F383" t="s">
        <v>113</v>
      </c>
      <c r="G383">
        <v>1368</v>
      </c>
      <c r="H383" t="s">
        <v>39</v>
      </c>
      <c r="I383" t="s">
        <v>23</v>
      </c>
      <c r="J383" s="3" t="s">
        <v>1384</v>
      </c>
      <c r="K383" s="10" t="s">
        <v>1385</v>
      </c>
      <c r="M383">
        <v>409</v>
      </c>
      <c r="N383" t="s">
        <v>878</v>
      </c>
      <c r="P383" t="s">
        <v>1386</v>
      </c>
      <c r="Q383" s="10">
        <f>INT(Tabela1[[#This Row],[DATA]])</f>
        <v>46171</v>
      </c>
      <c r="R383" s="14" t="str">
        <f ca="1">IF(AND(Q383&gt;=TODAY()-WEEKDAY(TODAY(),2)+1,Q383&lt;TODAY()),"SIM","NÃO")</f>
        <v>NÃO</v>
      </c>
    </row>
    <row r="384" spans="1:18" hidden="1">
      <c r="A384" t="s">
        <v>185</v>
      </c>
      <c r="B384" t="s">
        <v>186</v>
      </c>
      <c r="C384">
        <v>300260639</v>
      </c>
      <c r="D384">
        <v>16448090</v>
      </c>
      <c r="E384" t="s">
        <v>37</v>
      </c>
      <c r="F384" t="s">
        <v>113</v>
      </c>
      <c r="G384">
        <v>520</v>
      </c>
      <c r="H384" t="s">
        <v>39</v>
      </c>
      <c r="I384" t="s">
        <v>23</v>
      </c>
      <c r="J384" s="3" t="s">
        <v>1387</v>
      </c>
      <c r="K384" s="10" t="s">
        <v>1388</v>
      </c>
      <c r="M384">
        <v>410</v>
      </c>
      <c r="N384" t="s">
        <v>878</v>
      </c>
      <c r="P384" t="s">
        <v>1389</v>
      </c>
      <c r="Q384" s="10">
        <f>INT(Tabela1[[#This Row],[DATA]])</f>
        <v>46171</v>
      </c>
      <c r="R384" s="14" t="str">
        <f ca="1">IF(AND(Q384&gt;=TODAY()-WEEKDAY(TODAY(),2)+1,Q384&lt;TODAY()),"SIM","NÃO")</f>
        <v>NÃO</v>
      </c>
    </row>
    <row r="385" spans="1:18" hidden="1">
      <c r="A385" t="s">
        <v>807</v>
      </c>
      <c r="B385" t="s">
        <v>1390</v>
      </c>
      <c r="C385">
        <v>300261208</v>
      </c>
      <c r="D385">
        <v>16223608</v>
      </c>
      <c r="E385" t="s">
        <v>45</v>
      </c>
      <c r="F385" t="s">
        <v>64</v>
      </c>
      <c r="G385">
        <v>130</v>
      </c>
      <c r="H385" t="s">
        <v>1391</v>
      </c>
      <c r="I385" t="s">
        <v>23</v>
      </c>
      <c r="J385" s="3" t="s">
        <v>1392</v>
      </c>
      <c r="K385" s="10" t="s">
        <v>1393</v>
      </c>
      <c r="M385">
        <v>411</v>
      </c>
      <c r="N385" t="s">
        <v>867</v>
      </c>
      <c r="P385" t="s">
        <v>1394</v>
      </c>
      <c r="Q385" s="10">
        <f>INT(Tabela1[[#This Row],[DATA]])</f>
        <v>46171</v>
      </c>
      <c r="R385" s="14" t="str">
        <f ca="1">IF(AND(Q385&gt;=TODAY()-WEEKDAY(TODAY(),2)+1,Q385&lt;TODAY()),"SIM","NÃO")</f>
        <v>NÃO</v>
      </c>
    </row>
    <row r="386" spans="1:18" hidden="1">
      <c r="A386" t="s">
        <v>807</v>
      </c>
      <c r="B386" t="s">
        <v>1390</v>
      </c>
      <c r="C386">
        <v>300264452</v>
      </c>
      <c r="D386">
        <v>16229215</v>
      </c>
      <c r="E386" t="s">
        <v>45</v>
      </c>
      <c r="F386" t="s">
        <v>38</v>
      </c>
      <c r="G386">
        <v>68</v>
      </c>
      <c r="H386" t="s">
        <v>22</v>
      </c>
      <c r="I386" t="s">
        <v>23</v>
      </c>
      <c r="J386" s="3" t="s">
        <v>1395</v>
      </c>
      <c r="K386" s="10" t="s">
        <v>1396</v>
      </c>
      <c r="M386">
        <v>412</v>
      </c>
      <c r="N386" t="s">
        <v>867</v>
      </c>
      <c r="P386" t="s">
        <v>1397</v>
      </c>
      <c r="Q386" s="10">
        <f>INT(Tabela1[[#This Row],[DATA]])</f>
        <v>46171</v>
      </c>
      <c r="R386" s="14" t="str">
        <f ca="1">IF(AND(Q386&gt;=TODAY()-WEEKDAY(TODAY(),2)+1,Q386&lt;TODAY()),"SIM","NÃO")</f>
        <v>NÃO</v>
      </c>
    </row>
    <row r="387" spans="1:18" hidden="1">
      <c r="A387" t="s">
        <v>241</v>
      </c>
      <c r="B387" t="s">
        <v>242</v>
      </c>
      <c r="C387">
        <v>300266213</v>
      </c>
      <c r="D387">
        <v>15187632</v>
      </c>
      <c r="E387" t="s">
        <v>37</v>
      </c>
      <c r="F387" t="s">
        <v>177</v>
      </c>
      <c r="G387">
        <v>20</v>
      </c>
      <c r="H387" t="s">
        <v>22</v>
      </c>
      <c r="I387" t="s">
        <v>23</v>
      </c>
      <c r="J387" s="3" t="s">
        <v>1398</v>
      </c>
      <c r="K387" s="10" t="s">
        <v>1399</v>
      </c>
      <c r="M387">
        <v>413</v>
      </c>
      <c r="N387" t="s">
        <v>867</v>
      </c>
      <c r="P387" t="s">
        <v>1400</v>
      </c>
      <c r="Q387" s="10">
        <f>INT(Tabela1[[#This Row],[DATA]])</f>
        <v>46171</v>
      </c>
      <c r="R387" s="14" t="str">
        <f ca="1">IF(AND(Q387&gt;=TODAY()-WEEKDAY(TODAY(),2)+1,Q387&lt;TODAY()),"SIM","NÃO")</f>
        <v>NÃO</v>
      </c>
    </row>
    <row r="388" spans="1:18" hidden="1">
      <c r="A388" t="s">
        <v>163</v>
      </c>
      <c r="B388" t="s">
        <v>164</v>
      </c>
      <c r="C388">
        <v>300267146</v>
      </c>
      <c r="D388">
        <v>15128288</v>
      </c>
      <c r="E388" t="s">
        <v>29</v>
      </c>
      <c r="F388" t="s">
        <v>151</v>
      </c>
      <c r="G388">
        <v>10</v>
      </c>
      <c r="H388" t="s">
        <v>39</v>
      </c>
      <c r="I388" t="s">
        <v>23</v>
      </c>
      <c r="J388" s="3" t="s">
        <v>1401</v>
      </c>
      <c r="K388" s="10" t="s">
        <v>1402</v>
      </c>
      <c r="M388">
        <v>414</v>
      </c>
      <c r="N388" t="s">
        <v>867</v>
      </c>
      <c r="P388" t="s">
        <v>1403</v>
      </c>
      <c r="Q388" s="10">
        <f>INT(Tabela1[[#This Row],[DATA]])</f>
        <v>46171</v>
      </c>
      <c r="R388" s="14" t="str">
        <f ca="1">IF(AND(Q388&gt;=TODAY()-WEEKDAY(TODAY(),2)+1,Q388&lt;TODAY()),"SIM","NÃO")</f>
        <v>NÃO</v>
      </c>
    </row>
    <row r="389" spans="1:18" hidden="1">
      <c r="A389" t="s">
        <v>163</v>
      </c>
      <c r="B389" t="s">
        <v>741</v>
      </c>
      <c r="C389">
        <v>300267146</v>
      </c>
      <c r="D389">
        <v>15128288</v>
      </c>
      <c r="E389" t="s">
        <v>29</v>
      </c>
      <c r="F389" t="s">
        <v>323</v>
      </c>
      <c r="G389">
        <v>5</v>
      </c>
      <c r="H389" t="s">
        <v>39</v>
      </c>
      <c r="I389" t="s">
        <v>23</v>
      </c>
      <c r="J389" s="3" t="s">
        <v>1404</v>
      </c>
      <c r="K389" s="10" t="s">
        <v>1405</v>
      </c>
      <c r="M389">
        <v>415</v>
      </c>
      <c r="N389" t="s">
        <v>867</v>
      </c>
      <c r="P389" t="s">
        <v>1406</v>
      </c>
      <c r="Q389" s="10">
        <f>INT(Tabela1[[#This Row],[DATA]])</f>
        <v>46171</v>
      </c>
      <c r="R389" s="14" t="str">
        <f ca="1">IF(AND(Q389&gt;=TODAY()-WEEKDAY(TODAY(),2)+1,Q389&lt;TODAY()),"SIM","NÃO")</f>
        <v>NÃO</v>
      </c>
    </row>
    <row r="390" spans="1:18" hidden="1">
      <c r="A390" t="s">
        <v>787</v>
      </c>
      <c r="B390" t="s">
        <v>788</v>
      </c>
      <c r="C390">
        <v>300261054</v>
      </c>
      <c r="D390">
        <v>15858766</v>
      </c>
      <c r="E390" t="s">
        <v>37</v>
      </c>
      <c r="F390" t="s">
        <v>769</v>
      </c>
      <c r="G390">
        <v>1269</v>
      </c>
      <c r="H390" t="s">
        <v>1407</v>
      </c>
      <c r="I390" t="s">
        <v>23</v>
      </c>
      <c r="J390" s="3" t="s">
        <v>1408</v>
      </c>
      <c r="K390" s="11">
        <v>46174.325694444444</v>
      </c>
      <c r="M390">
        <v>416</v>
      </c>
      <c r="N390" t="s">
        <v>878</v>
      </c>
      <c r="P390" t="s">
        <v>1409</v>
      </c>
      <c r="Q390" s="10">
        <f>INT(Tabela1[[#This Row],[DATA]])</f>
        <v>46174</v>
      </c>
      <c r="R390" s="14" t="str">
        <f ca="1">IF(AND(Q390&gt;=TODAY()-WEEKDAY(TODAY(),2)+1,Q390&lt;TODAY()),"SIM","NÃO")</f>
        <v>NÃO</v>
      </c>
    </row>
    <row r="391" spans="1:18" hidden="1">
      <c r="A391" t="s">
        <v>163</v>
      </c>
      <c r="B391" t="s">
        <v>164</v>
      </c>
      <c r="C391">
        <v>300267384</v>
      </c>
      <c r="D391">
        <v>16243005</v>
      </c>
      <c r="E391" t="s">
        <v>37</v>
      </c>
      <c r="F391" t="s">
        <v>221</v>
      </c>
      <c r="G391">
        <v>1210</v>
      </c>
      <c r="H391" t="s">
        <v>39</v>
      </c>
      <c r="I391" t="s">
        <v>23</v>
      </c>
      <c r="J391" s="3" t="s">
        <v>1410</v>
      </c>
      <c r="K391" s="11">
        <v>46174.32916666667</v>
      </c>
      <c r="M391">
        <v>417</v>
      </c>
      <c r="N391" t="s">
        <v>878</v>
      </c>
      <c r="P391" t="s">
        <v>1411</v>
      </c>
      <c r="Q391" s="10">
        <f>INT(Tabela1[[#This Row],[DATA]])</f>
        <v>46174</v>
      </c>
      <c r="R391" s="14" t="str">
        <f ca="1">IF(AND(Q391&gt;=TODAY()-WEEKDAY(TODAY(),2)+1,Q391&lt;TODAY()),"SIM","NÃO")</f>
        <v>NÃO</v>
      </c>
    </row>
    <row r="392" spans="1:18" hidden="1">
      <c r="A392" t="s">
        <v>163</v>
      </c>
      <c r="B392" t="s">
        <v>164</v>
      </c>
      <c r="C392">
        <v>300267383</v>
      </c>
      <c r="D392">
        <v>16243005</v>
      </c>
      <c r="E392" t="s">
        <v>37</v>
      </c>
      <c r="F392" t="s">
        <v>221</v>
      </c>
      <c r="G392">
        <v>1386</v>
      </c>
      <c r="H392" t="s">
        <v>39</v>
      </c>
      <c r="I392" t="s">
        <v>23</v>
      </c>
      <c r="J392" s="3" t="s">
        <v>1412</v>
      </c>
      <c r="K392" s="11">
        <v>46174.330555555556</v>
      </c>
      <c r="M392">
        <v>418</v>
      </c>
      <c r="N392" t="s">
        <v>878</v>
      </c>
      <c r="P392" t="s">
        <v>1413</v>
      </c>
      <c r="Q392" s="10">
        <f>INT(Tabela1[[#This Row],[DATA]])</f>
        <v>46174</v>
      </c>
      <c r="R392" s="14" t="str">
        <f ca="1">IF(AND(Q392&gt;=TODAY()-WEEKDAY(TODAY(),2)+1,Q392&lt;TODAY()),"SIM","NÃO")</f>
        <v>NÃO</v>
      </c>
    </row>
    <row r="393" spans="1:18" hidden="1">
      <c r="A393" t="s">
        <v>378</v>
      </c>
      <c r="B393" t="s">
        <v>137</v>
      </c>
      <c r="C393">
        <v>300262451</v>
      </c>
      <c r="D393">
        <v>16448405</v>
      </c>
      <c r="E393" t="s">
        <v>37</v>
      </c>
      <c r="F393" t="s">
        <v>125</v>
      </c>
      <c r="G393">
        <v>500</v>
      </c>
      <c r="H393" t="s">
        <v>22</v>
      </c>
      <c r="I393" t="s">
        <v>23</v>
      </c>
      <c r="J393" s="3" t="s">
        <v>1414</v>
      </c>
      <c r="K393" s="11">
        <v>46174.341666666667</v>
      </c>
      <c r="M393">
        <v>419</v>
      </c>
      <c r="N393" t="s">
        <v>867</v>
      </c>
      <c r="P393" t="s">
        <v>1415</v>
      </c>
      <c r="Q393" s="10">
        <f>INT(Tabela1[[#This Row],[DATA]])</f>
        <v>46174</v>
      </c>
      <c r="R393" s="14" t="str">
        <f ca="1">IF(AND(Q393&gt;=TODAY()-WEEKDAY(TODAY(),2)+1,Q393&lt;TODAY()),"SIM","NÃO")</f>
        <v>NÃO</v>
      </c>
    </row>
    <row r="394" spans="1:18" hidden="1">
      <c r="A394" t="s">
        <v>136</v>
      </c>
      <c r="B394" t="s">
        <v>137</v>
      </c>
      <c r="C394">
        <v>300262452</v>
      </c>
      <c r="D394">
        <v>16448405</v>
      </c>
      <c r="E394" t="s">
        <v>37</v>
      </c>
      <c r="F394" t="s">
        <v>125</v>
      </c>
      <c r="G394">
        <v>600</v>
      </c>
      <c r="H394" t="s">
        <v>22</v>
      </c>
      <c r="I394" t="s">
        <v>23</v>
      </c>
      <c r="J394" s="3" t="s">
        <v>1416</v>
      </c>
      <c r="K394" s="11">
        <v>46174.343055555553</v>
      </c>
      <c r="M394">
        <v>420</v>
      </c>
      <c r="N394" t="s">
        <v>867</v>
      </c>
      <c r="P394" t="s">
        <v>1417</v>
      </c>
      <c r="Q394" s="10">
        <f>INT(Tabela1[[#This Row],[DATA]])</f>
        <v>46174</v>
      </c>
      <c r="R394" s="14" t="str">
        <f ca="1">IF(AND(Q394&gt;=TODAY()-WEEKDAY(TODAY(),2)+1,Q394&lt;TODAY()),"SIM","NÃO")</f>
        <v>NÃO</v>
      </c>
    </row>
    <row r="395" spans="1:18" hidden="1">
      <c r="A395" t="s">
        <v>1110</v>
      </c>
      <c r="B395" t="s">
        <v>1111</v>
      </c>
      <c r="C395">
        <v>300262517</v>
      </c>
      <c r="D395">
        <v>16292987</v>
      </c>
      <c r="E395" t="s">
        <v>37</v>
      </c>
      <c r="F395" t="s">
        <v>38</v>
      </c>
      <c r="G395">
        <v>60</v>
      </c>
      <c r="H395" t="s">
        <v>1418</v>
      </c>
      <c r="I395" t="s">
        <v>23</v>
      </c>
      <c r="J395" s="3" t="s">
        <v>1419</v>
      </c>
      <c r="K395" s="11">
        <v>46174.374398148146</v>
      </c>
      <c r="M395">
        <v>421</v>
      </c>
      <c r="N395" t="s">
        <v>867</v>
      </c>
      <c r="P395" t="s">
        <v>1420</v>
      </c>
      <c r="Q395" s="10">
        <f>INT(Tabela1[[#This Row],[DATA]])</f>
        <v>46174</v>
      </c>
      <c r="R395" s="14" t="str">
        <f ca="1">IF(AND(Q395&gt;=TODAY()-WEEKDAY(TODAY(),2)+1,Q395&lt;TODAY()),"SIM","NÃO")</f>
        <v>NÃO</v>
      </c>
    </row>
    <row r="396" spans="1:18" hidden="1">
      <c r="A396" t="s">
        <v>1421</v>
      </c>
      <c r="B396" t="s">
        <v>1422</v>
      </c>
      <c r="C396">
        <v>300267115</v>
      </c>
      <c r="D396">
        <v>16223608</v>
      </c>
      <c r="E396" t="s">
        <v>45</v>
      </c>
      <c r="F396" t="s">
        <v>151</v>
      </c>
      <c r="G396">
        <v>39</v>
      </c>
      <c r="H396" t="s">
        <v>39</v>
      </c>
      <c r="I396" t="s">
        <v>934</v>
      </c>
      <c r="J396" s="3" t="s">
        <v>1423</v>
      </c>
      <c r="K396" s="11">
        <v>46174.380844907406</v>
      </c>
      <c r="M396">
        <v>422</v>
      </c>
      <c r="N396" t="s">
        <v>867</v>
      </c>
      <c r="P396" t="s">
        <v>1424</v>
      </c>
      <c r="Q396" s="10">
        <f>INT(Tabela1[[#This Row],[DATA]])</f>
        <v>46174</v>
      </c>
      <c r="R396" s="14" t="str">
        <f ca="1">IF(AND(Q396&gt;=TODAY()-WEEKDAY(TODAY(),2)+1,Q396&lt;TODAY()),"SIM","NÃO")</f>
        <v>NÃO</v>
      </c>
    </row>
    <row r="397" spans="1:18" hidden="1">
      <c r="A397" t="s">
        <v>123</v>
      </c>
      <c r="B397" t="s">
        <v>124</v>
      </c>
      <c r="C397">
        <v>300269150</v>
      </c>
      <c r="D397">
        <v>16545222</v>
      </c>
      <c r="E397" t="s">
        <v>20</v>
      </c>
      <c r="F397" t="s">
        <v>60</v>
      </c>
      <c r="G397">
        <v>1711</v>
      </c>
      <c r="H397" t="s">
        <v>39</v>
      </c>
      <c r="I397" t="s">
        <v>23</v>
      </c>
      <c r="J397" s="3" t="s">
        <v>1425</v>
      </c>
      <c r="K397" s="11">
        <v>46174.382615740738</v>
      </c>
      <c r="M397">
        <v>423</v>
      </c>
      <c r="N397" t="s">
        <v>878</v>
      </c>
      <c r="P397" t="s">
        <v>1426</v>
      </c>
      <c r="Q397" s="10">
        <f>INT(Tabela1[[#This Row],[DATA]])</f>
        <v>46174</v>
      </c>
      <c r="R397" s="14" t="str">
        <f ca="1">IF(AND(Q397&gt;=TODAY()-WEEKDAY(TODAY(),2)+1,Q397&lt;TODAY()),"SIM","NÃO")</f>
        <v>NÃO</v>
      </c>
    </row>
    <row r="398" spans="1:18" hidden="1">
      <c r="A398" t="s">
        <v>185</v>
      </c>
      <c r="B398" t="s">
        <v>186</v>
      </c>
      <c r="C398">
        <v>300231420</v>
      </c>
      <c r="D398">
        <v>16317840</v>
      </c>
      <c r="E398" t="s">
        <v>37</v>
      </c>
      <c r="F398" t="s">
        <v>1427</v>
      </c>
      <c r="G398">
        <v>1220</v>
      </c>
      <c r="H398" t="s">
        <v>39</v>
      </c>
      <c r="I398" t="s">
        <v>23</v>
      </c>
      <c r="J398" s="3" t="s">
        <v>1428</v>
      </c>
      <c r="K398" s="11">
        <v>46174.401736111111</v>
      </c>
      <c r="M398">
        <v>424</v>
      </c>
      <c r="N398" t="s">
        <v>878</v>
      </c>
      <c r="P398" t="s">
        <v>1429</v>
      </c>
      <c r="Q398" s="10">
        <f>INT(Tabela1[[#This Row],[DATA]])</f>
        <v>46174</v>
      </c>
      <c r="R398" s="14" t="str">
        <f ca="1">IF(AND(Q398&gt;=TODAY()-WEEKDAY(TODAY(),2)+1,Q398&lt;TODAY()),"SIM","NÃO")</f>
        <v>NÃO</v>
      </c>
    </row>
    <row r="399" spans="1:18" hidden="1">
      <c r="A399" t="s">
        <v>106</v>
      </c>
      <c r="B399" t="s">
        <v>107</v>
      </c>
      <c r="C399">
        <v>300266181</v>
      </c>
      <c r="D399">
        <v>16441656</v>
      </c>
      <c r="E399" t="s">
        <v>45</v>
      </c>
      <c r="F399" t="s">
        <v>96</v>
      </c>
      <c r="G399">
        <v>93</v>
      </c>
      <c r="H399" t="s">
        <v>39</v>
      </c>
      <c r="I399" t="s">
        <v>23</v>
      </c>
      <c r="J399" s="3" t="s">
        <v>1430</v>
      </c>
      <c r="K399" s="11">
        <v>46174.426493055558</v>
      </c>
      <c r="M399">
        <v>425</v>
      </c>
      <c r="N399" t="s">
        <v>867</v>
      </c>
      <c r="P399" t="s">
        <v>1431</v>
      </c>
      <c r="Q399" s="10">
        <f>INT(Tabela1[[#This Row],[DATA]])</f>
        <v>46174</v>
      </c>
      <c r="R399" s="14" t="str">
        <f ca="1">IF(AND(Q399&gt;=TODAY()-WEEKDAY(TODAY(),2)+1,Q399&lt;TODAY()),"SIM","NÃO")</f>
        <v>NÃO</v>
      </c>
    </row>
    <row r="400" spans="1:18" hidden="1">
      <c r="A400" t="s">
        <v>159</v>
      </c>
      <c r="B400" t="s">
        <v>1293</v>
      </c>
      <c r="C400">
        <v>300261481</v>
      </c>
      <c r="D400">
        <v>15773477</v>
      </c>
      <c r="E400" t="s">
        <v>37</v>
      </c>
      <c r="F400" t="s">
        <v>21</v>
      </c>
      <c r="G400">
        <v>1300</v>
      </c>
      <c r="H400" t="s">
        <v>847</v>
      </c>
      <c r="I400" t="s">
        <v>23</v>
      </c>
      <c r="J400" s="3" t="s">
        <v>1432</v>
      </c>
      <c r="K400" s="11">
        <v>46174.440081018518</v>
      </c>
      <c r="M400">
        <v>426</v>
      </c>
      <c r="N400" t="s">
        <v>878</v>
      </c>
      <c r="P400" t="s">
        <v>1433</v>
      </c>
      <c r="Q400" s="10">
        <f>INT(Tabela1[[#This Row],[DATA]])</f>
        <v>46174</v>
      </c>
      <c r="R400" s="14" t="str">
        <f ca="1">IF(AND(Q400&gt;=TODAY()-WEEKDAY(TODAY(),2)+1,Q400&lt;TODAY()),"SIM","NÃO")</f>
        <v>NÃO</v>
      </c>
    </row>
    <row r="401" spans="1:18" hidden="1">
      <c r="A401" t="s">
        <v>159</v>
      </c>
      <c r="B401" t="s">
        <v>1293</v>
      </c>
      <c r="C401">
        <v>300261052</v>
      </c>
      <c r="D401">
        <v>16461010</v>
      </c>
      <c r="E401" t="s">
        <v>37</v>
      </c>
      <c r="F401" t="s">
        <v>315</v>
      </c>
      <c r="G401">
        <v>3</v>
      </c>
      <c r="H401" t="s">
        <v>1434</v>
      </c>
      <c r="I401" t="s">
        <v>23</v>
      </c>
      <c r="J401" s="3" t="s">
        <v>1435</v>
      </c>
      <c r="K401" s="11">
        <v>46174.445347222223</v>
      </c>
      <c r="M401">
        <v>427</v>
      </c>
      <c r="N401" t="s">
        <v>878</v>
      </c>
      <c r="P401" t="s">
        <v>1436</v>
      </c>
      <c r="Q401" s="10">
        <f>INT(Tabela1[[#This Row],[DATA]])</f>
        <v>46174</v>
      </c>
      <c r="R401" s="14" t="str">
        <f ca="1">IF(AND(Q401&gt;=TODAY()-WEEKDAY(TODAY(),2)+1,Q401&lt;TODAY()),"SIM","NÃO")</f>
        <v>NÃO</v>
      </c>
    </row>
    <row r="402" spans="1:18" hidden="1">
      <c r="A402" t="s">
        <v>163</v>
      </c>
      <c r="B402" t="s">
        <v>164</v>
      </c>
      <c r="C402">
        <v>300264442</v>
      </c>
      <c r="D402">
        <v>13132547</v>
      </c>
      <c r="E402" t="s">
        <v>29</v>
      </c>
      <c r="F402" t="s">
        <v>64</v>
      </c>
      <c r="G402">
        <v>50</v>
      </c>
      <c r="H402" t="s">
        <v>22</v>
      </c>
      <c r="I402" t="s">
        <v>23</v>
      </c>
      <c r="J402" s="3" t="s">
        <v>1437</v>
      </c>
      <c r="K402" s="11">
        <v>46174.44939814815</v>
      </c>
      <c r="M402">
        <v>428</v>
      </c>
      <c r="N402" t="s">
        <v>867</v>
      </c>
      <c r="P402" t="s">
        <v>1438</v>
      </c>
      <c r="Q402" s="10">
        <f>INT(Tabela1[[#This Row],[DATA]])</f>
        <v>46174</v>
      </c>
      <c r="R402" s="14" t="str">
        <f ca="1">IF(AND(Q402&gt;=TODAY()-WEEKDAY(TODAY(),2)+1,Q402&lt;TODAY()),"SIM","NÃO")</f>
        <v>NÃO</v>
      </c>
    </row>
    <row r="403" spans="1:18" hidden="1">
      <c r="A403" t="s">
        <v>1439</v>
      </c>
      <c r="B403" t="s">
        <v>1440</v>
      </c>
      <c r="C403">
        <v>300265908</v>
      </c>
      <c r="D403">
        <v>16230000</v>
      </c>
      <c r="E403" t="s">
        <v>45</v>
      </c>
      <c r="F403" t="s">
        <v>64</v>
      </c>
      <c r="G403">
        <v>248</v>
      </c>
      <c r="H403" t="s">
        <v>22</v>
      </c>
      <c r="I403" t="s">
        <v>23</v>
      </c>
      <c r="J403" s="3" t="s">
        <v>1441</v>
      </c>
      <c r="K403" s="11">
        <v>46174.449467592596</v>
      </c>
      <c r="M403">
        <v>429</v>
      </c>
      <c r="N403" t="s">
        <v>867</v>
      </c>
      <c r="P403" t="s">
        <v>1442</v>
      </c>
      <c r="Q403" s="10">
        <f>INT(Tabela1[[#This Row],[DATA]])</f>
        <v>46174</v>
      </c>
      <c r="R403" s="14" t="str">
        <f ca="1">IF(AND(Q403&gt;=TODAY()-WEEKDAY(TODAY(),2)+1,Q403&lt;TODAY()),"SIM","NÃO")</f>
        <v>NÃO</v>
      </c>
    </row>
    <row r="404" spans="1:18" hidden="1">
      <c r="A404" t="s">
        <v>787</v>
      </c>
      <c r="B404" t="s">
        <v>788</v>
      </c>
      <c r="C404">
        <v>300261054</v>
      </c>
      <c r="D404">
        <v>15858766</v>
      </c>
      <c r="E404" t="s">
        <v>37</v>
      </c>
      <c r="F404" t="s">
        <v>769</v>
      </c>
      <c r="G404">
        <v>1269</v>
      </c>
      <c r="H404" t="s">
        <v>1443</v>
      </c>
      <c r="I404" t="s">
        <v>23</v>
      </c>
      <c r="J404" s="3" t="s">
        <v>1444</v>
      </c>
      <c r="K404" s="11">
        <v>46174.449525462966</v>
      </c>
      <c r="M404">
        <v>430</v>
      </c>
      <c r="N404" t="s">
        <v>878</v>
      </c>
      <c r="P404" t="s">
        <v>1445</v>
      </c>
      <c r="Q404" s="10">
        <f>INT(Tabela1[[#This Row],[DATA]])</f>
        <v>46174</v>
      </c>
      <c r="R404" s="14" t="str">
        <f ca="1">IF(AND(Q404&gt;=TODAY()-WEEKDAY(TODAY(),2)+1,Q404&lt;TODAY()),"SIM","NÃO")</f>
        <v>NÃO</v>
      </c>
    </row>
    <row r="405" spans="1:18" hidden="1">
      <c r="A405" t="s">
        <v>1439</v>
      </c>
      <c r="B405" t="s">
        <v>1440</v>
      </c>
      <c r="C405">
        <v>300265907</v>
      </c>
      <c r="D405">
        <v>16230000</v>
      </c>
      <c r="E405" t="s">
        <v>45</v>
      </c>
      <c r="F405" t="s">
        <v>64</v>
      </c>
      <c r="G405">
        <v>92</v>
      </c>
      <c r="H405" t="s">
        <v>22</v>
      </c>
      <c r="I405" t="s">
        <v>23</v>
      </c>
      <c r="J405" s="3" t="s">
        <v>1446</v>
      </c>
      <c r="K405" s="11">
        <v>46174.450590277775</v>
      </c>
      <c r="M405">
        <v>431</v>
      </c>
      <c r="N405" t="s">
        <v>867</v>
      </c>
      <c r="P405" t="s">
        <v>1447</v>
      </c>
      <c r="Q405" s="10">
        <f>INT(Tabela1[[#This Row],[DATA]])</f>
        <v>46174</v>
      </c>
      <c r="R405" s="14" t="str">
        <f ca="1">IF(AND(Q405&gt;=TODAY()-WEEKDAY(TODAY(),2)+1,Q405&lt;TODAY()),"SIM","NÃO")</f>
        <v>NÃO</v>
      </c>
    </row>
    <row r="406" spans="1:18" hidden="1">
      <c r="A406" t="s">
        <v>185</v>
      </c>
      <c r="B406" t="s">
        <v>186</v>
      </c>
      <c r="C406">
        <v>300267376</v>
      </c>
      <c r="D406">
        <v>16450272</v>
      </c>
      <c r="E406" t="s">
        <v>37</v>
      </c>
      <c r="F406" t="s">
        <v>221</v>
      </c>
      <c r="G406">
        <v>1568</v>
      </c>
      <c r="H406" t="s">
        <v>39</v>
      </c>
      <c r="I406" t="s">
        <v>23</v>
      </c>
      <c r="J406" s="3" t="s">
        <v>1448</v>
      </c>
      <c r="K406" s="11">
        <v>46174.45884259259</v>
      </c>
      <c r="M406">
        <v>432</v>
      </c>
      <c r="N406" t="s">
        <v>878</v>
      </c>
      <c r="P406" t="s">
        <v>1449</v>
      </c>
      <c r="Q406" s="10">
        <f>INT(Tabela1[[#This Row],[DATA]])</f>
        <v>46174</v>
      </c>
      <c r="R406" s="14" t="str">
        <f ca="1">IF(AND(Q406&gt;=TODAY()-WEEKDAY(TODAY(),2)+1,Q406&lt;TODAY()),"SIM","NÃO")</f>
        <v>NÃO</v>
      </c>
    </row>
    <row r="407" spans="1:18" hidden="1">
      <c r="A407" t="s">
        <v>163</v>
      </c>
      <c r="B407" t="s">
        <v>164</v>
      </c>
      <c r="C407">
        <v>300267047</v>
      </c>
      <c r="D407">
        <v>16242998</v>
      </c>
      <c r="E407" t="s">
        <v>37</v>
      </c>
      <c r="F407" t="s">
        <v>221</v>
      </c>
      <c r="G407">
        <v>969</v>
      </c>
      <c r="H407" t="s">
        <v>39</v>
      </c>
      <c r="I407" t="s">
        <v>23</v>
      </c>
      <c r="J407" s="3" t="s">
        <v>1450</v>
      </c>
      <c r="K407" s="11">
        <v>46174.534502314818</v>
      </c>
      <c r="M407">
        <v>433</v>
      </c>
      <c r="N407" t="s">
        <v>878</v>
      </c>
      <c r="P407" t="s">
        <v>1451</v>
      </c>
      <c r="Q407" s="10">
        <f>INT(Tabela1[[#This Row],[DATA]])</f>
        <v>46174</v>
      </c>
      <c r="R407" s="14" t="str">
        <f ca="1">IF(AND(Q407&gt;=TODAY()-WEEKDAY(TODAY(),2)+1,Q407&lt;TODAY()),"SIM","NÃO")</f>
        <v>NÃO</v>
      </c>
    </row>
    <row r="408" spans="1:18" hidden="1">
      <c r="A408" t="s">
        <v>428</v>
      </c>
      <c r="B408" t="s">
        <v>429</v>
      </c>
      <c r="C408">
        <v>300265101</v>
      </c>
      <c r="D408">
        <v>15128288</v>
      </c>
      <c r="E408" t="s">
        <v>29</v>
      </c>
      <c r="F408" t="s">
        <v>430</v>
      </c>
      <c r="G408">
        <v>1808</v>
      </c>
      <c r="H408" t="s">
        <v>39</v>
      </c>
      <c r="I408" t="s">
        <v>23</v>
      </c>
      <c r="J408" s="3"/>
      <c r="K408" s="11">
        <v>46174.546481481484</v>
      </c>
      <c r="M408">
        <v>434</v>
      </c>
      <c r="N408" t="s">
        <v>878</v>
      </c>
      <c r="P408" t="s">
        <v>1452</v>
      </c>
      <c r="Q408" s="10">
        <f>INT(Tabela1[[#This Row],[DATA]])</f>
        <v>46174</v>
      </c>
      <c r="R408" s="14" t="str">
        <f ca="1">IF(AND(Q408&gt;=TODAY()-WEEKDAY(TODAY(),2)+1,Q408&lt;TODAY()),"SIM","NÃO")</f>
        <v>NÃO</v>
      </c>
    </row>
    <row r="409" spans="1:18" hidden="1">
      <c r="A409" t="s">
        <v>428</v>
      </c>
      <c r="B409" t="s">
        <v>429</v>
      </c>
      <c r="C409">
        <v>300265103</v>
      </c>
      <c r="D409">
        <v>15128288</v>
      </c>
      <c r="E409" t="s">
        <v>29</v>
      </c>
      <c r="F409" t="s">
        <v>430</v>
      </c>
      <c r="G409">
        <v>1790</v>
      </c>
      <c r="H409" t="s">
        <v>39</v>
      </c>
      <c r="I409" t="s">
        <v>23</v>
      </c>
      <c r="J409" s="3"/>
      <c r="K409" s="11">
        <v>46174.54724537037</v>
      </c>
      <c r="M409">
        <v>435</v>
      </c>
      <c r="N409" t="s">
        <v>878</v>
      </c>
      <c r="P409" t="s">
        <v>1453</v>
      </c>
      <c r="Q409" s="10">
        <f>INT(Tabela1[[#This Row],[DATA]])</f>
        <v>46174</v>
      </c>
      <c r="R409" s="14" t="str">
        <f ca="1">IF(AND(Q409&gt;=TODAY()-WEEKDAY(TODAY(),2)+1,Q409&lt;TODAY()),"SIM","NÃO")</f>
        <v>NÃO</v>
      </c>
    </row>
    <row r="410" spans="1:18" hidden="1">
      <c r="A410" t="s">
        <v>143</v>
      </c>
      <c r="B410" t="s">
        <v>144</v>
      </c>
      <c r="C410">
        <v>300264560</v>
      </c>
      <c r="D410">
        <v>16491920</v>
      </c>
      <c r="E410" t="s">
        <v>45</v>
      </c>
      <c r="F410" t="s">
        <v>513</v>
      </c>
      <c r="G410">
        <v>1513</v>
      </c>
      <c r="H410" t="s">
        <v>39</v>
      </c>
      <c r="I410" t="s">
        <v>23</v>
      </c>
      <c r="J410" s="3" t="s">
        <v>1454</v>
      </c>
      <c r="K410" s="11">
        <v>46174.548541666663</v>
      </c>
      <c r="M410">
        <v>436</v>
      </c>
      <c r="N410" t="s">
        <v>878</v>
      </c>
      <c r="P410" t="s">
        <v>1455</v>
      </c>
      <c r="Q410" s="10">
        <f>INT(Tabela1[[#This Row],[DATA]])</f>
        <v>46174</v>
      </c>
      <c r="R410" s="14" t="str">
        <f ca="1">IF(AND(Q410&gt;=TODAY()-WEEKDAY(TODAY(),2)+1,Q410&lt;TODAY()),"SIM","NÃO")</f>
        <v>NÃO</v>
      </c>
    </row>
    <row r="411" spans="1:18" hidden="1">
      <c r="A411" t="s">
        <v>807</v>
      </c>
      <c r="B411" t="s">
        <v>1390</v>
      </c>
      <c r="C411">
        <v>300267521</v>
      </c>
      <c r="D411">
        <v>16223780</v>
      </c>
      <c r="E411" t="s">
        <v>45</v>
      </c>
      <c r="F411" t="s">
        <v>151</v>
      </c>
      <c r="G411">
        <v>240</v>
      </c>
      <c r="H411" t="s">
        <v>22</v>
      </c>
      <c r="I411" t="s">
        <v>262</v>
      </c>
      <c r="J411" s="3" t="s">
        <v>1456</v>
      </c>
      <c r="K411" s="11">
        <v>46174.585196759261</v>
      </c>
      <c r="M411">
        <v>437</v>
      </c>
      <c r="N411" t="s">
        <v>867</v>
      </c>
      <c r="P411" t="s">
        <v>1457</v>
      </c>
      <c r="Q411" s="10">
        <f>INT(Tabela1[[#This Row],[DATA]])</f>
        <v>46174</v>
      </c>
      <c r="R411" s="14" t="str">
        <f ca="1">IF(AND(Q411&gt;=TODAY()-WEEKDAY(TODAY(),2)+1,Q411&lt;TODAY()),"SIM","NÃO")</f>
        <v>NÃO</v>
      </c>
    </row>
    <row r="412" spans="1:18" hidden="1">
      <c r="A412" t="s">
        <v>253</v>
      </c>
      <c r="B412" t="s">
        <v>254</v>
      </c>
      <c r="C412">
        <v>300268567</v>
      </c>
      <c r="D412">
        <v>16441630</v>
      </c>
      <c r="E412" t="s">
        <v>45</v>
      </c>
      <c r="F412" t="s">
        <v>113</v>
      </c>
      <c r="G412">
        <v>2</v>
      </c>
      <c r="H412" t="s">
        <v>22</v>
      </c>
      <c r="I412" t="s">
        <v>23</v>
      </c>
      <c r="J412" s="3" t="s">
        <v>1458</v>
      </c>
      <c r="K412" s="11">
        <v>46174.619375000002</v>
      </c>
      <c r="M412">
        <v>438</v>
      </c>
      <c r="N412" t="s">
        <v>867</v>
      </c>
      <c r="P412" t="s">
        <v>1459</v>
      </c>
      <c r="Q412" s="10">
        <f>INT(Tabela1[[#This Row],[DATA]])</f>
        <v>46174</v>
      </c>
      <c r="R412" s="14" t="str">
        <f ca="1">IF(AND(Q412&gt;=TODAY()-WEEKDAY(TODAY(),2)+1,Q412&lt;TODAY()),"SIM","NÃO")</f>
        <v>NÃO</v>
      </c>
    </row>
    <row r="413" spans="1:18" hidden="1">
      <c r="A413" t="s">
        <v>253</v>
      </c>
      <c r="B413" t="s">
        <v>254</v>
      </c>
      <c r="C413">
        <v>300268567</v>
      </c>
      <c r="D413">
        <v>16441630</v>
      </c>
      <c r="E413" t="s">
        <v>45</v>
      </c>
      <c r="F413" t="s">
        <v>259</v>
      </c>
      <c r="G413">
        <v>2</v>
      </c>
      <c r="H413" t="s">
        <v>22</v>
      </c>
      <c r="I413" t="s">
        <v>23</v>
      </c>
      <c r="J413" s="3" t="s">
        <v>1460</v>
      </c>
      <c r="K413" s="11">
        <v>46174.62023148148</v>
      </c>
      <c r="M413">
        <v>439</v>
      </c>
      <c r="N413" t="s">
        <v>867</v>
      </c>
      <c r="P413" t="s">
        <v>1461</v>
      </c>
      <c r="Q413" s="10">
        <f>INT(Tabela1[[#This Row],[DATA]])</f>
        <v>46174</v>
      </c>
      <c r="R413" s="14" t="str">
        <f ca="1">IF(AND(Q413&gt;=TODAY()-WEEKDAY(TODAY(),2)+1,Q413&lt;TODAY()),"SIM","NÃO")</f>
        <v>NÃO</v>
      </c>
    </row>
    <row r="414" spans="1:18" hidden="1">
      <c r="A414" t="s">
        <v>253</v>
      </c>
      <c r="B414" t="s">
        <v>254</v>
      </c>
      <c r="C414">
        <v>300268568</v>
      </c>
      <c r="D414">
        <v>16441630</v>
      </c>
      <c r="E414" t="s">
        <v>45</v>
      </c>
      <c r="F414" t="s">
        <v>125</v>
      </c>
      <c r="G414">
        <v>4</v>
      </c>
      <c r="H414" t="s">
        <v>22</v>
      </c>
      <c r="I414" t="s">
        <v>23</v>
      </c>
      <c r="J414" s="3" t="s">
        <v>1462</v>
      </c>
      <c r="K414" s="11">
        <v>46174.620995370373</v>
      </c>
      <c r="M414">
        <v>440</v>
      </c>
      <c r="N414" t="s">
        <v>867</v>
      </c>
      <c r="P414" t="s">
        <v>1463</v>
      </c>
      <c r="Q414" s="10">
        <f>INT(Tabela1[[#This Row],[DATA]])</f>
        <v>46174</v>
      </c>
      <c r="R414" s="14" t="str">
        <f ca="1">IF(AND(Q414&gt;=TODAY()-WEEKDAY(TODAY(),2)+1,Q414&lt;TODAY()),"SIM","NÃO")</f>
        <v>NÃO</v>
      </c>
    </row>
    <row r="415" spans="1:18" hidden="1">
      <c r="A415" t="s">
        <v>163</v>
      </c>
      <c r="B415" t="s">
        <v>164</v>
      </c>
      <c r="C415">
        <v>300267170</v>
      </c>
      <c r="D415">
        <v>15359492</v>
      </c>
      <c r="E415" t="s">
        <v>29</v>
      </c>
      <c r="F415" t="s">
        <v>64</v>
      </c>
      <c r="G415">
        <v>130</v>
      </c>
      <c r="H415" t="s">
        <v>22</v>
      </c>
      <c r="I415" t="s">
        <v>23</v>
      </c>
      <c r="J415" s="3" t="s">
        <v>1464</v>
      </c>
      <c r="K415" s="11">
        <v>46174.624502314815</v>
      </c>
      <c r="M415">
        <v>441</v>
      </c>
      <c r="N415" t="s">
        <v>867</v>
      </c>
      <c r="P415" t="s">
        <v>1465</v>
      </c>
      <c r="Q415" s="10">
        <f>INT(Tabela1[[#This Row],[DATA]])</f>
        <v>46174</v>
      </c>
      <c r="R415" s="14" t="str">
        <f ca="1">IF(AND(Q415&gt;=TODAY()-WEEKDAY(TODAY(),2)+1,Q415&lt;TODAY()),"SIM","NÃO")</f>
        <v>NÃO</v>
      </c>
    </row>
    <row r="416" spans="1:18" hidden="1">
      <c r="A416" t="s">
        <v>807</v>
      </c>
      <c r="B416" t="s">
        <v>1390</v>
      </c>
      <c r="C416">
        <v>300267521</v>
      </c>
      <c r="D416">
        <v>16223780</v>
      </c>
      <c r="E416" t="s">
        <v>45</v>
      </c>
      <c r="F416" t="s">
        <v>103</v>
      </c>
      <c r="G416">
        <v>100</v>
      </c>
      <c r="H416" t="s">
        <v>1466</v>
      </c>
      <c r="I416" t="s">
        <v>23</v>
      </c>
      <c r="J416" s="3" t="s">
        <v>1467</v>
      </c>
      <c r="K416" s="11">
        <v>46174.631898148145</v>
      </c>
      <c r="M416">
        <v>442</v>
      </c>
      <c r="N416" t="s">
        <v>878</v>
      </c>
      <c r="P416" t="s">
        <v>1468</v>
      </c>
      <c r="Q416" s="10">
        <f>INT(Tabela1[[#This Row],[DATA]])</f>
        <v>46174</v>
      </c>
      <c r="R416" s="14" t="str">
        <f ca="1">IF(AND(Q416&gt;=TODAY()-WEEKDAY(TODAY(),2)+1,Q416&lt;TODAY()),"SIM","NÃO")</f>
        <v>NÃO</v>
      </c>
    </row>
    <row r="417" spans="1:18" hidden="1">
      <c r="A417" t="s">
        <v>787</v>
      </c>
      <c r="B417" t="s">
        <v>788</v>
      </c>
      <c r="C417">
        <v>300261054</v>
      </c>
      <c r="D417">
        <v>15858766</v>
      </c>
      <c r="E417" t="s">
        <v>37</v>
      </c>
      <c r="F417" t="s">
        <v>151</v>
      </c>
      <c r="G417">
        <v>423</v>
      </c>
      <c r="H417" t="s">
        <v>1469</v>
      </c>
      <c r="I417" t="s">
        <v>23</v>
      </c>
      <c r="J417" s="3" t="s">
        <v>1470</v>
      </c>
      <c r="K417" s="11">
        <v>46174.632939814815</v>
      </c>
      <c r="M417">
        <v>443</v>
      </c>
      <c r="N417" t="s">
        <v>878</v>
      </c>
      <c r="P417" t="s">
        <v>1471</v>
      </c>
      <c r="Q417" s="10">
        <f>INT(Tabela1[[#This Row],[DATA]])</f>
        <v>46174</v>
      </c>
      <c r="R417" s="14" t="str">
        <f ca="1">IF(AND(Q417&gt;=TODAY()-WEEKDAY(TODAY(),2)+1,Q417&lt;TODAY()),"SIM","NÃO")</f>
        <v>NÃO</v>
      </c>
    </row>
    <row r="418" spans="1:18" hidden="1">
      <c r="A418" t="s">
        <v>497</v>
      </c>
      <c r="B418" t="s">
        <v>498</v>
      </c>
      <c r="C418">
        <v>300261343</v>
      </c>
      <c r="D418">
        <v>16491912</v>
      </c>
      <c r="E418" t="s">
        <v>29</v>
      </c>
      <c r="F418" t="s">
        <v>151</v>
      </c>
      <c r="G418">
        <v>572</v>
      </c>
      <c r="H418" t="s">
        <v>39</v>
      </c>
      <c r="I418" t="s">
        <v>23</v>
      </c>
      <c r="J418" s="3"/>
      <c r="K418" s="11">
        <v>46174.639861111114</v>
      </c>
      <c r="M418">
        <v>444</v>
      </c>
      <c r="N418" t="s">
        <v>878</v>
      </c>
      <c r="P418" t="s">
        <v>1472</v>
      </c>
      <c r="Q418" s="10">
        <f>INT(Tabela1[[#This Row],[DATA]])</f>
        <v>46174</v>
      </c>
      <c r="R418" s="14" t="str">
        <f ca="1">IF(AND(Q418&gt;=TODAY()-WEEKDAY(TODAY(),2)+1,Q418&lt;TODAY()),"SIM","NÃO")</f>
        <v>NÃO</v>
      </c>
    </row>
    <row r="419" spans="1:18" hidden="1">
      <c r="A419" t="s">
        <v>497</v>
      </c>
      <c r="B419" t="s">
        <v>498</v>
      </c>
      <c r="C419">
        <v>300261343</v>
      </c>
      <c r="D419">
        <v>16491912</v>
      </c>
      <c r="E419" t="s">
        <v>29</v>
      </c>
      <c r="F419" t="s">
        <v>598</v>
      </c>
      <c r="G419">
        <v>572</v>
      </c>
      <c r="H419" t="s">
        <v>39</v>
      </c>
      <c r="I419" t="s">
        <v>23</v>
      </c>
      <c r="J419" s="3"/>
      <c r="K419" s="11">
        <v>46174.641215277778</v>
      </c>
      <c r="M419">
        <v>445</v>
      </c>
      <c r="N419" t="s">
        <v>878</v>
      </c>
      <c r="P419" t="s">
        <v>1473</v>
      </c>
      <c r="Q419" s="10">
        <f>INT(Tabela1[[#This Row],[DATA]])</f>
        <v>46174</v>
      </c>
      <c r="R419" s="14" t="str">
        <f ca="1">IF(AND(Q419&gt;=TODAY()-WEEKDAY(TODAY(),2)+1,Q419&lt;TODAY()),"SIM","NÃO")</f>
        <v>NÃO</v>
      </c>
    </row>
    <row r="420" spans="1:18" hidden="1">
      <c r="A420" t="s">
        <v>497</v>
      </c>
      <c r="B420" t="s">
        <v>498</v>
      </c>
      <c r="C420">
        <v>300261343</v>
      </c>
      <c r="D420">
        <v>16491912</v>
      </c>
      <c r="E420" t="s">
        <v>29</v>
      </c>
      <c r="F420" t="s">
        <v>430</v>
      </c>
      <c r="G420">
        <v>572</v>
      </c>
      <c r="H420" t="s">
        <v>39</v>
      </c>
      <c r="I420" t="s">
        <v>23</v>
      </c>
      <c r="J420" s="3"/>
      <c r="K420" s="11">
        <v>46174.642314814817</v>
      </c>
      <c r="M420">
        <v>446</v>
      </c>
      <c r="N420" t="s">
        <v>878</v>
      </c>
      <c r="P420" t="s">
        <v>1474</v>
      </c>
      <c r="Q420" s="10">
        <f>INT(Tabela1[[#This Row],[DATA]])</f>
        <v>46174</v>
      </c>
      <c r="R420" s="14" t="str">
        <f ca="1">IF(AND(Q420&gt;=TODAY()-WEEKDAY(TODAY(),2)+1,Q420&lt;TODAY()),"SIM","NÃO")</f>
        <v>NÃO</v>
      </c>
    </row>
    <row r="421" spans="1:18" hidden="1">
      <c r="A421" t="s">
        <v>497</v>
      </c>
      <c r="B421" t="s">
        <v>498</v>
      </c>
      <c r="C421">
        <v>300261509</v>
      </c>
      <c r="D421">
        <v>16491912</v>
      </c>
      <c r="E421" t="s">
        <v>29</v>
      </c>
      <c r="F421" t="s">
        <v>151</v>
      </c>
      <c r="G421">
        <v>506</v>
      </c>
      <c r="H421" t="s">
        <v>39</v>
      </c>
      <c r="I421" t="s">
        <v>23</v>
      </c>
      <c r="J421" s="3"/>
      <c r="K421" s="11">
        <v>46174.643321759257</v>
      </c>
      <c r="M421">
        <v>447</v>
      </c>
      <c r="N421" t="s">
        <v>878</v>
      </c>
      <c r="P421" t="s">
        <v>1475</v>
      </c>
      <c r="Q421" s="10">
        <f>INT(Tabela1[[#This Row],[DATA]])</f>
        <v>46174</v>
      </c>
      <c r="R421" s="14" t="str">
        <f ca="1">IF(AND(Q421&gt;=TODAY()-WEEKDAY(TODAY(),2)+1,Q421&lt;TODAY()),"SIM","NÃO")</f>
        <v>NÃO</v>
      </c>
    </row>
    <row r="422" spans="1:18" hidden="1">
      <c r="A422" t="s">
        <v>497</v>
      </c>
      <c r="B422" t="s">
        <v>498</v>
      </c>
      <c r="C422">
        <v>300261509</v>
      </c>
      <c r="D422">
        <v>16491912</v>
      </c>
      <c r="E422" t="s">
        <v>29</v>
      </c>
      <c r="F422" t="s">
        <v>64</v>
      </c>
      <c r="G422">
        <v>506</v>
      </c>
      <c r="H422" t="s">
        <v>39</v>
      </c>
      <c r="I422" t="s">
        <v>23</v>
      </c>
      <c r="J422" s="3"/>
      <c r="K422" s="11">
        <v>46174.644502314812</v>
      </c>
      <c r="M422">
        <v>448</v>
      </c>
      <c r="N422" t="s">
        <v>878</v>
      </c>
      <c r="P422" t="s">
        <v>1476</v>
      </c>
      <c r="Q422" s="10">
        <f>INT(Tabela1[[#This Row],[DATA]])</f>
        <v>46174</v>
      </c>
      <c r="R422" s="14" t="str">
        <f ca="1">IF(AND(Q422&gt;=TODAY()-WEEKDAY(TODAY(),2)+1,Q422&lt;TODAY()),"SIM","NÃO")</f>
        <v>NÃO</v>
      </c>
    </row>
    <row r="423" spans="1:18" hidden="1">
      <c r="A423" t="s">
        <v>497</v>
      </c>
      <c r="B423" t="s">
        <v>498</v>
      </c>
      <c r="C423">
        <v>300261509</v>
      </c>
      <c r="D423">
        <v>16491912</v>
      </c>
      <c r="E423" t="s">
        <v>29</v>
      </c>
      <c r="F423" t="s">
        <v>430</v>
      </c>
      <c r="G423">
        <v>506</v>
      </c>
      <c r="H423" t="s">
        <v>39</v>
      </c>
      <c r="I423" t="s">
        <v>23</v>
      </c>
      <c r="J423" s="3"/>
      <c r="K423" s="11">
        <v>46174.646238425928</v>
      </c>
      <c r="M423">
        <v>449</v>
      </c>
      <c r="N423" t="s">
        <v>878</v>
      </c>
      <c r="P423" t="s">
        <v>1477</v>
      </c>
      <c r="Q423" s="10">
        <f>INT(Tabela1[[#This Row],[DATA]])</f>
        <v>46174</v>
      </c>
      <c r="R423" s="14" t="str">
        <f ca="1">IF(AND(Q423&gt;=TODAY()-WEEKDAY(TODAY(),2)+1,Q423&lt;TODAY()),"SIM","NÃO")</f>
        <v>NÃO</v>
      </c>
    </row>
    <row r="424" spans="1:18" hidden="1">
      <c r="A424" t="s">
        <v>497</v>
      </c>
      <c r="B424" t="s">
        <v>498</v>
      </c>
      <c r="C424">
        <v>300261509</v>
      </c>
      <c r="D424">
        <v>16491912</v>
      </c>
      <c r="E424" t="s">
        <v>29</v>
      </c>
      <c r="F424" t="s">
        <v>125</v>
      </c>
      <c r="G424">
        <v>506</v>
      </c>
      <c r="H424" t="s">
        <v>39</v>
      </c>
      <c r="I424" t="s">
        <v>23</v>
      </c>
      <c r="J424" s="3"/>
      <c r="K424" s="11">
        <v>46174.647893518515</v>
      </c>
      <c r="M424">
        <v>450</v>
      </c>
      <c r="N424" t="s">
        <v>878</v>
      </c>
      <c r="P424" t="s">
        <v>1478</v>
      </c>
      <c r="Q424" s="10">
        <f>INT(Tabela1[[#This Row],[DATA]])</f>
        <v>46174</v>
      </c>
      <c r="R424" s="14" t="str">
        <f ca="1">IF(AND(Q424&gt;=TODAY()-WEEKDAY(TODAY(),2)+1,Q424&lt;TODAY()),"SIM","NÃO")</f>
        <v>NÃO</v>
      </c>
    </row>
    <row r="425" spans="1:18" hidden="1">
      <c r="A425" t="s">
        <v>497</v>
      </c>
      <c r="B425" t="s">
        <v>498</v>
      </c>
      <c r="C425">
        <v>300261509</v>
      </c>
      <c r="D425">
        <v>16491912</v>
      </c>
      <c r="E425" t="s">
        <v>29</v>
      </c>
      <c r="F425" t="s">
        <v>291</v>
      </c>
      <c r="G425">
        <v>506</v>
      </c>
      <c r="H425" t="s">
        <v>39</v>
      </c>
      <c r="I425" t="s">
        <v>23</v>
      </c>
      <c r="J425" s="3"/>
      <c r="K425" s="11">
        <v>46174.648865740739</v>
      </c>
      <c r="M425">
        <v>451</v>
      </c>
      <c r="N425" t="s">
        <v>878</v>
      </c>
      <c r="P425" t="s">
        <v>1479</v>
      </c>
      <c r="Q425" s="10">
        <f>INT(Tabela1[[#This Row],[DATA]])</f>
        <v>46174</v>
      </c>
      <c r="R425" s="14" t="str">
        <f ca="1">IF(AND(Q425&gt;=TODAY()-WEEKDAY(TODAY(),2)+1,Q425&lt;TODAY()),"SIM","NÃO")</f>
        <v>NÃO</v>
      </c>
    </row>
    <row r="426" spans="1:18" hidden="1">
      <c r="A426" t="s">
        <v>185</v>
      </c>
      <c r="B426" t="s">
        <v>186</v>
      </c>
      <c r="C426">
        <v>300267377</v>
      </c>
      <c r="D426">
        <v>16450272</v>
      </c>
      <c r="E426" t="s">
        <v>37</v>
      </c>
      <c r="F426" t="s">
        <v>221</v>
      </c>
      <c r="G426">
        <v>1512</v>
      </c>
      <c r="H426" t="s">
        <v>39</v>
      </c>
      <c r="I426" t="s">
        <v>23</v>
      </c>
      <c r="J426" s="3" t="s">
        <v>1448</v>
      </c>
      <c r="K426" s="11">
        <v>46174.69259259259</v>
      </c>
      <c r="M426">
        <v>452</v>
      </c>
      <c r="N426" t="s">
        <v>878</v>
      </c>
      <c r="P426" t="s">
        <v>1480</v>
      </c>
      <c r="Q426" s="10">
        <f>INT(Tabela1[[#This Row],[DATA]])</f>
        <v>46174</v>
      </c>
      <c r="R426" s="14" t="str">
        <f ca="1">IF(AND(Q426&gt;=TODAY()-WEEKDAY(TODAY(),2)+1,Q426&lt;TODAY()),"SIM","NÃO")</f>
        <v>NÃO</v>
      </c>
    </row>
    <row r="427" spans="1:18" hidden="1">
      <c r="A427" t="s">
        <v>605</v>
      </c>
      <c r="B427" t="s">
        <v>606</v>
      </c>
      <c r="C427">
        <v>300268619</v>
      </c>
      <c r="D427">
        <v>15773485</v>
      </c>
      <c r="E427" t="s">
        <v>37</v>
      </c>
      <c r="F427" t="s">
        <v>962</v>
      </c>
      <c r="G427">
        <v>50</v>
      </c>
      <c r="H427" t="s">
        <v>22</v>
      </c>
      <c r="I427" t="s">
        <v>23</v>
      </c>
      <c r="J427" s="3" t="s">
        <v>1481</v>
      </c>
      <c r="K427" s="11">
        <v>46174.695381944446</v>
      </c>
      <c r="M427">
        <v>453</v>
      </c>
      <c r="N427" t="s">
        <v>867</v>
      </c>
      <c r="P427" t="s">
        <v>1482</v>
      </c>
      <c r="Q427" s="10">
        <f>INT(Tabela1[[#This Row],[DATA]])</f>
        <v>46174</v>
      </c>
      <c r="R427" s="14" t="str">
        <f ca="1">IF(AND(Q427&gt;=TODAY()-WEEKDAY(TODAY(),2)+1,Q427&lt;TODAY()),"SIM","NÃO")</f>
        <v>NÃO</v>
      </c>
    </row>
    <row r="428" spans="1:18" hidden="1">
      <c r="A428" t="s">
        <v>196</v>
      </c>
      <c r="B428" t="s">
        <v>186</v>
      </c>
      <c r="C428">
        <v>300260650</v>
      </c>
      <c r="D428">
        <v>16448090</v>
      </c>
      <c r="E428" t="s">
        <v>37</v>
      </c>
      <c r="F428" t="s">
        <v>1427</v>
      </c>
      <c r="G428">
        <v>1</v>
      </c>
      <c r="H428" t="s">
        <v>39</v>
      </c>
      <c r="I428" t="s">
        <v>23</v>
      </c>
      <c r="J428" s="3"/>
      <c r="K428" s="11">
        <v>46174.695439814815</v>
      </c>
      <c r="M428">
        <v>454</v>
      </c>
      <c r="N428" t="s">
        <v>878</v>
      </c>
      <c r="P428" t="s">
        <v>1483</v>
      </c>
      <c r="Q428" s="10">
        <f>INT(Tabela1[[#This Row],[DATA]])</f>
        <v>46174</v>
      </c>
      <c r="R428" s="14" t="str">
        <f ca="1">IF(AND(Q428&gt;=TODAY()-WEEKDAY(TODAY(),2)+1,Q428&lt;TODAY()),"SIM","NÃO")</f>
        <v>NÃO</v>
      </c>
    </row>
    <row r="429" spans="1:18" hidden="1">
      <c r="A429" t="s">
        <v>35</v>
      </c>
      <c r="B429" t="s">
        <v>36</v>
      </c>
      <c r="C429">
        <v>300265839</v>
      </c>
      <c r="D429">
        <v>16523741</v>
      </c>
      <c r="E429" t="s">
        <v>37</v>
      </c>
      <c r="F429" t="s">
        <v>513</v>
      </c>
      <c r="G429">
        <v>439</v>
      </c>
      <c r="H429" t="s">
        <v>22</v>
      </c>
      <c r="I429" t="s">
        <v>23</v>
      </c>
      <c r="J429" s="3" t="s">
        <v>1484</v>
      </c>
      <c r="K429" s="11">
        <v>46174.696203703701</v>
      </c>
      <c r="M429">
        <v>455</v>
      </c>
      <c r="N429" t="s">
        <v>867</v>
      </c>
      <c r="P429" t="s">
        <v>1485</v>
      </c>
      <c r="Q429" s="10">
        <f>INT(Tabela1[[#This Row],[DATA]])</f>
        <v>46174</v>
      </c>
      <c r="R429" s="14" t="str">
        <f ca="1">IF(AND(Q429&gt;=TODAY()-WEEKDAY(TODAY(),2)+1,Q429&lt;TODAY()),"SIM","NÃO")</f>
        <v>NÃO</v>
      </c>
    </row>
    <row r="430" spans="1:18" hidden="1">
      <c r="A430" t="s">
        <v>249</v>
      </c>
      <c r="B430" t="s">
        <v>112</v>
      </c>
      <c r="C430">
        <v>300261803</v>
      </c>
      <c r="D430">
        <v>16243994</v>
      </c>
      <c r="E430" t="s">
        <v>37</v>
      </c>
      <c r="F430" t="s">
        <v>132</v>
      </c>
      <c r="G430">
        <v>0</v>
      </c>
      <c r="H430" t="s">
        <v>22</v>
      </c>
      <c r="I430" t="s">
        <v>23</v>
      </c>
      <c r="J430" s="3"/>
      <c r="K430" s="11">
        <v>46174.708009259259</v>
      </c>
      <c r="M430">
        <v>456</v>
      </c>
      <c r="N430" t="s">
        <v>878</v>
      </c>
      <c r="P430" t="s">
        <v>1486</v>
      </c>
      <c r="Q430" s="10">
        <f>INT(Tabela1[[#This Row],[DATA]])</f>
        <v>46174</v>
      </c>
      <c r="R430" s="14" t="str">
        <f ca="1">IF(AND(Q430&gt;=TODAY()-WEEKDAY(TODAY(),2)+1,Q430&lt;TODAY()),"SIM","NÃO")</f>
        <v>NÃO</v>
      </c>
    </row>
    <row r="431" spans="1:18" hidden="1">
      <c r="A431" t="s">
        <v>797</v>
      </c>
      <c r="B431" t="s">
        <v>1487</v>
      </c>
      <c r="C431">
        <v>300252644</v>
      </c>
      <c r="D431">
        <v>16444981</v>
      </c>
      <c r="E431" t="s">
        <v>45</v>
      </c>
      <c r="F431" t="s">
        <v>513</v>
      </c>
      <c r="G431">
        <v>350</v>
      </c>
      <c r="H431" t="s">
        <v>1488</v>
      </c>
      <c r="I431" t="s">
        <v>23</v>
      </c>
      <c r="J431" s="3" t="s">
        <v>1489</v>
      </c>
      <c r="K431" s="11">
        <v>46174.708078703705</v>
      </c>
      <c r="M431">
        <v>457</v>
      </c>
      <c r="N431" t="s">
        <v>867</v>
      </c>
      <c r="P431" t="s">
        <v>1490</v>
      </c>
      <c r="Q431" s="10">
        <f>INT(Tabela1[[#This Row],[DATA]])</f>
        <v>46174</v>
      </c>
      <c r="R431" s="14" t="str">
        <f ca="1">IF(AND(Q431&gt;=TODAY()-WEEKDAY(TODAY(),2)+1,Q431&lt;TODAY()),"SIM","NÃO")</f>
        <v>NÃO</v>
      </c>
    </row>
    <row r="432" spans="1:18" hidden="1">
      <c r="A432" t="s">
        <v>249</v>
      </c>
      <c r="B432" t="s">
        <v>1491</v>
      </c>
      <c r="C432">
        <v>300269148</v>
      </c>
      <c r="D432">
        <v>0</v>
      </c>
      <c r="E432" t="s">
        <v>37</v>
      </c>
      <c r="F432" t="s">
        <v>21</v>
      </c>
      <c r="G432">
        <v>0</v>
      </c>
      <c r="H432" t="s">
        <v>22</v>
      </c>
      <c r="I432" t="s">
        <v>23</v>
      </c>
      <c r="J432" s="3"/>
      <c r="K432" s="11">
        <v>46174.710821759261</v>
      </c>
      <c r="M432">
        <v>458</v>
      </c>
      <c r="N432" t="s">
        <v>878</v>
      </c>
      <c r="P432" t="s">
        <v>1492</v>
      </c>
      <c r="Q432" s="10">
        <f>INT(Tabela1[[#This Row],[DATA]])</f>
        <v>46174</v>
      </c>
      <c r="R432" s="14" t="str">
        <f ca="1">IF(AND(Q432&gt;=TODAY()-WEEKDAY(TODAY(),2)+1,Q432&lt;TODAY()),"SIM","NÃO")</f>
        <v>NÃO</v>
      </c>
    </row>
    <row r="433" spans="1:18" hidden="1">
      <c r="A433" t="s">
        <v>73</v>
      </c>
      <c r="B433" t="s">
        <v>74</v>
      </c>
      <c r="C433">
        <v>300255985</v>
      </c>
      <c r="D433">
        <v>15497402</v>
      </c>
      <c r="E433" t="s">
        <v>45</v>
      </c>
      <c r="F433" t="s">
        <v>64</v>
      </c>
      <c r="G433">
        <v>225</v>
      </c>
      <c r="H433" t="s">
        <v>22</v>
      </c>
      <c r="I433" t="s">
        <v>23</v>
      </c>
      <c r="J433" s="3" t="s">
        <v>1493</v>
      </c>
      <c r="K433" s="11">
        <v>46174.723252314812</v>
      </c>
      <c r="M433">
        <v>459</v>
      </c>
      <c r="N433" t="s">
        <v>867</v>
      </c>
      <c r="P433" t="s">
        <v>1494</v>
      </c>
      <c r="Q433" s="10">
        <f>INT(Tabela1[[#This Row],[DATA]])</f>
        <v>46174</v>
      </c>
      <c r="R433" s="14" t="str">
        <f ca="1">IF(AND(Q433&gt;=TODAY()-WEEKDAY(TODAY(),2)+1,Q433&lt;TODAY()),"SIM","NÃO")</f>
        <v>NÃO</v>
      </c>
    </row>
    <row r="434" spans="1:18" hidden="1">
      <c r="A434" t="s">
        <v>68</v>
      </c>
      <c r="B434" t="s">
        <v>69</v>
      </c>
      <c r="C434">
        <v>300263620</v>
      </c>
      <c r="D434">
        <v>16450582</v>
      </c>
      <c r="E434" t="s">
        <v>45</v>
      </c>
      <c r="F434" t="s">
        <v>60</v>
      </c>
      <c r="G434">
        <v>1824</v>
      </c>
      <c r="H434" t="s">
        <v>39</v>
      </c>
      <c r="I434" t="s">
        <v>23</v>
      </c>
      <c r="J434" s="3" t="s">
        <v>1495</v>
      </c>
      <c r="K434" s="11">
        <v>46174.724803240744</v>
      </c>
      <c r="M434">
        <v>460</v>
      </c>
      <c r="N434" t="s">
        <v>878</v>
      </c>
      <c r="P434" s="5" t="s">
        <v>1496</v>
      </c>
      <c r="Q434" s="10">
        <f>INT(Tabela1[[#This Row],[DATA]])</f>
        <v>46174</v>
      </c>
      <c r="R434" s="14" t="str">
        <f ca="1">IF(AND(Q434&gt;=TODAY()-WEEKDAY(TODAY(),2)+1,Q434&lt;TODAY()),"SIM","NÃO")</f>
        <v>NÃO</v>
      </c>
    </row>
    <row r="435" spans="1:18" hidden="1">
      <c r="A435" t="s">
        <v>605</v>
      </c>
      <c r="B435" t="s">
        <v>606</v>
      </c>
      <c r="C435">
        <v>300261056</v>
      </c>
      <c r="D435">
        <v>16244028</v>
      </c>
      <c r="E435" t="s">
        <v>37</v>
      </c>
      <c r="F435" t="s">
        <v>323</v>
      </c>
      <c r="G435">
        <v>27</v>
      </c>
      <c r="H435" t="s">
        <v>22</v>
      </c>
      <c r="I435" t="s">
        <v>23</v>
      </c>
      <c r="J435" s="3" t="s">
        <v>1497</v>
      </c>
      <c r="K435" s="11">
        <v>46174.737581018519</v>
      </c>
      <c r="M435">
        <v>461</v>
      </c>
      <c r="N435" t="s">
        <v>867</v>
      </c>
      <c r="P435" t="s">
        <v>1498</v>
      </c>
      <c r="Q435" s="10">
        <f>INT(Tabela1[[#This Row],[DATA]])</f>
        <v>46174</v>
      </c>
      <c r="R435" s="14" t="str">
        <f ca="1">IF(AND(Q435&gt;=TODAY()-WEEKDAY(TODAY(),2)+1,Q435&lt;TODAY()),"SIM","NÃO")</f>
        <v>NÃO</v>
      </c>
    </row>
    <row r="436" spans="1:18" hidden="1">
      <c r="A436" t="s">
        <v>68</v>
      </c>
      <c r="B436" t="s">
        <v>69</v>
      </c>
      <c r="C436">
        <v>300263609</v>
      </c>
      <c r="D436">
        <v>16450582</v>
      </c>
      <c r="E436" t="s">
        <v>45</v>
      </c>
      <c r="F436" t="s">
        <v>60</v>
      </c>
      <c r="G436">
        <v>1704</v>
      </c>
      <c r="H436" t="s">
        <v>39</v>
      </c>
      <c r="I436" t="s">
        <v>23</v>
      </c>
      <c r="J436" s="3" t="s">
        <v>1499</v>
      </c>
      <c r="K436" s="11">
        <v>46174.742060185185</v>
      </c>
      <c r="M436">
        <v>462</v>
      </c>
      <c r="N436" t="s">
        <v>878</v>
      </c>
      <c r="P436" t="s">
        <v>1500</v>
      </c>
      <c r="Q436" s="10">
        <f>INT(Tabela1[[#This Row],[DATA]])</f>
        <v>46174</v>
      </c>
      <c r="R436" s="14" t="str">
        <f ca="1">IF(AND(Q436&gt;=TODAY()-WEEKDAY(TODAY(),2)+1,Q436&lt;TODAY()),"SIM","NÃO")</f>
        <v>NÃO</v>
      </c>
    </row>
    <row r="437" spans="1:18" hidden="1">
      <c r="A437" t="s">
        <v>605</v>
      </c>
      <c r="B437" t="s">
        <v>606</v>
      </c>
      <c r="C437">
        <v>300268619</v>
      </c>
      <c r="D437">
        <v>15773485</v>
      </c>
      <c r="E437" t="s">
        <v>37</v>
      </c>
      <c r="F437" t="s">
        <v>216</v>
      </c>
      <c r="G437">
        <v>50</v>
      </c>
      <c r="H437" t="s">
        <v>22</v>
      </c>
      <c r="I437" t="s">
        <v>23</v>
      </c>
      <c r="J437" s="3" t="s">
        <v>1501</v>
      </c>
      <c r="K437" s="11">
        <v>46174.742650462962</v>
      </c>
      <c r="M437">
        <v>463</v>
      </c>
      <c r="N437" t="s">
        <v>867</v>
      </c>
      <c r="P437" t="s">
        <v>1502</v>
      </c>
      <c r="Q437" s="10">
        <f>INT(Tabela1[[#This Row],[DATA]])</f>
        <v>46174</v>
      </c>
      <c r="R437" s="14" t="str">
        <f ca="1">IF(AND(Q437&gt;=TODAY()-WEEKDAY(TODAY(),2)+1,Q437&lt;TODAY()),"SIM","NÃO")</f>
        <v>NÃO</v>
      </c>
    </row>
    <row r="438" spans="1:18" hidden="1">
      <c r="A438" t="s">
        <v>35</v>
      </c>
      <c r="B438" t="s">
        <v>36</v>
      </c>
      <c r="C438">
        <v>300268011</v>
      </c>
      <c r="D438">
        <v>15252485</v>
      </c>
      <c r="E438" t="s">
        <v>37</v>
      </c>
      <c r="F438" t="s">
        <v>90</v>
      </c>
      <c r="G438">
        <v>3</v>
      </c>
      <c r="H438" t="s">
        <v>22</v>
      </c>
      <c r="I438" t="s">
        <v>23</v>
      </c>
      <c r="J438" s="3" t="s">
        <v>1503</v>
      </c>
      <c r="K438" s="11">
        <v>46175.319895833331</v>
      </c>
      <c r="M438">
        <v>464</v>
      </c>
      <c r="N438" t="s">
        <v>867</v>
      </c>
      <c r="P438" t="s">
        <v>1504</v>
      </c>
      <c r="Q438" s="10">
        <f>INT(Tabela1[[#This Row],[DATA]])</f>
        <v>46175</v>
      </c>
      <c r="R438" s="14" t="str">
        <f ca="1">IF(AND(Q438&gt;=TODAY()-WEEKDAY(TODAY(),2)+1,Q438&lt;TODAY()),"SIM","NÃO")</f>
        <v>NÃO</v>
      </c>
    </row>
    <row r="439" spans="1:18" hidden="1">
      <c r="A439" t="s">
        <v>35</v>
      </c>
      <c r="B439" t="s">
        <v>36</v>
      </c>
      <c r="C439">
        <v>300268011</v>
      </c>
      <c r="D439">
        <v>15252485</v>
      </c>
      <c r="E439" t="s">
        <v>37</v>
      </c>
      <c r="F439" t="s">
        <v>103</v>
      </c>
      <c r="G439">
        <v>100</v>
      </c>
      <c r="H439" t="s">
        <v>22</v>
      </c>
      <c r="I439" t="s">
        <v>23</v>
      </c>
      <c r="J439" s="3" t="s">
        <v>1505</v>
      </c>
      <c r="K439" s="11">
        <v>46175.323541666665</v>
      </c>
      <c r="M439">
        <v>465</v>
      </c>
      <c r="N439" t="s">
        <v>867</v>
      </c>
      <c r="P439" t="s">
        <v>1506</v>
      </c>
      <c r="Q439" s="10">
        <f>INT(Tabela1[[#This Row],[DATA]])</f>
        <v>46175</v>
      </c>
      <c r="R439" s="14" t="str">
        <f ca="1">IF(AND(Q439&gt;=TODAY()-WEEKDAY(TODAY(),2)+1,Q439&lt;TODAY()),"SIM","NÃO")</f>
        <v>NÃO</v>
      </c>
    </row>
    <row r="440" spans="1:18" hidden="1">
      <c r="A440" t="s">
        <v>305</v>
      </c>
      <c r="B440" t="s">
        <v>306</v>
      </c>
      <c r="C440">
        <v>300265090</v>
      </c>
      <c r="D440">
        <v>15128288</v>
      </c>
      <c r="E440" t="s">
        <v>29</v>
      </c>
      <c r="F440" t="s">
        <v>430</v>
      </c>
      <c r="G440">
        <v>840</v>
      </c>
      <c r="H440" t="s">
        <v>39</v>
      </c>
      <c r="I440" t="s">
        <v>23</v>
      </c>
      <c r="J440" s="3" t="s">
        <v>1507</v>
      </c>
      <c r="K440" s="11">
        <v>46175.359351851854</v>
      </c>
      <c r="M440">
        <v>466</v>
      </c>
      <c r="N440" t="s">
        <v>878</v>
      </c>
      <c r="P440" t="s">
        <v>1508</v>
      </c>
      <c r="Q440" s="10">
        <f>INT(Tabela1[[#This Row],[DATA]])</f>
        <v>46175</v>
      </c>
      <c r="R440" s="14" t="str">
        <f ca="1">IF(AND(Q440&gt;=TODAY()-WEEKDAY(TODAY(),2)+1,Q440&lt;TODAY()),"SIM","NÃO")</f>
        <v>NÃO</v>
      </c>
    </row>
    <row r="441" spans="1:18" hidden="1">
      <c r="A441" t="s">
        <v>68</v>
      </c>
      <c r="B441" t="s">
        <v>69</v>
      </c>
      <c r="C441">
        <v>300238301</v>
      </c>
      <c r="D441">
        <v>15929086</v>
      </c>
      <c r="E441" t="s">
        <v>45</v>
      </c>
      <c r="F441" t="s">
        <v>38</v>
      </c>
      <c r="G441">
        <v>605</v>
      </c>
      <c r="H441" t="s">
        <v>561</v>
      </c>
      <c r="I441" t="s">
        <v>23</v>
      </c>
      <c r="J441" s="3"/>
      <c r="K441" s="11">
        <v>46175.359375</v>
      </c>
      <c r="M441">
        <v>467</v>
      </c>
      <c r="N441" t="s">
        <v>878</v>
      </c>
      <c r="P441" t="s">
        <v>1509</v>
      </c>
      <c r="Q441" s="10">
        <f>INT(Tabela1[[#This Row],[DATA]])</f>
        <v>46175</v>
      </c>
      <c r="R441" s="14" t="str">
        <f ca="1">IF(AND(Q441&gt;=TODAY()-WEEKDAY(TODAY(),2)+1,Q441&lt;TODAY()),"SIM","NÃO")</f>
        <v>NÃO</v>
      </c>
    </row>
    <row r="442" spans="1:18" hidden="1">
      <c r="A442" t="s">
        <v>1072</v>
      </c>
      <c r="B442" t="s">
        <v>1073</v>
      </c>
      <c r="C442">
        <v>300259994</v>
      </c>
      <c r="D442">
        <v>15863367</v>
      </c>
      <c r="E442" t="s">
        <v>37</v>
      </c>
      <c r="F442" t="s">
        <v>103</v>
      </c>
      <c r="G442">
        <v>300</v>
      </c>
      <c r="H442" t="s">
        <v>1510</v>
      </c>
      <c r="I442" t="s">
        <v>23</v>
      </c>
      <c r="J442" s="3" t="s">
        <v>1511</v>
      </c>
      <c r="K442" s="11">
        <v>46175.361817129633</v>
      </c>
      <c r="M442">
        <v>468</v>
      </c>
      <c r="N442" t="s">
        <v>878</v>
      </c>
      <c r="P442" t="s">
        <v>1512</v>
      </c>
      <c r="Q442" s="10">
        <f>INT(Tabela1[[#This Row],[DATA]])</f>
        <v>46175</v>
      </c>
      <c r="R442" s="14" t="str">
        <f ca="1">IF(AND(Q442&gt;=TODAY()-WEEKDAY(TODAY(),2)+1,Q442&lt;TODAY()),"SIM","NÃO")</f>
        <v>NÃO</v>
      </c>
    </row>
    <row r="443" spans="1:18" hidden="1">
      <c r="A443" t="s">
        <v>136</v>
      </c>
      <c r="B443" t="s">
        <v>137</v>
      </c>
      <c r="C443">
        <v>300259163</v>
      </c>
      <c r="D443">
        <v>16183550</v>
      </c>
      <c r="E443" t="s">
        <v>37</v>
      </c>
      <c r="F443" t="s">
        <v>769</v>
      </c>
      <c r="G443">
        <v>414</v>
      </c>
      <c r="H443" t="s">
        <v>39</v>
      </c>
      <c r="I443" t="s">
        <v>23</v>
      </c>
      <c r="J443" s="3"/>
      <c r="K443" s="11">
        <v>46175.369583333333</v>
      </c>
      <c r="M443">
        <v>469</v>
      </c>
      <c r="N443" t="s">
        <v>878</v>
      </c>
      <c r="P443" t="s">
        <v>1513</v>
      </c>
      <c r="Q443" s="10">
        <f>INT(Tabela1[[#This Row],[DATA]])</f>
        <v>46175</v>
      </c>
      <c r="R443" s="14" t="str">
        <f ca="1">IF(AND(Q443&gt;=TODAY()-WEEKDAY(TODAY(),2)+1,Q443&lt;TODAY()),"SIM","NÃO")</f>
        <v>NÃO</v>
      </c>
    </row>
    <row r="444" spans="1:18" hidden="1">
      <c r="A444" t="s">
        <v>253</v>
      </c>
      <c r="B444" t="s">
        <v>254</v>
      </c>
      <c r="C444">
        <v>300267388</v>
      </c>
      <c r="D444">
        <v>16217403</v>
      </c>
      <c r="E444" t="s">
        <v>37</v>
      </c>
      <c r="F444" t="s">
        <v>38</v>
      </c>
      <c r="G444">
        <v>20</v>
      </c>
      <c r="H444" t="s">
        <v>22</v>
      </c>
      <c r="I444" t="s">
        <v>23</v>
      </c>
      <c r="J444" s="3" t="s">
        <v>1514</v>
      </c>
      <c r="K444" s="11">
        <v>46175.374212962961</v>
      </c>
      <c r="M444">
        <v>470</v>
      </c>
      <c r="N444" t="s">
        <v>867</v>
      </c>
      <c r="P444" t="s">
        <v>1515</v>
      </c>
      <c r="Q444" s="10">
        <f>INT(Tabela1[[#This Row],[DATA]])</f>
        <v>46175</v>
      </c>
      <c r="R444" s="14" t="str">
        <f ca="1">IF(AND(Q444&gt;=TODAY()-WEEKDAY(TODAY(),2)+1,Q444&lt;TODAY()),"SIM","NÃO")</f>
        <v>NÃO</v>
      </c>
    </row>
    <row r="445" spans="1:18" hidden="1">
      <c r="A445" t="s">
        <v>253</v>
      </c>
      <c r="B445" t="s">
        <v>254</v>
      </c>
      <c r="C445">
        <v>300267137</v>
      </c>
      <c r="D445">
        <v>15724344</v>
      </c>
      <c r="E445" t="s">
        <v>45</v>
      </c>
      <c r="F445" t="s">
        <v>802</v>
      </c>
      <c r="G445">
        <v>12</v>
      </c>
      <c r="H445" t="s">
        <v>22</v>
      </c>
      <c r="I445" t="s">
        <v>262</v>
      </c>
      <c r="J445" s="3" t="s">
        <v>1516</v>
      </c>
      <c r="K445" s="11">
        <v>46175.376851851855</v>
      </c>
      <c r="M445">
        <v>471</v>
      </c>
      <c r="N445" t="s">
        <v>867</v>
      </c>
      <c r="P445" t="s">
        <v>1517</v>
      </c>
      <c r="Q445" s="10">
        <f>INT(Tabela1[[#This Row],[DATA]])</f>
        <v>46175</v>
      </c>
      <c r="R445" s="14" t="str">
        <f ca="1">IF(AND(Q445&gt;=TODAY()-WEEKDAY(TODAY(),2)+1,Q445&lt;TODAY()),"SIM","NÃO")</f>
        <v>NÃO</v>
      </c>
    </row>
    <row r="446" spans="1:18" hidden="1">
      <c r="A446" t="s">
        <v>185</v>
      </c>
      <c r="B446" t="s">
        <v>186</v>
      </c>
      <c r="C446">
        <v>300000000</v>
      </c>
      <c r="D446">
        <v>0</v>
      </c>
      <c r="E446" t="s">
        <v>37</v>
      </c>
      <c r="F446" t="s">
        <v>132</v>
      </c>
      <c r="G446">
        <v>1</v>
      </c>
      <c r="H446" t="s">
        <v>22</v>
      </c>
      <c r="I446" t="s">
        <v>23</v>
      </c>
      <c r="J446" s="3"/>
      <c r="K446" s="11">
        <v>46175.378599537034</v>
      </c>
      <c r="M446">
        <v>472</v>
      </c>
      <c r="N446" t="s">
        <v>878</v>
      </c>
      <c r="P446" t="s">
        <v>1518</v>
      </c>
      <c r="Q446" s="10">
        <f>INT(Tabela1[[#This Row],[DATA]])</f>
        <v>46175</v>
      </c>
      <c r="R446" s="14" t="str">
        <f ca="1">IF(AND(Q446&gt;=TODAY()-WEEKDAY(TODAY(),2)+1,Q446&lt;TODAY()),"SIM","NÃO")</f>
        <v>NÃO</v>
      </c>
    </row>
    <row r="447" spans="1:18" hidden="1">
      <c r="A447" t="s">
        <v>196</v>
      </c>
      <c r="B447" t="s">
        <v>186</v>
      </c>
      <c r="C447">
        <v>300000000</v>
      </c>
      <c r="D447">
        <v>0</v>
      </c>
      <c r="E447" t="s">
        <v>37</v>
      </c>
      <c r="F447" t="s">
        <v>132</v>
      </c>
      <c r="G447">
        <v>1</v>
      </c>
      <c r="H447" t="s">
        <v>22</v>
      </c>
      <c r="I447" t="s">
        <v>23</v>
      </c>
      <c r="J447" s="3"/>
      <c r="K447" s="11">
        <v>46175.379421296297</v>
      </c>
      <c r="M447">
        <v>473</v>
      </c>
      <c r="N447" t="s">
        <v>878</v>
      </c>
      <c r="P447" t="s">
        <v>1519</v>
      </c>
      <c r="Q447" s="10">
        <f>INT(Tabela1[[#This Row],[DATA]])</f>
        <v>46175</v>
      </c>
      <c r="R447" s="14" t="str">
        <f ca="1">IF(AND(Q447&gt;=TODAY()-WEEKDAY(TODAY(),2)+1,Q447&lt;TODAY()),"SIM","NÃO")</f>
        <v>NÃO</v>
      </c>
    </row>
    <row r="448" spans="1:18" hidden="1">
      <c r="A448" t="s">
        <v>249</v>
      </c>
      <c r="B448" t="s">
        <v>112</v>
      </c>
      <c r="C448">
        <v>300261803</v>
      </c>
      <c r="D448">
        <v>16243994</v>
      </c>
      <c r="E448" t="s">
        <v>37</v>
      </c>
      <c r="F448" t="s">
        <v>60</v>
      </c>
      <c r="G448">
        <v>5</v>
      </c>
      <c r="H448" t="s">
        <v>22</v>
      </c>
      <c r="I448" t="s">
        <v>23</v>
      </c>
      <c r="J448" s="3" t="s">
        <v>1520</v>
      </c>
      <c r="K448" s="11">
        <v>46175.382118055553</v>
      </c>
      <c r="M448">
        <v>474</v>
      </c>
      <c r="N448" t="s">
        <v>867</v>
      </c>
      <c r="P448" t="s">
        <v>1521</v>
      </c>
      <c r="Q448" s="10">
        <f>INT(Tabela1[[#This Row],[DATA]])</f>
        <v>46175</v>
      </c>
      <c r="R448" s="14" t="str">
        <f ca="1">IF(AND(Q448&gt;=TODAY()-WEEKDAY(TODAY(),2)+1,Q448&lt;TODAY()),"SIM","NÃO")</f>
        <v>NÃO</v>
      </c>
    </row>
    <row r="449" spans="1:18" hidden="1">
      <c r="A449" t="s">
        <v>249</v>
      </c>
      <c r="B449" t="s">
        <v>112</v>
      </c>
      <c r="C449">
        <v>300267378</v>
      </c>
      <c r="D449">
        <v>16243153</v>
      </c>
      <c r="E449" t="s">
        <v>37</v>
      </c>
      <c r="F449" t="s">
        <v>1522</v>
      </c>
      <c r="G449">
        <v>30</v>
      </c>
      <c r="H449" t="s">
        <v>22</v>
      </c>
      <c r="I449" t="s">
        <v>23</v>
      </c>
      <c r="J449" s="3" t="s">
        <v>1523</v>
      </c>
      <c r="K449" s="11">
        <v>46175.402395833335</v>
      </c>
      <c r="M449">
        <v>475</v>
      </c>
      <c r="N449" t="s">
        <v>867</v>
      </c>
      <c r="P449" t="s">
        <v>1524</v>
      </c>
      <c r="Q449" s="10">
        <f>INT(Tabela1[[#This Row],[DATA]])</f>
        <v>46175</v>
      </c>
      <c r="R449" s="14" t="str">
        <f ca="1">IF(AND(Q449&gt;=TODAY()-WEEKDAY(TODAY(),2)+1,Q449&lt;TODAY()),"SIM","NÃO")</f>
        <v>NÃO</v>
      </c>
    </row>
    <row r="450" spans="1:18" hidden="1">
      <c r="A450" t="s">
        <v>428</v>
      </c>
      <c r="B450" t="s">
        <v>429</v>
      </c>
      <c r="C450">
        <v>300265103</v>
      </c>
      <c r="D450">
        <v>15128288</v>
      </c>
      <c r="E450" t="s">
        <v>29</v>
      </c>
      <c r="F450" t="s">
        <v>323</v>
      </c>
      <c r="G450">
        <v>41</v>
      </c>
      <c r="H450" t="s">
        <v>39</v>
      </c>
      <c r="I450" t="s">
        <v>23</v>
      </c>
      <c r="J450" s="3" t="s">
        <v>1525</v>
      </c>
      <c r="K450" s="11">
        <v>46175.415127314816</v>
      </c>
      <c r="M450">
        <v>476</v>
      </c>
      <c r="N450" t="s">
        <v>867</v>
      </c>
      <c r="P450" t="s">
        <v>1526</v>
      </c>
      <c r="Q450" s="10">
        <f>INT(Tabela1[[#This Row],[DATA]])</f>
        <v>46175</v>
      </c>
      <c r="R450" s="14" t="str">
        <f ca="1">IF(AND(Q450&gt;=TODAY()-WEEKDAY(TODAY(),2)+1,Q450&lt;TODAY()),"SIM","NÃO")</f>
        <v>NÃO</v>
      </c>
    </row>
    <row r="451" spans="1:18" hidden="1">
      <c r="A451" t="s">
        <v>428</v>
      </c>
      <c r="B451" t="s">
        <v>429</v>
      </c>
      <c r="C451">
        <v>300265103</v>
      </c>
      <c r="D451">
        <v>15128288</v>
      </c>
      <c r="E451" t="s">
        <v>29</v>
      </c>
      <c r="F451" t="s">
        <v>259</v>
      </c>
      <c r="G451">
        <v>10</v>
      </c>
      <c r="H451" t="s">
        <v>22</v>
      </c>
      <c r="I451" t="s">
        <v>23</v>
      </c>
      <c r="J451" s="3"/>
      <c r="K451" s="11">
        <v>46175.415752314817</v>
      </c>
      <c r="M451">
        <v>477</v>
      </c>
      <c r="N451" t="s">
        <v>867</v>
      </c>
      <c r="P451" t="s">
        <v>1527</v>
      </c>
      <c r="Q451" s="10">
        <f>INT(Tabela1[[#This Row],[DATA]])</f>
        <v>46175</v>
      </c>
      <c r="R451" s="14" t="str">
        <f ca="1">IF(AND(Q451&gt;=TODAY()-WEEKDAY(TODAY(),2)+1,Q451&lt;TODAY()),"SIM","NÃO")</f>
        <v>NÃO</v>
      </c>
    </row>
    <row r="452" spans="1:18" hidden="1">
      <c r="A452" t="s">
        <v>428</v>
      </c>
      <c r="B452" t="s">
        <v>429</v>
      </c>
      <c r="C452">
        <v>300265103</v>
      </c>
      <c r="D452">
        <v>15128288</v>
      </c>
      <c r="E452" t="s">
        <v>29</v>
      </c>
      <c r="F452" t="s">
        <v>96</v>
      </c>
      <c r="G452">
        <v>300</v>
      </c>
      <c r="H452" t="s">
        <v>22</v>
      </c>
      <c r="I452" t="s">
        <v>23</v>
      </c>
      <c r="J452" s="3" t="s">
        <v>1528</v>
      </c>
      <c r="K452" s="11">
        <v>46175.416712962964</v>
      </c>
      <c r="M452">
        <v>478</v>
      </c>
      <c r="N452" t="s">
        <v>867</v>
      </c>
      <c r="P452" t="s">
        <v>1529</v>
      </c>
      <c r="Q452" s="10">
        <f>INT(Tabela1[[#This Row],[DATA]])</f>
        <v>46175</v>
      </c>
      <c r="R452" s="14" t="str">
        <f ca="1">IF(AND(Q452&gt;=TODAY()-WEEKDAY(TODAY(),2)+1,Q452&lt;TODAY()),"SIM","NÃO")</f>
        <v>NÃO</v>
      </c>
    </row>
    <row r="453" spans="1:18" hidden="1">
      <c r="A453" t="s">
        <v>54</v>
      </c>
      <c r="B453" t="s">
        <v>55</v>
      </c>
      <c r="C453">
        <v>300267546</v>
      </c>
      <c r="D453">
        <v>16226895</v>
      </c>
      <c r="E453" t="s">
        <v>45</v>
      </c>
      <c r="F453" t="s">
        <v>187</v>
      </c>
      <c r="G453">
        <v>1032</v>
      </c>
      <c r="H453" t="s">
        <v>39</v>
      </c>
      <c r="I453" t="s">
        <v>23</v>
      </c>
      <c r="J453" s="3" t="s">
        <v>1530</v>
      </c>
      <c r="K453" s="11">
        <v>46175.431666666664</v>
      </c>
      <c r="M453">
        <v>479</v>
      </c>
      <c r="N453" t="s">
        <v>878</v>
      </c>
      <c r="P453" t="s">
        <v>1531</v>
      </c>
      <c r="Q453" s="10">
        <f>INT(Tabela1[[#This Row],[DATA]])</f>
        <v>46175</v>
      </c>
      <c r="R453" s="14" t="str">
        <f ca="1">IF(AND(Q453&gt;=TODAY()-WEEKDAY(TODAY(),2)+1,Q453&lt;TODAY()),"SIM","NÃO")</f>
        <v>NÃO</v>
      </c>
    </row>
    <row r="454" spans="1:18" hidden="1">
      <c r="A454" t="s">
        <v>111</v>
      </c>
      <c r="B454" t="s">
        <v>112</v>
      </c>
      <c r="C454">
        <v>300268561</v>
      </c>
      <c r="D454">
        <v>16462998</v>
      </c>
      <c r="E454" t="s">
        <v>45</v>
      </c>
      <c r="F454" t="s">
        <v>151</v>
      </c>
      <c r="G454">
        <v>435</v>
      </c>
      <c r="H454" t="s">
        <v>39</v>
      </c>
      <c r="I454" t="s">
        <v>934</v>
      </c>
      <c r="J454" s="3" t="s">
        <v>1532</v>
      </c>
      <c r="K454" s="11">
        <v>46175.43577546296</v>
      </c>
      <c r="M454">
        <v>480</v>
      </c>
      <c r="N454" t="s">
        <v>867</v>
      </c>
      <c r="P454" t="s">
        <v>1533</v>
      </c>
      <c r="Q454" s="10">
        <f>INT(Tabela1[[#This Row],[DATA]])</f>
        <v>46175</v>
      </c>
      <c r="R454" s="14" t="str">
        <f ca="1">IF(AND(Q454&gt;=TODAY()-WEEKDAY(TODAY(),2)+1,Q454&lt;TODAY()),"SIM","NÃO")</f>
        <v>NÃO</v>
      </c>
    </row>
    <row r="455" spans="1:18" hidden="1">
      <c r="A455" t="s">
        <v>249</v>
      </c>
      <c r="B455" t="s">
        <v>112</v>
      </c>
      <c r="C455">
        <v>300268561</v>
      </c>
      <c r="D455">
        <v>16462998</v>
      </c>
      <c r="E455" t="s">
        <v>45</v>
      </c>
      <c r="F455" t="s">
        <v>38</v>
      </c>
      <c r="G455">
        <v>28</v>
      </c>
      <c r="H455" t="s">
        <v>22</v>
      </c>
      <c r="I455" t="s">
        <v>23</v>
      </c>
      <c r="J455" s="3" t="s">
        <v>1534</v>
      </c>
      <c r="K455" s="11">
        <v>46175.436527777776</v>
      </c>
      <c r="M455">
        <v>481</v>
      </c>
      <c r="N455" t="s">
        <v>867</v>
      </c>
      <c r="P455" t="s">
        <v>1535</v>
      </c>
      <c r="Q455" s="10">
        <f>INT(Tabela1[[#This Row],[DATA]])</f>
        <v>46175</v>
      </c>
      <c r="R455" s="14" t="str">
        <f ca="1">IF(AND(Q455&gt;=TODAY()-WEEKDAY(TODAY(),2)+1,Q455&lt;TODAY()),"SIM","NÃO")</f>
        <v>NÃO</v>
      </c>
    </row>
    <row r="456" spans="1:18" hidden="1">
      <c r="A456" t="s">
        <v>249</v>
      </c>
      <c r="B456" t="s">
        <v>112</v>
      </c>
      <c r="C456">
        <v>300268561</v>
      </c>
      <c r="D456">
        <v>16462998</v>
      </c>
      <c r="E456" t="s">
        <v>45</v>
      </c>
      <c r="F456" t="s">
        <v>64</v>
      </c>
      <c r="G456">
        <v>80</v>
      </c>
      <c r="H456" t="s">
        <v>22</v>
      </c>
      <c r="I456" t="s">
        <v>23</v>
      </c>
      <c r="J456" s="3" t="s">
        <v>1350</v>
      </c>
      <c r="K456" s="11">
        <v>46175.4375462963</v>
      </c>
      <c r="M456">
        <v>482</v>
      </c>
      <c r="N456" t="s">
        <v>867</v>
      </c>
      <c r="P456" t="s">
        <v>1536</v>
      </c>
      <c r="Q456" s="10">
        <f>INT(Tabela1[[#This Row],[DATA]])</f>
        <v>46175</v>
      </c>
      <c r="R456" s="14" t="str">
        <f ca="1">IF(AND(Q456&gt;=TODAY()-WEEKDAY(TODAY(),2)+1,Q456&lt;TODAY()),"SIM","NÃO")</f>
        <v>NÃO</v>
      </c>
    </row>
    <row r="457" spans="1:18" hidden="1">
      <c r="A457" t="s">
        <v>185</v>
      </c>
      <c r="B457" t="s">
        <v>186</v>
      </c>
      <c r="C457">
        <v>300260131</v>
      </c>
      <c r="D457">
        <v>16450361</v>
      </c>
      <c r="E457" t="s">
        <v>37</v>
      </c>
      <c r="F457" t="s">
        <v>430</v>
      </c>
      <c r="G457">
        <v>500</v>
      </c>
      <c r="H457" t="s">
        <v>39</v>
      </c>
      <c r="I457" t="s">
        <v>23</v>
      </c>
      <c r="J457" s="3"/>
      <c r="K457" s="11">
        <v>46175.450543981482</v>
      </c>
      <c r="M457">
        <v>483</v>
      </c>
      <c r="N457" t="s">
        <v>878</v>
      </c>
      <c r="P457" t="s">
        <v>1537</v>
      </c>
      <c r="Q457" s="10">
        <f>INT(Tabela1[[#This Row],[DATA]])</f>
        <v>46175</v>
      </c>
      <c r="R457" s="14" t="str">
        <f ca="1">IF(AND(Q457&gt;=TODAY()-WEEKDAY(TODAY(),2)+1,Q457&lt;TODAY()),"SIM","NÃO")</f>
        <v>NÃO</v>
      </c>
    </row>
    <row r="458" spans="1:18" hidden="1">
      <c r="A458" t="s">
        <v>185</v>
      </c>
      <c r="B458" t="s">
        <v>186</v>
      </c>
      <c r="C458">
        <v>300266700</v>
      </c>
      <c r="D458">
        <v>16387970</v>
      </c>
      <c r="E458" t="s">
        <v>37</v>
      </c>
      <c r="F458" t="s">
        <v>221</v>
      </c>
      <c r="G458">
        <v>300</v>
      </c>
      <c r="H458" t="s">
        <v>22</v>
      </c>
      <c r="I458" t="s">
        <v>23</v>
      </c>
      <c r="J458" s="3" t="s">
        <v>1538</v>
      </c>
      <c r="K458" s="11">
        <v>46175.452523148146</v>
      </c>
      <c r="M458">
        <v>484</v>
      </c>
      <c r="N458" t="s">
        <v>867</v>
      </c>
      <c r="P458" t="s">
        <v>1539</v>
      </c>
      <c r="Q458" s="10">
        <f>INT(Tabela1[[#This Row],[DATA]])</f>
        <v>46175</v>
      </c>
      <c r="R458" s="14" t="str">
        <f ca="1">IF(AND(Q458&gt;=TODAY()-WEEKDAY(TODAY(),2)+1,Q458&lt;TODAY()),"SIM","NÃO")</f>
        <v>NÃO</v>
      </c>
    </row>
    <row r="459" spans="1:18" hidden="1">
      <c r="A459" t="s">
        <v>18</v>
      </c>
      <c r="B459" t="s">
        <v>19</v>
      </c>
      <c r="C459">
        <v>300266458</v>
      </c>
      <c r="D459">
        <v>16537343</v>
      </c>
      <c r="E459" t="s">
        <v>20</v>
      </c>
      <c r="F459" t="s">
        <v>813</v>
      </c>
      <c r="G459">
        <v>75</v>
      </c>
      <c r="H459" t="s">
        <v>22</v>
      </c>
      <c r="I459" t="s">
        <v>23</v>
      </c>
      <c r="J459" s="3" t="s">
        <v>1540</v>
      </c>
      <c r="K459" s="11">
        <v>46175.460451388892</v>
      </c>
      <c r="M459">
        <v>485</v>
      </c>
      <c r="N459" t="s">
        <v>867</v>
      </c>
      <c r="P459" t="s">
        <v>1541</v>
      </c>
      <c r="Q459" s="10">
        <f>INT(Tabela1[[#This Row],[DATA]])</f>
        <v>46175</v>
      </c>
      <c r="R459" s="14" t="str">
        <f ca="1">IF(AND(Q459&gt;=TODAY()-WEEKDAY(TODAY(),2)+1,Q459&lt;TODAY()),"SIM","NÃO")</f>
        <v>NÃO</v>
      </c>
    </row>
    <row r="460" spans="1:18" hidden="1">
      <c r="A460" t="s">
        <v>143</v>
      </c>
      <c r="B460" t="s">
        <v>144</v>
      </c>
      <c r="C460">
        <v>300259842</v>
      </c>
      <c r="D460">
        <v>16222362</v>
      </c>
      <c r="E460" t="s">
        <v>45</v>
      </c>
      <c r="F460" t="s">
        <v>64</v>
      </c>
      <c r="G460">
        <v>306</v>
      </c>
      <c r="H460" t="s">
        <v>39</v>
      </c>
      <c r="I460" t="s">
        <v>23</v>
      </c>
      <c r="J460" s="3" t="s">
        <v>1542</v>
      </c>
      <c r="K460" s="11">
        <v>46175.461493055554</v>
      </c>
      <c r="M460">
        <v>486</v>
      </c>
      <c r="N460" t="s">
        <v>867</v>
      </c>
      <c r="P460" t="s">
        <v>1543</v>
      </c>
      <c r="Q460" s="10">
        <f>INT(Tabela1[[#This Row],[DATA]])</f>
        <v>46175</v>
      </c>
      <c r="R460" s="14" t="str">
        <f ca="1">IF(AND(Q460&gt;=TODAY()-WEEKDAY(TODAY(),2)+1,Q460&lt;TODAY()),"SIM","NÃO")</f>
        <v>NÃO</v>
      </c>
    </row>
    <row r="461" spans="1:18" hidden="1">
      <c r="A461" t="s">
        <v>470</v>
      </c>
      <c r="B461" t="s">
        <v>471</v>
      </c>
      <c r="C461">
        <v>300261963</v>
      </c>
      <c r="D461">
        <v>16223691</v>
      </c>
      <c r="E461" t="s">
        <v>45</v>
      </c>
      <c r="F461" t="s">
        <v>323</v>
      </c>
      <c r="G461">
        <v>60</v>
      </c>
      <c r="H461" t="s">
        <v>57</v>
      </c>
      <c r="I461" t="s">
        <v>23</v>
      </c>
      <c r="J461" s="3" t="s">
        <v>1544</v>
      </c>
      <c r="K461" s="11">
        <v>46175.49800925926</v>
      </c>
      <c r="M461">
        <v>487</v>
      </c>
      <c r="N461" t="s">
        <v>878</v>
      </c>
      <c r="P461" t="s">
        <v>1545</v>
      </c>
      <c r="Q461" s="10">
        <f>INT(Tabela1[[#This Row],[DATA]])</f>
        <v>46175</v>
      </c>
      <c r="R461" s="14" t="str">
        <f ca="1">IF(AND(Q461&gt;=TODAY()-WEEKDAY(TODAY(),2)+1,Q461&lt;TODAY()),"SIM","NÃO")</f>
        <v>NÃO</v>
      </c>
    </row>
    <row r="462" spans="1:18" hidden="1">
      <c r="A462" t="s">
        <v>470</v>
      </c>
      <c r="B462" t="s">
        <v>471</v>
      </c>
      <c r="C462">
        <v>300261963</v>
      </c>
      <c r="D462">
        <v>16223691</v>
      </c>
      <c r="E462" t="s">
        <v>45</v>
      </c>
      <c r="F462" t="s">
        <v>151</v>
      </c>
      <c r="G462">
        <v>60</v>
      </c>
      <c r="H462" t="s">
        <v>39</v>
      </c>
      <c r="I462" t="s">
        <v>23</v>
      </c>
      <c r="J462" s="3" t="s">
        <v>1546</v>
      </c>
      <c r="K462" s="11">
        <v>46175.554131944446</v>
      </c>
      <c r="M462">
        <v>488</v>
      </c>
      <c r="N462" t="s">
        <v>878</v>
      </c>
      <c r="P462" t="s">
        <v>1547</v>
      </c>
      <c r="Q462" s="10">
        <f>INT(Tabela1[[#This Row],[DATA]])</f>
        <v>46175</v>
      </c>
      <c r="R462" s="14" t="str">
        <f ca="1">IF(AND(Q462&gt;=TODAY()-WEEKDAY(TODAY(),2)+1,Q462&lt;TODAY()),"SIM","NÃO")</f>
        <v>NÃO</v>
      </c>
    </row>
    <row r="463" spans="1:18" hidden="1">
      <c r="A463" t="s">
        <v>611</v>
      </c>
      <c r="B463" t="s">
        <v>612</v>
      </c>
      <c r="C463">
        <v>300266272</v>
      </c>
      <c r="D463">
        <v>16293274</v>
      </c>
      <c r="E463" t="s">
        <v>37</v>
      </c>
      <c r="F463" t="s">
        <v>90</v>
      </c>
      <c r="G463">
        <v>1254</v>
      </c>
      <c r="H463" t="s">
        <v>1548</v>
      </c>
      <c r="I463" t="s">
        <v>23</v>
      </c>
      <c r="J463" s="3" t="s">
        <v>1549</v>
      </c>
      <c r="K463" s="11">
        <v>46175.559583333335</v>
      </c>
      <c r="M463">
        <v>489</v>
      </c>
      <c r="N463" t="s">
        <v>878</v>
      </c>
      <c r="P463" t="s">
        <v>1550</v>
      </c>
      <c r="Q463" s="10">
        <f>INT(Tabela1[[#This Row],[DATA]])</f>
        <v>46175</v>
      </c>
      <c r="R463" s="14" t="str">
        <f ca="1">IF(AND(Q463&gt;=TODAY()-WEEKDAY(TODAY(),2)+1,Q463&lt;TODAY()),"SIM","NÃO")</f>
        <v>NÃO</v>
      </c>
    </row>
    <row r="464" spans="1:18" hidden="1">
      <c r="A464" t="s">
        <v>191</v>
      </c>
      <c r="B464" t="s">
        <v>192</v>
      </c>
      <c r="C464">
        <v>300266430</v>
      </c>
      <c r="D464">
        <v>15128288</v>
      </c>
      <c r="E464" t="s">
        <v>29</v>
      </c>
      <c r="F464" t="s">
        <v>96</v>
      </c>
      <c r="G464">
        <v>933</v>
      </c>
      <c r="H464" t="s">
        <v>39</v>
      </c>
      <c r="I464" t="s">
        <v>23</v>
      </c>
      <c r="J464" s="3"/>
      <c r="K464" s="11">
        <v>46175.560787037037</v>
      </c>
      <c r="M464">
        <v>490</v>
      </c>
      <c r="N464" t="s">
        <v>878</v>
      </c>
      <c r="P464" t="s">
        <v>1551</v>
      </c>
      <c r="Q464" s="10">
        <f>INT(Tabela1[[#This Row],[DATA]])</f>
        <v>46175</v>
      </c>
      <c r="R464" s="14" t="str">
        <f ca="1">IF(AND(Q464&gt;=TODAY()-WEEKDAY(TODAY(),2)+1,Q464&lt;TODAY()),"SIM","NÃO")</f>
        <v>NÃO</v>
      </c>
    </row>
    <row r="465" spans="1:18" hidden="1">
      <c r="A465" t="s">
        <v>191</v>
      </c>
      <c r="B465" t="s">
        <v>192</v>
      </c>
      <c r="C465">
        <v>300266430</v>
      </c>
      <c r="D465">
        <v>15128288</v>
      </c>
      <c r="E465" t="s">
        <v>29</v>
      </c>
      <c r="F465" t="s">
        <v>291</v>
      </c>
      <c r="G465">
        <v>933</v>
      </c>
      <c r="H465" t="s">
        <v>39</v>
      </c>
      <c r="I465" t="s">
        <v>23</v>
      </c>
      <c r="J465" s="3"/>
      <c r="K465" s="11">
        <v>46175.561805555553</v>
      </c>
      <c r="M465">
        <v>491</v>
      </c>
      <c r="N465" t="s">
        <v>878</v>
      </c>
      <c r="P465" t="s">
        <v>1552</v>
      </c>
      <c r="Q465" s="10">
        <f>INT(Tabela1[[#This Row],[DATA]])</f>
        <v>46175</v>
      </c>
      <c r="R465" s="14" t="str">
        <f ca="1">IF(AND(Q465&gt;=TODAY()-WEEKDAY(TODAY(),2)+1,Q465&lt;TODAY()),"SIM","NÃO")</f>
        <v>NÃO</v>
      </c>
    </row>
    <row r="466" spans="1:18" hidden="1">
      <c r="A466" t="s">
        <v>191</v>
      </c>
      <c r="B466" t="s">
        <v>192</v>
      </c>
      <c r="C466">
        <v>300266430</v>
      </c>
      <c r="D466">
        <v>15128288</v>
      </c>
      <c r="E466" t="s">
        <v>29</v>
      </c>
      <c r="F466" t="s">
        <v>187</v>
      </c>
      <c r="G466">
        <v>933</v>
      </c>
      <c r="H466" t="s">
        <v>39</v>
      </c>
      <c r="I466" t="s">
        <v>23</v>
      </c>
      <c r="J466" s="3"/>
      <c r="K466" s="11">
        <v>46175.56318287037</v>
      </c>
      <c r="M466">
        <v>492</v>
      </c>
      <c r="N466" t="s">
        <v>878</v>
      </c>
      <c r="P466" t="s">
        <v>1553</v>
      </c>
      <c r="Q466" s="10">
        <f>INT(Tabela1[[#This Row],[DATA]])</f>
        <v>46175</v>
      </c>
      <c r="R466" s="14" t="str">
        <f ca="1">IF(AND(Q466&gt;=TODAY()-WEEKDAY(TODAY(),2)+1,Q466&lt;TODAY()),"SIM","NÃO")</f>
        <v>NÃO</v>
      </c>
    </row>
    <row r="467" spans="1:18" hidden="1">
      <c r="A467" t="s">
        <v>68</v>
      </c>
      <c r="B467" t="s">
        <v>69</v>
      </c>
      <c r="C467">
        <v>300265374</v>
      </c>
      <c r="D467">
        <v>15950123</v>
      </c>
      <c r="E467" t="s">
        <v>37</v>
      </c>
      <c r="F467" t="s">
        <v>417</v>
      </c>
      <c r="G467">
        <v>62</v>
      </c>
      <c r="H467" t="s">
        <v>39</v>
      </c>
      <c r="I467" t="s">
        <v>23</v>
      </c>
      <c r="J467" s="3" t="s">
        <v>1554</v>
      </c>
      <c r="K467" s="11">
        <v>46175.567997685182</v>
      </c>
      <c r="M467">
        <v>493</v>
      </c>
      <c r="N467" t="s">
        <v>867</v>
      </c>
      <c r="P467" t="s">
        <v>1555</v>
      </c>
      <c r="Q467" s="10">
        <f>INT(Tabela1[[#This Row],[DATA]])</f>
        <v>46175</v>
      </c>
      <c r="R467" s="14" t="str">
        <f ca="1">IF(AND(Q467&gt;=TODAY()-WEEKDAY(TODAY(),2)+1,Q467&lt;TODAY()),"SIM","NÃO")</f>
        <v>NÃO</v>
      </c>
    </row>
    <row r="468" spans="1:18" hidden="1">
      <c r="A468" t="s">
        <v>68</v>
      </c>
      <c r="B468" t="s">
        <v>69</v>
      </c>
      <c r="C468">
        <v>300265374</v>
      </c>
      <c r="D468">
        <v>15950123</v>
      </c>
      <c r="E468" t="s">
        <v>37</v>
      </c>
      <c r="F468" t="s">
        <v>369</v>
      </c>
      <c r="G468">
        <v>62</v>
      </c>
      <c r="H468" t="s">
        <v>39</v>
      </c>
      <c r="I468" t="s">
        <v>23</v>
      </c>
      <c r="J468" s="3" t="s">
        <v>1556</v>
      </c>
      <c r="K468" s="11">
        <v>46175.56890046296</v>
      </c>
      <c r="M468">
        <v>494</v>
      </c>
      <c r="N468" t="s">
        <v>867</v>
      </c>
      <c r="P468" s="5" t="s">
        <v>1557</v>
      </c>
      <c r="Q468" s="10">
        <f>INT(Tabela1[[#This Row],[DATA]])</f>
        <v>46175</v>
      </c>
      <c r="R468" s="14" t="str">
        <f ca="1">IF(AND(Q468&gt;=TODAY()-WEEKDAY(TODAY(),2)+1,Q468&lt;TODAY()),"SIM","NÃO")</f>
        <v>NÃO</v>
      </c>
    </row>
    <row r="469" spans="1:18" hidden="1">
      <c r="A469" t="s">
        <v>68</v>
      </c>
      <c r="B469" t="s">
        <v>69</v>
      </c>
      <c r="C469">
        <v>300265374</v>
      </c>
      <c r="D469">
        <v>15950123</v>
      </c>
      <c r="E469" t="s">
        <v>37</v>
      </c>
      <c r="F469" t="s">
        <v>1205</v>
      </c>
      <c r="G469">
        <v>31</v>
      </c>
      <c r="H469" t="s">
        <v>39</v>
      </c>
      <c r="I469" t="s">
        <v>23</v>
      </c>
      <c r="J469" s="3" t="s">
        <v>1558</v>
      </c>
      <c r="K469" s="11">
        <v>46175.569699074076</v>
      </c>
      <c r="M469">
        <v>495</v>
      </c>
      <c r="N469" t="s">
        <v>867</v>
      </c>
      <c r="P469" t="s">
        <v>1559</v>
      </c>
      <c r="Q469" s="10">
        <f>INT(Tabela1[[#This Row],[DATA]])</f>
        <v>46175</v>
      </c>
      <c r="R469" s="14" t="str">
        <f ca="1">IF(AND(Q469&gt;=TODAY()-WEEKDAY(TODAY(),2)+1,Q469&lt;TODAY()),"SIM","NÃO")</f>
        <v>NÃO</v>
      </c>
    </row>
    <row r="470" spans="1:18" hidden="1">
      <c r="A470" t="s">
        <v>68</v>
      </c>
      <c r="B470" t="s">
        <v>69</v>
      </c>
      <c r="C470">
        <v>300265374</v>
      </c>
      <c r="D470">
        <v>15950123</v>
      </c>
      <c r="E470" t="s">
        <v>37</v>
      </c>
      <c r="F470" t="s">
        <v>962</v>
      </c>
      <c r="G470">
        <v>31</v>
      </c>
      <c r="H470" t="s">
        <v>39</v>
      </c>
      <c r="I470" t="s">
        <v>23</v>
      </c>
      <c r="J470" s="3" t="s">
        <v>1560</v>
      </c>
      <c r="K470" s="11">
        <v>46175.5703125</v>
      </c>
      <c r="M470">
        <v>496</v>
      </c>
      <c r="N470" t="s">
        <v>867</v>
      </c>
      <c r="P470" t="s">
        <v>1561</v>
      </c>
      <c r="Q470" s="10">
        <f>INT(Tabela1[[#This Row],[DATA]])</f>
        <v>46175</v>
      </c>
      <c r="R470" s="14" t="str">
        <f ca="1">IF(AND(Q470&gt;=TODAY()-WEEKDAY(TODAY(),2)+1,Q470&lt;TODAY()),"SIM","NÃO")</f>
        <v>NÃO</v>
      </c>
    </row>
    <row r="471" spans="1:18" hidden="1">
      <c r="A471" t="s">
        <v>68</v>
      </c>
      <c r="B471" t="s">
        <v>69</v>
      </c>
      <c r="C471">
        <v>300265374</v>
      </c>
      <c r="D471">
        <v>15950123</v>
      </c>
      <c r="E471" t="s">
        <v>37</v>
      </c>
      <c r="F471" t="s">
        <v>216</v>
      </c>
      <c r="G471">
        <v>62</v>
      </c>
      <c r="H471" t="s">
        <v>39</v>
      </c>
      <c r="I471" t="s">
        <v>23</v>
      </c>
      <c r="J471" s="3" t="s">
        <v>1562</v>
      </c>
      <c r="K471" s="11">
        <v>46175.571192129632</v>
      </c>
      <c r="M471">
        <v>497</v>
      </c>
      <c r="N471" t="s">
        <v>867</v>
      </c>
      <c r="P471" t="s">
        <v>1563</v>
      </c>
      <c r="Q471" s="10">
        <f>INT(Tabela1[[#This Row],[DATA]])</f>
        <v>46175</v>
      </c>
      <c r="R471" s="14" t="str">
        <f ca="1">IF(AND(Q471&gt;=TODAY()-WEEKDAY(TODAY(),2)+1,Q471&lt;TODAY()),"SIM","NÃO")</f>
        <v>NÃO</v>
      </c>
    </row>
    <row r="472" spans="1:18" hidden="1">
      <c r="A472" t="s">
        <v>68</v>
      </c>
      <c r="B472" t="s">
        <v>69</v>
      </c>
      <c r="C472">
        <v>300265374</v>
      </c>
      <c r="D472">
        <v>15950123</v>
      </c>
      <c r="E472" t="s">
        <v>37</v>
      </c>
      <c r="F472" t="s">
        <v>1564</v>
      </c>
      <c r="G472">
        <v>31</v>
      </c>
      <c r="H472" t="s">
        <v>39</v>
      </c>
      <c r="I472" t="s">
        <v>23</v>
      </c>
      <c r="J472" s="3" t="s">
        <v>1565</v>
      </c>
      <c r="K472" s="11">
        <v>46175.572708333333</v>
      </c>
      <c r="M472">
        <v>498</v>
      </c>
      <c r="N472" t="s">
        <v>867</v>
      </c>
      <c r="P472" t="s">
        <v>1566</v>
      </c>
      <c r="Q472" s="10">
        <f>INT(Tabela1[[#This Row],[DATA]])</f>
        <v>46175</v>
      </c>
      <c r="R472" s="14" t="str">
        <f ca="1">IF(AND(Q472&gt;=TODAY()-WEEKDAY(TODAY(),2)+1,Q472&lt;TODAY()),"SIM","NÃO")</f>
        <v>NÃO</v>
      </c>
    </row>
    <row r="473" spans="1:18" hidden="1">
      <c r="A473" t="s">
        <v>68</v>
      </c>
      <c r="B473" t="s">
        <v>69</v>
      </c>
      <c r="C473">
        <v>300265374</v>
      </c>
      <c r="D473">
        <v>15950123</v>
      </c>
      <c r="E473" t="s">
        <v>37</v>
      </c>
      <c r="F473" t="s">
        <v>769</v>
      </c>
      <c r="G473">
        <v>62</v>
      </c>
      <c r="H473" t="s">
        <v>39</v>
      </c>
      <c r="I473" t="s">
        <v>23</v>
      </c>
      <c r="J473" s="3" t="s">
        <v>1567</v>
      </c>
      <c r="K473" s="11">
        <v>46175.573460648149</v>
      </c>
      <c r="M473">
        <v>499</v>
      </c>
      <c r="N473" t="s">
        <v>867</v>
      </c>
      <c r="P473" t="s">
        <v>1568</v>
      </c>
      <c r="Q473" s="10">
        <f>INT(Tabela1[[#This Row],[DATA]])</f>
        <v>46175</v>
      </c>
      <c r="R473" s="14" t="str">
        <f ca="1">IF(AND(Q473&gt;=TODAY()-WEEKDAY(TODAY(),2)+1,Q473&lt;TODAY()),"SIM","NÃO")</f>
        <v>NÃO</v>
      </c>
    </row>
    <row r="474" spans="1:18" hidden="1">
      <c r="A474" t="s">
        <v>68</v>
      </c>
      <c r="B474" t="s">
        <v>69</v>
      </c>
      <c r="C474">
        <v>300265374</v>
      </c>
      <c r="D474">
        <v>15950123</v>
      </c>
      <c r="E474" t="s">
        <v>37</v>
      </c>
      <c r="F474" t="s">
        <v>971</v>
      </c>
      <c r="G474">
        <v>62</v>
      </c>
      <c r="H474" t="s">
        <v>39</v>
      </c>
      <c r="I474" t="s">
        <v>23</v>
      </c>
      <c r="J474" s="3" t="s">
        <v>1569</v>
      </c>
      <c r="K474" s="11">
        <v>46175.574467592596</v>
      </c>
      <c r="M474">
        <v>500</v>
      </c>
      <c r="N474" t="s">
        <v>867</v>
      </c>
      <c r="P474" t="s">
        <v>1570</v>
      </c>
      <c r="Q474" s="10">
        <f>INT(Tabela1[[#This Row],[DATA]])</f>
        <v>46175</v>
      </c>
      <c r="R474" s="14" t="str">
        <f ca="1">IF(AND(Q474&gt;=TODAY()-WEEKDAY(TODAY(),2)+1,Q474&lt;TODAY()),"SIM","NÃO")</f>
        <v>NÃO</v>
      </c>
    </row>
    <row r="475" spans="1:18" hidden="1">
      <c r="A475" t="s">
        <v>68</v>
      </c>
      <c r="B475" t="s">
        <v>69</v>
      </c>
      <c r="C475">
        <v>300265374</v>
      </c>
      <c r="D475">
        <v>15950123</v>
      </c>
      <c r="E475" t="s">
        <v>37</v>
      </c>
      <c r="F475" t="s">
        <v>323</v>
      </c>
      <c r="G475">
        <v>31</v>
      </c>
      <c r="H475" t="s">
        <v>39</v>
      </c>
      <c r="I475" t="s">
        <v>23</v>
      </c>
      <c r="J475" s="3" t="s">
        <v>1571</v>
      </c>
      <c r="K475" s="11">
        <v>46175.575509259259</v>
      </c>
      <c r="M475">
        <v>501</v>
      </c>
      <c r="N475" t="s">
        <v>867</v>
      </c>
      <c r="P475" t="s">
        <v>1572</v>
      </c>
      <c r="Q475" s="10">
        <f>INT(Tabela1[[#This Row],[DATA]])</f>
        <v>46175</v>
      </c>
      <c r="R475" s="14" t="str">
        <f ca="1">IF(AND(Q475&gt;=TODAY()-WEEKDAY(TODAY(),2)+1,Q475&lt;TODAY()),"SIM","NÃO")</f>
        <v>NÃO</v>
      </c>
    </row>
    <row r="476" spans="1:18" hidden="1">
      <c r="A476" t="s">
        <v>68</v>
      </c>
      <c r="B476" t="s">
        <v>69</v>
      </c>
      <c r="C476">
        <v>300265374</v>
      </c>
      <c r="D476">
        <v>15950123</v>
      </c>
      <c r="E476" t="s">
        <v>37</v>
      </c>
      <c r="F476" t="s">
        <v>151</v>
      </c>
      <c r="G476">
        <v>31</v>
      </c>
      <c r="H476" t="s">
        <v>39</v>
      </c>
      <c r="I476" t="s">
        <v>23</v>
      </c>
      <c r="J476" s="3" t="s">
        <v>1571</v>
      </c>
      <c r="K476" s="11">
        <v>46175.576273148145</v>
      </c>
      <c r="M476">
        <v>502</v>
      </c>
      <c r="N476" t="s">
        <v>867</v>
      </c>
      <c r="P476" t="s">
        <v>1573</v>
      </c>
      <c r="Q476" s="10">
        <f>INT(Tabela1[[#This Row],[DATA]])</f>
        <v>46175</v>
      </c>
      <c r="R476" s="14" t="str">
        <f ca="1">IF(AND(Q476&gt;=TODAY()-WEEKDAY(TODAY(),2)+1,Q476&lt;TODAY()),"SIM","NÃO")</f>
        <v>NÃO</v>
      </c>
    </row>
    <row r="477" spans="1:18" hidden="1">
      <c r="A477" t="s">
        <v>79</v>
      </c>
      <c r="B477" t="s">
        <v>80</v>
      </c>
      <c r="C477">
        <v>300265098</v>
      </c>
      <c r="D477">
        <v>15128288</v>
      </c>
      <c r="E477" t="s">
        <v>29</v>
      </c>
      <c r="F477" t="s">
        <v>430</v>
      </c>
      <c r="G477">
        <v>800</v>
      </c>
      <c r="H477" t="s">
        <v>39</v>
      </c>
      <c r="I477" t="s">
        <v>23</v>
      </c>
      <c r="J477" s="3"/>
      <c r="K477" s="11">
        <v>46175.58326388889</v>
      </c>
      <c r="M477">
        <v>503</v>
      </c>
      <c r="N477" t="s">
        <v>878</v>
      </c>
      <c r="P477" t="s">
        <v>1574</v>
      </c>
      <c r="Q477" s="10">
        <f>INT(Tabela1[[#This Row],[DATA]])</f>
        <v>46175</v>
      </c>
      <c r="R477" s="14" t="str">
        <f ca="1">IF(AND(Q477&gt;=TODAY()-WEEKDAY(TODAY(),2)+1,Q477&lt;TODAY()),"SIM","NÃO")</f>
        <v>NÃO</v>
      </c>
    </row>
    <row r="478" spans="1:18" hidden="1">
      <c r="A478" t="s">
        <v>79</v>
      </c>
      <c r="B478" t="s">
        <v>80</v>
      </c>
      <c r="C478">
        <v>300265099</v>
      </c>
      <c r="D478">
        <v>15128288</v>
      </c>
      <c r="E478" t="s">
        <v>29</v>
      </c>
      <c r="F478" t="s">
        <v>430</v>
      </c>
      <c r="G478">
        <v>800</v>
      </c>
      <c r="H478" t="s">
        <v>39</v>
      </c>
      <c r="I478" t="s">
        <v>23</v>
      </c>
      <c r="J478" s="3"/>
      <c r="K478" s="11">
        <v>46175.586701388886</v>
      </c>
      <c r="M478">
        <v>504</v>
      </c>
      <c r="N478" t="s">
        <v>878</v>
      </c>
      <c r="P478" t="s">
        <v>1575</v>
      </c>
      <c r="Q478" s="10">
        <f>INT(Tabela1[[#This Row],[DATA]])</f>
        <v>46175</v>
      </c>
      <c r="R478" s="14" t="str">
        <f ca="1">IF(AND(Q478&gt;=TODAY()-WEEKDAY(TODAY(),2)+1,Q478&lt;TODAY()),"SIM","NÃO")</f>
        <v>NÃO</v>
      </c>
    </row>
    <row r="479" spans="1:18" hidden="1">
      <c r="A479" t="s">
        <v>249</v>
      </c>
      <c r="B479" t="s">
        <v>112</v>
      </c>
      <c r="C479">
        <v>300261465</v>
      </c>
      <c r="D479">
        <v>1511854</v>
      </c>
      <c r="E479" t="s">
        <v>37</v>
      </c>
      <c r="F479" t="s">
        <v>802</v>
      </c>
      <c r="G479">
        <v>25</v>
      </c>
      <c r="H479" t="s">
        <v>22</v>
      </c>
      <c r="I479" t="s">
        <v>23</v>
      </c>
      <c r="J479" s="3" t="s">
        <v>1576</v>
      </c>
      <c r="K479" s="11">
        <v>46175.588043981479</v>
      </c>
      <c r="M479">
        <v>505</v>
      </c>
      <c r="N479" t="s">
        <v>867</v>
      </c>
      <c r="P479" t="s">
        <v>1577</v>
      </c>
      <c r="Q479" s="10">
        <f>INT(Tabela1[[#This Row],[DATA]])</f>
        <v>46175</v>
      </c>
      <c r="R479" s="14" t="str">
        <f ca="1">IF(AND(Q479&gt;=TODAY()-WEEKDAY(TODAY(),2)+1,Q479&lt;TODAY()),"SIM","NÃO")</f>
        <v>NÃO</v>
      </c>
    </row>
    <row r="480" spans="1:18" hidden="1">
      <c r="A480" t="s">
        <v>149</v>
      </c>
      <c r="B480" t="s">
        <v>150</v>
      </c>
      <c r="C480">
        <v>300265345</v>
      </c>
      <c r="D480">
        <v>16473388</v>
      </c>
      <c r="E480" t="s">
        <v>37</v>
      </c>
      <c r="F480" t="s">
        <v>132</v>
      </c>
      <c r="G480">
        <v>1</v>
      </c>
      <c r="H480" t="s">
        <v>655</v>
      </c>
      <c r="I480" t="s">
        <v>23</v>
      </c>
      <c r="J480" s="3"/>
      <c r="K480" s="11">
        <v>46175.59474537037</v>
      </c>
      <c r="M480">
        <v>506</v>
      </c>
      <c r="N480" t="s">
        <v>878</v>
      </c>
      <c r="P480" t="s">
        <v>1578</v>
      </c>
      <c r="Q480" s="10">
        <f>INT(Tabela1[[#This Row],[DATA]])</f>
        <v>46175</v>
      </c>
      <c r="R480" s="14" t="str">
        <f ca="1">IF(AND(Q480&gt;=TODAY()-WEEKDAY(TODAY(),2)+1,Q480&lt;TODAY()),"SIM","NÃO")</f>
        <v>NÃO</v>
      </c>
    </row>
    <row r="481" spans="1:18" hidden="1">
      <c r="A481" t="s">
        <v>94</v>
      </c>
      <c r="B481" t="s">
        <v>95</v>
      </c>
      <c r="C481">
        <v>300267139</v>
      </c>
      <c r="D481">
        <v>15724344</v>
      </c>
      <c r="E481" t="s">
        <v>45</v>
      </c>
      <c r="F481" t="s">
        <v>151</v>
      </c>
      <c r="G481">
        <v>58</v>
      </c>
      <c r="H481" t="s">
        <v>39</v>
      </c>
      <c r="I481" t="s">
        <v>23</v>
      </c>
      <c r="J481" s="3" t="s">
        <v>1579</v>
      </c>
      <c r="K481" s="11">
        <v>46175.596967592595</v>
      </c>
      <c r="M481">
        <v>507</v>
      </c>
      <c r="N481" t="s">
        <v>878</v>
      </c>
      <c r="P481" s="5" t="s">
        <v>1580</v>
      </c>
      <c r="Q481" s="10">
        <f>INT(Tabela1[[#This Row],[DATA]])</f>
        <v>46175</v>
      </c>
      <c r="R481" s="14" t="str">
        <f ca="1">IF(AND(Q481&gt;=TODAY()-WEEKDAY(TODAY(),2)+1,Q481&lt;TODAY()),"SIM","NÃO")</f>
        <v>NÃO</v>
      </c>
    </row>
    <row r="482" spans="1:18" hidden="1">
      <c r="A482" t="s">
        <v>1581</v>
      </c>
      <c r="B482" t="s">
        <v>1582</v>
      </c>
      <c r="C482">
        <v>300262924</v>
      </c>
      <c r="D482">
        <v>16451040</v>
      </c>
      <c r="E482" t="s">
        <v>45</v>
      </c>
      <c r="F482" t="s">
        <v>38</v>
      </c>
      <c r="G482">
        <v>880</v>
      </c>
      <c r="H482" t="s">
        <v>39</v>
      </c>
      <c r="I482" t="s">
        <v>23</v>
      </c>
      <c r="J482" s="3"/>
      <c r="K482" s="11">
        <v>46175.605995370373</v>
      </c>
      <c r="M482">
        <v>508</v>
      </c>
      <c r="N482" t="s">
        <v>878</v>
      </c>
      <c r="P482" t="s">
        <v>1583</v>
      </c>
      <c r="Q482" s="10">
        <f>INT(Tabela1[[#This Row],[DATA]])</f>
        <v>46175</v>
      </c>
      <c r="R482" s="14" t="str">
        <f ca="1">IF(AND(Q482&gt;=TODAY()-WEEKDAY(TODAY(),2)+1,Q482&lt;TODAY()),"SIM","NÃO")</f>
        <v>NÃO</v>
      </c>
    </row>
    <row r="483" spans="1:18" hidden="1">
      <c r="A483" t="s">
        <v>136</v>
      </c>
      <c r="B483" t="s">
        <v>137</v>
      </c>
      <c r="C483">
        <v>300248761</v>
      </c>
      <c r="D483">
        <v>16247388</v>
      </c>
      <c r="E483" t="s">
        <v>37</v>
      </c>
      <c r="F483" t="s">
        <v>177</v>
      </c>
      <c r="G483">
        <v>136</v>
      </c>
      <c r="H483" t="s">
        <v>39</v>
      </c>
      <c r="I483" t="s">
        <v>23</v>
      </c>
      <c r="J483" s="3" t="s">
        <v>1584</v>
      </c>
      <c r="K483" s="11">
        <v>46175.638078703705</v>
      </c>
      <c r="M483">
        <v>509</v>
      </c>
      <c r="N483" t="s">
        <v>867</v>
      </c>
      <c r="P483" t="s">
        <v>1585</v>
      </c>
      <c r="Q483" s="10">
        <f>INT(Tabela1[[#This Row],[DATA]])</f>
        <v>46175</v>
      </c>
      <c r="R483" s="14" t="str">
        <f ca="1">IF(AND(Q483&gt;=TODAY()-WEEKDAY(TODAY(),2)+1,Q483&lt;TODAY()),"SIM","NÃO")</f>
        <v>NÃO</v>
      </c>
    </row>
    <row r="484" spans="1:18" hidden="1">
      <c r="A484" t="s">
        <v>163</v>
      </c>
      <c r="B484" t="s">
        <v>164</v>
      </c>
      <c r="C484">
        <v>300267532</v>
      </c>
      <c r="D484">
        <v>16440960</v>
      </c>
      <c r="E484" t="s">
        <v>45</v>
      </c>
      <c r="F484" t="s">
        <v>38</v>
      </c>
      <c r="G484">
        <v>147</v>
      </c>
      <c r="H484" t="s">
        <v>22</v>
      </c>
      <c r="I484" t="s">
        <v>23</v>
      </c>
      <c r="J484" s="3" t="s">
        <v>1586</v>
      </c>
      <c r="K484" s="11">
        <v>46175.638449074075</v>
      </c>
      <c r="M484">
        <v>510</v>
      </c>
      <c r="N484" t="s">
        <v>867</v>
      </c>
      <c r="P484" t="s">
        <v>1587</v>
      </c>
      <c r="Q484" s="10">
        <f>INT(Tabela1[[#This Row],[DATA]])</f>
        <v>46175</v>
      </c>
      <c r="R484" s="14" t="str">
        <f ca="1">IF(AND(Q484&gt;=TODAY()-WEEKDAY(TODAY(),2)+1,Q484&lt;TODAY()),"SIM","NÃO")</f>
        <v>NÃO</v>
      </c>
    </row>
    <row r="485" spans="1:18" hidden="1">
      <c r="A485" t="s">
        <v>378</v>
      </c>
      <c r="B485" t="s">
        <v>137</v>
      </c>
      <c r="C485">
        <v>300248760</v>
      </c>
      <c r="D485">
        <v>16247388</v>
      </c>
      <c r="E485" t="s">
        <v>37</v>
      </c>
      <c r="F485" t="s">
        <v>177</v>
      </c>
      <c r="G485">
        <v>172</v>
      </c>
      <c r="H485" t="s">
        <v>39</v>
      </c>
      <c r="I485" t="s">
        <v>23</v>
      </c>
      <c r="J485" s="3" t="s">
        <v>1584</v>
      </c>
      <c r="K485" s="11">
        <v>46175.639398148145</v>
      </c>
      <c r="M485">
        <v>511</v>
      </c>
      <c r="N485" t="s">
        <v>867</v>
      </c>
      <c r="P485" t="s">
        <v>1588</v>
      </c>
      <c r="Q485" s="10">
        <f>INT(Tabela1[[#This Row],[DATA]])</f>
        <v>46175</v>
      </c>
      <c r="R485" s="14" t="str">
        <f ca="1">IF(AND(Q485&gt;=TODAY()-WEEKDAY(TODAY(),2)+1,Q485&lt;TODAY()),"SIM","NÃO")</f>
        <v>NÃO</v>
      </c>
    </row>
    <row r="486" spans="1:18" hidden="1">
      <c r="A486" t="s">
        <v>378</v>
      </c>
      <c r="B486" t="s">
        <v>137</v>
      </c>
      <c r="C486">
        <v>300248729</v>
      </c>
      <c r="D486">
        <v>16247388</v>
      </c>
      <c r="E486" t="s">
        <v>37</v>
      </c>
      <c r="F486" t="s">
        <v>177</v>
      </c>
      <c r="G486">
        <v>170</v>
      </c>
      <c r="H486" t="s">
        <v>39</v>
      </c>
      <c r="I486" t="s">
        <v>23</v>
      </c>
      <c r="J486" s="3" t="s">
        <v>1589</v>
      </c>
      <c r="K486" s="11">
        <v>46175.641215277778</v>
      </c>
      <c r="M486">
        <v>512</v>
      </c>
      <c r="N486" t="s">
        <v>867</v>
      </c>
      <c r="P486" t="s">
        <v>1590</v>
      </c>
      <c r="Q486" s="10">
        <f>INT(Tabela1[[#This Row],[DATA]])</f>
        <v>46175</v>
      </c>
      <c r="R486" s="14" t="str">
        <f ca="1">IF(AND(Q486&gt;=TODAY()-WEEKDAY(TODAY(),2)+1,Q486&lt;TODAY()),"SIM","NÃO")</f>
        <v>NÃO</v>
      </c>
    </row>
    <row r="487" spans="1:18" hidden="1">
      <c r="A487" t="s">
        <v>1581</v>
      </c>
      <c r="B487" t="s">
        <v>1582</v>
      </c>
      <c r="C487">
        <v>300255982</v>
      </c>
      <c r="D487">
        <v>16017315</v>
      </c>
      <c r="E487" t="s">
        <v>45</v>
      </c>
      <c r="F487" t="s">
        <v>151</v>
      </c>
      <c r="G487">
        <v>5</v>
      </c>
      <c r="H487" t="s">
        <v>22</v>
      </c>
      <c r="I487" t="s">
        <v>23</v>
      </c>
      <c r="J487" s="3" t="s">
        <v>1591</v>
      </c>
      <c r="K487" s="11">
        <v>46175.653657407405</v>
      </c>
      <c r="M487">
        <v>513</v>
      </c>
      <c r="N487" t="s">
        <v>867</v>
      </c>
      <c r="P487" t="s">
        <v>1592</v>
      </c>
      <c r="Q487" s="10">
        <f>INT(Tabela1[[#This Row],[DATA]])</f>
        <v>46175</v>
      </c>
      <c r="R487" s="14" t="str">
        <f ca="1">IF(AND(Q487&gt;=TODAY()-WEEKDAY(TODAY(),2)+1,Q487&lt;TODAY()),"SIM","NÃO")</f>
        <v>NÃO</v>
      </c>
    </row>
    <row r="488" spans="1:18" hidden="1">
      <c r="A488" t="s">
        <v>1581</v>
      </c>
      <c r="B488" t="s">
        <v>1582</v>
      </c>
      <c r="C488">
        <v>300255982</v>
      </c>
      <c r="D488">
        <v>16017315</v>
      </c>
      <c r="E488" t="s">
        <v>45</v>
      </c>
      <c r="F488" t="s">
        <v>103</v>
      </c>
      <c r="G488">
        <v>100</v>
      </c>
      <c r="H488" t="s">
        <v>22</v>
      </c>
      <c r="I488" t="s">
        <v>23</v>
      </c>
      <c r="J488" s="3"/>
      <c r="K488" s="11">
        <v>46175.654374999998</v>
      </c>
      <c r="M488">
        <v>514</v>
      </c>
      <c r="N488" t="s">
        <v>878</v>
      </c>
      <c r="P488" t="s">
        <v>1593</v>
      </c>
      <c r="Q488" s="10">
        <f>INT(Tabela1[[#This Row],[DATA]])</f>
        <v>46175</v>
      </c>
      <c r="R488" s="14" t="str">
        <f ca="1">IF(AND(Q488&gt;=TODAY()-WEEKDAY(TODAY(),2)+1,Q488&lt;TODAY()),"SIM","NÃO")</f>
        <v>NÃO</v>
      </c>
    </row>
    <row r="489" spans="1:18" hidden="1">
      <c r="A489" t="s">
        <v>1581</v>
      </c>
      <c r="B489" t="s">
        <v>1582</v>
      </c>
      <c r="C489">
        <v>300268122</v>
      </c>
      <c r="D489">
        <v>16453808</v>
      </c>
      <c r="E489" t="s">
        <v>20</v>
      </c>
      <c r="F489" t="s">
        <v>64</v>
      </c>
      <c r="G489">
        <v>783</v>
      </c>
      <c r="H489" t="s">
        <v>39</v>
      </c>
      <c r="I489" t="s">
        <v>23</v>
      </c>
      <c r="J489" s="3"/>
      <c r="K489" s="11">
        <v>46175.663483796299</v>
      </c>
      <c r="M489">
        <v>515</v>
      </c>
      <c r="N489" t="s">
        <v>878</v>
      </c>
      <c r="P489" t="s">
        <v>1594</v>
      </c>
      <c r="Q489" s="10">
        <f>INT(Tabela1[[#This Row],[DATA]])</f>
        <v>46175</v>
      </c>
      <c r="R489" s="14" t="str">
        <f ca="1">IF(AND(Q489&gt;=TODAY()-WEEKDAY(TODAY(),2)+1,Q489&lt;TODAY()),"SIM","NÃO")</f>
        <v>NÃO</v>
      </c>
    </row>
    <row r="490" spans="1:18" hidden="1">
      <c r="A490" t="s">
        <v>191</v>
      </c>
      <c r="B490" t="s">
        <v>192</v>
      </c>
      <c r="C490">
        <v>300266431</v>
      </c>
      <c r="D490">
        <v>15128288</v>
      </c>
      <c r="E490" t="s">
        <v>29</v>
      </c>
      <c r="F490" t="s">
        <v>291</v>
      </c>
      <c r="G490">
        <v>680</v>
      </c>
      <c r="H490" t="s">
        <v>39</v>
      </c>
      <c r="I490" t="s">
        <v>23</v>
      </c>
      <c r="J490" s="3" t="s">
        <v>1595</v>
      </c>
      <c r="K490" s="11">
        <v>46175.671527777777</v>
      </c>
      <c r="M490">
        <v>516</v>
      </c>
      <c r="N490" t="s">
        <v>867</v>
      </c>
      <c r="P490" t="s">
        <v>1596</v>
      </c>
      <c r="Q490" s="10">
        <f>INT(Tabela1[[#This Row],[DATA]])</f>
        <v>46175</v>
      </c>
      <c r="R490" s="14" t="str">
        <f ca="1">IF(AND(Q490&gt;=TODAY()-WEEKDAY(TODAY(),2)+1,Q490&lt;TODAY()),"SIM","NÃO")</f>
        <v>NÃO</v>
      </c>
    </row>
    <row r="491" spans="1:18" hidden="1">
      <c r="A491" t="s">
        <v>191</v>
      </c>
      <c r="B491" t="s">
        <v>192</v>
      </c>
      <c r="C491">
        <v>300266431</v>
      </c>
      <c r="D491">
        <v>15128288</v>
      </c>
      <c r="E491" t="s">
        <v>29</v>
      </c>
      <c r="F491" t="s">
        <v>96</v>
      </c>
      <c r="G491">
        <v>385</v>
      </c>
      <c r="H491" t="s">
        <v>39</v>
      </c>
      <c r="I491" t="s">
        <v>23</v>
      </c>
      <c r="J491" s="3" t="s">
        <v>1597</v>
      </c>
      <c r="K491" s="11">
        <v>46175.673807870371</v>
      </c>
      <c r="M491">
        <v>517</v>
      </c>
      <c r="N491" t="s">
        <v>867</v>
      </c>
      <c r="P491" t="s">
        <v>1598</v>
      </c>
      <c r="Q491" s="10">
        <f>INT(Tabela1[[#This Row],[DATA]])</f>
        <v>46175</v>
      </c>
      <c r="R491" s="14" t="str">
        <f ca="1">IF(AND(Q491&gt;=TODAY()-WEEKDAY(TODAY(),2)+1,Q491&lt;TODAY()),"SIM","NÃO")</f>
        <v>NÃO</v>
      </c>
    </row>
    <row r="492" spans="1:18" hidden="1">
      <c r="A492" t="s">
        <v>1439</v>
      </c>
      <c r="B492" t="s">
        <v>1440</v>
      </c>
      <c r="C492">
        <v>300265455</v>
      </c>
      <c r="D492">
        <v>16465164</v>
      </c>
      <c r="E492" t="s">
        <v>45</v>
      </c>
      <c r="F492" t="s">
        <v>125</v>
      </c>
      <c r="G492">
        <v>1000</v>
      </c>
      <c r="H492" t="s">
        <v>22</v>
      </c>
      <c r="I492" t="s">
        <v>23</v>
      </c>
      <c r="J492" s="3" t="s">
        <v>1599</v>
      </c>
      <c r="K492" s="11">
        <v>46175.676990740743</v>
      </c>
      <c r="M492">
        <v>518</v>
      </c>
      <c r="N492" t="s">
        <v>878</v>
      </c>
      <c r="P492" t="s">
        <v>1600</v>
      </c>
      <c r="Q492" s="10">
        <f>INT(Tabela1[[#This Row],[DATA]])</f>
        <v>46175</v>
      </c>
      <c r="R492" s="14" t="str">
        <f ca="1">IF(AND(Q492&gt;=TODAY()-WEEKDAY(TODAY(),2)+1,Q492&lt;TODAY()),"SIM","NÃO")</f>
        <v>NÃO</v>
      </c>
    </row>
    <row r="493" spans="1:18" hidden="1">
      <c r="A493" t="s">
        <v>1072</v>
      </c>
      <c r="B493" t="s">
        <v>1073</v>
      </c>
      <c r="C493">
        <v>300259994</v>
      </c>
      <c r="D493">
        <v>15863387</v>
      </c>
      <c r="E493" t="s">
        <v>37</v>
      </c>
      <c r="F493" t="s">
        <v>151</v>
      </c>
      <c r="G493">
        <v>59</v>
      </c>
      <c r="H493" t="s">
        <v>39</v>
      </c>
      <c r="I493" t="s">
        <v>152</v>
      </c>
      <c r="J493" s="3" t="s">
        <v>1601</v>
      </c>
      <c r="K493" s="11">
        <v>46175.699953703705</v>
      </c>
      <c r="M493">
        <v>519</v>
      </c>
      <c r="N493" t="s">
        <v>867</v>
      </c>
      <c r="P493" t="s">
        <v>1602</v>
      </c>
      <c r="Q493" s="10">
        <f>INT(Tabela1[[#This Row],[DATA]])</f>
        <v>46175</v>
      </c>
      <c r="R493" s="14" t="str">
        <f ca="1">IF(AND(Q493&gt;=TODAY()-WEEKDAY(TODAY(),2)+1,Q493&lt;TODAY()),"SIM","NÃO")</f>
        <v>NÃO</v>
      </c>
    </row>
    <row r="494" spans="1:18" hidden="1">
      <c r="A494" t="s">
        <v>313</v>
      </c>
      <c r="B494" t="s">
        <v>314</v>
      </c>
      <c r="C494">
        <v>300263844</v>
      </c>
      <c r="D494">
        <v>15893650</v>
      </c>
      <c r="E494" t="s">
        <v>45</v>
      </c>
      <c r="F494" t="s">
        <v>38</v>
      </c>
      <c r="G494">
        <v>69</v>
      </c>
      <c r="H494" t="s">
        <v>39</v>
      </c>
      <c r="I494" t="s">
        <v>23</v>
      </c>
      <c r="J494" s="3" t="s">
        <v>1603</v>
      </c>
      <c r="K494" s="11">
        <v>46175.731793981482</v>
      </c>
      <c r="M494">
        <v>520</v>
      </c>
      <c r="N494" t="s">
        <v>878</v>
      </c>
      <c r="P494" t="s">
        <v>1604</v>
      </c>
      <c r="Q494" s="10">
        <f>INT(Tabela1[[#This Row],[DATA]])</f>
        <v>46175</v>
      </c>
      <c r="R494" s="14" t="str">
        <f ca="1">IF(AND(Q494&gt;=TODAY()-WEEKDAY(TODAY(),2)+1,Q494&lt;TODAY()),"SIM","NÃO")</f>
        <v>NÃO</v>
      </c>
    </row>
    <row r="495" spans="1:18" hidden="1">
      <c r="A495" t="s">
        <v>428</v>
      </c>
      <c r="B495" t="s">
        <v>429</v>
      </c>
      <c r="C495">
        <v>300265101</v>
      </c>
      <c r="D495">
        <v>15128288</v>
      </c>
      <c r="E495" t="s">
        <v>29</v>
      </c>
      <c r="F495" t="s">
        <v>96</v>
      </c>
      <c r="G495">
        <v>100</v>
      </c>
      <c r="H495" t="s">
        <v>22</v>
      </c>
      <c r="I495" t="s">
        <v>23</v>
      </c>
      <c r="J495" s="3" t="s">
        <v>1605</v>
      </c>
      <c r="K495" s="11">
        <v>46175.830879629626</v>
      </c>
      <c r="M495">
        <v>521</v>
      </c>
      <c r="N495" t="s">
        <v>867</v>
      </c>
      <c r="P495" t="s">
        <v>1606</v>
      </c>
      <c r="Q495" s="10">
        <f>INT(Tabela1[[#This Row],[DATA]])</f>
        <v>46175</v>
      </c>
      <c r="R495" s="14" t="str">
        <f ca="1">IF(AND(Q495&gt;=TODAY()-WEEKDAY(TODAY(),2)+1,Q495&lt;TODAY()),"SIM","NÃO")</f>
        <v>NÃO</v>
      </c>
    </row>
    <row r="496" spans="1:18" hidden="1">
      <c r="A496" t="s">
        <v>163</v>
      </c>
      <c r="B496" t="s">
        <v>164</v>
      </c>
      <c r="C496">
        <v>300267149</v>
      </c>
      <c r="D496">
        <v>15128288</v>
      </c>
      <c r="E496" t="s">
        <v>29</v>
      </c>
      <c r="F496" t="s">
        <v>430</v>
      </c>
      <c r="G496">
        <v>352</v>
      </c>
      <c r="H496" t="s">
        <v>39</v>
      </c>
      <c r="I496" t="s">
        <v>23</v>
      </c>
      <c r="J496" s="3" t="s">
        <v>1607</v>
      </c>
      <c r="K496" s="11">
        <v>46176.281643518516</v>
      </c>
      <c r="M496">
        <v>522</v>
      </c>
      <c r="N496" t="s">
        <v>878</v>
      </c>
      <c r="P496" t="s">
        <v>1608</v>
      </c>
      <c r="Q496" s="10">
        <f>INT(Tabela1[[#This Row],[DATA]])</f>
        <v>46176</v>
      </c>
      <c r="R496" s="14" t="str">
        <f ca="1">IF(AND(Q496&gt;=TODAY()-WEEKDAY(TODAY(),2)+1,Q496&lt;TODAY()),"SIM","NÃO")</f>
        <v>NÃO</v>
      </c>
    </row>
    <row r="497" spans="1:18" hidden="1">
      <c r="A497" t="s">
        <v>163</v>
      </c>
      <c r="B497" t="s">
        <v>164</v>
      </c>
      <c r="C497">
        <v>300267149</v>
      </c>
      <c r="D497">
        <v>15128288</v>
      </c>
      <c r="E497" t="s">
        <v>29</v>
      </c>
      <c r="F497" t="s">
        <v>323</v>
      </c>
      <c r="G497">
        <v>44</v>
      </c>
      <c r="H497" t="s">
        <v>39</v>
      </c>
      <c r="I497" t="s">
        <v>23</v>
      </c>
      <c r="J497" s="3" t="s">
        <v>1609</v>
      </c>
      <c r="K497" s="11">
        <v>46176.282673611109</v>
      </c>
      <c r="M497">
        <v>523</v>
      </c>
      <c r="N497" t="s">
        <v>867</v>
      </c>
      <c r="P497" t="s">
        <v>1610</v>
      </c>
      <c r="Q497" s="10">
        <f>INT(Tabela1[[#This Row],[DATA]])</f>
        <v>46176</v>
      </c>
      <c r="R497" s="14" t="str">
        <f ca="1">IF(AND(Q497&gt;=TODAY()-WEEKDAY(TODAY(),2)+1,Q497&lt;TODAY()),"SIM","NÃO")</f>
        <v>NÃO</v>
      </c>
    </row>
    <row r="498" spans="1:18" hidden="1">
      <c r="A498" t="s">
        <v>73</v>
      </c>
      <c r="B498" t="s">
        <v>74</v>
      </c>
      <c r="C498">
        <v>300266589</v>
      </c>
      <c r="D498">
        <v>16526112</v>
      </c>
      <c r="E498" t="s">
        <v>45</v>
      </c>
      <c r="F498" t="s">
        <v>64</v>
      </c>
      <c r="G498">
        <v>170</v>
      </c>
      <c r="H498" t="s">
        <v>22</v>
      </c>
      <c r="I498" t="s">
        <v>23</v>
      </c>
      <c r="J498" s="3" t="s">
        <v>1611</v>
      </c>
      <c r="K498" s="11">
        <v>46176.29996527778</v>
      </c>
      <c r="M498">
        <v>524</v>
      </c>
      <c r="N498" t="s">
        <v>878</v>
      </c>
      <c r="P498" t="s">
        <v>1612</v>
      </c>
      <c r="Q498" s="10">
        <f>INT(Tabela1[[#This Row],[DATA]])</f>
        <v>46176</v>
      </c>
      <c r="R498" s="14" t="str">
        <f ca="1">IF(AND(Q498&gt;=TODAY()-WEEKDAY(TODAY(),2)+1,Q498&lt;TODAY()),"SIM","NÃO")</f>
        <v>NÃO</v>
      </c>
    </row>
    <row r="499" spans="1:18" hidden="1">
      <c r="A499" t="s">
        <v>387</v>
      </c>
      <c r="B499" t="s">
        <v>388</v>
      </c>
      <c r="C499">
        <v>300264891</v>
      </c>
      <c r="D499">
        <v>16448430</v>
      </c>
      <c r="E499" t="s">
        <v>37</v>
      </c>
      <c r="F499" t="s">
        <v>38</v>
      </c>
      <c r="G499">
        <v>11</v>
      </c>
      <c r="H499" t="s">
        <v>39</v>
      </c>
      <c r="I499" t="s">
        <v>23</v>
      </c>
      <c r="J499" s="3" t="s">
        <v>393</v>
      </c>
      <c r="K499" s="11">
        <v>46176.30667824074</v>
      </c>
      <c r="M499">
        <v>525</v>
      </c>
      <c r="N499" t="s">
        <v>867</v>
      </c>
      <c r="P499" t="s">
        <v>1613</v>
      </c>
      <c r="Q499" s="10">
        <f>INT(Tabela1[[#This Row],[DATA]])</f>
        <v>46176</v>
      </c>
      <c r="R499" s="14" t="str">
        <f ca="1">IF(AND(Q499&gt;=TODAY()-WEEKDAY(TODAY(),2)+1,Q499&lt;TODAY()),"SIM","NÃO")</f>
        <v>NÃO</v>
      </c>
    </row>
    <row r="500" spans="1:18" hidden="1">
      <c r="A500" t="s">
        <v>797</v>
      </c>
      <c r="B500" t="s">
        <v>798</v>
      </c>
      <c r="C500">
        <v>300252644</v>
      </c>
      <c r="D500">
        <v>16444981</v>
      </c>
      <c r="E500" t="s">
        <v>45</v>
      </c>
      <c r="F500" t="s">
        <v>64</v>
      </c>
      <c r="G500">
        <v>810</v>
      </c>
      <c r="H500" t="s">
        <v>39</v>
      </c>
      <c r="I500" t="s">
        <v>23</v>
      </c>
      <c r="J500" s="3" t="s">
        <v>1614</v>
      </c>
      <c r="K500" s="11">
        <v>46176.307430555556</v>
      </c>
      <c r="M500">
        <v>526</v>
      </c>
      <c r="N500" t="s">
        <v>878</v>
      </c>
      <c r="P500" t="s">
        <v>1615</v>
      </c>
      <c r="Q500" s="10">
        <f>INT(Tabela1[[#This Row],[DATA]])</f>
        <v>46176</v>
      </c>
      <c r="R500" s="14" t="str">
        <f ca="1">IF(AND(Q500&gt;=TODAY()-WEEKDAY(TODAY(),2)+1,Q500&lt;TODAY()),"SIM","NÃO")</f>
        <v>NÃO</v>
      </c>
    </row>
    <row r="501" spans="1:18" hidden="1">
      <c r="A501" t="s">
        <v>111</v>
      </c>
      <c r="B501" t="s">
        <v>112</v>
      </c>
      <c r="C501">
        <v>300252448</v>
      </c>
      <c r="D501">
        <v>16368150</v>
      </c>
      <c r="E501" t="s">
        <v>45</v>
      </c>
      <c r="F501" t="s">
        <v>96</v>
      </c>
      <c r="G501">
        <v>154</v>
      </c>
      <c r="H501" t="s">
        <v>39</v>
      </c>
      <c r="I501" t="s">
        <v>262</v>
      </c>
      <c r="J501" s="3" t="s">
        <v>1616</v>
      </c>
      <c r="K501" s="11">
        <v>46176.310671296298</v>
      </c>
      <c r="M501">
        <v>527</v>
      </c>
      <c r="N501" t="s">
        <v>878</v>
      </c>
      <c r="P501" t="s">
        <v>1617</v>
      </c>
      <c r="Q501" s="10">
        <f>INT(Tabela1[[#This Row],[DATA]])</f>
        <v>46176</v>
      </c>
      <c r="R501" s="14" t="str">
        <f ca="1">IF(AND(Q501&gt;=TODAY()-WEEKDAY(TODAY(),2)+1,Q501&lt;TODAY()),"SIM","NÃO")</f>
        <v>NÃO</v>
      </c>
    </row>
    <row r="502" spans="1:18" hidden="1">
      <c r="A502" t="s">
        <v>1110</v>
      </c>
      <c r="B502" t="s">
        <v>1111</v>
      </c>
      <c r="C502">
        <v>300267636</v>
      </c>
      <c r="D502">
        <v>16472217</v>
      </c>
      <c r="E502" t="s">
        <v>37</v>
      </c>
      <c r="F502" t="s">
        <v>177</v>
      </c>
      <c r="G502">
        <v>240</v>
      </c>
      <c r="H502" t="s">
        <v>1618</v>
      </c>
      <c r="I502" t="s">
        <v>23</v>
      </c>
      <c r="J502" s="3" t="s">
        <v>1619</v>
      </c>
      <c r="K502" s="11">
        <v>46176.312199074076</v>
      </c>
      <c r="M502">
        <v>528</v>
      </c>
      <c r="N502" t="s">
        <v>867</v>
      </c>
      <c r="P502" t="s">
        <v>1620</v>
      </c>
      <c r="Q502" s="10">
        <f>INT(Tabela1[[#This Row],[DATA]])</f>
        <v>46176</v>
      </c>
      <c r="R502" s="14" t="str">
        <f ca="1">IF(AND(Q502&gt;=TODAY()-WEEKDAY(TODAY(),2)+1,Q502&lt;TODAY()),"SIM","NÃO")</f>
        <v>NÃO</v>
      </c>
    </row>
    <row r="503" spans="1:18" hidden="1">
      <c r="A503" t="s">
        <v>214</v>
      </c>
      <c r="B503" t="s">
        <v>793</v>
      </c>
      <c r="C503">
        <v>300267375</v>
      </c>
      <c r="D503">
        <v>16460642</v>
      </c>
      <c r="E503" t="s">
        <v>37</v>
      </c>
      <c r="F503" t="s">
        <v>90</v>
      </c>
      <c r="G503">
        <v>2</v>
      </c>
      <c r="H503" t="s">
        <v>22</v>
      </c>
      <c r="I503" t="s">
        <v>23</v>
      </c>
      <c r="J503" s="3" t="s">
        <v>1621</v>
      </c>
      <c r="K503" s="11">
        <v>46176.354803240742</v>
      </c>
      <c r="M503">
        <v>529</v>
      </c>
      <c r="N503" t="s">
        <v>878</v>
      </c>
      <c r="P503" t="s">
        <v>1622</v>
      </c>
      <c r="Q503" s="10">
        <f>INT(Tabela1[[#This Row],[DATA]])</f>
        <v>46176</v>
      </c>
      <c r="R503" s="14" t="str">
        <f ca="1">IF(AND(Q503&gt;=TODAY()-WEEKDAY(TODAY(),2)+1,Q503&lt;TODAY()),"SIM","NÃO")</f>
        <v>NÃO</v>
      </c>
    </row>
    <row r="504" spans="1:18" hidden="1">
      <c r="A504" t="s">
        <v>481</v>
      </c>
      <c r="B504" t="s">
        <v>482</v>
      </c>
      <c r="C504">
        <v>300266629</v>
      </c>
      <c r="D504">
        <v>16522885</v>
      </c>
      <c r="E504" t="s">
        <v>37</v>
      </c>
      <c r="F504" t="s">
        <v>90</v>
      </c>
      <c r="G504">
        <v>1452</v>
      </c>
      <c r="H504" t="s">
        <v>39</v>
      </c>
      <c r="I504" t="s">
        <v>23</v>
      </c>
      <c r="J504" s="3" t="s">
        <v>1623</v>
      </c>
      <c r="K504" s="11">
        <v>46176.369988425926</v>
      </c>
      <c r="M504">
        <v>530</v>
      </c>
      <c r="N504" t="s">
        <v>878</v>
      </c>
      <c r="P504" t="s">
        <v>1624</v>
      </c>
      <c r="Q504" s="10">
        <f>INT(Tabela1[[#This Row],[DATA]])</f>
        <v>46176</v>
      </c>
      <c r="R504" s="14" t="str">
        <f ca="1">IF(AND(Q504&gt;=TODAY()-WEEKDAY(TODAY(),2)+1,Q504&lt;TODAY()),"SIM","NÃO")</f>
        <v>NÃO</v>
      </c>
    </row>
    <row r="505" spans="1:18" hidden="1">
      <c r="A505" t="s">
        <v>185</v>
      </c>
      <c r="B505" t="s">
        <v>1625</v>
      </c>
      <c r="C505">
        <v>300000000</v>
      </c>
      <c r="D505">
        <v>0</v>
      </c>
      <c r="E505" t="s">
        <v>37</v>
      </c>
      <c r="F505" t="s">
        <v>315</v>
      </c>
      <c r="G505">
        <v>5</v>
      </c>
      <c r="H505" t="s">
        <v>22</v>
      </c>
      <c r="I505" t="s">
        <v>23</v>
      </c>
      <c r="J505" s="3"/>
      <c r="K505" s="11">
        <v>46176.371192129627</v>
      </c>
      <c r="M505">
        <v>531</v>
      </c>
      <c r="N505" t="s">
        <v>878</v>
      </c>
      <c r="P505" t="s">
        <v>1626</v>
      </c>
      <c r="Q505" s="10">
        <f>INT(Tabela1[[#This Row],[DATA]])</f>
        <v>46176</v>
      </c>
      <c r="R505" s="14" t="str">
        <f ca="1">IF(AND(Q505&gt;=TODAY()-WEEKDAY(TODAY(),2)+1,Q505&lt;TODAY()),"SIM","NÃO")</f>
        <v>NÃO</v>
      </c>
    </row>
    <row r="506" spans="1:18" hidden="1">
      <c r="A506" t="s">
        <v>185</v>
      </c>
      <c r="B506" t="s">
        <v>1625</v>
      </c>
      <c r="C506">
        <v>300000000</v>
      </c>
      <c r="D506">
        <v>0</v>
      </c>
      <c r="E506" t="s">
        <v>37</v>
      </c>
      <c r="F506" t="s">
        <v>21</v>
      </c>
      <c r="G506">
        <v>20</v>
      </c>
      <c r="H506" t="s">
        <v>22</v>
      </c>
      <c r="I506" t="s">
        <v>23</v>
      </c>
      <c r="J506" s="3"/>
      <c r="K506" s="11">
        <v>46176.371817129628</v>
      </c>
      <c r="M506">
        <v>532</v>
      </c>
      <c r="N506" t="s">
        <v>878</v>
      </c>
      <c r="P506" t="s">
        <v>1627</v>
      </c>
      <c r="Q506" s="10">
        <f>INT(Tabela1[[#This Row],[DATA]])</f>
        <v>46176</v>
      </c>
      <c r="R506" s="14" t="str">
        <f ca="1">IF(AND(Q506&gt;=TODAY()-WEEKDAY(TODAY(),2)+1,Q506&lt;TODAY()),"SIM","NÃO")</f>
        <v>NÃO</v>
      </c>
    </row>
    <row r="507" spans="1:18" hidden="1">
      <c r="A507" t="s">
        <v>196</v>
      </c>
      <c r="B507" t="s">
        <v>1625</v>
      </c>
      <c r="C507">
        <v>300000000</v>
      </c>
      <c r="D507">
        <v>0</v>
      </c>
      <c r="E507" t="s">
        <v>37</v>
      </c>
      <c r="F507" t="s">
        <v>315</v>
      </c>
      <c r="G507">
        <v>5</v>
      </c>
      <c r="H507" t="s">
        <v>22</v>
      </c>
      <c r="I507" t="s">
        <v>23</v>
      </c>
      <c r="J507" s="3"/>
      <c r="K507" s="11">
        <v>46176.374039351853</v>
      </c>
      <c r="M507">
        <v>533</v>
      </c>
      <c r="N507" t="s">
        <v>878</v>
      </c>
      <c r="P507" t="s">
        <v>1628</v>
      </c>
      <c r="Q507" s="10">
        <f>INT(Tabela1[[#This Row],[DATA]])</f>
        <v>46176</v>
      </c>
      <c r="R507" s="14" t="str">
        <f ca="1">IF(AND(Q507&gt;=TODAY()-WEEKDAY(TODAY(),2)+1,Q507&lt;TODAY()),"SIM","NÃO")</f>
        <v>NÃO</v>
      </c>
    </row>
    <row r="508" spans="1:18" hidden="1">
      <c r="A508" t="s">
        <v>196</v>
      </c>
      <c r="B508" t="s">
        <v>1625</v>
      </c>
      <c r="C508">
        <v>300000000</v>
      </c>
      <c r="D508">
        <v>0</v>
      </c>
      <c r="E508" t="s">
        <v>37</v>
      </c>
      <c r="F508" t="s">
        <v>21</v>
      </c>
      <c r="G508">
        <v>20</v>
      </c>
      <c r="H508" t="s">
        <v>22</v>
      </c>
      <c r="I508" t="s">
        <v>23</v>
      </c>
      <c r="J508" s="3"/>
      <c r="K508" s="11">
        <v>46176.374803240738</v>
      </c>
      <c r="M508">
        <v>534</v>
      </c>
      <c r="N508" t="s">
        <v>878</v>
      </c>
      <c r="P508" t="s">
        <v>1629</v>
      </c>
      <c r="Q508" s="10">
        <f>INT(Tabela1[[#This Row],[DATA]])</f>
        <v>46176</v>
      </c>
      <c r="R508" s="14" t="str">
        <f ca="1">IF(AND(Q508&gt;=TODAY()-WEEKDAY(TODAY(),2)+1,Q508&lt;TODAY()),"SIM","NÃO")</f>
        <v>NÃO</v>
      </c>
    </row>
    <row r="509" spans="1:18" hidden="1">
      <c r="A509" t="s">
        <v>1144</v>
      </c>
      <c r="B509" t="s">
        <v>344</v>
      </c>
      <c r="C509">
        <v>300268069</v>
      </c>
      <c r="D509">
        <v>16508190</v>
      </c>
      <c r="E509" t="s">
        <v>37</v>
      </c>
      <c r="F509" t="s">
        <v>21</v>
      </c>
      <c r="G509">
        <v>0</v>
      </c>
      <c r="H509" t="s">
        <v>22</v>
      </c>
      <c r="I509" t="s">
        <v>23</v>
      </c>
      <c r="J509" s="3" t="s">
        <v>1630</v>
      </c>
      <c r="K509" s="11">
        <v>46176.375335648147</v>
      </c>
      <c r="M509">
        <v>535</v>
      </c>
      <c r="N509" t="s">
        <v>878</v>
      </c>
      <c r="P509" t="s">
        <v>1631</v>
      </c>
      <c r="Q509" s="10">
        <f>INT(Tabela1[[#This Row],[DATA]])</f>
        <v>46176</v>
      </c>
      <c r="R509" s="14" t="str">
        <f ca="1">IF(AND(Q509&gt;=TODAY()-WEEKDAY(TODAY(),2)+1,Q509&lt;TODAY()),"SIM","NÃO")</f>
        <v>NÃO</v>
      </c>
    </row>
    <row r="510" spans="1:18" hidden="1">
      <c r="A510" t="s">
        <v>1154</v>
      </c>
      <c r="B510" t="s">
        <v>1155</v>
      </c>
      <c r="C510">
        <v>300268034</v>
      </c>
      <c r="D510">
        <v>15773868</v>
      </c>
      <c r="E510" t="s">
        <v>37</v>
      </c>
      <c r="F510" t="s">
        <v>38</v>
      </c>
      <c r="G510">
        <v>40</v>
      </c>
      <c r="H510" t="s">
        <v>22</v>
      </c>
      <c r="I510" t="s">
        <v>23</v>
      </c>
      <c r="J510" s="3" t="s">
        <v>1632</v>
      </c>
      <c r="K510" s="11">
        <v>46176.391388888886</v>
      </c>
      <c r="M510">
        <v>536</v>
      </c>
      <c r="N510" t="s">
        <v>867</v>
      </c>
      <c r="P510" t="s">
        <v>1633</v>
      </c>
      <c r="Q510" s="10">
        <f>INT(Tabela1[[#This Row],[DATA]])</f>
        <v>46176</v>
      </c>
      <c r="R510" s="14" t="str">
        <f ca="1">IF(AND(Q510&gt;=TODAY()-WEEKDAY(TODAY(),2)+1,Q510&lt;TODAY()),"SIM","NÃO")</f>
        <v>NÃO</v>
      </c>
    </row>
    <row r="511" spans="1:18" hidden="1">
      <c r="A511" t="s">
        <v>253</v>
      </c>
      <c r="B511" t="s">
        <v>254</v>
      </c>
      <c r="C511">
        <v>300267138</v>
      </c>
      <c r="D511">
        <v>15724344</v>
      </c>
      <c r="E511" t="s">
        <v>45</v>
      </c>
      <c r="F511" t="s">
        <v>802</v>
      </c>
      <c r="G511">
        <v>6</v>
      </c>
      <c r="H511" t="s">
        <v>22</v>
      </c>
      <c r="I511" t="s">
        <v>262</v>
      </c>
      <c r="J511" s="3" t="s">
        <v>1634</v>
      </c>
      <c r="K511" s="11">
        <v>46176.401377314818</v>
      </c>
      <c r="M511">
        <v>537</v>
      </c>
      <c r="N511" t="s">
        <v>867</v>
      </c>
      <c r="P511" t="s">
        <v>1635</v>
      </c>
      <c r="Q511" s="10">
        <f>INT(Tabela1[[#This Row],[DATA]])</f>
        <v>46176</v>
      </c>
      <c r="R511" s="14" t="str">
        <f ca="1">IF(AND(Q511&gt;=TODAY()-WEEKDAY(TODAY(),2)+1,Q511&lt;TODAY()),"SIM","NÃO")</f>
        <v>NÃO</v>
      </c>
    </row>
    <row r="512" spans="1:18" hidden="1">
      <c r="A512" t="s">
        <v>196</v>
      </c>
      <c r="B512" t="s">
        <v>1625</v>
      </c>
      <c r="C512">
        <v>300260651</v>
      </c>
      <c r="D512">
        <v>16448090</v>
      </c>
      <c r="E512" t="s">
        <v>37</v>
      </c>
      <c r="F512" t="s">
        <v>430</v>
      </c>
      <c r="G512">
        <v>1368</v>
      </c>
      <c r="H512" t="s">
        <v>39</v>
      </c>
      <c r="I512" t="s">
        <v>23</v>
      </c>
      <c r="J512" s="3" t="s">
        <v>1636</v>
      </c>
      <c r="K512" s="11">
        <v>46176.402511574073</v>
      </c>
      <c r="M512">
        <v>538</v>
      </c>
      <c r="N512" t="s">
        <v>878</v>
      </c>
      <c r="P512" t="s">
        <v>1637</v>
      </c>
      <c r="Q512" s="10">
        <f>INT(Tabela1[[#This Row],[DATA]])</f>
        <v>46176</v>
      </c>
      <c r="R512" s="14" t="str">
        <f ca="1">IF(AND(Q512&gt;=TODAY()-WEEKDAY(TODAY(),2)+1,Q512&lt;TODAY()),"SIM","NÃO")</f>
        <v>NÃO</v>
      </c>
    </row>
    <row r="513" spans="1:18" hidden="1">
      <c r="A513" t="s">
        <v>196</v>
      </c>
      <c r="B513" t="s">
        <v>1625</v>
      </c>
      <c r="C513">
        <v>300260651</v>
      </c>
      <c r="D513">
        <v>16448090</v>
      </c>
      <c r="E513" t="s">
        <v>37</v>
      </c>
      <c r="F513" t="s">
        <v>430</v>
      </c>
      <c r="G513">
        <v>1368</v>
      </c>
      <c r="H513" t="s">
        <v>39</v>
      </c>
      <c r="I513" t="s">
        <v>23</v>
      </c>
      <c r="J513" s="3" t="s">
        <v>1638</v>
      </c>
      <c r="K513" s="11">
        <v>46176.403865740744</v>
      </c>
      <c r="M513">
        <v>539</v>
      </c>
      <c r="N513" t="s">
        <v>878</v>
      </c>
      <c r="P513" t="s">
        <v>1639</v>
      </c>
      <c r="Q513" s="10">
        <f>INT(Tabela1[[#This Row],[DATA]])</f>
        <v>46176</v>
      </c>
      <c r="R513" s="14" t="str">
        <f ca="1">IF(AND(Q513&gt;=TODAY()-WEEKDAY(TODAY(),2)+1,Q513&lt;TODAY()),"SIM","NÃO")</f>
        <v>NÃO</v>
      </c>
    </row>
    <row r="514" spans="1:18" hidden="1">
      <c r="A514" t="s">
        <v>196</v>
      </c>
      <c r="B514" t="s">
        <v>1625</v>
      </c>
      <c r="C514">
        <v>300260651</v>
      </c>
      <c r="D514">
        <v>16448090</v>
      </c>
      <c r="E514" t="s">
        <v>37</v>
      </c>
      <c r="F514" t="s">
        <v>1427</v>
      </c>
      <c r="G514">
        <v>1368</v>
      </c>
      <c r="H514" t="s">
        <v>39</v>
      </c>
      <c r="I514" t="s">
        <v>23</v>
      </c>
      <c r="J514" s="3" t="s">
        <v>1640</v>
      </c>
      <c r="K514" s="11">
        <v>46176.406006944446</v>
      </c>
      <c r="M514">
        <v>540</v>
      </c>
      <c r="N514" t="s">
        <v>878</v>
      </c>
      <c r="P514" t="s">
        <v>1641</v>
      </c>
      <c r="Q514" s="10">
        <f>INT(Tabela1[[#This Row],[DATA]])</f>
        <v>46176</v>
      </c>
      <c r="R514" s="14" t="str">
        <f ca="1">IF(AND(Q514&gt;=TODAY()-WEEKDAY(TODAY(),2)+1,Q514&lt;TODAY()),"SIM","NÃO")</f>
        <v>NÃO</v>
      </c>
    </row>
    <row r="515" spans="1:18" hidden="1">
      <c r="A515" t="s">
        <v>313</v>
      </c>
      <c r="B515" t="s">
        <v>314</v>
      </c>
      <c r="C515">
        <v>300266753</v>
      </c>
      <c r="D515">
        <v>16462980</v>
      </c>
      <c r="E515" t="s">
        <v>45</v>
      </c>
      <c r="F515" t="s">
        <v>151</v>
      </c>
      <c r="G515">
        <v>44</v>
      </c>
      <c r="H515" t="s">
        <v>22</v>
      </c>
      <c r="I515" t="s">
        <v>23</v>
      </c>
      <c r="J515" s="3" t="s">
        <v>1642</v>
      </c>
      <c r="K515" s="11">
        <v>46176.409375000003</v>
      </c>
      <c r="M515">
        <v>541</v>
      </c>
      <c r="N515" t="s">
        <v>867</v>
      </c>
      <c r="P515" t="s">
        <v>1643</v>
      </c>
      <c r="Q515" s="10">
        <f>INT(Tabela1[[#This Row],[DATA]])</f>
        <v>46176</v>
      </c>
      <c r="R515" s="14" t="str">
        <f ca="1">IF(AND(Q515&gt;=TODAY()-WEEKDAY(TODAY(),2)+1,Q515&lt;TODAY()),"SIM","NÃO")</f>
        <v>NÃO</v>
      </c>
    </row>
    <row r="516" spans="1:18" hidden="1">
      <c r="A516" t="s">
        <v>196</v>
      </c>
      <c r="B516" t="s">
        <v>1625</v>
      </c>
      <c r="C516">
        <v>300260650</v>
      </c>
      <c r="D516">
        <v>16448090</v>
      </c>
      <c r="E516" t="s">
        <v>37</v>
      </c>
      <c r="F516" t="s">
        <v>430</v>
      </c>
      <c r="G516">
        <v>712</v>
      </c>
      <c r="H516" t="s">
        <v>39</v>
      </c>
      <c r="I516" t="s">
        <v>23</v>
      </c>
      <c r="J516" s="3" t="s">
        <v>1644</v>
      </c>
      <c r="K516" s="11">
        <v>46176.424178240741</v>
      </c>
      <c r="M516">
        <v>542</v>
      </c>
      <c r="N516" t="s">
        <v>878</v>
      </c>
      <c r="P516" t="s">
        <v>1645</v>
      </c>
      <c r="Q516" s="10">
        <f>INT(Tabela1[[#This Row],[DATA]])</f>
        <v>46176</v>
      </c>
      <c r="R516" s="14" t="str">
        <f ca="1">IF(AND(Q516&gt;=TODAY()-WEEKDAY(TODAY(),2)+1,Q516&lt;TODAY()),"SIM","NÃO")</f>
        <v>NÃO</v>
      </c>
    </row>
    <row r="517" spans="1:18" hidden="1">
      <c r="A517" t="s">
        <v>123</v>
      </c>
      <c r="B517" t="s">
        <v>124</v>
      </c>
      <c r="C517">
        <v>300269108</v>
      </c>
      <c r="D517">
        <v>16488059</v>
      </c>
      <c r="E517" t="s">
        <v>20</v>
      </c>
      <c r="F517" t="s">
        <v>1646</v>
      </c>
      <c r="G517">
        <v>1524</v>
      </c>
      <c r="H517" t="s">
        <v>39</v>
      </c>
      <c r="I517" t="s">
        <v>23</v>
      </c>
      <c r="J517" s="3" t="s">
        <v>1647</v>
      </c>
      <c r="K517" s="11">
        <v>46176.425138888888</v>
      </c>
      <c r="M517">
        <v>543</v>
      </c>
      <c r="N517" t="s">
        <v>878</v>
      </c>
      <c r="P517" t="s">
        <v>1648</v>
      </c>
      <c r="Q517" s="10">
        <f>INT(Tabela1[[#This Row],[DATA]])</f>
        <v>46176</v>
      </c>
      <c r="R517" s="14" t="str">
        <f ca="1">IF(AND(Q517&gt;=TODAY()-WEEKDAY(TODAY(),2)+1,Q517&lt;TODAY()),"SIM","NÃO")</f>
        <v>NÃO</v>
      </c>
    </row>
    <row r="518" spans="1:18" hidden="1">
      <c r="A518" t="s">
        <v>196</v>
      </c>
      <c r="B518" t="s">
        <v>1625</v>
      </c>
      <c r="C518">
        <v>300260650</v>
      </c>
      <c r="D518">
        <v>16448090</v>
      </c>
      <c r="E518" t="s">
        <v>37</v>
      </c>
      <c r="F518" t="s">
        <v>430</v>
      </c>
      <c r="G518">
        <v>712</v>
      </c>
      <c r="H518" t="s">
        <v>39</v>
      </c>
      <c r="I518" t="s">
        <v>23</v>
      </c>
      <c r="J518" s="3" t="s">
        <v>1638</v>
      </c>
      <c r="K518" s="11">
        <v>46176.426678240743</v>
      </c>
      <c r="M518">
        <v>544</v>
      </c>
      <c r="N518" t="s">
        <v>878</v>
      </c>
      <c r="P518" t="s">
        <v>1649</v>
      </c>
      <c r="Q518" s="10">
        <f>INT(Tabela1[[#This Row],[DATA]])</f>
        <v>46176</v>
      </c>
      <c r="R518" s="14" t="str">
        <f ca="1">IF(AND(Q518&gt;=TODAY()-WEEKDAY(TODAY(),2)+1,Q518&lt;TODAY()),"SIM","NÃO")</f>
        <v>NÃO</v>
      </c>
    </row>
    <row r="519" spans="1:18" hidden="1">
      <c r="A519" t="s">
        <v>196</v>
      </c>
      <c r="B519" t="s">
        <v>1625</v>
      </c>
      <c r="C519">
        <v>300260650</v>
      </c>
      <c r="D519">
        <v>16448090</v>
      </c>
      <c r="E519" t="s">
        <v>37</v>
      </c>
      <c r="F519" t="s">
        <v>1427</v>
      </c>
      <c r="G519">
        <v>712</v>
      </c>
      <c r="H519" t="s">
        <v>39</v>
      </c>
      <c r="I519" t="s">
        <v>23</v>
      </c>
      <c r="J519" s="3" t="s">
        <v>1650</v>
      </c>
      <c r="K519" s="11">
        <v>46176.427893518521</v>
      </c>
      <c r="M519">
        <v>545</v>
      </c>
      <c r="N519" t="s">
        <v>878</v>
      </c>
      <c r="P519" t="s">
        <v>1651</v>
      </c>
      <c r="Q519" s="10">
        <f>INT(Tabela1[[#This Row],[DATA]])</f>
        <v>46176</v>
      </c>
      <c r="R519" s="14" t="str">
        <f ca="1">IF(AND(Q519&gt;=TODAY()-WEEKDAY(TODAY(),2)+1,Q519&lt;TODAY()),"SIM","NÃO")</f>
        <v>NÃO</v>
      </c>
    </row>
    <row r="520" spans="1:18" hidden="1">
      <c r="A520" t="s">
        <v>185</v>
      </c>
      <c r="B520" t="s">
        <v>1625</v>
      </c>
      <c r="C520">
        <v>300260639</v>
      </c>
      <c r="D520">
        <v>16448090</v>
      </c>
      <c r="E520" t="s">
        <v>37</v>
      </c>
      <c r="F520" t="s">
        <v>430</v>
      </c>
      <c r="G520">
        <v>520</v>
      </c>
      <c r="H520" t="s">
        <v>39</v>
      </c>
      <c r="I520" t="s">
        <v>23</v>
      </c>
      <c r="J520" s="3" t="s">
        <v>1652</v>
      </c>
      <c r="K520" s="11">
        <v>46176.43074074074</v>
      </c>
      <c r="M520">
        <v>546</v>
      </c>
      <c r="N520" t="s">
        <v>878</v>
      </c>
      <c r="P520" t="s">
        <v>1653</v>
      </c>
      <c r="Q520" s="10">
        <f>INT(Tabela1[[#This Row],[DATA]])</f>
        <v>46176</v>
      </c>
      <c r="R520" s="14" t="str">
        <f ca="1">IF(AND(Q520&gt;=TODAY()-WEEKDAY(TODAY(),2)+1,Q520&lt;TODAY()),"SIM","NÃO")</f>
        <v>NÃO</v>
      </c>
    </row>
    <row r="521" spans="1:18" hidden="1">
      <c r="A521" t="s">
        <v>196</v>
      </c>
      <c r="B521" t="s">
        <v>1625</v>
      </c>
      <c r="C521">
        <v>300260639</v>
      </c>
      <c r="D521">
        <v>16448090</v>
      </c>
      <c r="E521" t="s">
        <v>37</v>
      </c>
      <c r="F521" t="s">
        <v>430</v>
      </c>
      <c r="G521">
        <v>520</v>
      </c>
      <c r="H521" t="s">
        <v>39</v>
      </c>
      <c r="I521" t="s">
        <v>23</v>
      </c>
      <c r="J521" s="3" t="s">
        <v>1638</v>
      </c>
      <c r="K521" s="11">
        <v>46176.431863425925</v>
      </c>
      <c r="M521">
        <v>547</v>
      </c>
      <c r="N521" t="s">
        <v>878</v>
      </c>
      <c r="P521" t="s">
        <v>1654</v>
      </c>
      <c r="Q521" s="10">
        <f>INT(Tabela1[[#This Row],[DATA]])</f>
        <v>46176</v>
      </c>
      <c r="R521" s="14" t="str">
        <f ca="1">IF(AND(Q521&gt;=TODAY()-WEEKDAY(TODAY(),2)+1,Q521&lt;TODAY()),"SIM","NÃO")</f>
        <v>NÃO</v>
      </c>
    </row>
    <row r="522" spans="1:18" hidden="1">
      <c r="A522" t="s">
        <v>605</v>
      </c>
      <c r="B522" t="s">
        <v>606</v>
      </c>
      <c r="C522">
        <v>300266687</v>
      </c>
      <c r="D522">
        <v>16243340</v>
      </c>
      <c r="E522" t="s">
        <v>37</v>
      </c>
      <c r="F522" t="s">
        <v>132</v>
      </c>
      <c r="G522">
        <v>1</v>
      </c>
      <c r="H522" t="s">
        <v>22</v>
      </c>
      <c r="I522" t="s">
        <v>23</v>
      </c>
      <c r="J522" s="3" t="s">
        <v>1655</v>
      </c>
      <c r="K522" s="11">
        <v>46176.432766203703</v>
      </c>
      <c r="M522">
        <v>548</v>
      </c>
      <c r="N522" t="s">
        <v>867</v>
      </c>
      <c r="P522" t="s">
        <v>1656</v>
      </c>
      <c r="Q522" s="10">
        <f>INT(Tabela1[[#This Row],[DATA]])</f>
        <v>46176</v>
      </c>
      <c r="R522" s="14" t="str">
        <f ca="1">IF(AND(Q522&gt;=TODAY()-WEEKDAY(TODAY(),2)+1,Q522&lt;TODAY()),"SIM","NÃO")</f>
        <v>NÃO</v>
      </c>
    </row>
    <row r="523" spans="1:18" hidden="1">
      <c r="A523" t="s">
        <v>196</v>
      </c>
      <c r="B523" t="s">
        <v>1625</v>
      </c>
      <c r="C523">
        <v>300260639</v>
      </c>
      <c r="D523">
        <v>16448090</v>
      </c>
      <c r="E523" t="s">
        <v>37</v>
      </c>
      <c r="F523" t="s">
        <v>1427</v>
      </c>
      <c r="G523">
        <v>520</v>
      </c>
      <c r="H523" t="s">
        <v>39</v>
      </c>
      <c r="I523" t="s">
        <v>23</v>
      </c>
      <c r="J523" s="3" t="s">
        <v>1657</v>
      </c>
      <c r="K523" s="11">
        <v>46176.432893518519</v>
      </c>
      <c r="M523">
        <v>549</v>
      </c>
      <c r="N523" t="s">
        <v>878</v>
      </c>
      <c r="P523" t="s">
        <v>1658</v>
      </c>
      <c r="Q523" s="10">
        <f>INT(Tabela1[[#This Row],[DATA]])</f>
        <v>46176</v>
      </c>
      <c r="R523" s="14" t="str">
        <f ca="1">IF(AND(Q523&gt;=TODAY()-WEEKDAY(TODAY(),2)+1,Q523&lt;TODAY()),"SIM","NÃO")</f>
        <v>NÃO</v>
      </c>
    </row>
    <row r="524" spans="1:18" hidden="1">
      <c r="A524" t="s">
        <v>101</v>
      </c>
      <c r="B524" t="s">
        <v>990</v>
      </c>
      <c r="C524">
        <v>300264800</v>
      </c>
      <c r="D524">
        <v>15773949</v>
      </c>
      <c r="E524" t="s">
        <v>37</v>
      </c>
      <c r="F524" t="s">
        <v>38</v>
      </c>
      <c r="G524">
        <v>15</v>
      </c>
      <c r="H524" t="s">
        <v>22</v>
      </c>
      <c r="I524" t="s">
        <v>23</v>
      </c>
      <c r="J524" s="3" t="s">
        <v>1659</v>
      </c>
      <c r="K524" s="11">
        <v>46176.435011574074</v>
      </c>
      <c r="M524">
        <v>550</v>
      </c>
      <c r="N524" t="s">
        <v>867</v>
      </c>
      <c r="P524" t="s">
        <v>1660</v>
      </c>
      <c r="Q524" s="10">
        <f>INT(Tabela1[[#This Row],[DATA]])</f>
        <v>46176</v>
      </c>
      <c r="R524" s="14" t="str">
        <f ca="1">IF(AND(Q524&gt;=TODAY()-WEEKDAY(TODAY(),2)+1,Q524&lt;TODAY()),"SIM","NÃO")</f>
        <v>NÃO</v>
      </c>
    </row>
    <row r="525" spans="1:18" hidden="1">
      <c r="A525" t="s">
        <v>428</v>
      </c>
      <c r="B525" t="s">
        <v>429</v>
      </c>
      <c r="C525">
        <v>300265101</v>
      </c>
      <c r="D525">
        <v>15128288</v>
      </c>
      <c r="E525" t="s">
        <v>29</v>
      </c>
      <c r="F525" t="s">
        <v>323</v>
      </c>
      <c r="G525">
        <v>41</v>
      </c>
      <c r="H525" t="s">
        <v>39</v>
      </c>
      <c r="I525" t="s">
        <v>23</v>
      </c>
      <c r="J525" s="3" t="s">
        <v>1661</v>
      </c>
      <c r="K525" s="11">
        <v>46176.442662037036</v>
      </c>
      <c r="M525">
        <v>551</v>
      </c>
      <c r="N525" t="s">
        <v>867</v>
      </c>
      <c r="P525" t="s">
        <v>1662</v>
      </c>
      <c r="Q525" s="10">
        <f>INT(Tabela1[[#This Row],[DATA]])</f>
        <v>46176</v>
      </c>
      <c r="R525" s="14" t="str">
        <f ca="1">IF(AND(Q525&gt;=TODAY()-WEEKDAY(TODAY(),2)+1,Q525&lt;TODAY()),"SIM","NÃO")</f>
        <v>NÃO</v>
      </c>
    </row>
    <row r="526" spans="1:18" hidden="1">
      <c r="A526" t="s">
        <v>123</v>
      </c>
      <c r="B526" t="s">
        <v>124</v>
      </c>
      <c r="C526">
        <v>300261802</v>
      </c>
      <c r="D526">
        <v>16285328</v>
      </c>
      <c r="E526" t="s">
        <v>37</v>
      </c>
      <c r="F526" t="s">
        <v>60</v>
      </c>
      <c r="G526">
        <v>22</v>
      </c>
      <c r="H526" t="s">
        <v>22</v>
      </c>
      <c r="I526" t="s">
        <v>23</v>
      </c>
      <c r="J526" s="3" t="s">
        <v>1663</v>
      </c>
      <c r="K526" s="11">
        <v>46176.458923611113</v>
      </c>
      <c r="M526">
        <v>552</v>
      </c>
      <c r="N526" t="s">
        <v>867</v>
      </c>
      <c r="P526" t="s">
        <v>1664</v>
      </c>
      <c r="Q526" s="10">
        <f>INT(Tabela1[[#This Row],[DATA]])</f>
        <v>46176</v>
      </c>
      <c r="R526" s="14" t="str">
        <f ca="1">IF(AND(Q526&gt;=TODAY()-WEEKDAY(TODAY(),2)+1,Q526&lt;TODAY()),"SIM","NÃO")</f>
        <v>NÃO</v>
      </c>
    </row>
    <row r="527" spans="1:18" hidden="1">
      <c r="A527" t="s">
        <v>163</v>
      </c>
      <c r="B527" t="s">
        <v>164</v>
      </c>
      <c r="C527">
        <v>300267170</v>
      </c>
      <c r="D527">
        <v>15359492</v>
      </c>
      <c r="E527" t="s">
        <v>29</v>
      </c>
      <c r="F527" t="s">
        <v>145</v>
      </c>
      <c r="G527">
        <v>980</v>
      </c>
      <c r="H527" t="s">
        <v>283</v>
      </c>
      <c r="I527" t="s">
        <v>23</v>
      </c>
      <c r="J527" s="3"/>
      <c r="K527" s="11">
        <v>46176.547002314815</v>
      </c>
      <c r="M527">
        <v>553</v>
      </c>
      <c r="N527" t="s">
        <v>878</v>
      </c>
      <c r="P527" t="s">
        <v>1665</v>
      </c>
      <c r="Q527" s="10">
        <f>INT(Tabela1[[#This Row],[DATA]])</f>
        <v>46176</v>
      </c>
      <c r="R527" s="14" t="str">
        <f ca="1">IF(AND(Q527&gt;=TODAY()-WEEKDAY(TODAY(),2)+1,Q527&lt;TODAY()),"SIM","NÃO")</f>
        <v>NÃO</v>
      </c>
    </row>
    <row r="528" spans="1:18" hidden="1">
      <c r="A528" t="s">
        <v>73</v>
      </c>
      <c r="B528" t="s">
        <v>74</v>
      </c>
      <c r="C528">
        <v>300268223</v>
      </c>
      <c r="D528">
        <v>16440978</v>
      </c>
      <c r="E528" t="s">
        <v>45</v>
      </c>
      <c r="F528" t="s">
        <v>38</v>
      </c>
      <c r="G528">
        <v>40</v>
      </c>
      <c r="H528" t="s">
        <v>39</v>
      </c>
      <c r="I528" t="s">
        <v>23</v>
      </c>
      <c r="J528" s="3" t="s">
        <v>1666</v>
      </c>
      <c r="K528" s="11">
        <v>46176.548136574071</v>
      </c>
      <c r="M528">
        <v>554</v>
      </c>
      <c r="N528" t="s">
        <v>867</v>
      </c>
      <c r="P528" t="s">
        <v>1667</v>
      </c>
      <c r="Q528" s="10">
        <f>INT(Tabela1[[#This Row],[DATA]])</f>
        <v>46176</v>
      </c>
      <c r="R528" s="14" t="str">
        <f ca="1">IF(AND(Q528&gt;=TODAY()-WEEKDAY(TODAY(),2)+1,Q528&lt;TODAY()),"SIM","NÃO")</f>
        <v>NÃO</v>
      </c>
    </row>
    <row r="529" spans="1:18" hidden="1">
      <c r="A529" t="s">
        <v>73</v>
      </c>
      <c r="B529" t="s">
        <v>74</v>
      </c>
      <c r="C529">
        <v>300266589</v>
      </c>
      <c r="D529">
        <v>16526112</v>
      </c>
      <c r="E529" t="s">
        <v>20</v>
      </c>
      <c r="F529" t="s">
        <v>125</v>
      </c>
      <c r="G529">
        <v>10</v>
      </c>
      <c r="H529" t="s">
        <v>22</v>
      </c>
      <c r="I529" t="s">
        <v>23</v>
      </c>
      <c r="J529" s="3" t="s">
        <v>1668</v>
      </c>
      <c r="K529" s="11">
        <v>46176.549456018518</v>
      </c>
      <c r="M529">
        <v>555</v>
      </c>
      <c r="N529" t="s">
        <v>867</v>
      </c>
      <c r="P529" t="s">
        <v>1669</v>
      </c>
      <c r="Q529" s="10">
        <f>INT(Tabela1[[#This Row],[DATA]])</f>
        <v>46176</v>
      </c>
      <c r="R529" s="14" t="str">
        <f ca="1">IF(AND(Q529&gt;=TODAY()-WEEKDAY(TODAY(),2)+1,Q529&lt;TODAY()),"SIM","NÃO")</f>
        <v>NÃO</v>
      </c>
    </row>
    <row r="530" spans="1:18" hidden="1">
      <c r="A530" t="s">
        <v>43</v>
      </c>
      <c r="B530" t="s">
        <v>1670</v>
      </c>
      <c r="C530">
        <v>300262226</v>
      </c>
      <c r="D530">
        <v>16473337</v>
      </c>
      <c r="E530" t="s">
        <v>45</v>
      </c>
      <c r="F530" t="s">
        <v>187</v>
      </c>
      <c r="G530">
        <v>60</v>
      </c>
      <c r="H530" t="s">
        <v>22</v>
      </c>
      <c r="I530" t="s">
        <v>23</v>
      </c>
      <c r="J530" s="3" t="s">
        <v>1671</v>
      </c>
      <c r="K530" s="11">
        <v>46176.551203703704</v>
      </c>
      <c r="M530">
        <v>556</v>
      </c>
      <c r="N530" t="s">
        <v>867</v>
      </c>
      <c r="P530" t="s">
        <v>1672</v>
      </c>
      <c r="Q530" s="10">
        <f>INT(Tabela1[[#This Row],[DATA]])</f>
        <v>46176</v>
      </c>
      <c r="R530" s="14" t="str">
        <f ca="1">IF(AND(Q530&gt;=TODAY()-WEEKDAY(TODAY(),2)+1,Q530&lt;TODAY()),"SIM","NÃO")</f>
        <v>NÃO</v>
      </c>
    </row>
    <row r="531" spans="1:18" hidden="1">
      <c r="A531" t="s">
        <v>73</v>
      </c>
      <c r="B531" t="s">
        <v>74</v>
      </c>
      <c r="C531">
        <v>300266589</v>
      </c>
      <c r="D531">
        <v>16526112</v>
      </c>
      <c r="E531" t="s">
        <v>20</v>
      </c>
      <c r="F531" t="s">
        <v>145</v>
      </c>
      <c r="G531">
        <v>4</v>
      </c>
      <c r="H531" t="s">
        <v>22</v>
      </c>
      <c r="I531" t="s">
        <v>23</v>
      </c>
      <c r="J531" s="3" t="s">
        <v>1673</v>
      </c>
      <c r="K531" s="11">
        <v>46176.552187499998</v>
      </c>
      <c r="M531">
        <v>557</v>
      </c>
      <c r="N531" t="s">
        <v>867</v>
      </c>
      <c r="P531" t="s">
        <v>1674</v>
      </c>
      <c r="Q531" s="10">
        <f>INT(Tabela1[[#This Row],[DATA]])</f>
        <v>46176</v>
      </c>
      <c r="R531" s="14" t="str">
        <f ca="1">IF(AND(Q531&gt;=TODAY()-WEEKDAY(TODAY(),2)+1,Q531&lt;TODAY()),"SIM","NÃO")</f>
        <v>NÃO</v>
      </c>
    </row>
    <row r="532" spans="1:18" hidden="1">
      <c r="A532" t="s">
        <v>106</v>
      </c>
      <c r="B532" t="s">
        <v>107</v>
      </c>
      <c r="C532">
        <v>300267222</v>
      </c>
      <c r="D532">
        <v>16457196</v>
      </c>
      <c r="E532" t="s">
        <v>45</v>
      </c>
      <c r="F532" t="s">
        <v>145</v>
      </c>
      <c r="G532">
        <v>983</v>
      </c>
      <c r="H532" t="s">
        <v>283</v>
      </c>
      <c r="I532" t="s">
        <v>23</v>
      </c>
      <c r="J532" s="3" t="s">
        <v>1675</v>
      </c>
      <c r="K532" s="11">
        <v>46176.553148148145</v>
      </c>
      <c r="M532">
        <v>558</v>
      </c>
      <c r="N532" t="s">
        <v>878</v>
      </c>
      <c r="P532" t="s">
        <v>1676</v>
      </c>
      <c r="Q532" s="10">
        <f>INT(Tabela1[[#This Row],[DATA]])</f>
        <v>46176</v>
      </c>
      <c r="R532" s="14" t="str">
        <f ca="1">IF(AND(Q532&gt;=TODAY()-WEEKDAY(TODAY(),2)+1,Q532&lt;TODAY()),"SIM","NÃO")</f>
        <v>NÃO</v>
      </c>
    </row>
    <row r="533" spans="1:18" hidden="1">
      <c r="A533" t="s">
        <v>106</v>
      </c>
      <c r="B533" t="s">
        <v>107</v>
      </c>
      <c r="C533">
        <v>300267173</v>
      </c>
      <c r="D533">
        <v>16457218</v>
      </c>
      <c r="E533" t="s">
        <v>45</v>
      </c>
      <c r="F533" t="s">
        <v>145</v>
      </c>
      <c r="G533">
        <v>894</v>
      </c>
      <c r="H533" t="s">
        <v>283</v>
      </c>
      <c r="I533" t="s">
        <v>23</v>
      </c>
      <c r="J533" s="3"/>
      <c r="K533" s="11">
        <v>46176.553888888891</v>
      </c>
      <c r="M533">
        <v>559</v>
      </c>
      <c r="N533" t="s">
        <v>878</v>
      </c>
      <c r="P533" t="s">
        <v>1677</v>
      </c>
      <c r="Q533" s="10">
        <f>INT(Tabela1[[#This Row],[DATA]])</f>
        <v>46176</v>
      </c>
      <c r="R533" s="14" t="str">
        <f ca="1">IF(AND(Q533&gt;=TODAY()-WEEKDAY(TODAY(),2)+1,Q533&lt;TODAY()),"SIM","NÃO")</f>
        <v>NÃO</v>
      </c>
    </row>
    <row r="534" spans="1:18" hidden="1">
      <c r="A534" t="s">
        <v>111</v>
      </c>
      <c r="B534" t="s">
        <v>112</v>
      </c>
      <c r="C534">
        <v>300269148</v>
      </c>
      <c r="D534">
        <v>16545222</v>
      </c>
      <c r="E534" t="s">
        <v>20</v>
      </c>
      <c r="F534" t="s">
        <v>60</v>
      </c>
      <c r="G534">
        <v>1.6060000000000001</v>
      </c>
      <c r="H534" t="s">
        <v>39</v>
      </c>
      <c r="I534" t="s">
        <v>23</v>
      </c>
      <c r="J534" s="3" t="s">
        <v>1678</v>
      </c>
      <c r="K534" s="11">
        <v>46176.554571759261</v>
      </c>
      <c r="M534">
        <v>560</v>
      </c>
      <c r="N534" t="s">
        <v>878</v>
      </c>
      <c r="P534" t="s">
        <v>1679</v>
      </c>
      <c r="Q534" s="10">
        <f>INT(Tabela1[[#This Row],[DATA]])</f>
        <v>46176</v>
      </c>
      <c r="R534" s="14" t="str">
        <f ca="1">IF(AND(Q534&gt;=TODAY()-WEEKDAY(TODAY(),2)+1,Q534&lt;TODAY()),"SIM","NÃO")</f>
        <v>NÃO</v>
      </c>
    </row>
    <row r="535" spans="1:18" hidden="1">
      <c r="A535" t="s">
        <v>163</v>
      </c>
      <c r="B535" t="s">
        <v>164</v>
      </c>
      <c r="C535">
        <v>300265389</v>
      </c>
      <c r="D535">
        <v>16473434</v>
      </c>
      <c r="E535" t="s">
        <v>45</v>
      </c>
      <c r="F535" t="s">
        <v>145</v>
      </c>
      <c r="G535">
        <v>1350</v>
      </c>
      <c r="H535" t="s">
        <v>283</v>
      </c>
      <c r="I535" t="s">
        <v>23</v>
      </c>
      <c r="J535" s="3"/>
      <c r="K535" s="11">
        <v>46176.558391203704</v>
      </c>
      <c r="M535">
        <v>561</v>
      </c>
      <c r="N535" t="s">
        <v>878</v>
      </c>
      <c r="P535" t="s">
        <v>1680</v>
      </c>
      <c r="Q535" s="10">
        <f>INT(Tabela1[[#This Row],[DATA]])</f>
        <v>46176</v>
      </c>
      <c r="R535" s="14" t="str">
        <f ca="1">IF(AND(Q535&gt;=TODAY()-WEEKDAY(TODAY(),2)+1,Q535&lt;TODAY()),"SIM","NÃO")</f>
        <v>NÃO</v>
      </c>
    </row>
    <row r="536" spans="1:18" hidden="1">
      <c r="A536" t="s">
        <v>106</v>
      </c>
      <c r="B536" t="s">
        <v>107</v>
      </c>
      <c r="C536">
        <v>300267538</v>
      </c>
      <c r="D536">
        <v>1324</v>
      </c>
      <c r="E536" t="s">
        <v>45</v>
      </c>
      <c r="F536" t="s">
        <v>1287</v>
      </c>
      <c r="G536">
        <v>1324</v>
      </c>
      <c r="H536" t="s">
        <v>39</v>
      </c>
      <c r="I536" t="s">
        <v>23</v>
      </c>
      <c r="J536" s="3"/>
      <c r="K536" s="11">
        <v>46176.570636574077</v>
      </c>
      <c r="M536">
        <v>562</v>
      </c>
      <c r="N536" t="s">
        <v>878</v>
      </c>
      <c r="P536" t="s">
        <v>1681</v>
      </c>
      <c r="Q536" s="10">
        <f>INT(Tabela1[[#This Row],[DATA]])</f>
        <v>46176</v>
      </c>
      <c r="R536" s="14" t="str">
        <f ca="1">IF(AND(Q536&gt;=TODAY()-WEEKDAY(TODAY(),2)+1,Q536&lt;TODAY()),"SIM","NÃO")</f>
        <v>NÃO</v>
      </c>
    </row>
    <row r="537" spans="1:18" hidden="1">
      <c r="A537" t="s">
        <v>106</v>
      </c>
      <c r="B537" t="s">
        <v>107</v>
      </c>
      <c r="C537">
        <v>300267173</v>
      </c>
      <c r="D537">
        <v>16457218</v>
      </c>
      <c r="E537" t="s">
        <v>45</v>
      </c>
      <c r="F537" t="s">
        <v>1287</v>
      </c>
      <c r="G537">
        <v>894</v>
      </c>
      <c r="H537" t="s">
        <v>39</v>
      </c>
      <c r="I537" t="s">
        <v>23</v>
      </c>
      <c r="J537" s="3"/>
      <c r="K537" s="11">
        <v>46176.571388888886</v>
      </c>
      <c r="M537">
        <v>563</v>
      </c>
      <c r="N537" t="s">
        <v>878</v>
      </c>
      <c r="P537" t="s">
        <v>1682</v>
      </c>
      <c r="Q537" s="10">
        <f>INT(Tabela1[[#This Row],[DATA]])</f>
        <v>46176</v>
      </c>
      <c r="R537" s="14" t="str">
        <f ca="1">IF(AND(Q537&gt;=TODAY()-WEEKDAY(TODAY(),2)+1,Q537&lt;TODAY()),"SIM","NÃO")</f>
        <v>NÃO</v>
      </c>
    </row>
    <row r="538" spans="1:18" hidden="1">
      <c r="A538" t="s">
        <v>106</v>
      </c>
      <c r="B538" t="s">
        <v>107</v>
      </c>
      <c r="C538">
        <v>300267172</v>
      </c>
      <c r="D538">
        <v>16457218</v>
      </c>
      <c r="E538" t="s">
        <v>45</v>
      </c>
      <c r="F538" t="s">
        <v>1287</v>
      </c>
      <c r="G538">
        <v>602</v>
      </c>
      <c r="H538" t="s">
        <v>39</v>
      </c>
      <c r="I538" t="s">
        <v>23</v>
      </c>
      <c r="J538" s="3"/>
      <c r="K538" s="11">
        <v>46176.572129629632</v>
      </c>
      <c r="M538">
        <v>564</v>
      </c>
      <c r="N538" t="s">
        <v>878</v>
      </c>
      <c r="P538" t="s">
        <v>1683</v>
      </c>
      <c r="Q538" s="10">
        <f>INT(Tabela1[[#This Row],[DATA]])</f>
        <v>46176</v>
      </c>
      <c r="R538" s="14" t="str">
        <f ca="1">IF(AND(Q538&gt;=TODAY()-WEEKDAY(TODAY(),2)+1,Q538&lt;TODAY()),"SIM","NÃO")</f>
        <v>NÃO</v>
      </c>
    </row>
    <row r="539" spans="1:18" hidden="1">
      <c r="A539" t="s">
        <v>106</v>
      </c>
      <c r="B539" t="s">
        <v>107</v>
      </c>
      <c r="C539">
        <v>300267179</v>
      </c>
      <c r="D539">
        <v>16457196</v>
      </c>
      <c r="E539" t="s">
        <v>45</v>
      </c>
      <c r="F539" t="s">
        <v>1287</v>
      </c>
      <c r="G539">
        <v>220</v>
      </c>
      <c r="H539" t="s">
        <v>39</v>
      </c>
      <c r="I539" t="s">
        <v>23</v>
      </c>
      <c r="J539" s="3"/>
      <c r="K539" s="11">
        <v>46176.572974537034</v>
      </c>
      <c r="M539">
        <v>565</v>
      </c>
      <c r="N539" t="s">
        <v>878</v>
      </c>
      <c r="P539" t="s">
        <v>1684</v>
      </c>
      <c r="Q539" s="10">
        <f>INT(Tabela1[[#This Row],[DATA]])</f>
        <v>46176</v>
      </c>
      <c r="R539" s="14" t="str">
        <f ca="1">IF(AND(Q539&gt;=TODAY()-WEEKDAY(TODAY(),2)+1,Q539&lt;TODAY()),"SIM","NÃO")</f>
        <v>NÃO</v>
      </c>
    </row>
    <row r="540" spans="1:18" hidden="1">
      <c r="A540" t="s">
        <v>106</v>
      </c>
      <c r="B540" t="s">
        <v>107</v>
      </c>
      <c r="C540">
        <v>300267220</v>
      </c>
      <c r="D540">
        <v>16457196</v>
      </c>
      <c r="E540" t="s">
        <v>45</v>
      </c>
      <c r="F540" t="s">
        <v>1287</v>
      </c>
      <c r="G540">
        <v>297</v>
      </c>
      <c r="H540" t="s">
        <v>39</v>
      </c>
      <c r="I540" t="s">
        <v>23</v>
      </c>
      <c r="J540" s="3"/>
      <c r="K540" s="11">
        <v>46176.573622685188</v>
      </c>
      <c r="M540">
        <v>566</v>
      </c>
      <c r="N540" t="s">
        <v>878</v>
      </c>
      <c r="P540" t="s">
        <v>1685</v>
      </c>
      <c r="Q540" s="10">
        <f>INT(Tabela1[[#This Row],[DATA]])</f>
        <v>46176</v>
      </c>
      <c r="R540" s="14" t="str">
        <f ca="1">IF(AND(Q540&gt;=TODAY()-WEEKDAY(TODAY(),2)+1,Q540&lt;TODAY()),"SIM","NÃO")</f>
        <v>NÃO</v>
      </c>
    </row>
    <row r="541" spans="1:18" hidden="1">
      <c r="A541" t="s">
        <v>106</v>
      </c>
      <c r="B541" t="s">
        <v>107</v>
      </c>
      <c r="C541">
        <v>300267222</v>
      </c>
      <c r="D541">
        <v>16457196</v>
      </c>
      <c r="E541" t="s">
        <v>45</v>
      </c>
      <c r="F541" t="s">
        <v>1287</v>
      </c>
      <c r="G541">
        <v>983</v>
      </c>
      <c r="H541" t="s">
        <v>39</v>
      </c>
      <c r="I541" t="s">
        <v>23</v>
      </c>
      <c r="J541" s="3"/>
      <c r="K541" s="11">
        <v>46176.574421296296</v>
      </c>
      <c r="M541">
        <v>567</v>
      </c>
      <c r="N541" t="s">
        <v>878</v>
      </c>
      <c r="P541" t="s">
        <v>1686</v>
      </c>
      <c r="Q541" s="10">
        <f>INT(Tabela1[[#This Row],[DATA]])</f>
        <v>46176</v>
      </c>
      <c r="R541" s="14" t="str">
        <f ca="1">IF(AND(Q541&gt;=TODAY()-WEEKDAY(TODAY(),2)+1,Q541&lt;TODAY()),"SIM","NÃO")</f>
        <v>NÃO</v>
      </c>
    </row>
    <row r="542" spans="1:18" hidden="1">
      <c r="A542" t="s">
        <v>106</v>
      </c>
      <c r="B542" t="s">
        <v>107</v>
      </c>
      <c r="C542">
        <v>300266481</v>
      </c>
      <c r="D542">
        <v>16441655</v>
      </c>
      <c r="E542" t="s">
        <v>45</v>
      </c>
      <c r="F542" t="s">
        <v>1287</v>
      </c>
      <c r="G542">
        <v>828</v>
      </c>
      <c r="H542" t="s">
        <v>39</v>
      </c>
      <c r="I542" t="s">
        <v>23</v>
      </c>
      <c r="J542" s="3"/>
      <c r="K542" s="11">
        <v>46176.575312499997</v>
      </c>
      <c r="M542">
        <v>568</v>
      </c>
      <c r="N542" t="s">
        <v>878</v>
      </c>
      <c r="P542" t="s">
        <v>1687</v>
      </c>
      <c r="Q542" s="10">
        <f>INT(Tabela1[[#This Row],[DATA]])</f>
        <v>46176</v>
      </c>
      <c r="R542" s="14" t="str">
        <f ca="1">IF(AND(Q542&gt;=TODAY()-WEEKDAY(TODAY(),2)+1,Q542&lt;TODAY()),"SIM","NÃO")</f>
        <v>NÃO</v>
      </c>
    </row>
    <row r="543" spans="1:18" hidden="1">
      <c r="A543" t="s">
        <v>185</v>
      </c>
      <c r="B543" t="s">
        <v>1625</v>
      </c>
      <c r="C543">
        <v>300231420</v>
      </c>
      <c r="D543">
        <v>16317840</v>
      </c>
      <c r="E543" t="s">
        <v>37</v>
      </c>
      <c r="F543" t="s">
        <v>187</v>
      </c>
      <c r="G543">
        <v>1220</v>
      </c>
      <c r="H543" t="s">
        <v>39</v>
      </c>
      <c r="I543" t="s">
        <v>23</v>
      </c>
      <c r="J543" s="3" t="s">
        <v>1688</v>
      </c>
      <c r="K543" s="11">
        <v>46176.619004629632</v>
      </c>
      <c r="M543">
        <v>569</v>
      </c>
      <c r="N543" t="s">
        <v>878</v>
      </c>
      <c r="P543" t="s">
        <v>1689</v>
      </c>
      <c r="Q543" s="10">
        <f>INT(Tabela1[[#This Row],[DATA]])</f>
        <v>46176</v>
      </c>
      <c r="R543" s="14" t="str">
        <f ca="1">IF(AND(Q543&gt;=TODAY()-WEEKDAY(TODAY(),2)+1,Q543&lt;TODAY()),"SIM","NÃO")</f>
        <v>NÃO</v>
      </c>
    </row>
    <row r="544" spans="1:18" hidden="1">
      <c r="A544" t="s">
        <v>428</v>
      </c>
      <c r="B544" t="s">
        <v>429</v>
      </c>
      <c r="C544">
        <v>300265101</v>
      </c>
      <c r="D544">
        <v>15128288</v>
      </c>
      <c r="E544" t="s">
        <v>29</v>
      </c>
      <c r="F544" t="s">
        <v>525</v>
      </c>
      <c r="G544">
        <v>160</v>
      </c>
      <c r="H544" t="s">
        <v>39</v>
      </c>
      <c r="I544" t="s">
        <v>23</v>
      </c>
      <c r="J544" s="3" t="s">
        <v>1690</v>
      </c>
      <c r="K544" s="11">
        <v>46176.657395833332</v>
      </c>
      <c r="M544">
        <v>570</v>
      </c>
      <c r="N544" t="s">
        <v>867</v>
      </c>
      <c r="P544" t="s">
        <v>1691</v>
      </c>
      <c r="Q544" s="10">
        <f>INT(Tabela1[[#This Row],[DATA]])</f>
        <v>46176</v>
      </c>
      <c r="R544" s="14" t="str">
        <f ca="1">IF(AND(Q544&gt;=TODAY()-WEEKDAY(TODAY(),2)+1,Q544&lt;TODAY()),"SIM","NÃO")</f>
        <v>NÃO</v>
      </c>
    </row>
    <row r="545" spans="1:18" hidden="1">
      <c r="A545" t="s">
        <v>1236</v>
      </c>
      <c r="B545" t="s">
        <v>1237</v>
      </c>
      <c r="C545">
        <v>300266271</v>
      </c>
      <c r="D545">
        <v>16293274</v>
      </c>
      <c r="E545" t="s">
        <v>37</v>
      </c>
      <c r="F545" t="s">
        <v>177</v>
      </c>
      <c r="G545">
        <v>100</v>
      </c>
      <c r="H545" t="s">
        <v>22</v>
      </c>
      <c r="I545" t="s">
        <v>23</v>
      </c>
      <c r="J545" s="3" t="s">
        <v>1692</v>
      </c>
      <c r="K545" s="11">
        <v>46176.667349537034</v>
      </c>
      <c r="M545">
        <v>571</v>
      </c>
      <c r="N545" t="s">
        <v>867</v>
      </c>
      <c r="P545" t="s">
        <v>1693</v>
      </c>
      <c r="Q545" s="10">
        <f>INT(Tabela1[[#This Row],[DATA]])</f>
        <v>46176</v>
      </c>
      <c r="R545" s="14" t="str">
        <f ca="1">IF(AND(Q545&gt;=TODAY()-WEEKDAY(TODAY(),2)+1,Q545&lt;TODAY()),"SIM","NÃO")</f>
        <v>NÃO</v>
      </c>
    </row>
    <row r="546" spans="1:18" hidden="1">
      <c r="A546" t="s">
        <v>159</v>
      </c>
      <c r="B546" t="s">
        <v>160</v>
      </c>
      <c r="C546">
        <v>300268036</v>
      </c>
      <c r="D546">
        <v>16508203</v>
      </c>
      <c r="E546" t="s">
        <v>37</v>
      </c>
      <c r="F546" t="s">
        <v>513</v>
      </c>
      <c r="G546">
        <v>1205</v>
      </c>
      <c r="H546" t="s">
        <v>1694</v>
      </c>
      <c r="I546" t="s">
        <v>23</v>
      </c>
      <c r="J546" s="3" t="s">
        <v>1694</v>
      </c>
      <c r="K546" s="11">
        <v>46176.676863425928</v>
      </c>
      <c r="M546">
        <v>572</v>
      </c>
      <c r="N546" t="s">
        <v>878</v>
      </c>
      <c r="P546" t="s">
        <v>1695</v>
      </c>
      <c r="Q546" s="10">
        <f>INT(Tabela1[[#This Row],[DATA]])</f>
        <v>46176</v>
      </c>
      <c r="R546" s="14" t="str">
        <f ca="1">IF(AND(Q546&gt;=TODAY()-WEEKDAY(TODAY(),2)+1,Q546&lt;TODAY()),"SIM","NÃO")</f>
        <v>NÃO</v>
      </c>
    </row>
    <row r="547" spans="1:18" hidden="1">
      <c r="A547" t="s">
        <v>685</v>
      </c>
      <c r="B547" t="s">
        <v>95</v>
      </c>
      <c r="C547">
        <v>300248728</v>
      </c>
      <c r="D547">
        <v>16247388</v>
      </c>
      <c r="E547" t="s">
        <v>37</v>
      </c>
      <c r="F547" t="s">
        <v>177</v>
      </c>
      <c r="G547">
        <v>110</v>
      </c>
      <c r="H547" t="s">
        <v>39</v>
      </c>
      <c r="I547" t="s">
        <v>23</v>
      </c>
      <c r="J547" s="3" t="s">
        <v>1696</v>
      </c>
      <c r="K547" s="11">
        <v>46176.693611111114</v>
      </c>
      <c r="M547">
        <v>573</v>
      </c>
      <c r="N547" t="s">
        <v>878</v>
      </c>
      <c r="P547" t="s">
        <v>1697</v>
      </c>
      <c r="Q547" s="10">
        <f>INT(Tabela1[[#This Row],[DATA]])</f>
        <v>46176</v>
      </c>
      <c r="R547" s="14" t="str">
        <f ca="1">IF(AND(Q547&gt;=TODAY()-WEEKDAY(TODAY(),2)+1,Q547&lt;TODAY()),"SIM","NÃO")</f>
        <v>NÃO</v>
      </c>
    </row>
    <row r="548" spans="1:18" hidden="1">
      <c r="A548" t="s">
        <v>136</v>
      </c>
      <c r="B548" t="s">
        <v>137</v>
      </c>
      <c r="C548">
        <v>300000000</v>
      </c>
      <c r="D548">
        <v>0</v>
      </c>
      <c r="E548" t="s">
        <v>37</v>
      </c>
      <c r="F548" t="s">
        <v>103</v>
      </c>
      <c r="G548">
        <v>1</v>
      </c>
      <c r="H548" t="s">
        <v>22</v>
      </c>
      <c r="I548" t="s">
        <v>23</v>
      </c>
      <c r="J548" s="3"/>
      <c r="K548" s="11">
        <v>46176.694027777776</v>
      </c>
      <c r="M548">
        <v>574</v>
      </c>
      <c r="N548" t="s">
        <v>867</v>
      </c>
      <c r="P548" t="s">
        <v>1698</v>
      </c>
      <c r="Q548" s="10">
        <f>INT(Tabela1[[#This Row],[DATA]])</f>
        <v>46176</v>
      </c>
      <c r="R548" s="14" t="str">
        <f ca="1">IF(AND(Q548&gt;=TODAY()-WEEKDAY(TODAY(),2)+1,Q548&lt;TODAY()),"SIM","NÃO")</f>
        <v>NÃO</v>
      </c>
    </row>
    <row r="549" spans="1:18" hidden="1">
      <c r="A549" t="s">
        <v>136</v>
      </c>
      <c r="B549" t="s">
        <v>137</v>
      </c>
      <c r="C549">
        <v>300000000</v>
      </c>
      <c r="D549">
        <v>0</v>
      </c>
      <c r="E549" t="s">
        <v>37</v>
      </c>
      <c r="F549" t="s">
        <v>132</v>
      </c>
      <c r="G549">
        <v>1</v>
      </c>
      <c r="H549" t="s">
        <v>22</v>
      </c>
      <c r="I549" t="s">
        <v>23</v>
      </c>
      <c r="J549" s="3"/>
      <c r="K549" s="11">
        <v>46176.694594907407</v>
      </c>
      <c r="M549">
        <v>575</v>
      </c>
      <c r="N549" t="s">
        <v>878</v>
      </c>
      <c r="P549" t="s">
        <v>1699</v>
      </c>
      <c r="Q549" s="10">
        <f>INT(Tabela1[[#This Row],[DATA]])</f>
        <v>46176</v>
      </c>
      <c r="R549" s="14" t="str">
        <f ca="1">IF(AND(Q549&gt;=TODAY()-WEEKDAY(TODAY(),2)+1,Q549&lt;TODAY()),"SIM","NÃO")</f>
        <v>NÃO</v>
      </c>
    </row>
    <row r="550" spans="1:18" hidden="1">
      <c r="A550" t="s">
        <v>378</v>
      </c>
      <c r="B550" t="s">
        <v>137</v>
      </c>
      <c r="C550">
        <v>300000000</v>
      </c>
      <c r="D550">
        <v>0</v>
      </c>
      <c r="E550" t="s">
        <v>45</v>
      </c>
      <c r="F550" t="s">
        <v>145</v>
      </c>
      <c r="G550">
        <v>1</v>
      </c>
      <c r="H550" t="s">
        <v>22</v>
      </c>
      <c r="I550" t="s">
        <v>23</v>
      </c>
      <c r="J550" s="3" t="s">
        <v>1700</v>
      </c>
      <c r="K550" s="11">
        <v>46176.695567129631</v>
      </c>
      <c r="M550">
        <v>576</v>
      </c>
      <c r="N550" t="s">
        <v>878</v>
      </c>
      <c r="P550" t="s">
        <v>1701</v>
      </c>
      <c r="Q550" s="10">
        <f>INT(Tabela1[[#This Row],[DATA]])</f>
        <v>46176</v>
      </c>
      <c r="R550" s="14" t="str">
        <f ca="1">IF(AND(Q550&gt;=TODAY()-WEEKDAY(TODAY(),2)+1,Q550&lt;TODAY()),"SIM","NÃO")</f>
        <v>NÃO</v>
      </c>
    </row>
    <row r="551" spans="1:18" hidden="1">
      <c r="A551" t="s">
        <v>94</v>
      </c>
      <c r="B551" t="s">
        <v>95</v>
      </c>
      <c r="C551">
        <v>300248762</v>
      </c>
      <c r="D551">
        <v>16247388</v>
      </c>
      <c r="E551" t="s">
        <v>37</v>
      </c>
      <c r="F551" t="s">
        <v>177</v>
      </c>
      <c r="G551">
        <v>375</v>
      </c>
      <c r="H551" t="s">
        <v>39</v>
      </c>
      <c r="I551" t="s">
        <v>23</v>
      </c>
      <c r="J551" s="3" t="s">
        <v>1702</v>
      </c>
      <c r="K551" s="11">
        <v>46176.695613425924</v>
      </c>
      <c r="M551">
        <v>577</v>
      </c>
      <c r="N551" t="s">
        <v>878</v>
      </c>
      <c r="P551" t="s">
        <v>1703</v>
      </c>
      <c r="Q551" s="10">
        <f>INT(Tabela1[[#This Row],[DATA]])</f>
        <v>46176</v>
      </c>
      <c r="R551" s="14" t="str">
        <f ca="1">IF(AND(Q551&gt;=TODAY()-WEEKDAY(TODAY(),2)+1,Q551&lt;TODAY()),"SIM","NÃO")</f>
        <v>NÃO</v>
      </c>
    </row>
    <row r="552" spans="1:18" hidden="1">
      <c r="A552" t="s">
        <v>605</v>
      </c>
      <c r="B552" t="s">
        <v>606</v>
      </c>
      <c r="C552">
        <v>300263199</v>
      </c>
      <c r="D552">
        <v>15215539</v>
      </c>
      <c r="E552" t="s">
        <v>29</v>
      </c>
      <c r="F552" t="s">
        <v>145</v>
      </c>
      <c r="G552">
        <v>1</v>
      </c>
      <c r="H552" t="s">
        <v>1704</v>
      </c>
      <c r="I552" t="s">
        <v>23</v>
      </c>
      <c r="J552" s="3" t="s">
        <v>1705</v>
      </c>
      <c r="K552" s="11">
        <v>46176.700520833336</v>
      </c>
      <c r="M552">
        <v>578</v>
      </c>
      <c r="N552" t="s">
        <v>867</v>
      </c>
      <c r="P552" t="s">
        <v>1706</v>
      </c>
      <c r="Q552" s="10">
        <f>INT(Tabela1[[#This Row],[DATA]])</f>
        <v>46176</v>
      </c>
      <c r="R552" s="14" t="str">
        <f ca="1">IF(AND(Q552&gt;=TODAY()-WEEKDAY(TODAY(),2)+1,Q552&lt;TODAY()),"SIM","NÃO")</f>
        <v>NÃO</v>
      </c>
    </row>
    <row r="553" spans="1:18" hidden="1">
      <c r="A553" t="s">
        <v>79</v>
      </c>
      <c r="B553" t="s">
        <v>80</v>
      </c>
      <c r="C553">
        <v>300265099</v>
      </c>
      <c r="D553">
        <v>15128288</v>
      </c>
      <c r="E553" t="s">
        <v>29</v>
      </c>
      <c r="F553" t="s">
        <v>525</v>
      </c>
      <c r="G553">
        <v>190</v>
      </c>
      <c r="H553" t="s">
        <v>22</v>
      </c>
      <c r="I553" t="s">
        <v>23</v>
      </c>
      <c r="J553" s="3"/>
      <c r="K553" s="11">
        <v>46176.752754629626</v>
      </c>
      <c r="M553">
        <v>579</v>
      </c>
      <c r="N553" t="s">
        <v>867</v>
      </c>
      <c r="P553" t="s">
        <v>1707</v>
      </c>
      <c r="Q553" s="10">
        <f>INT(Tabela1[[#This Row],[DATA]])</f>
        <v>46176</v>
      </c>
      <c r="R553" s="14" t="str">
        <f ca="1">IF(AND(Q553&gt;=TODAY()-WEEKDAY(TODAY(),2)+1,Q553&lt;TODAY()),"SIM","NÃO")</f>
        <v>NÃO</v>
      </c>
    </row>
    <row r="554" spans="1:18" hidden="1">
      <c r="A554" t="s">
        <v>428</v>
      </c>
      <c r="B554" t="s">
        <v>429</v>
      </c>
      <c r="C554">
        <v>300268617</v>
      </c>
      <c r="D554">
        <v>16226852</v>
      </c>
      <c r="E554" t="s">
        <v>29</v>
      </c>
      <c r="F554" t="s">
        <v>259</v>
      </c>
      <c r="G554">
        <v>10</v>
      </c>
      <c r="H554" t="s">
        <v>22</v>
      </c>
      <c r="I554" t="s">
        <v>23</v>
      </c>
      <c r="J554" s="3"/>
      <c r="K554" s="11">
        <v>46176.809664351851</v>
      </c>
      <c r="M554">
        <v>580</v>
      </c>
      <c r="N554" t="s">
        <v>867</v>
      </c>
      <c r="P554" t="s">
        <v>1708</v>
      </c>
      <c r="Q554" s="10">
        <f>INT(Tabela1[[#This Row],[DATA]])</f>
        <v>46176</v>
      </c>
      <c r="R554" s="14" t="str">
        <f ca="1">IF(AND(Q554&gt;=TODAY()-WEEKDAY(TODAY(),2)+1,Q554&lt;TODAY()),"SIM","NÃO")</f>
        <v>NÃO</v>
      </c>
    </row>
    <row r="555" spans="1:18" hidden="1">
      <c r="A555" t="s">
        <v>313</v>
      </c>
      <c r="B555" t="s">
        <v>314</v>
      </c>
      <c r="C555">
        <v>300263352</v>
      </c>
      <c r="D555">
        <v>16099605</v>
      </c>
      <c r="E555" t="s">
        <v>45</v>
      </c>
      <c r="F555" t="s">
        <v>1709</v>
      </c>
      <c r="G555">
        <v>22</v>
      </c>
      <c r="H555" t="s">
        <v>1710</v>
      </c>
      <c r="I555" t="s">
        <v>23</v>
      </c>
      <c r="J555" s="3" t="s">
        <v>1711</v>
      </c>
      <c r="K555" s="11">
        <v>46177.311145833337</v>
      </c>
      <c r="M555">
        <v>581</v>
      </c>
      <c r="N555" t="s">
        <v>867</v>
      </c>
      <c r="P555" t="s">
        <v>1712</v>
      </c>
      <c r="Q555" s="10">
        <f>INT(Tabela1[[#This Row],[DATA]])</f>
        <v>46177</v>
      </c>
      <c r="R555" s="14" t="str">
        <f ca="1">IF(AND(Q555&gt;=TODAY()-WEEKDAY(TODAY(),2)+1,Q555&lt;TODAY()),"SIM","NÃO")</f>
        <v>NÃO</v>
      </c>
    </row>
    <row r="556" spans="1:18" hidden="1">
      <c r="A556" t="s">
        <v>143</v>
      </c>
      <c r="B556" t="s">
        <v>144</v>
      </c>
      <c r="C556">
        <v>300262633</v>
      </c>
      <c r="D556">
        <v>16320034</v>
      </c>
      <c r="E556" t="s">
        <v>45</v>
      </c>
      <c r="F556" t="s">
        <v>1287</v>
      </c>
      <c r="G556">
        <v>10</v>
      </c>
      <c r="H556" t="s">
        <v>644</v>
      </c>
      <c r="I556" t="s">
        <v>23</v>
      </c>
      <c r="J556" s="3"/>
      <c r="K556" s="11">
        <v>46177.321817129632</v>
      </c>
      <c r="M556">
        <v>582</v>
      </c>
      <c r="N556" t="s">
        <v>878</v>
      </c>
      <c r="P556" t="s">
        <v>1713</v>
      </c>
      <c r="Q556" s="10">
        <f>INT(Tabela1[[#This Row],[DATA]])</f>
        <v>46177</v>
      </c>
      <c r="R556" s="14" t="str">
        <f ca="1">IF(AND(Q556&gt;=TODAY()-WEEKDAY(TODAY(),2)+1,Q556&lt;TODAY()),"SIM","NÃO")</f>
        <v>NÃO</v>
      </c>
    </row>
    <row r="557" spans="1:18" hidden="1">
      <c r="A557" t="s">
        <v>143</v>
      </c>
      <c r="B557" t="s">
        <v>144</v>
      </c>
      <c r="C557">
        <v>300262633</v>
      </c>
      <c r="D557">
        <v>16320034</v>
      </c>
      <c r="E557" t="s">
        <v>45</v>
      </c>
      <c r="F557" t="s">
        <v>1287</v>
      </c>
      <c r="G557">
        <v>10</v>
      </c>
      <c r="H557" t="s">
        <v>644</v>
      </c>
      <c r="I557" t="s">
        <v>23</v>
      </c>
      <c r="J557" s="3"/>
      <c r="K557" s="11">
        <v>46177.322581018518</v>
      </c>
      <c r="M557">
        <v>583</v>
      </c>
      <c r="N557" t="s">
        <v>878</v>
      </c>
      <c r="P557" t="s">
        <v>1714</v>
      </c>
      <c r="Q557" s="10">
        <f>INT(Tabela1[[#This Row],[DATA]])</f>
        <v>46177</v>
      </c>
      <c r="R557" s="14" t="str">
        <f ca="1">IF(AND(Q557&gt;=TODAY()-WEEKDAY(TODAY(),2)+1,Q557&lt;TODAY()),"SIM","NÃO")</f>
        <v>NÃO</v>
      </c>
    </row>
    <row r="558" spans="1:18" hidden="1">
      <c r="A558" t="s">
        <v>253</v>
      </c>
      <c r="B558" t="s">
        <v>254</v>
      </c>
      <c r="C558">
        <v>300268567</v>
      </c>
      <c r="D558">
        <v>16441630</v>
      </c>
      <c r="E558" t="s">
        <v>45</v>
      </c>
      <c r="F558" t="s">
        <v>145</v>
      </c>
      <c r="G558">
        <v>2</v>
      </c>
      <c r="H558" t="s">
        <v>217</v>
      </c>
      <c r="I558" t="s">
        <v>23</v>
      </c>
      <c r="J558" s="3" t="s">
        <v>1715</v>
      </c>
      <c r="K558" s="11">
        <v>46177.322650462964</v>
      </c>
      <c r="M558">
        <v>584</v>
      </c>
      <c r="N558" t="s">
        <v>867</v>
      </c>
      <c r="P558" t="s">
        <v>1716</v>
      </c>
      <c r="Q558" s="10">
        <f>INT(Tabela1[[#This Row],[DATA]])</f>
        <v>46177</v>
      </c>
      <c r="R558" s="14" t="str">
        <f ca="1">IF(AND(Q558&gt;=TODAY()-WEEKDAY(TODAY(),2)+1,Q558&lt;TODAY()),"SIM","NÃO")</f>
        <v>NÃO</v>
      </c>
    </row>
    <row r="559" spans="1:18" hidden="1">
      <c r="A559" t="s">
        <v>387</v>
      </c>
      <c r="B559" t="s">
        <v>388</v>
      </c>
      <c r="C559">
        <v>300261053</v>
      </c>
      <c r="D559">
        <v>16492285</v>
      </c>
      <c r="E559" t="s">
        <v>37</v>
      </c>
      <c r="F559" t="s">
        <v>329</v>
      </c>
      <c r="G559">
        <v>576</v>
      </c>
      <c r="H559" t="s">
        <v>39</v>
      </c>
      <c r="I559" t="s">
        <v>23</v>
      </c>
      <c r="J559" s="3" t="s">
        <v>1717</v>
      </c>
      <c r="K559" s="11">
        <v>46177.329317129632</v>
      </c>
      <c r="M559">
        <v>585</v>
      </c>
      <c r="N559" t="s">
        <v>878</v>
      </c>
      <c r="P559" t="s">
        <v>1718</v>
      </c>
      <c r="Q559" s="10">
        <f>INT(Tabela1[[#This Row],[DATA]])</f>
        <v>46177</v>
      </c>
      <c r="R559" s="14" t="str">
        <f ca="1">IF(AND(Q559&gt;=TODAY()-WEEKDAY(TODAY(),2)+1,Q559&lt;TODAY()),"SIM","NÃO")</f>
        <v>NÃO</v>
      </c>
    </row>
    <row r="560" spans="1:18" hidden="1">
      <c r="A560" t="s">
        <v>143</v>
      </c>
      <c r="B560" t="s">
        <v>144</v>
      </c>
      <c r="C560">
        <v>300262633</v>
      </c>
      <c r="D560">
        <v>16320034</v>
      </c>
      <c r="E560" t="s">
        <v>45</v>
      </c>
      <c r="F560" t="s">
        <v>1287</v>
      </c>
      <c r="G560">
        <v>5</v>
      </c>
      <c r="H560" t="s">
        <v>39</v>
      </c>
      <c r="I560" t="s">
        <v>23</v>
      </c>
      <c r="J560" s="3"/>
      <c r="K560" s="11">
        <v>46177.33016203704</v>
      </c>
      <c r="M560">
        <v>586</v>
      </c>
      <c r="N560" t="s">
        <v>878</v>
      </c>
      <c r="P560" t="s">
        <v>1719</v>
      </c>
      <c r="Q560" s="10">
        <f>INT(Tabela1[[#This Row],[DATA]])</f>
        <v>46177</v>
      </c>
      <c r="R560" s="14" t="str">
        <f ca="1">IF(AND(Q560&gt;=TODAY()-WEEKDAY(TODAY(),2)+1,Q560&lt;TODAY()),"SIM","NÃO")</f>
        <v>NÃO</v>
      </c>
    </row>
    <row r="561" spans="1:18" hidden="1">
      <c r="A561" t="s">
        <v>130</v>
      </c>
      <c r="B561" t="s">
        <v>131</v>
      </c>
      <c r="C561">
        <v>300267465</v>
      </c>
      <c r="D561">
        <v>15252434</v>
      </c>
      <c r="E561" t="s">
        <v>37</v>
      </c>
      <c r="F561" t="s">
        <v>90</v>
      </c>
      <c r="G561">
        <v>900</v>
      </c>
      <c r="H561" t="s">
        <v>22</v>
      </c>
      <c r="I561" t="s">
        <v>23</v>
      </c>
      <c r="J561" s="3" t="s">
        <v>1720</v>
      </c>
      <c r="K561" s="11">
        <v>46177.333113425928</v>
      </c>
      <c r="M561">
        <v>587</v>
      </c>
      <c r="N561" t="s">
        <v>878</v>
      </c>
      <c r="P561" t="s">
        <v>1721</v>
      </c>
      <c r="Q561" s="10">
        <f>INT(Tabela1[[#This Row],[DATA]])</f>
        <v>46177</v>
      </c>
      <c r="R561" s="14" t="str">
        <f ca="1">IF(AND(Q561&gt;=TODAY()-WEEKDAY(TODAY(),2)+1,Q561&lt;TODAY()),"SIM","NÃO")</f>
        <v>NÃO</v>
      </c>
    </row>
    <row r="562" spans="1:18" hidden="1">
      <c r="A562" t="s">
        <v>797</v>
      </c>
      <c r="B562" t="s">
        <v>798</v>
      </c>
      <c r="C562">
        <v>300266688</v>
      </c>
      <c r="D562">
        <v>16243951</v>
      </c>
      <c r="E562" t="s">
        <v>37</v>
      </c>
      <c r="F562" t="s">
        <v>132</v>
      </c>
      <c r="G562">
        <v>756</v>
      </c>
      <c r="H562" t="s">
        <v>22</v>
      </c>
      <c r="I562" t="s">
        <v>23</v>
      </c>
      <c r="J562" s="3" t="s">
        <v>1722</v>
      </c>
      <c r="K562" s="11">
        <v>46177.393333333333</v>
      </c>
      <c r="M562">
        <v>588</v>
      </c>
      <c r="N562" t="s">
        <v>878</v>
      </c>
      <c r="P562" t="s">
        <v>1723</v>
      </c>
      <c r="Q562" s="10">
        <f>INT(Tabela1[[#This Row],[DATA]])</f>
        <v>46177</v>
      </c>
      <c r="R562" s="14" t="str">
        <f ca="1">IF(AND(Q562&gt;=TODAY()-WEEKDAY(TODAY(),2)+1,Q562&lt;TODAY()),"SIM","NÃO")</f>
        <v>NÃO</v>
      </c>
    </row>
    <row r="563" spans="1:18" hidden="1">
      <c r="A563" t="s">
        <v>595</v>
      </c>
      <c r="B563" t="s">
        <v>137</v>
      </c>
      <c r="C563">
        <v>300248760</v>
      </c>
      <c r="D563">
        <v>16247388</v>
      </c>
      <c r="E563" t="s">
        <v>37</v>
      </c>
      <c r="F563" t="s">
        <v>125</v>
      </c>
      <c r="G563">
        <v>400</v>
      </c>
      <c r="H563" t="s">
        <v>22</v>
      </c>
      <c r="I563" t="s">
        <v>23</v>
      </c>
      <c r="J563" s="3" t="s">
        <v>1724</v>
      </c>
      <c r="K563" s="11">
        <v>46177.393587962964</v>
      </c>
      <c r="M563">
        <v>589</v>
      </c>
      <c r="N563" t="s">
        <v>867</v>
      </c>
      <c r="P563" t="s">
        <v>1725</v>
      </c>
      <c r="Q563" s="10">
        <f>INT(Tabela1[[#This Row],[DATA]])</f>
        <v>46177</v>
      </c>
      <c r="R563" s="14" t="str">
        <f ca="1">IF(AND(Q563&gt;=TODAY()-WEEKDAY(TODAY(),2)+1,Q563&lt;TODAY()),"SIM","NÃO")</f>
        <v>NÃO</v>
      </c>
    </row>
    <row r="564" spans="1:18" hidden="1">
      <c r="A564" t="s">
        <v>797</v>
      </c>
      <c r="B564" t="s">
        <v>1487</v>
      </c>
      <c r="C564">
        <v>300266688</v>
      </c>
      <c r="D564">
        <v>16243951</v>
      </c>
      <c r="E564" t="s">
        <v>37</v>
      </c>
      <c r="F564" t="s">
        <v>1427</v>
      </c>
      <c r="G564">
        <v>756</v>
      </c>
      <c r="H564" t="s">
        <v>39</v>
      </c>
      <c r="I564" t="s">
        <v>23</v>
      </c>
      <c r="J564" s="3" t="s">
        <v>1726</v>
      </c>
      <c r="K564" s="11">
        <v>46177.395578703705</v>
      </c>
      <c r="M564">
        <v>590</v>
      </c>
      <c r="N564" t="s">
        <v>878</v>
      </c>
      <c r="P564" t="s">
        <v>1727</v>
      </c>
      <c r="Q564" s="10">
        <f>INT(Tabela1[[#This Row],[DATA]])</f>
        <v>46177</v>
      </c>
      <c r="R564" s="14" t="str">
        <f ca="1">IF(AND(Q564&gt;=TODAY()-WEEKDAY(TODAY(),2)+1,Q564&lt;TODAY()),"SIM","NÃO")</f>
        <v>NÃO</v>
      </c>
    </row>
    <row r="565" spans="1:18" hidden="1">
      <c r="A565" t="s">
        <v>821</v>
      </c>
      <c r="B565" t="s">
        <v>822</v>
      </c>
      <c r="C565">
        <v>300265333</v>
      </c>
      <c r="D565">
        <v>16299213</v>
      </c>
      <c r="E565" t="s">
        <v>37</v>
      </c>
      <c r="F565" t="s">
        <v>132</v>
      </c>
      <c r="G565">
        <v>2000</v>
      </c>
      <c r="H565" t="s">
        <v>22</v>
      </c>
      <c r="I565" t="s">
        <v>23</v>
      </c>
      <c r="J565" s="3"/>
      <c r="K565" s="11">
        <v>46177.399247685185</v>
      </c>
      <c r="M565">
        <v>591</v>
      </c>
      <c r="N565" t="s">
        <v>878</v>
      </c>
      <c r="P565" t="s">
        <v>1728</v>
      </c>
      <c r="Q565" s="10">
        <f>INT(Tabela1[[#This Row],[DATA]])</f>
        <v>46177</v>
      </c>
      <c r="R565" s="14" t="str">
        <f ca="1">IF(AND(Q565&gt;=TODAY()-WEEKDAY(TODAY(),2)+1,Q565&lt;TODAY()),"SIM","NÃO")</f>
        <v>NÃO</v>
      </c>
    </row>
    <row r="566" spans="1:18" hidden="1">
      <c r="A566" t="s">
        <v>797</v>
      </c>
      <c r="B566" t="s">
        <v>1729</v>
      </c>
      <c r="C566">
        <v>300265942</v>
      </c>
      <c r="D566">
        <v>16473370</v>
      </c>
      <c r="E566" t="s">
        <v>45</v>
      </c>
      <c r="F566" t="s">
        <v>145</v>
      </c>
      <c r="G566">
        <v>1120</v>
      </c>
      <c r="H566" t="s">
        <v>22</v>
      </c>
      <c r="I566" t="s">
        <v>23</v>
      </c>
      <c r="J566" s="3"/>
      <c r="K566" s="11">
        <v>46177.39984953704</v>
      </c>
      <c r="M566">
        <v>592</v>
      </c>
      <c r="N566" t="s">
        <v>878</v>
      </c>
      <c r="P566" t="s">
        <v>1730</v>
      </c>
      <c r="Q566" s="10">
        <f>INT(Tabela1[[#This Row],[DATA]])</f>
        <v>46177</v>
      </c>
      <c r="R566" s="14" t="str">
        <f ca="1">IF(AND(Q566&gt;=TODAY()-WEEKDAY(TODAY(),2)+1,Q566&lt;TODAY()),"SIM","NÃO")</f>
        <v>NÃO</v>
      </c>
    </row>
    <row r="567" spans="1:18" hidden="1">
      <c r="A567" t="s">
        <v>895</v>
      </c>
      <c r="B567" t="s">
        <v>1136</v>
      </c>
      <c r="C567">
        <v>300265331</v>
      </c>
      <c r="D567">
        <v>16299213</v>
      </c>
      <c r="E567" t="s">
        <v>37</v>
      </c>
      <c r="F567" t="s">
        <v>90</v>
      </c>
      <c r="G567">
        <v>1000</v>
      </c>
      <c r="H567" t="s">
        <v>22</v>
      </c>
      <c r="I567" t="s">
        <v>23</v>
      </c>
      <c r="J567" s="3"/>
      <c r="K567" s="11">
        <v>46177.407997685186</v>
      </c>
      <c r="M567">
        <v>593</v>
      </c>
      <c r="N567" t="s">
        <v>878</v>
      </c>
      <c r="P567" t="s">
        <v>1731</v>
      </c>
      <c r="Q567" s="10">
        <f>INT(Tabela1[[#This Row],[DATA]])</f>
        <v>46177</v>
      </c>
      <c r="R567" s="14" t="str">
        <f ca="1">IF(AND(Q567&gt;=TODAY()-WEEKDAY(TODAY(),2)+1,Q567&lt;TODAY()),"SIM","NÃO")</f>
        <v>NÃO</v>
      </c>
    </row>
    <row r="568" spans="1:18" hidden="1">
      <c r="A568" t="s">
        <v>821</v>
      </c>
      <c r="B568" t="s">
        <v>822</v>
      </c>
      <c r="C568">
        <v>300265333</v>
      </c>
      <c r="D568">
        <v>16299213</v>
      </c>
      <c r="E568" t="s">
        <v>37</v>
      </c>
      <c r="F568" t="s">
        <v>90</v>
      </c>
      <c r="G568">
        <v>2000</v>
      </c>
      <c r="H568" t="s">
        <v>22</v>
      </c>
      <c r="I568" t="s">
        <v>23</v>
      </c>
      <c r="J568" s="3" t="s">
        <v>1732</v>
      </c>
      <c r="K568" s="11">
        <v>46177.409814814811</v>
      </c>
      <c r="M568">
        <v>594</v>
      </c>
      <c r="N568" t="s">
        <v>878</v>
      </c>
      <c r="P568" t="s">
        <v>1733</v>
      </c>
      <c r="Q568" s="10">
        <f>INT(Tabela1[[#This Row],[DATA]])</f>
        <v>46177</v>
      </c>
      <c r="R568" s="14" t="str">
        <f ca="1">IF(AND(Q568&gt;=TODAY()-WEEKDAY(TODAY(),2)+1,Q568&lt;TODAY()),"SIM","NÃO")</f>
        <v>NÃO</v>
      </c>
    </row>
    <row r="569" spans="1:18" hidden="1">
      <c r="A569" t="s">
        <v>305</v>
      </c>
      <c r="B569" t="s">
        <v>306</v>
      </c>
      <c r="C569">
        <v>300265823</v>
      </c>
      <c r="D569">
        <v>16482395</v>
      </c>
      <c r="E569" t="s">
        <v>37</v>
      </c>
      <c r="F569" t="s">
        <v>132</v>
      </c>
      <c r="G569">
        <v>0</v>
      </c>
      <c r="H569" t="s">
        <v>39</v>
      </c>
      <c r="I569" t="s">
        <v>23</v>
      </c>
      <c r="J569" s="3" t="s">
        <v>132</v>
      </c>
      <c r="K569" s="11">
        <v>46177.425879629627</v>
      </c>
      <c r="M569">
        <v>595</v>
      </c>
      <c r="N569" t="s">
        <v>878</v>
      </c>
      <c r="P569" t="s">
        <v>1734</v>
      </c>
      <c r="Q569" s="10">
        <f>INT(Tabela1[[#This Row],[DATA]])</f>
        <v>46177</v>
      </c>
      <c r="R569" s="14" t="str">
        <f ca="1">IF(AND(Q569&gt;=TODAY()-WEEKDAY(TODAY(),2)+1,Q569&lt;TODAY()),"SIM","NÃO")</f>
        <v>NÃO</v>
      </c>
    </row>
    <row r="570" spans="1:18" hidden="1">
      <c r="A570" t="s">
        <v>797</v>
      </c>
      <c r="B570" t="s">
        <v>798</v>
      </c>
      <c r="C570">
        <v>300265942</v>
      </c>
      <c r="D570">
        <v>16473370</v>
      </c>
      <c r="E570" t="s">
        <v>45</v>
      </c>
      <c r="F570" t="s">
        <v>64</v>
      </c>
      <c r="G570">
        <v>1.1200000000000001</v>
      </c>
      <c r="H570" t="s">
        <v>39</v>
      </c>
      <c r="I570" t="s">
        <v>23</v>
      </c>
      <c r="J570" s="3"/>
      <c r="K570" s="11">
        <v>46177.425949074073</v>
      </c>
      <c r="M570">
        <v>596</v>
      </c>
      <c r="N570" t="s">
        <v>878</v>
      </c>
      <c r="P570" t="s">
        <v>1735</v>
      </c>
      <c r="Q570" s="10">
        <f>INT(Tabela1[[#This Row],[DATA]])</f>
        <v>46177</v>
      </c>
      <c r="R570" s="14" t="str">
        <f ca="1">IF(AND(Q570&gt;=TODAY()-WEEKDAY(TODAY(),2)+1,Q570&lt;TODAY()),"SIM","NÃO")</f>
        <v>NÃO</v>
      </c>
    </row>
    <row r="571" spans="1:18" hidden="1">
      <c r="A571" t="s">
        <v>685</v>
      </c>
      <c r="B571" t="s">
        <v>95</v>
      </c>
      <c r="C571">
        <v>300248762</v>
      </c>
      <c r="D571">
        <v>16247388</v>
      </c>
      <c r="E571" t="s">
        <v>37</v>
      </c>
      <c r="F571" t="s">
        <v>177</v>
      </c>
      <c r="G571">
        <v>300</v>
      </c>
      <c r="H571" t="s">
        <v>39</v>
      </c>
      <c r="I571" t="s">
        <v>23</v>
      </c>
      <c r="J571" s="3" t="s">
        <v>1736</v>
      </c>
      <c r="K571" s="11">
        <v>46177.439502314817</v>
      </c>
      <c r="M571">
        <v>597</v>
      </c>
      <c r="N571" t="s">
        <v>878</v>
      </c>
      <c r="P571" t="s">
        <v>1737</v>
      </c>
      <c r="Q571" s="10">
        <f>INT(Tabela1[[#This Row],[DATA]])</f>
        <v>46177</v>
      </c>
      <c r="R571" s="14" t="str">
        <f ca="1">IF(AND(Q571&gt;=TODAY()-WEEKDAY(TODAY(),2)+1,Q571&lt;TODAY()),"SIM","NÃO")</f>
        <v>NÃO</v>
      </c>
    </row>
    <row r="572" spans="1:18" hidden="1">
      <c r="A572" t="s">
        <v>685</v>
      </c>
      <c r="B572" t="s">
        <v>95</v>
      </c>
      <c r="C572">
        <v>300248762</v>
      </c>
      <c r="D572">
        <v>16247388</v>
      </c>
      <c r="E572" t="s">
        <v>37</v>
      </c>
      <c r="F572" t="s">
        <v>177</v>
      </c>
      <c r="G572">
        <v>375</v>
      </c>
      <c r="H572" t="s">
        <v>39</v>
      </c>
      <c r="I572" t="s">
        <v>23</v>
      </c>
      <c r="J572" s="3" t="s">
        <v>1738</v>
      </c>
      <c r="K572" s="11">
        <v>46177.442650462966</v>
      </c>
      <c r="M572">
        <v>598</v>
      </c>
      <c r="N572" t="s">
        <v>878</v>
      </c>
      <c r="P572" t="s">
        <v>1739</v>
      </c>
      <c r="Q572" s="10">
        <f>INT(Tabela1[[#This Row],[DATA]])</f>
        <v>46177</v>
      </c>
      <c r="R572" s="14" t="str">
        <f ca="1">IF(AND(Q572&gt;=TODAY()-WEEKDAY(TODAY(),2)+1,Q572&lt;TODAY()),"SIM","NÃO")</f>
        <v>NÃO</v>
      </c>
    </row>
    <row r="573" spans="1:18" hidden="1">
      <c r="A573" t="s">
        <v>185</v>
      </c>
      <c r="B573" t="s">
        <v>1625</v>
      </c>
      <c r="C573">
        <v>300267376</v>
      </c>
      <c r="D573">
        <v>16450272</v>
      </c>
      <c r="E573" t="s">
        <v>37</v>
      </c>
      <c r="F573" t="s">
        <v>1137</v>
      </c>
      <c r="G573">
        <v>56</v>
      </c>
      <c r="H573" t="s">
        <v>217</v>
      </c>
      <c r="I573" t="s">
        <v>23</v>
      </c>
      <c r="J573" s="3" t="s">
        <v>1740</v>
      </c>
      <c r="K573" s="11">
        <v>46177.445254629631</v>
      </c>
      <c r="M573">
        <v>599</v>
      </c>
      <c r="N573" t="s">
        <v>867</v>
      </c>
      <c r="P573" t="s">
        <v>1741</v>
      </c>
      <c r="Q573" s="10">
        <f>INT(Tabela1[[#This Row],[DATA]])</f>
        <v>46177</v>
      </c>
      <c r="R573" s="14" t="str">
        <f ca="1">IF(AND(Q573&gt;=TODAY()-WEEKDAY(TODAY(),2)+1,Q573&lt;TODAY()),"SIM","NÃO")</f>
        <v>NÃO</v>
      </c>
    </row>
    <row r="574" spans="1:18" hidden="1">
      <c r="A574" t="s">
        <v>807</v>
      </c>
      <c r="B574" t="s">
        <v>808</v>
      </c>
      <c r="C574">
        <v>300267524</v>
      </c>
      <c r="D574">
        <v>16223780</v>
      </c>
      <c r="E574" t="s">
        <v>45</v>
      </c>
      <c r="F574" t="s">
        <v>151</v>
      </c>
      <c r="G574">
        <v>392</v>
      </c>
      <c r="H574" t="s">
        <v>39</v>
      </c>
      <c r="I574" t="s">
        <v>262</v>
      </c>
      <c r="J574" s="3" t="s">
        <v>1742</v>
      </c>
      <c r="K574" s="11">
        <v>46177.457997685182</v>
      </c>
      <c r="M574">
        <v>600</v>
      </c>
      <c r="N574" t="s">
        <v>867</v>
      </c>
      <c r="P574" t="s">
        <v>1743</v>
      </c>
      <c r="Q574" s="10">
        <f>INT(Tabela1[[#This Row],[DATA]])</f>
        <v>46177</v>
      </c>
      <c r="R574" s="14" t="str">
        <f ca="1">IF(AND(Q574&gt;=TODAY()-WEEKDAY(TODAY(),2)+1,Q574&lt;TODAY()),"SIM","NÃO")</f>
        <v>NÃO</v>
      </c>
    </row>
    <row r="575" spans="1:18" hidden="1">
      <c r="A575" t="s">
        <v>136</v>
      </c>
      <c r="B575" t="s">
        <v>137</v>
      </c>
      <c r="C575">
        <v>300248449</v>
      </c>
      <c r="D575">
        <v>16323491</v>
      </c>
      <c r="E575" t="s">
        <v>45</v>
      </c>
      <c r="F575" t="s">
        <v>187</v>
      </c>
      <c r="G575">
        <v>300</v>
      </c>
      <c r="H575" t="s">
        <v>217</v>
      </c>
      <c r="I575" t="s">
        <v>23</v>
      </c>
      <c r="J575" s="3" t="s">
        <v>1744</v>
      </c>
      <c r="K575" s="11">
        <v>46177.460590277777</v>
      </c>
      <c r="M575">
        <v>601</v>
      </c>
      <c r="N575" t="s">
        <v>867</v>
      </c>
      <c r="P575" t="s">
        <v>1745</v>
      </c>
      <c r="Q575" s="10">
        <f>INT(Tabela1[[#This Row],[DATA]])</f>
        <v>46177</v>
      </c>
      <c r="R575" s="14" t="str">
        <f ca="1">IF(AND(Q575&gt;=TODAY()-WEEKDAY(TODAY(),2)+1,Q575&lt;TODAY()),"SIM","NÃO")</f>
        <v>NÃO</v>
      </c>
    </row>
    <row r="576" spans="1:18" hidden="1">
      <c r="A576" t="s">
        <v>118</v>
      </c>
      <c r="B576" t="s">
        <v>119</v>
      </c>
      <c r="C576">
        <v>300265360</v>
      </c>
      <c r="D576">
        <v>16474120</v>
      </c>
      <c r="E576" t="s">
        <v>37</v>
      </c>
      <c r="F576" t="s">
        <v>151</v>
      </c>
      <c r="G576">
        <v>16</v>
      </c>
      <c r="H576" t="s">
        <v>1746</v>
      </c>
      <c r="I576" t="s">
        <v>23</v>
      </c>
      <c r="J576" s="3" t="s">
        <v>1747</v>
      </c>
      <c r="K576" s="11">
        <v>46177.483865740738</v>
      </c>
      <c r="M576">
        <v>602</v>
      </c>
      <c r="N576" t="s">
        <v>867</v>
      </c>
      <c r="P576" t="s">
        <v>1748</v>
      </c>
      <c r="Q576" s="10">
        <f>INT(Tabela1[[#This Row],[DATA]])</f>
        <v>46177</v>
      </c>
      <c r="R576" s="14" t="str">
        <f ca="1">IF(AND(Q576&gt;=TODAY()-WEEKDAY(TODAY(),2)+1,Q576&lt;TODAY()),"SIM","NÃO")</f>
        <v>NÃO</v>
      </c>
    </row>
    <row r="577" spans="1:18" hidden="1">
      <c r="A577" t="s">
        <v>755</v>
      </c>
      <c r="B577" t="s">
        <v>756</v>
      </c>
      <c r="C577">
        <v>300264839</v>
      </c>
      <c r="D577">
        <v>16444620</v>
      </c>
      <c r="E577" t="s">
        <v>37</v>
      </c>
      <c r="F577" t="s">
        <v>221</v>
      </c>
      <c r="G577">
        <v>1120</v>
      </c>
      <c r="H577" t="s">
        <v>39</v>
      </c>
      <c r="I577" t="s">
        <v>23</v>
      </c>
      <c r="J577" s="3" t="s">
        <v>1749</v>
      </c>
      <c r="K577" s="11">
        <v>46177.485439814816</v>
      </c>
      <c r="M577">
        <v>603</v>
      </c>
      <c r="N577" t="s">
        <v>878</v>
      </c>
      <c r="P577" t="s">
        <v>1750</v>
      </c>
      <c r="Q577" s="10">
        <f>INT(Tabela1[[#This Row],[DATA]])</f>
        <v>46177</v>
      </c>
      <c r="R577" s="14" t="str">
        <f ca="1">IF(AND(Q577&gt;=TODAY()-WEEKDAY(TODAY(),2)+1,Q577&lt;TODAY()),"SIM","NÃO")</f>
        <v>NÃO</v>
      </c>
    </row>
    <row r="578" spans="1:18" hidden="1">
      <c r="A578" t="s">
        <v>163</v>
      </c>
      <c r="B578" t="s">
        <v>164</v>
      </c>
      <c r="C578">
        <v>300267149</v>
      </c>
      <c r="D578">
        <v>15128288</v>
      </c>
      <c r="E578" t="s">
        <v>29</v>
      </c>
      <c r="F578" t="s">
        <v>430</v>
      </c>
      <c r="G578">
        <v>352</v>
      </c>
      <c r="H578" t="s">
        <v>22</v>
      </c>
      <c r="I578" t="s">
        <v>23</v>
      </c>
      <c r="J578" s="3" t="s">
        <v>1751</v>
      </c>
      <c r="K578" s="11">
        <v>46177.52648148148</v>
      </c>
      <c r="M578">
        <v>604</v>
      </c>
      <c r="N578" t="s">
        <v>878</v>
      </c>
      <c r="P578" t="s">
        <v>1752</v>
      </c>
      <c r="Q578" s="10">
        <f>INT(Tabela1[[#This Row],[DATA]])</f>
        <v>46177</v>
      </c>
      <c r="R578" s="14" t="str">
        <f ca="1">IF(AND(Q578&gt;=TODAY()-WEEKDAY(TODAY(),2)+1,Q578&lt;TODAY()),"SIM","NÃO")</f>
        <v>NÃO</v>
      </c>
    </row>
    <row r="579" spans="1:18" hidden="1">
      <c r="A579" t="s">
        <v>605</v>
      </c>
      <c r="B579" t="s">
        <v>606</v>
      </c>
      <c r="C579">
        <v>300268619</v>
      </c>
      <c r="D579">
        <v>15773485</v>
      </c>
      <c r="E579" t="s">
        <v>37</v>
      </c>
      <c r="F579" t="s">
        <v>38</v>
      </c>
      <c r="G579">
        <v>80</v>
      </c>
      <c r="H579" t="s">
        <v>22</v>
      </c>
      <c r="I579" t="s">
        <v>23</v>
      </c>
      <c r="J579" s="3" t="s">
        <v>1753</v>
      </c>
      <c r="K579" s="11">
        <v>46177.534467592595</v>
      </c>
      <c r="M579">
        <v>605</v>
      </c>
      <c r="N579" t="s">
        <v>867</v>
      </c>
      <c r="P579" t="s">
        <v>1754</v>
      </c>
      <c r="Q579" s="10">
        <f>INT(Tabela1[[#This Row],[DATA]])</f>
        <v>46177</v>
      </c>
      <c r="R579" s="14" t="str">
        <f ca="1">IF(AND(Q579&gt;=TODAY()-WEEKDAY(TODAY(),2)+1,Q579&lt;TODAY()),"SIM","NÃO")</f>
        <v>NÃO</v>
      </c>
    </row>
    <row r="580" spans="1:18" hidden="1">
      <c r="A580" t="s">
        <v>118</v>
      </c>
      <c r="B580" t="s">
        <v>119</v>
      </c>
      <c r="C580">
        <v>300268035</v>
      </c>
      <c r="D580">
        <v>16508203</v>
      </c>
      <c r="E580" t="s">
        <v>37</v>
      </c>
      <c r="F580" t="s">
        <v>769</v>
      </c>
      <c r="G580">
        <v>1.139</v>
      </c>
      <c r="H580" t="s">
        <v>57</v>
      </c>
      <c r="I580" t="s">
        <v>23</v>
      </c>
      <c r="J580" s="3" t="s">
        <v>1755</v>
      </c>
      <c r="K580" s="11">
        <v>46177.543958333335</v>
      </c>
      <c r="M580">
        <v>606</v>
      </c>
      <c r="N580" t="s">
        <v>878</v>
      </c>
      <c r="P580" t="s">
        <v>1756</v>
      </c>
      <c r="Q580" s="10">
        <f>INT(Tabela1[[#This Row],[DATA]])</f>
        <v>46177</v>
      </c>
      <c r="R580" s="14" t="str">
        <f ca="1">IF(AND(Q580&gt;=TODAY()-WEEKDAY(TODAY(),2)+1,Q580&lt;TODAY()),"SIM","NÃO")</f>
        <v>NÃO</v>
      </c>
    </row>
    <row r="581" spans="1:18" hidden="1">
      <c r="A581" t="s">
        <v>332</v>
      </c>
      <c r="B581" t="s">
        <v>690</v>
      </c>
      <c r="C581">
        <v>300266450</v>
      </c>
      <c r="D581">
        <v>16099605</v>
      </c>
      <c r="E581" t="s">
        <v>45</v>
      </c>
      <c r="F581" t="s">
        <v>96</v>
      </c>
      <c r="G581">
        <v>50</v>
      </c>
      <c r="H581" t="s">
        <v>22</v>
      </c>
      <c r="I581" t="s">
        <v>23</v>
      </c>
      <c r="J581" s="3" t="s">
        <v>1757</v>
      </c>
      <c r="K581" s="11">
        <v>46177.566307870373</v>
      </c>
      <c r="M581">
        <v>607</v>
      </c>
      <c r="N581" t="s">
        <v>867</v>
      </c>
      <c r="P581" t="s">
        <v>1758</v>
      </c>
      <c r="Q581" s="10">
        <f>INT(Tabela1[[#This Row],[DATA]])</f>
        <v>46177</v>
      </c>
      <c r="R581" s="14" t="str">
        <f ca="1">IF(AND(Q581&gt;=TODAY()-WEEKDAY(TODAY(),2)+1,Q581&lt;TODAY()),"SIM","NÃO")</f>
        <v>NÃO</v>
      </c>
    </row>
    <row r="582" spans="1:18" hidden="1">
      <c r="A582" t="s">
        <v>332</v>
      </c>
      <c r="B582" t="s">
        <v>690</v>
      </c>
      <c r="C582">
        <v>300267510</v>
      </c>
      <c r="D582">
        <v>16290798</v>
      </c>
      <c r="E582" t="s">
        <v>45</v>
      </c>
      <c r="F582" t="s">
        <v>187</v>
      </c>
      <c r="G582">
        <v>500</v>
      </c>
      <c r="H582" t="s">
        <v>22</v>
      </c>
      <c r="I582" t="s">
        <v>23</v>
      </c>
      <c r="J582" s="3"/>
      <c r="K582" s="11">
        <v>46177.567395833335</v>
      </c>
      <c r="M582">
        <v>608</v>
      </c>
      <c r="N582" t="s">
        <v>867</v>
      </c>
      <c r="P582" t="s">
        <v>1759</v>
      </c>
      <c r="Q582" s="10">
        <f>INT(Tabela1[[#This Row],[DATA]])</f>
        <v>46177</v>
      </c>
      <c r="R582" s="14" t="str">
        <f ca="1">IF(AND(Q582&gt;=TODAY()-WEEKDAY(TODAY(),2)+1,Q582&lt;TODAY()),"SIM","NÃO")</f>
        <v>NÃO</v>
      </c>
    </row>
    <row r="583" spans="1:18" hidden="1">
      <c r="A583" t="s">
        <v>68</v>
      </c>
      <c r="B583" t="s">
        <v>69</v>
      </c>
      <c r="C583">
        <v>300254531</v>
      </c>
      <c r="D583">
        <v>15412326</v>
      </c>
      <c r="E583" t="s">
        <v>45</v>
      </c>
      <c r="F583" t="s">
        <v>1760</v>
      </c>
      <c r="G583">
        <v>148</v>
      </c>
      <c r="H583" t="s">
        <v>22</v>
      </c>
      <c r="I583" t="s">
        <v>23</v>
      </c>
      <c r="J583" s="3" t="s">
        <v>1761</v>
      </c>
      <c r="K583" s="11">
        <v>46177.591365740744</v>
      </c>
      <c r="M583">
        <v>609</v>
      </c>
      <c r="N583" t="s">
        <v>867</v>
      </c>
      <c r="P583" t="s">
        <v>1762</v>
      </c>
      <c r="Q583" s="10">
        <f>INT(Tabela1[[#This Row],[DATA]])</f>
        <v>46177</v>
      </c>
      <c r="R583" s="14" t="str">
        <f ca="1">IF(AND(Q583&gt;=TODAY()-WEEKDAY(TODAY(),2)+1,Q583&lt;TODAY()),"SIM","NÃO")</f>
        <v>NÃO</v>
      </c>
    </row>
    <row r="584" spans="1:18" hidden="1">
      <c r="A584" t="s">
        <v>497</v>
      </c>
      <c r="B584" t="s">
        <v>498</v>
      </c>
      <c r="C584">
        <v>300268132</v>
      </c>
      <c r="D584">
        <v>16443004</v>
      </c>
      <c r="E584" t="s">
        <v>29</v>
      </c>
      <c r="F584" t="s">
        <v>187</v>
      </c>
      <c r="G584">
        <v>942</v>
      </c>
      <c r="H584" t="s">
        <v>39</v>
      </c>
      <c r="I584" t="s">
        <v>23</v>
      </c>
      <c r="J584" s="3"/>
      <c r="K584" s="11">
        <v>46177.601331018515</v>
      </c>
      <c r="M584">
        <v>610</v>
      </c>
      <c r="N584" t="s">
        <v>878</v>
      </c>
      <c r="P584" t="s">
        <v>1763</v>
      </c>
      <c r="Q584" s="10">
        <f>INT(Tabela1[[#This Row],[DATA]])</f>
        <v>46177</v>
      </c>
      <c r="R584" s="14" t="str">
        <f ca="1">IF(AND(Q584&gt;=TODAY()-WEEKDAY(TODAY(),2)+1,Q584&lt;TODAY()),"SIM","NÃO")</f>
        <v>NÃO</v>
      </c>
    </row>
    <row r="585" spans="1:18" hidden="1">
      <c r="A585" t="s">
        <v>497</v>
      </c>
      <c r="B585" t="s">
        <v>498</v>
      </c>
      <c r="C585">
        <v>300270687</v>
      </c>
      <c r="D585">
        <v>15215539</v>
      </c>
      <c r="E585" t="s">
        <v>29</v>
      </c>
      <c r="F585" t="s">
        <v>598</v>
      </c>
      <c r="G585">
        <v>1096</v>
      </c>
      <c r="H585" t="s">
        <v>39</v>
      </c>
      <c r="I585" t="s">
        <v>23</v>
      </c>
      <c r="J585" s="3"/>
      <c r="K585" s="11">
        <v>46177.602453703701</v>
      </c>
      <c r="M585">
        <v>611</v>
      </c>
      <c r="N585" t="s">
        <v>878</v>
      </c>
      <c r="P585" t="s">
        <v>1764</v>
      </c>
      <c r="Q585" s="10">
        <f>INT(Tabela1[[#This Row],[DATA]])</f>
        <v>46177</v>
      </c>
      <c r="R585" s="14" t="str">
        <f ca="1">IF(AND(Q585&gt;=TODAY()-WEEKDAY(TODAY(),2)+1,Q585&lt;TODAY()),"SIM","NÃO")</f>
        <v>NÃO</v>
      </c>
    </row>
    <row r="586" spans="1:18" hidden="1">
      <c r="A586" t="s">
        <v>73</v>
      </c>
      <c r="B586" t="s">
        <v>74</v>
      </c>
      <c r="C586">
        <v>300262896</v>
      </c>
      <c r="D586">
        <v>15497402</v>
      </c>
      <c r="E586" t="s">
        <v>45</v>
      </c>
      <c r="F586" t="s">
        <v>187</v>
      </c>
      <c r="G586">
        <v>400</v>
      </c>
      <c r="H586" t="s">
        <v>22</v>
      </c>
      <c r="I586" t="s">
        <v>23</v>
      </c>
      <c r="J586" s="3" t="s">
        <v>1765</v>
      </c>
      <c r="K586" s="11">
        <v>46177.616643518515</v>
      </c>
      <c r="M586">
        <v>612</v>
      </c>
      <c r="N586" t="s">
        <v>867</v>
      </c>
      <c r="P586" t="s">
        <v>1766</v>
      </c>
      <c r="Q586" s="10">
        <f>INT(Tabela1[[#This Row],[DATA]])</f>
        <v>46177</v>
      </c>
      <c r="R586" s="14" t="str">
        <f ca="1">IF(AND(Q586&gt;=TODAY()-WEEKDAY(TODAY(),2)+1,Q586&lt;TODAY()),"SIM","NÃO")</f>
        <v>NÃO</v>
      </c>
    </row>
    <row r="587" spans="1:18" hidden="1">
      <c r="A587" t="s">
        <v>1175</v>
      </c>
      <c r="B587" t="s">
        <v>1767</v>
      </c>
      <c r="C587">
        <v>300267245</v>
      </c>
      <c r="D587">
        <v>16508971</v>
      </c>
      <c r="E587" t="s">
        <v>37</v>
      </c>
      <c r="F587" t="s">
        <v>769</v>
      </c>
      <c r="G587">
        <v>856</v>
      </c>
      <c r="H587" t="s">
        <v>1768</v>
      </c>
      <c r="I587" t="s">
        <v>23</v>
      </c>
      <c r="J587" s="3" t="s">
        <v>1769</v>
      </c>
      <c r="K587" s="11">
        <v>46177.643576388888</v>
      </c>
      <c r="M587">
        <v>613</v>
      </c>
      <c r="N587" t="s">
        <v>878</v>
      </c>
      <c r="P587" t="s">
        <v>1770</v>
      </c>
      <c r="Q587" s="10">
        <f>INT(Tabela1[[#This Row],[DATA]])</f>
        <v>46177</v>
      </c>
      <c r="R587" s="14" t="str">
        <f ca="1">IF(AND(Q587&gt;=TODAY()-WEEKDAY(TODAY(),2)+1,Q587&lt;TODAY()),"SIM","NÃO")</f>
        <v>NÃO</v>
      </c>
    </row>
    <row r="588" spans="1:18" hidden="1">
      <c r="A588" t="s">
        <v>605</v>
      </c>
      <c r="B588" t="s">
        <v>606</v>
      </c>
      <c r="C588">
        <v>300263199</v>
      </c>
      <c r="D588">
        <v>15215539</v>
      </c>
      <c r="E588" t="s">
        <v>29</v>
      </c>
      <c r="F588" t="s">
        <v>187</v>
      </c>
      <c r="G588">
        <v>5</v>
      </c>
      <c r="H588" t="s">
        <v>22</v>
      </c>
      <c r="I588" t="s">
        <v>23</v>
      </c>
      <c r="J588" s="3" t="s">
        <v>1771</v>
      </c>
      <c r="K588" s="11">
        <v>46177.651493055557</v>
      </c>
      <c r="M588">
        <v>614</v>
      </c>
      <c r="N588" t="s">
        <v>867</v>
      </c>
      <c r="P588" t="s">
        <v>1772</v>
      </c>
      <c r="Q588" s="10">
        <f>INT(Tabela1[[#This Row],[DATA]])</f>
        <v>46177</v>
      </c>
      <c r="R588" s="14" t="str">
        <f ca="1">IF(AND(Q588&gt;=TODAY()-WEEKDAY(TODAY(),2)+1,Q588&lt;TODAY()),"SIM","NÃO")</f>
        <v>NÃO</v>
      </c>
    </row>
    <row r="589" spans="1:18" hidden="1">
      <c r="A589" t="s">
        <v>605</v>
      </c>
      <c r="B589" t="s">
        <v>606</v>
      </c>
      <c r="C589">
        <v>300263199</v>
      </c>
      <c r="D589">
        <v>15215539</v>
      </c>
      <c r="E589" t="s">
        <v>29</v>
      </c>
      <c r="F589" t="s">
        <v>259</v>
      </c>
      <c r="G589">
        <v>10</v>
      </c>
      <c r="H589" t="s">
        <v>22</v>
      </c>
      <c r="I589" t="s">
        <v>23</v>
      </c>
      <c r="J589" s="3" t="s">
        <v>1773</v>
      </c>
      <c r="K589" s="11">
        <v>46177.653981481482</v>
      </c>
      <c r="M589">
        <v>615</v>
      </c>
      <c r="N589" t="s">
        <v>867</v>
      </c>
      <c r="P589" t="s">
        <v>1774</v>
      </c>
      <c r="Q589" s="10">
        <f>INT(Tabela1[[#This Row],[DATA]])</f>
        <v>46177</v>
      </c>
      <c r="R589" s="14" t="str">
        <f ca="1">IF(AND(Q589&gt;=TODAY()-WEEKDAY(TODAY(),2)+1,Q589&lt;TODAY()),"SIM","NÃO")</f>
        <v>NÃO</v>
      </c>
    </row>
    <row r="590" spans="1:18" hidden="1">
      <c r="A590" t="s">
        <v>68</v>
      </c>
      <c r="B590" t="s">
        <v>69</v>
      </c>
      <c r="C590">
        <v>300261560</v>
      </c>
      <c r="D590">
        <v>16450582</v>
      </c>
      <c r="E590" t="s">
        <v>45</v>
      </c>
      <c r="F590" t="s">
        <v>145</v>
      </c>
      <c r="G590">
        <v>2</v>
      </c>
      <c r="H590" t="s">
        <v>22</v>
      </c>
      <c r="I590" t="s">
        <v>23</v>
      </c>
      <c r="J590" s="3" t="s">
        <v>1775</v>
      </c>
      <c r="K590" s="11">
        <v>46177.660277777781</v>
      </c>
      <c r="M590">
        <v>616</v>
      </c>
      <c r="N590" t="s">
        <v>867</v>
      </c>
      <c r="P590" t="s">
        <v>1776</v>
      </c>
      <c r="Q590" s="10">
        <f>INT(Tabela1[[#This Row],[DATA]])</f>
        <v>46177</v>
      </c>
      <c r="R590" s="14" t="str">
        <f ca="1">IF(AND(Q590&gt;=TODAY()-WEEKDAY(TODAY(),2)+1,Q590&lt;TODAY()),"SIM","NÃO")</f>
        <v>NÃO</v>
      </c>
    </row>
    <row r="591" spans="1:18" hidden="1">
      <c r="A591" t="s">
        <v>605</v>
      </c>
      <c r="B591" t="s">
        <v>606</v>
      </c>
      <c r="C591">
        <v>300263199</v>
      </c>
      <c r="D591">
        <v>15215539</v>
      </c>
      <c r="E591" t="s">
        <v>29</v>
      </c>
      <c r="F591" t="s">
        <v>187</v>
      </c>
      <c r="G591">
        <v>10</v>
      </c>
      <c r="H591" t="s">
        <v>22</v>
      </c>
      <c r="I591" t="s">
        <v>23</v>
      </c>
      <c r="J591" s="3" t="s">
        <v>1777</v>
      </c>
      <c r="K591" s="11">
        <v>46177.661840277775</v>
      </c>
      <c r="M591">
        <v>617</v>
      </c>
      <c r="N591" t="s">
        <v>867</v>
      </c>
      <c r="P591" t="s">
        <v>1778</v>
      </c>
      <c r="Q591" s="10">
        <f>INT(Tabela1[[#This Row],[DATA]])</f>
        <v>46177</v>
      </c>
      <c r="R591" s="14" t="str">
        <f ca="1">IF(AND(Q591&gt;=TODAY()-WEEKDAY(TODAY(),2)+1,Q591&lt;TODAY()),"SIM","NÃO")</f>
        <v>NÃO</v>
      </c>
    </row>
    <row r="592" spans="1:18" hidden="1">
      <c r="A592" t="s">
        <v>68</v>
      </c>
      <c r="B592" t="s">
        <v>69</v>
      </c>
      <c r="C592">
        <v>300261560</v>
      </c>
      <c r="D592">
        <v>16450582</v>
      </c>
      <c r="E592" t="s">
        <v>45</v>
      </c>
      <c r="F592" t="s">
        <v>145</v>
      </c>
      <c r="G592">
        <v>10</v>
      </c>
      <c r="H592" t="s">
        <v>22</v>
      </c>
      <c r="I592" t="s">
        <v>23</v>
      </c>
      <c r="J592" s="3" t="s">
        <v>1779</v>
      </c>
      <c r="K592" s="11">
        <v>46177.662534722222</v>
      </c>
      <c r="M592">
        <v>618</v>
      </c>
      <c r="N592" t="s">
        <v>867</v>
      </c>
      <c r="P592" t="s">
        <v>1780</v>
      </c>
      <c r="Q592" s="10">
        <f>INT(Tabela1[[#This Row],[DATA]])</f>
        <v>46177</v>
      </c>
      <c r="R592" s="14" t="str">
        <f ca="1">IF(AND(Q592&gt;=TODAY()-WEEKDAY(TODAY(),2)+1,Q592&lt;TODAY()),"SIM","NÃO")</f>
        <v>NÃO</v>
      </c>
    </row>
    <row r="593" spans="1:18" hidden="1">
      <c r="A593" t="s">
        <v>605</v>
      </c>
      <c r="B593" t="s">
        <v>606</v>
      </c>
      <c r="C593">
        <v>300263199</v>
      </c>
      <c r="D593">
        <v>15215539</v>
      </c>
      <c r="E593" t="s">
        <v>29</v>
      </c>
      <c r="F593" t="s">
        <v>151</v>
      </c>
      <c r="G593">
        <v>20</v>
      </c>
      <c r="H593" t="s">
        <v>22</v>
      </c>
      <c r="I593" t="s">
        <v>23</v>
      </c>
      <c r="J593" s="3" t="s">
        <v>1781</v>
      </c>
      <c r="K593" s="11">
        <v>46177.66574074074</v>
      </c>
      <c r="M593">
        <v>619</v>
      </c>
      <c r="N593" t="s">
        <v>867</v>
      </c>
      <c r="P593" t="s">
        <v>1782</v>
      </c>
      <c r="Q593" s="10">
        <f>INT(Tabela1[[#This Row],[DATA]])</f>
        <v>46177</v>
      </c>
      <c r="R593" s="14" t="str">
        <f ca="1">IF(AND(Q593&gt;=TODAY()-WEEKDAY(TODAY(),2)+1,Q593&lt;TODAY()),"SIM","NÃO")</f>
        <v>NÃO</v>
      </c>
    </row>
    <row r="594" spans="1:18" hidden="1">
      <c r="A594" t="s">
        <v>1096</v>
      </c>
      <c r="B594" t="s">
        <v>606</v>
      </c>
      <c r="C594">
        <v>300265330</v>
      </c>
      <c r="D594">
        <v>16299213</v>
      </c>
      <c r="E594" t="s">
        <v>29</v>
      </c>
      <c r="F594" t="s">
        <v>132</v>
      </c>
      <c r="G594">
        <v>1</v>
      </c>
      <c r="H594" t="s">
        <v>22</v>
      </c>
      <c r="I594" t="s">
        <v>23</v>
      </c>
      <c r="J594" s="3" t="s">
        <v>1783</v>
      </c>
      <c r="K594" s="11">
        <v>46177.668726851851</v>
      </c>
      <c r="M594">
        <v>620</v>
      </c>
      <c r="N594" t="s">
        <v>867</v>
      </c>
      <c r="P594" t="s">
        <v>1784</v>
      </c>
      <c r="Q594" s="10">
        <f>INT(Tabela1[[#This Row],[DATA]])</f>
        <v>46177</v>
      </c>
      <c r="R594" s="14" t="str">
        <f ca="1">IF(AND(Q594&gt;=TODAY()-WEEKDAY(TODAY(),2)+1,Q594&lt;TODAY()),"SIM","NÃO")</f>
        <v>NÃO</v>
      </c>
    </row>
    <row r="595" spans="1:18" hidden="1">
      <c r="A595" t="s">
        <v>605</v>
      </c>
      <c r="B595" t="s">
        <v>606</v>
      </c>
      <c r="C595">
        <v>300265330</v>
      </c>
      <c r="D595">
        <v>16299213</v>
      </c>
      <c r="E595" t="s">
        <v>37</v>
      </c>
      <c r="F595" t="s">
        <v>90</v>
      </c>
      <c r="G595">
        <v>10</v>
      </c>
      <c r="H595" t="s">
        <v>22</v>
      </c>
      <c r="I595" t="s">
        <v>23</v>
      </c>
      <c r="J595" s="3" t="s">
        <v>1785</v>
      </c>
      <c r="K595" s="11">
        <v>46177.669953703706</v>
      </c>
      <c r="M595">
        <v>621</v>
      </c>
      <c r="N595" t="s">
        <v>867</v>
      </c>
      <c r="P595" t="s">
        <v>1786</v>
      </c>
      <c r="Q595" s="10">
        <f>INT(Tabela1[[#This Row],[DATA]])</f>
        <v>46177</v>
      </c>
      <c r="R595" s="14" t="str">
        <f ca="1">IF(AND(Q595&gt;=TODAY()-WEEKDAY(TODAY(),2)+1,Q595&lt;TODAY()),"SIM","NÃO")</f>
        <v>NÃO</v>
      </c>
    </row>
    <row r="596" spans="1:18" hidden="1">
      <c r="A596" t="s">
        <v>387</v>
      </c>
      <c r="B596" t="s">
        <v>388</v>
      </c>
      <c r="C596">
        <v>300261446</v>
      </c>
      <c r="D596">
        <v>16447590</v>
      </c>
      <c r="E596" t="s">
        <v>37</v>
      </c>
      <c r="F596" t="s">
        <v>323</v>
      </c>
      <c r="G596">
        <v>4</v>
      </c>
      <c r="H596" t="s">
        <v>1787</v>
      </c>
      <c r="I596" t="s">
        <v>23</v>
      </c>
      <c r="J596" s="3" t="s">
        <v>1788</v>
      </c>
      <c r="K596" s="11">
        <v>46177.698831018519</v>
      </c>
      <c r="M596">
        <v>622</v>
      </c>
      <c r="N596" t="s">
        <v>867</v>
      </c>
      <c r="P596" t="s">
        <v>1789</v>
      </c>
      <c r="Q596" s="10">
        <f>INT(Tabela1[[#This Row],[DATA]])</f>
        <v>46177</v>
      </c>
      <c r="R596" s="14" t="str">
        <f ca="1">IF(AND(Q596&gt;=TODAY()-WEEKDAY(TODAY(),2)+1,Q596&lt;TODAY()),"SIM","NÃO")</f>
        <v>NÃO</v>
      </c>
    </row>
    <row r="597" spans="1:18" hidden="1">
      <c r="A597" t="s">
        <v>387</v>
      </c>
      <c r="B597" t="s">
        <v>388</v>
      </c>
      <c r="C597">
        <v>300261446</v>
      </c>
      <c r="D597">
        <v>16447590</v>
      </c>
      <c r="E597" t="s">
        <v>37</v>
      </c>
      <c r="F597" t="s">
        <v>323</v>
      </c>
      <c r="G597">
        <v>4</v>
      </c>
      <c r="H597" t="s">
        <v>1787</v>
      </c>
      <c r="I597" t="s">
        <v>23</v>
      </c>
      <c r="J597" s="3" t="s">
        <v>1790</v>
      </c>
      <c r="K597" s="11">
        <v>46177.699930555558</v>
      </c>
      <c r="M597">
        <v>623</v>
      </c>
      <c r="N597" t="s">
        <v>867</v>
      </c>
      <c r="P597" t="s">
        <v>1791</v>
      </c>
      <c r="Q597" s="10">
        <f>INT(Tabela1[[#This Row],[DATA]])</f>
        <v>46177</v>
      </c>
      <c r="R597" s="14" t="str">
        <f ca="1">IF(AND(Q597&gt;=TODAY()-WEEKDAY(TODAY(),2)+1,Q597&lt;TODAY()),"SIM","NÃO")</f>
        <v>NÃO</v>
      </c>
    </row>
    <row r="598" spans="1:18" hidden="1">
      <c r="A598" t="s">
        <v>130</v>
      </c>
      <c r="B598" t="s">
        <v>131</v>
      </c>
      <c r="C598">
        <v>300263238</v>
      </c>
      <c r="D598">
        <v>15773469</v>
      </c>
      <c r="E598" t="s">
        <v>37</v>
      </c>
      <c r="F598" t="s">
        <v>151</v>
      </c>
      <c r="G598">
        <v>88</v>
      </c>
      <c r="H598" t="s">
        <v>22</v>
      </c>
      <c r="I598" t="s">
        <v>23</v>
      </c>
      <c r="J598" s="3" t="s">
        <v>1792</v>
      </c>
      <c r="K598" s="11">
        <v>46177.705729166664</v>
      </c>
      <c r="M598">
        <v>624</v>
      </c>
      <c r="N598" t="s">
        <v>867</v>
      </c>
      <c r="P598" t="s">
        <v>1793</v>
      </c>
      <c r="Q598" s="10">
        <f>INT(Tabela1[[#This Row],[DATA]])</f>
        <v>46177</v>
      </c>
      <c r="R598" s="14" t="str">
        <f ca="1">IF(AND(Q598&gt;=TODAY()-WEEKDAY(TODAY(),2)+1,Q598&lt;TODAY()),"SIM","NÃO")</f>
        <v>NÃO</v>
      </c>
    </row>
    <row r="599" spans="1:18" hidden="1">
      <c r="A599" t="s">
        <v>1581</v>
      </c>
      <c r="B599" t="s">
        <v>1582</v>
      </c>
      <c r="C599">
        <v>300266759</v>
      </c>
      <c r="D599">
        <v>16463951</v>
      </c>
      <c r="E599" t="s">
        <v>45</v>
      </c>
      <c r="F599" t="s">
        <v>151</v>
      </c>
      <c r="G599">
        <v>5</v>
      </c>
      <c r="H599" t="s">
        <v>22</v>
      </c>
      <c r="I599" t="s">
        <v>23</v>
      </c>
      <c r="J599" s="3" t="s">
        <v>1794</v>
      </c>
      <c r="K599" s="11">
        <v>46177.740069444444</v>
      </c>
      <c r="M599">
        <v>625</v>
      </c>
      <c r="N599" t="s">
        <v>867</v>
      </c>
      <c r="P599" t="s">
        <v>1795</v>
      </c>
      <c r="Q599" s="10">
        <f>INT(Tabela1[[#This Row],[DATA]])</f>
        <v>46177</v>
      </c>
      <c r="R599" s="14" t="str">
        <f ca="1">IF(AND(Q599&gt;=TODAY()-WEEKDAY(TODAY(),2)+1,Q599&lt;TODAY()),"SIM","NÃO")</f>
        <v>NÃO</v>
      </c>
    </row>
    <row r="600" spans="1:18" hidden="1">
      <c r="A600" t="s">
        <v>241</v>
      </c>
      <c r="B600" t="s">
        <v>242</v>
      </c>
      <c r="C600">
        <v>300269339</v>
      </c>
      <c r="D600">
        <v>15773477</v>
      </c>
      <c r="E600" t="s">
        <v>37</v>
      </c>
      <c r="F600" t="s">
        <v>21</v>
      </c>
      <c r="G600">
        <v>30</v>
      </c>
      <c r="H600" t="s">
        <v>22</v>
      </c>
      <c r="I600" t="s">
        <v>23</v>
      </c>
      <c r="J600" s="3" t="s">
        <v>1796</v>
      </c>
      <c r="K600" s="11">
        <v>46178.3046412037</v>
      </c>
      <c r="M600">
        <v>626</v>
      </c>
      <c r="N600" t="s">
        <v>878</v>
      </c>
      <c r="P600" t="s">
        <v>1797</v>
      </c>
      <c r="Q600" s="10">
        <f>INT(Tabela1[[#This Row],[DATA]])</f>
        <v>46178</v>
      </c>
      <c r="R600" s="14" t="str">
        <f ca="1">IF(AND(Q600&gt;=TODAY()-WEEKDAY(TODAY(),2)+1,Q600&lt;TODAY()),"SIM","NÃO")</f>
        <v>NÃO</v>
      </c>
    </row>
    <row r="601" spans="1:18" hidden="1">
      <c r="A601" t="s">
        <v>123</v>
      </c>
      <c r="B601" t="s">
        <v>124</v>
      </c>
      <c r="C601">
        <v>300269952</v>
      </c>
      <c r="D601">
        <v>16487494</v>
      </c>
      <c r="E601" t="s">
        <v>20</v>
      </c>
      <c r="F601" t="s">
        <v>38</v>
      </c>
      <c r="G601">
        <v>12</v>
      </c>
      <c r="H601" t="s">
        <v>39</v>
      </c>
      <c r="I601" t="s">
        <v>23</v>
      </c>
      <c r="J601" s="3" t="s">
        <v>1798</v>
      </c>
      <c r="K601" s="11">
        <v>46178.330706018518</v>
      </c>
      <c r="M601">
        <v>627</v>
      </c>
      <c r="N601" t="s">
        <v>867</v>
      </c>
      <c r="P601" t="s">
        <v>1799</v>
      </c>
      <c r="Q601" s="10">
        <f>INT(Tabela1[[#This Row],[DATA]])</f>
        <v>46178</v>
      </c>
      <c r="R601" s="14" t="str">
        <f ca="1">IF(AND(Q601&gt;=TODAY()-WEEKDAY(TODAY(),2)+1,Q601&lt;TODAY()),"SIM","NÃO")</f>
        <v>NÃO</v>
      </c>
    </row>
    <row r="602" spans="1:18" hidden="1">
      <c r="A602" t="s">
        <v>533</v>
      </c>
      <c r="B602" t="s">
        <v>534</v>
      </c>
      <c r="C602">
        <v>300262514</v>
      </c>
      <c r="D602">
        <v>16292987</v>
      </c>
      <c r="E602" t="s">
        <v>37</v>
      </c>
      <c r="F602" t="s">
        <v>417</v>
      </c>
      <c r="G602">
        <v>54</v>
      </c>
      <c r="H602" t="s">
        <v>22</v>
      </c>
      <c r="I602" t="s">
        <v>23</v>
      </c>
      <c r="J602" s="3" t="s">
        <v>1800</v>
      </c>
      <c r="K602" s="11">
        <v>46178.334791666668</v>
      </c>
      <c r="M602">
        <v>628</v>
      </c>
      <c r="N602" t="s">
        <v>867</v>
      </c>
      <c r="P602" t="s">
        <v>1801</v>
      </c>
      <c r="Q602" s="10">
        <f>INT(Tabela1[[#This Row],[DATA]])</f>
        <v>46178</v>
      </c>
      <c r="R602" s="14" t="str">
        <f ca="1">IF(AND(Q602&gt;=TODAY()-WEEKDAY(TODAY(),2)+1,Q602&lt;TODAY()),"SIM","NÃO")</f>
        <v>NÃO</v>
      </c>
    </row>
    <row r="603" spans="1:18" hidden="1">
      <c r="A603" t="s">
        <v>253</v>
      </c>
      <c r="B603" t="s">
        <v>254</v>
      </c>
      <c r="C603">
        <v>300268567</v>
      </c>
      <c r="D603">
        <v>16441630</v>
      </c>
      <c r="E603" t="s">
        <v>45</v>
      </c>
      <c r="F603" t="s">
        <v>21</v>
      </c>
      <c r="G603">
        <v>30</v>
      </c>
      <c r="H603" t="s">
        <v>13</v>
      </c>
      <c r="I603" t="s">
        <v>23</v>
      </c>
      <c r="J603" s="3" t="s">
        <v>1802</v>
      </c>
      <c r="K603" s="11">
        <v>46178.373842592591</v>
      </c>
      <c r="M603">
        <v>629</v>
      </c>
      <c r="N603" t="s">
        <v>867</v>
      </c>
      <c r="P603" t="s">
        <v>1803</v>
      </c>
      <c r="Q603" s="10">
        <f>INT(Tabela1[[#This Row],[DATA]])</f>
        <v>46178</v>
      </c>
      <c r="R603" s="14" t="str">
        <f ca="1">IF(AND(Q603&gt;=TODAY()-WEEKDAY(TODAY(),2)+1,Q603&lt;TODAY()),"SIM","NÃO")</f>
        <v>NÃO</v>
      </c>
    </row>
    <row r="604" spans="1:18" hidden="1">
      <c r="A604" t="s">
        <v>253</v>
      </c>
      <c r="B604" t="s">
        <v>254</v>
      </c>
      <c r="C604">
        <v>300264802</v>
      </c>
      <c r="D604">
        <v>15773949</v>
      </c>
      <c r="E604" t="s">
        <v>37</v>
      </c>
      <c r="F604" t="s">
        <v>151</v>
      </c>
      <c r="G604">
        <v>5</v>
      </c>
      <c r="H604" t="s">
        <v>22</v>
      </c>
      <c r="I604" t="s">
        <v>23</v>
      </c>
      <c r="J604" s="3" t="s">
        <v>1804</v>
      </c>
      <c r="K604" s="11">
        <v>46178.380740740744</v>
      </c>
      <c r="M604">
        <v>630</v>
      </c>
      <c r="N604" t="s">
        <v>867</v>
      </c>
      <c r="P604" t="s">
        <v>1805</v>
      </c>
      <c r="Q604" s="10">
        <f>INT(Tabela1[[#This Row],[DATA]])</f>
        <v>46178</v>
      </c>
      <c r="R604" s="14" t="str">
        <f ca="1">IF(AND(Q604&gt;=TODAY()-WEEKDAY(TODAY(),2)+1,Q604&lt;TODAY()),"SIM","NÃO")</f>
        <v>NÃO</v>
      </c>
    </row>
    <row r="605" spans="1:18" hidden="1">
      <c r="A605" t="s">
        <v>43</v>
      </c>
      <c r="B605" t="s">
        <v>44</v>
      </c>
      <c r="C605">
        <v>300262226</v>
      </c>
      <c r="D605">
        <v>16473337</v>
      </c>
      <c r="E605" t="s">
        <v>45</v>
      </c>
      <c r="F605" t="s">
        <v>187</v>
      </c>
      <c r="G605">
        <v>60</v>
      </c>
      <c r="H605" t="s">
        <v>22</v>
      </c>
      <c r="I605" t="s">
        <v>23</v>
      </c>
      <c r="J605" s="3" t="s">
        <v>1806</v>
      </c>
      <c r="K605" s="11">
        <v>46178.392013888886</v>
      </c>
      <c r="M605">
        <v>631</v>
      </c>
      <c r="N605" t="s">
        <v>867</v>
      </c>
      <c r="P605" t="s">
        <v>1807</v>
      </c>
      <c r="Q605" s="10">
        <f>INT(Tabela1[[#This Row],[DATA]])</f>
        <v>46178</v>
      </c>
      <c r="R605" s="14" t="str">
        <f ca="1">IF(AND(Q605&gt;=TODAY()-WEEKDAY(TODAY(),2)+1,Q605&lt;TODAY()),"SIM","NÃO")</f>
        <v>NÃO</v>
      </c>
    </row>
    <row r="606" spans="1:18" hidden="1">
      <c r="A606" t="s">
        <v>1439</v>
      </c>
      <c r="B606" t="s">
        <v>1440</v>
      </c>
      <c r="C606">
        <v>300268562</v>
      </c>
      <c r="D606">
        <v>16474228</v>
      </c>
      <c r="E606" t="s">
        <v>45</v>
      </c>
      <c r="F606" t="s">
        <v>151</v>
      </c>
      <c r="G606">
        <v>150</v>
      </c>
      <c r="H606" t="s">
        <v>39</v>
      </c>
      <c r="I606" t="s">
        <v>23</v>
      </c>
      <c r="J606" s="3" t="s">
        <v>1808</v>
      </c>
      <c r="K606" s="11">
        <v>46178.407881944448</v>
      </c>
      <c r="M606">
        <v>632</v>
      </c>
      <c r="N606" t="s">
        <v>867</v>
      </c>
      <c r="P606" t="s">
        <v>1809</v>
      </c>
      <c r="Q606" s="10">
        <f>INT(Tabela1[[#This Row],[DATA]])</f>
        <v>46178</v>
      </c>
      <c r="R606" s="14" t="str">
        <f ca="1">IF(AND(Q606&gt;=TODAY()-WEEKDAY(TODAY(),2)+1,Q606&lt;TODAY()),"SIM","NÃO")</f>
        <v>NÃO</v>
      </c>
    </row>
    <row r="607" spans="1:18" hidden="1">
      <c r="A607" t="s">
        <v>94</v>
      </c>
      <c r="B607" t="s">
        <v>95</v>
      </c>
      <c r="C607">
        <v>300270798</v>
      </c>
      <c r="D607">
        <v>16441354</v>
      </c>
      <c r="E607" t="s">
        <v>45</v>
      </c>
      <c r="F607" t="s">
        <v>113</v>
      </c>
      <c r="G607">
        <v>1300</v>
      </c>
      <c r="H607" t="s">
        <v>22</v>
      </c>
      <c r="I607" t="s">
        <v>23</v>
      </c>
      <c r="J607" s="3" t="s">
        <v>1810</v>
      </c>
      <c r="K607" s="11">
        <v>46178.445335648146</v>
      </c>
      <c r="M607">
        <v>633</v>
      </c>
      <c r="N607" t="s">
        <v>878</v>
      </c>
      <c r="P607" t="s">
        <v>1811</v>
      </c>
      <c r="Q607" s="10">
        <f>INT(Tabela1[[#This Row],[DATA]])</f>
        <v>46178</v>
      </c>
      <c r="R607" s="14" t="str">
        <f ca="1">IF(AND(Q607&gt;=TODAY()-WEEKDAY(TODAY(),2)+1,Q607&lt;TODAY()),"SIM","NÃO")</f>
        <v>NÃO</v>
      </c>
    </row>
    <row r="608" spans="1:18" hidden="1">
      <c r="A608" t="s">
        <v>94</v>
      </c>
      <c r="B608" t="s">
        <v>95</v>
      </c>
      <c r="C608">
        <v>300270798</v>
      </c>
      <c r="D608">
        <v>16441354</v>
      </c>
      <c r="E608" t="s">
        <v>45</v>
      </c>
      <c r="F608" t="s">
        <v>259</v>
      </c>
      <c r="G608">
        <v>1300</v>
      </c>
      <c r="H608" t="s">
        <v>22</v>
      </c>
      <c r="I608" t="s">
        <v>23</v>
      </c>
      <c r="J608" s="3" t="s">
        <v>1812</v>
      </c>
      <c r="K608" s="11">
        <v>46178.446145833332</v>
      </c>
      <c r="M608">
        <v>634</v>
      </c>
      <c r="N608" t="s">
        <v>878</v>
      </c>
      <c r="P608" t="s">
        <v>1813</v>
      </c>
      <c r="Q608" s="10">
        <f>INT(Tabela1[[#This Row],[DATA]])</f>
        <v>46178</v>
      </c>
      <c r="R608" s="14" t="str">
        <f ca="1">IF(AND(Q608&gt;=TODAY()-WEEKDAY(TODAY(),2)+1,Q608&lt;TODAY()),"SIM","NÃO")</f>
        <v>NÃO</v>
      </c>
    </row>
    <row r="609" spans="1:18" hidden="1">
      <c r="A609" t="s">
        <v>111</v>
      </c>
      <c r="B609" t="s">
        <v>112</v>
      </c>
      <c r="C609">
        <v>300266585</v>
      </c>
      <c r="D609">
        <v>16526112</v>
      </c>
      <c r="E609" t="s">
        <v>20</v>
      </c>
      <c r="F609" t="s">
        <v>1814</v>
      </c>
      <c r="G609">
        <v>150</v>
      </c>
      <c r="H609" t="s">
        <v>22</v>
      </c>
      <c r="I609" t="s">
        <v>23</v>
      </c>
      <c r="J609" s="3" t="s">
        <v>1815</v>
      </c>
      <c r="K609" s="11">
        <v>46178.448263888888</v>
      </c>
      <c r="M609">
        <v>635</v>
      </c>
      <c r="N609" t="s">
        <v>867</v>
      </c>
      <c r="P609" t="s">
        <v>1816</v>
      </c>
      <c r="Q609" s="10">
        <f>INT(Tabela1[[#This Row],[DATA]])</f>
        <v>46178</v>
      </c>
      <c r="R609" s="14" t="str">
        <f ca="1">IF(AND(Q609&gt;=TODAY()-WEEKDAY(TODAY(),2)+1,Q609&lt;TODAY()),"SIM","NÃO")</f>
        <v>NÃO</v>
      </c>
    </row>
    <row r="610" spans="1:18" hidden="1">
      <c r="A610" t="s">
        <v>118</v>
      </c>
      <c r="B610" t="s">
        <v>119</v>
      </c>
      <c r="C610">
        <v>300268035</v>
      </c>
      <c r="D610">
        <v>16508203</v>
      </c>
      <c r="E610" t="s">
        <v>37</v>
      </c>
      <c r="F610" t="s">
        <v>513</v>
      </c>
      <c r="G610">
        <v>1.139</v>
      </c>
      <c r="H610" t="s">
        <v>57</v>
      </c>
      <c r="I610" t="s">
        <v>23</v>
      </c>
      <c r="J610" s="3" t="s">
        <v>1817</v>
      </c>
      <c r="K610" s="11">
        <v>46178.455127314817</v>
      </c>
      <c r="M610">
        <v>636</v>
      </c>
      <c r="N610" t="s">
        <v>878</v>
      </c>
      <c r="P610" t="s">
        <v>1818</v>
      </c>
      <c r="Q610" s="10">
        <f>INT(Tabela1[[#This Row],[DATA]])</f>
        <v>46178</v>
      </c>
      <c r="R610" s="14" t="str">
        <f ca="1">IF(AND(Q610&gt;=TODAY()-WEEKDAY(TODAY(),2)+1,Q610&lt;TODAY()),"SIM","NÃO")</f>
        <v>NÃO</v>
      </c>
    </row>
    <row r="611" spans="1:18" hidden="1">
      <c r="A611" t="s">
        <v>111</v>
      </c>
      <c r="B611" t="s">
        <v>112</v>
      </c>
      <c r="C611">
        <v>300264562</v>
      </c>
      <c r="D611">
        <v>16477588</v>
      </c>
      <c r="E611" t="s">
        <v>45</v>
      </c>
      <c r="F611" t="s">
        <v>259</v>
      </c>
      <c r="G611">
        <v>6</v>
      </c>
      <c r="H611" t="s">
        <v>22</v>
      </c>
      <c r="I611" t="s">
        <v>23</v>
      </c>
      <c r="J611" s="3" t="s">
        <v>1819</v>
      </c>
      <c r="K611" s="11">
        <v>46178.506527777776</v>
      </c>
      <c r="M611">
        <v>637</v>
      </c>
      <c r="N611" t="s">
        <v>867</v>
      </c>
      <c r="P611" t="s">
        <v>1820</v>
      </c>
      <c r="Q611" s="10">
        <f>INT(Tabela1[[#This Row],[DATA]])</f>
        <v>46178</v>
      </c>
      <c r="R611" s="14" t="str">
        <f ca="1">IF(AND(Q611&gt;=TODAY()-WEEKDAY(TODAY(),2)+1,Q611&lt;TODAY()),"SIM","NÃO")</f>
        <v>NÃO</v>
      </c>
    </row>
    <row r="612" spans="1:18" hidden="1">
      <c r="A612" t="s">
        <v>27</v>
      </c>
      <c r="B612" t="s">
        <v>28</v>
      </c>
      <c r="C612">
        <v>300267372</v>
      </c>
      <c r="D612">
        <v>16448424</v>
      </c>
      <c r="E612" t="s">
        <v>37</v>
      </c>
      <c r="F612" t="s">
        <v>216</v>
      </c>
      <c r="G612">
        <v>45</v>
      </c>
      <c r="H612" t="s">
        <v>217</v>
      </c>
      <c r="I612" t="s">
        <v>23</v>
      </c>
      <c r="J612" s="3"/>
      <c r="K612" s="11">
        <v>46178.534884259258</v>
      </c>
      <c r="M612">
        <v>638</v>
      </c>
      <c r="N612" t="s">
        <v>867</v>
      </c>
      <c r="P612" t="s">
        <v>1821</v>
      </c>
      <c r="Q612" s="10">
        <f>INT(Tabela1[[#This Row],[DATA]])</f>
        <v>46178</v>
      </c>
      <c r="R612" s="14" t="str">
        <f ca="1">IF(AND(Q612&gt;=TODAY()-WEEKDAY(TODAY(),2)+1,Q612&lt;TODAY()),"SIM","NÃO")</f>
        <v>NÃO</v>
      </c>
    </row>
    <row r="613" spans="1:18" hidden="1">
      <c r="A613" t="s">
        <v>1581</v>
      </c>
      <c r="B613" t="s">
        <v>1582</v>
      </c>
      <c r="C613">
        <v>300266768</v>
      </c>
      <c r="D613">
        <v>16461649</v>
      </c>
      <c r="E613" t="s">
        <v>45</v>
      </c>
      <c r="F613" t="s">
        <v>151</v>
      </c>
      <c r="G613">
        <v>5</v>
      </c>
      <c r="H613" t="s">
        <v>22</v>
      </c>
      <c r="I613" t="s">
        <v>23</v>
      </c>
      <c r="J613" s="3" t="s">
        <v>1822</v>
      </c>
      <c r="K613" s="11">
        <v>46178.558229166665</v>
      </c>
      <c r="M613">
        <v>639</v>
      </c>
      <c r="N613" t="s">
        <v>867</v>
      </c>
      <c r="P613" t="s">
        <v>1823</v>
      </c>
      <c r="Q613" s="10">
        <f>INT(Tabela1[[#This Row],[DATA]])</f>
        <v>46178</v>
      </c>
      <c r="R613" s="14" t="str">
        <f ca="1">IF(AND(Q613&gt;=TODAY()-WEEKDAY(TODAY(),2)+1,Q613&lt;TODAY()),"SIM","NÃO")</f>
        <v>NÃO</v>
      </c>
    </row>
    <row r="614" spans="1:18" hidden="1">
      <c r="A614" t="s">
        <v>68</v>
      </c>
      <c r="B614" t="s">
        <v>69</v>
      </c>
      <c r="C614">
        <v>300268649</v>
      </c>
      <c r="D614">
        <v>16217799</v>
      </c>
      <c r="E614" t="s">
        <v>37</v>
      </c>
      <c r="F614" t="s">
        <v>38</v>
      </c>
      <c r="G614">
        <v>24</v>
      </c>
      <c r="H614" t="s">
        <v>217</v>
      </c>
      <c r="I614" t="s">
        <v>23</v>
      </c>
      <c r="J614" s="3" t="s">
        <v>1824</v>
      </c>
      <c r="K614" s="11">
        <v>46178.566863425927</v>
      </c>
      <c r="M614">
        <v>640</v>
      </c>
      <c r="N614" t="s">
        <v>867</v>
      </c>
      <c r="P614" t="s">
        <v>1825</v>
      </c>
      <c r="Q614" s="10">
        <f>INT(Tabela1[[#This Row],[DATA]])</f>
        <v>46178</v>
      </c>
      <c r="R614" s="14" t="str">
        <f ca="1">IF(AND(Q614&gt;=TODAY()-WEEKDAY(TODAY(),2)+1,Q614&lt;TODAY()),"SIM","NÃO")</f>
        <v>NÃO</v>
      </c>
    </row>
    <row r="615" spans="1:18" hidden="1">
      <c r="A615" t="s">
        <v>605</v>
      </c>
      <c r="B615" t="s">
        <v>606</v>
      </c>
      <c r="C615">
        <v>300262467</v>
      </c>
      <c r="D615">
        <v>14487004</v>
      </c>
      <c r="E615" t="s">
        <v>29</v>
      </c>
      <c r="F615" t="s">
        <v>113</v>
      </c>
      <c r="G615">
        <v>15</v>
      </c>
      <c r="H615" t="s">
        <v>22</v>
      </c>
      <c r="I615" t="s">
        <v>23</v>
      </c>
      <c r="J615" s="3" t="s">
        <v>1826</v>
      </c>
      <c r="K615" s="11">
        <v>46178.567499999997</v>
      </c>
      <c r="M615">
        <v>641</v>
      </c>
      <c r="N615" t="s">
        <v>867</v>
      </c>
      <c r="P615" t="s">
        <v>1827</v>
      </c>
      <c r="Q615" s="10">
        <f>INT(Tabela1[[#This Row],[DATA]])</f>
        <v>46178</v>
      </c>
      <c r="R615" s="14" t="str">
        <f ca="1">IF(AND(Q615&gt;=TODAY()-WEEKDAY(TODAY(),2)+1,Q615&lt;TODAY()),"SIM","NÃO")</f>
        <v>NÃO</v>
      </c>
    </row>
    <row r="616" spans="1:18" hidden="1">
      <c r="A616" t="s">
        <v>605</v>
      </c>
      <c r="B616" t="s">
        <v>606</v>
      </c>
      <c r="C616">
        <v>300262467</v>
      </c>
      <c r="D616">
        <v>14487004</v>
      </c>
      <c r="E616" t="s">
        <v>29</v>
      </c>
      <c r="F616" t="s">
        <v>259</v>
      </c>
      <c r="G616">
        <v>15</v>
      </c>
      <c r="H616" t="s">
        <v>22</v>
      </c>
      <c r="I616" t="s">
        <v>23</v>
      </c>
      <c r="J616" s="3" t="s">
        <v>1828</v>
      </c>
      <c r="K616" s="11">
        <v>46178.568599537037</v>
      </c>
      <c r="M616">
        <v>642</v>
      </c>
      <c r="N616" t="s">
        <v>867</v>
      </c>
      <c r="P616" t="s">
        <v>1829</v>
      </c>
      <c r="Q616" s="10">
        <f>INT(Tabela1[[#This Row],[DATA]])</f>
        <v>46178</v>
      </c>
      <c r="R616" s="14" t="str">
        <f ca="1">IF(AND(Q616&gt;=TODAY()-WEEKDAY(TODAY(),2)+1,Q616&lt;TODAY()),"SIM","NÃO")</f>
        <v>NÃO</v>
      </c>
    </row>
    <row r="617" spans="1:18" hidden="1">
      <c r="A617" t="s">
        <v>605</v>
      </c>
      <c r="B617" t="s">
        <v>606</v>
      </c>
      <c r="C617">
        <v>300262467</v>
      </c>
      <c r="D617">
        <v>14487004</v>
      </c>
      <c r="E617" t="s">
        <v>29</v>
      </c>
      <c r="F617" t="s">
        <v>103</v>
      </c>
      <c r="G617">
        <v>100</v>
      </c>
      <c r="H617" t="s">
        <v>22</v>
      </c>
      <c r="I617" t="s">
        <v>23</v>
      </c>
      <c r="J617" s="3" t="s">
        <v>847</v>
      </c>
      <c r="K617" s="11">
        <v>46178.569884259261</v>
      </c>
      <c r="M617">
        <v>643</v>
      </c>
      <c r="N617" t="s">
        <v>867</v>
      </c>
      <c r="P617" t="s">
        <v>1830</v>
      </c>
      <c r="Q617" s="10">
        <f>INT(Tabela1[[#This Row],[DATA]])</f>
        <v>46178</v>
      </c>
      <c r="R617" s="14" t="str">
        <f ca="1">IF(AND(Q617&gt;=TODAY()-WEEKDAY(TODAY(),2)+1,Q617&lt;TODAY()),"SIM","NÃO")</f>
        <v>NÃO</v>
      </c>
    </row>
    <row r="618" spans="1:18" hidden="1">
      <c r="A618" t="s">
        <v>605</v>
      </c>
      <c r="B618" t="s">
        <v>606</v>
      </c>
      <c r="C618">
        <v>300265330</v>
      </c>
      <c r="D618">
        <v>16299213</v>
      </c>
      <c r="E618" t="s">
        <v>37</v>
      </c>
      <c r="F618" t="s">
        <v>132</v>
      </c>
      <c r="G618">
        <v>1</v>
      </c>
      <c r="H618" t="s">
        <v>22</v>
      </c>
      <c r="I618" t="s">
        <v>23</v>
      </c>
      <c r="J618" s="3" t="s">
        <v>1831</v>
      </c>
      <c r="K618" s="11">
        <v>46178.571319444447</v>
      </c>
      <c r="M618">
        <v>644</v>
      </c>
      <c r="N618" t="s">
        <v>867</v>
      </c>
      <c r="P618" t="s">
        <v>1832</v>
      </c>
      <c r="Q618" s="10">
        <f>INT(Tabela1[[#This Row],[DATA]])</f>
        <v>46178</v>
      </c>
      <c r="R618" s="14" t="str">
        <f ca="1">IF(AND(Q618&gt;=TODAY()-WEEKDAY(TODAY(),2)+1,Q618&lt;TODAY()),"SIM","NÃO")</f>
        <v>NÃO</v>
      </c>
    </row>
    <row r="619" spans="1:18" hidden="1">
      <c r="A619" t="s">
        <v>159</v>
      </c>
      <c r="B619" t="s">
        <v>1293</v>
      </c>
      <c r="C619">
        <v>300268036</v>
      </c>
      <c r="D619">
        <v>16508203</v>
      </c>
      <c r="E619" t="s">
        <v>37</v>
      </c>
      <c r="F619" t="s">
        <v>38</v>
      </c>
      <c r="G619">
        <v>30</v>
      </c>
      <c r="H619" t="s">
        <v>22</v>
      </c>
      <c r="I619" t="s">
        <v>23</v>
      </c>
      <c r="J619" s="3" t="s">
        <v>1833</v>
      </c>
      <c r="K619" s="11">
        <v>46178.592974537038</v>
      </c>
      <c r="M619">
        <v>645</v>
      </c>
      <c r="N619" t="s">
        <v>867</v>
      </c>
      <c r="P619" t="s">
        <v>1834</v>
      </c>
      <c r="Q619" s="10">
        <f>INT(Tabela1[[#This Row],[DATA]])</f>
        <v>46178</v>
      </c>
      <c r="R619" s="14" t="str">
        <f ca="1">IF(AND(Q619&gt;=TODAY()-WEEKDAY(TODAY(),2)+1,Q619&lt;TODAY()),"SIM","NÃO")</f>
        <v>NÃO</v>
      </c>
    </row>
    <row r="620" spans="1:18" hidden="1">
      <c r="A620" t="s">
        <v>1835</v>
      </c>
      <c r="B620" t="s">
        <v>1836</v>
      </c>
      <c r="C620">
        <v>300266626</v>
      </c>
      <c r="D620">
        <v>16474090</v>
      </c>
      <c r="E620" t="s">
        <v>37</v>
      </c>
      <c r="F620" t="s">
        <v>151</v>
      </c>
      <c r="G620">
        <v>64</v>
      </c>
      <c r="H620" t="s">
        <v>1837</v>
      </c>
      <c r="I620" t="s">
        <v>23</v>
      </c>
      <c r="J620" s="3" t="s">
        <v>1838</v>
      </c>
      <c r="K620" s="11">
        <v>46178.608113425929</v>
      </c>
      <c r="M620">
        <v>646</v>
      </c>
      <c r="N620" t="s">
        <v>867</v>
      </c>
      <c r="P620" t="s">
        <v>1839</v>
      </c>
      <c r="Q620" s="10">
        <f>INT(Tabela1[[#This Row],[DATA]])</f>
        <v>46178</v>
      </c>
      <c r="R620" s="14" t="str">
        <f ca="1">IF(AND(Q620&gt;=TODAY()-WEEKDAY(TODAY(),2)+1,Q620&lt;TODAY()),"SIM","NÃO")</f>
        <v>NÃO</v>
      </c>
    </row>
    <row r="621" spans="1:18" hidden="1">
      <c r="A621" t="s">
        <v>1835</v>
      </c>
      <c r="B621" t="s">
        <v>1836</v>
      </c>
      <c r="C621">
        <v>300266626</v>
      </c>
      <c r="D621">
        <v>16474090</v>
      </c>
      <c r="E621" t="s">
        <v>37</v>
      </c>
      <c r="F621" t="s">
        <v>90</v>
      </c>
      <c r="G621">
        <v>1000</v>
      </c>
      <c r="H621" t="s">
        <v>22</v>
      </c>
      <c r="I621" t="s">
        <v>23</v>
      </c>
      <c r="J621" s="3"/>
      <c r="K621" s="11">
        <v>46178.608946759261</v>
      </c>
      <c r="M621">
        <v>647</v>
      </c>
      <c r="N621" t="s">
        <v>878</v>
      </c>
      <c r="P621" t="s">
        <v>1840</v>
      </c>
      <c r="Q621" s="10">
        <f>INT(Tabela1[[#This Row],[DATA]])</f>
        <v>46178</v>
      </c>
      <c r="R621" s="14" t="str">
        <f ca="1">IF(AND(Q621&gt;=TODAY()-WEEKDAY(TODAY(),2)+1,Q621&lt;TODAY()),"SIM","NÃO")</f>
        <v>NÃO</v>
      </c>
    </row>
    <row r="622" spans="1:18" hidden="1">
      <c r="A622" t="s">
        <v>191</v>
      </c>
      <c r="B622" t="s">
        <v>192</v>
      </c>
      <c r="C622">
        <v>300266430</v>
      </c>
      <c r="D622">
        <v>15128288</v>
      </c>
      <c r="E622" t="s">
        <v>29</v>
      </c>
      <c r="F622" t="s">
        <v>103</v>
      </c>
      <c r="G622">
        <v>500</v>
      </c>
      <c r="H622" t="s">
        <v>1841</v>
      </c>
      <c r="I622" t="s">
        <v>23</v>
      </c>
      <c r="J622" s="3"/>
      <c r="K622" s="11">
        <v>46178.650555555556</v>
      </c>
      <c r="M622">
        <v>648</v>
      </c>
      <c r="N622" t="s">
        <v>878</v>
      </c>
      <c r="P622" t="s">
        <v>1842</v>
      </c>
      <c r="Q622" s="10">
        <f>INT(Tabela1[[#This Row],[DATA]])</f>
        <v>46178</v>
      </c>
      <c r="R622" s="14" t="str">
        <f ca="1">IF(AND(Q622&gt;=TODAY()-WEEKDAY(TODAY(),2)+1,Q622&lt;TODAY()),"SIM","NÃO")</f>
        <v>NÃO</v>
      </c>
    </row>
    <row r="623" spans="1:18" hidden="1">
      <c r="A623" t="s">
        <v>605</v>
      </c>
      <c r="B623" t="s">
        <v>606</v>
      </c>
      <c r="C623">
        <v>300266979</v>
      </c>
      <c r="D623">
        <v>15773167</v>
      </c>
      <c r="E623" t="s">
        <v>37</v>
      </c>
      <c r="F623" t="s">
        <v>417</v>
      </c>
      <c r="G623">
        <v>74</v>
      </c>
      <c r="H623" t="s">
        <v>22</v>
      </c>
      <c r="I623" t="s">
        <v>23</v>
      </c>
      <c r="J623" s="3" t="s">
        <v>1843</v>
      </c>
      <c r="K623" s="11">
        <v>46178.653090277781</v>
      </c>
      <c r="M623">
        <v>649</v>
      </c>
      <c r="N623" t="s">
        <v>867</v>
      </c>
      <c r="P623" t="s">
        <v>1844</v>
      </c>
      <c r="Q623" s="10">
        <f>INT(Tabela1[[#This Row],[DATA]])</f>
        <v>46178</v>
      </c>
      <c r="R623" s="14" t="str">
        <f ca="1">IF(AND(Q623&gt;=TODAY()-WEEKDAY(TODAY(),2)+1,Q623&lt;TODAY()),"SIM","NÃO")</f>
        <v>NÃO</v>
      </c>
    </row>
    <row r="624" spans="1:18" hidden="1">
      <c r="A624" t="s">
        <v>118</v>
      </c>
      <c r="B624" t="s">
        <v>119</v>
      </c>
      <c r="C624">
        <v>300268014</v>
      </c>
      <c r="D624">
        <v>15252485</v>
      </c>
      <c r="E624" t="s">
        <v>37</v>
      </c>
      <c r="F624" t="s">
        <v>38</v>
      </c>
      <c r="G624">
        <v>32</v>
      </c>
      <c r="H624" t="s">
        <v>22</v>
      </c>
      <c r="I624" t="s">
        <v>23</v>
      </c>
      <c r="J624" s="3" t="s">
        <v>1845</v>
      </c>
      <c r="K624" s="11">
        <v>46178.654849537037</v>
      </c>
      <c r="M624">
        <v>650</v>
      </c>
      <c r="N624" t="s">
        <v>867</v>
      </c>
      <c r="P624" t="s">
        <v>1846</v>
      </c>
      <c r="Q624" s="10">
        <f>INT(Tabela1[[#This Row],[DATA]])</f>
        <v>46178</v>
      </c>
      <c r="R624" s="14" t="str">
        <f ca="1">IF(AND(Q624&gt;=TODAY()-WEEKDAY(TODAY(),2)+1,Q624&lt;TODAY()),"SIM","NÃO")</f>
        <v>NÃO</v>
      </c>
    </row>
    <row r="625" spans="1:18" hidden="1">
      <c r="A625" t="s">
        <v>123</v>
      </c>
      <c r="B625" t="s">
        <v>124</v>
      </c>
      <c r="C625">
        <v>300253709</v>
      </c>
      <c r="D625">
        <v>16373570</v>
      </c>
      <c r="E625" t="s">
        <v>37</v>
      </c>
      <c r="F625" t="s">
        <v>323</v>
      </c>
      <c r="G625">
        <v>36</v>
      </c>
      <c r="H625" t="s">
        <v>39</v>
      </c>
      <c r="I625" t="s">
        <v>973</v>
      </c>
      <c r="J625" s="3" t="s">
        <v>1847</v>
      </c>
      <c r="K625" s="11">
        <v>46178.659305555557</v>
      </c>
      <c r="M625">
        <v>651</v>
      </c>
      <c r="N625" t="s">
        <v>867</v>
      </c>
      <c r="P625" t="s">
        <v>1848</v>
      </c>
      <c r="Q625" s="10">
        <f>INT(Tabela1[[#This Row],[DATA]])</f>
        <v>46178</v>
      </c>
      <c r="R625" s="14" t="str">
        <f ca="1">IF(AND(Q625&gt;=TODAY()-WEEKDAY(TODAY(),2)+1,Q625&lt;TODAY()),"SIM","NÃO")</f>
        <v>NÃO</v>
      </c>
    </row>
    <row r="626" spans="1:18" hidden="1">
      <c r="A626" t="s">
        <v>249</v>
      </c>
      <c r="B626" t="s">
        <v>112</v>
      </c>
      <c r="C626">
        <v>300268561</v>
      </c>
      <c r="D626">
        <v>16462998</v>
      </c>
      <c r="E626" t="s">
        <v>45</v>
      </c>
      <c r="F626" t="s">
        <v>525</v>
      </c>
      <c r="G626">
        <v>44</v>
      </c>
      <c r="H626" t="s">
        <v>22</v>
      </c>
      <c r="I626" t="s">
        <v>23</v>
      </c>
      <c r="J626" s="3" t="s">
        <v>1849</v>
      </c>
      <c r="K626" s="11">
        <v>46178.666967592595</v>
      </c>
      <c r="M626">
        <v>652</v>
      </c>
      <c r="N626" t="s">
        <v>867</v>
      </c>
      <c r="P626" t="s">
        <v>1850</v>
      </c>
      <c r="Q626" s="10">
        <f>INT(Tabela1[[#This Row],[DATA]])</f>
        <v>46178</v>
      </c>
      <c r="R626" s="14" t="str">
        <f ca="1">IF(AND(Q626&gt;=TODAY()-WEEKDAY(TODAY(),2)+1,Q626&lt;TODAY()),"SIM","NÃO")</f>
        <v>NÃO</v>
      </c>
    </row>
    <row r="627" spans="1:18" hidden="1">
      <c r="A627" t="s">
        <v>1581</v>
      </c>
      <c r="B627" t="s">
        <v>1582</v>
      </c>
      <c r="C627">
        <v>300268122</v>
      </c>
      <c r="D627">
        <v>16453808</v>
      </c>
      <c r="E627" t="s">
        <v>20</v>
      </c>
      <c r="F627" t="s">
        <v>151</v>
      </c>
      <c r="G627">
        <v>4</v>
      </c>
      <c r="H627" t="s">
        <v>22</v>
      </c>
      <c r="I627" t="s">
        <v>23</v>
      </c>
      <c r="J627" s="3" t="s">
        <v>1851</v>
      </c>
      <c r="K627" s="11">
        <v>46178.709756944445</v>
      </c>
      <c r="M627">
        <v>653</v>
      </c>
      <c r="N627" t="s">
        <v>867</v>
      </c>
      <c r="P627" t="s">
        <v>1852</v>
      </c>
      <c r="Q627" s="10">
        <f>INT(Tabela1[[#This Row],[DATA]])</f>
        <v>46178</v>
      </c>
      <c r="R627" s="14" t="str">
        <f ca="1">IF(AND(Q627&gt;=TODAY()-WEEKDAY(TODAY(),2)+1,Q627&lt;TODAY()),"SIM","NÃO")</f>
        <v>NÃO</v>
      </c>
    </row>
    <row r="628" spans="1:18" hidden="1">
      <c r="A628" t="s">
        <v>428</v>
      </c>
      <c r="B628" t="s">
        <v>429</v>
      </c>
      <c r="C628">
        <v>300269834</v>
      </c>
      <c r="D628">
        <v>0</v>
      </c>
      <c r="E628" t="s">
        <v>29</v>
      </c>
      <c r="F628" t="s">
        <v>125</v>
      </c>
      <c r="G628">
        <v>950</v>
      </c>
      <c r="H628" t="s">
        <v>22</v>
      </c>
      <c r="I628" t="s">
        <v>23</v>
      </c>
      <c r="J628" s="3" t="s">
        <v>1853</v>
      </c>
      <c r="K628" s="11">
        <v>46178.733148148145</v>
      </c>
      <c r="M628">
        <v>654</v>
      </c>
      <c r="N628" t="s">
        <v>867</v>
      </c>
      <c r="P628" t="s">
        <v>1854</v>
      </c>
      <c r="Q628" s="10">
        <f>INT(Tabela1[[#This Row],[DATA]])</f>
        <v>46178</v>
      </c>
      <c r="R628" s="14" t="str">
        <f ca="1">IF(AND(Q628&gt;=TODAY()-WEEKDAY(TODAY(),2)+1,Q628&lt;TODAY()),"SIM","NÃO")</f>
        <v>NÃO</v>
      </c>
    </row>
    <row r="629" spans="1:18" hidden="1">
      <c r="A629" t="s">
        <v>493</v>
      </c>
      <c r="B629" t="s">
        <v>686</v>
      </c>
      <c r="C629">
        <v>300268012</v>
      </c>
      <c r="D629">
        <v>15252485</v>
      </c>
      <c r="E629" t="s">
        <v>37</v>
      </c>
      <c r="F629" t="s">
        <v>177</v>
      </c>
      <c r="G629">
        <v>550</v>
      </c>
      <c r="H629" t="s">
        <v>22</v>
      </c>
      <c r="I629" t="s">
        <v>23</v>
      </c>
      <c r="J629" s="3" t="s">
        <v>1855</v>
      </c>
      <c r="K629" s="11">
        <v>46178.738912037035</v>
      </c>
      <c r="M629">
        <v>655</v>
      </c>
      <c r="N629" t="s">
        <v>867</v>
      </c>
      <c r="P629" t="s">
        <v>1856</v>
      </c>
      <c r="Q629" s="10">
        <f>INT(Tabela1[[#This Row],[DATA]])</f>
        <v>46178</v>
      </c>
      <c r="R629" s="14" t="str">
        <f ca="1">IF(AND(Q629&gt;=TODAY()-WEEKDAY(TODAY(),2)+1,Q629&lt;TODAY()),"SIM","NÃO")</f>
        <v>NÃO</v>
      </c>
    </row>
    <row r="630" spans="1:18" hidden="1">
      <c r="A630" t="s">
        <v>378</v>
      </c>
      <c r="B630" t="s">
        <v>137</v>
      </c>
      <c r="C630">
        <v>300248729</v>
      </c>
      <c r="D630">
        <v>16247388</v>
      </c>
      <c r="E630" t="s">
        <v>37</v>
      </c>
      <c r="F630" t="s">
        <v>971</v>
      </c>
      <c r="G630">
        <v>100</v>
      </c>
      <c r="H630" t="s">
        <v>22</v>
      </c>
      <c r="I630" t="s">
        <v>23</v>
      </c>
      <c r="J630" s="3" t="s">
        <v>1857</v>
      </c>
      <c r="K630" s="11">
        <v>46178.743946759256</v>
      </c>
      <c r="M630">
        <v>656</v>
      </c>
      <c r="N630" t="s">
        <v>867</v>
      </c>
      <c r="P630" t="s">
        <v>1858</v>
      </c>
      <c r="Q630" s="10">
        <f>INT(Tabela1[[#This Row],[DATA]])</f>
        <v>46178</v>
      </c>
      <c r="R630" s="14" t="str">
        <f ca="1">IF(AND(Q630&gt;=TODAY()-WEEKDAY(TODAY(),2)+1,Q630&lt;TODAY()),"SIM","NÃO")</f>
        <v>NÃO</v>
      </c>
    </row>
    <row r="631" spans="1:18" hidden="1">
      <c r="A631" t="s">
        <v>605</v>
      </c>
      <c r="B631" t="s">
        <v>606</v>
      </c>
      <c r="C631">
        <v>300268961</v>
      </c>
      <c r="D631" t="s">
        <v>1859</v>
      </c>
      <c r="E631" t="s">
        <v>37</v>
      </c>
      <c r="F631" t="s">
        <v>132</v>
      </c>
      <c r="G631">
        <v>1</v>
      </c>
      <c r="H631" t="s">
        <v>13</v>
      </c>
      <c r="I631" t="s">
        <v>23</v>
      </c>
      <c r="J631" s="3"/>
      <c r="K631" s="11">
        <v>46178.770752314813</v>
      </c>
      <c r="M631">
        <v>657</v>
      </c>
      <c r="N631" t="s">
        <v>867</v>
      </c>
      <c r="P631" t="s">
        <v>1860</v>
      </c>
      <c r="Q631" s="10">
        <f>INT(Tabela1[[#This Row],[DATA]])</f>
        <v>46178</v>
      </c>
      <c r="R631" s="14" t="str">
        <f ca="1">IF(AND(Q631&gt;=TODAY()-WEEKDAY(TODAY(),2)+1,Q631&lt;TODAY()),"SIM","NÃO")</f>
        <v>NÃO</v>
      </c>
    </row>
    <row r="632" spans="1:18" hidden="1">
      <c r="A632" t="s">
        <v>1581</v>
      </c>
      <c r="B632" t="s">
        <v>1582</v>
      </c>
      <c r="C632">
        <v>300265940</v>
      </c>
      <c r="D632">
        <v>16310950</v>
      </c>
      <c r="E632" t="s">
        <v>20</v>
      </c>
      <c r="F632" t="s">
        <v>323</v>
      </c>
      <c r="G632">
        <v>5</v>
      </c>
      <c r="H632" t="s">
        <v>22</v>
      </c>
      <c r="I632" t="s">
        <v>23</v>
      </c>
      <c r="J632" s="3" t="s">
        <v>1861</v>
      </c>
      <c r="K632" s="11">
        <v>46179.322743055556</v>
      </c>
      <c r="M632">
        <v>658</v>
      </c>
      <c r="N632" t="s">
        <v>867</v>
      </c>
      <c r="P632" t="s">
        <v>1862</v>
      </c>
      <c r="Q632" s="10">
        <f>INT(Tabela1[[#This Row],[DATA]])</f>
        <v>46179</v>
      </c>
      <c r="R632" s="14" t="str">
        <f ca="1">IF(AND(Q632&gt;=TODAY()-WEEKDAY(TODAY(),2)+1,Q632&lt;TODAY()),"SIM","NÃO")</f>
        <v>NÃO</v>
      </c>
    </row>
    <row r="633" spans="1:18" hidden="1">
      <c r="A633" t="s">
        <v>273</v>
      </c>
      <c r="B633" t="s">
        <v>274</v>
      </c>
      <c r="C633">
        <v>300269756</v>
      </c>
      <c r="D633">
        <v>15864448</v>
      </c>
      <c r="E633" t="s">
        <v>37</v>
      </c>
      <c r="F633" t="s">
        <v>60</v>
      </c>
      <c r="G633">
        <v>30</v>
      </c>
      <c r="H633" t="s">
        <v>22</v>
      </c>
      <c r="I633" t="s">
        <v>23</v>
      </c>
      <c r="J633" s="3" t="s">
        <v>1863</v>
      </c>
      <c r="K633" s="11">
        <v>46181.297939814816</v>
      </c>
      <c r="M633">
        <v>659</v>
      </c>
      <c r="N633" t="s">
        <v>878</v>
      </c>
      <c r="P633" t="s">
        <v>1864</v>
      </c>
      <c r="Q633" s="10">
        <f>INT(Tabela1[[#This Row],[DATA]])</f>
        <v>46181</v>
      </c>
      <c r="R633" s="14" t="str">
        <f ca="1">IF(AND(Q633&gt;=TODAY()-WEEKDAY(TODAY(),2)+1,Q633&lt;TODAY()),"SIM","NÃO")</f>
        <v>NÃO</v>
      </c>
    </row>
    <row r="634" spans="1:18" hidden="1">
      <c r="A634" t="s">
        <v>163</v>
      </c>
      <c r="B634" t="s">
        <v>164</v>
      </c>
      <c r="C634">
        <v>300257148</v>
      </c>
      <c r="D634">
        <v>15128288</v>
      </c>
      <c r="E634" t="s">
        <v>29</v>
      </c>
      <c r="F634" t="s">
        <v>430</v>
      </c>
      <c r="G634">
        <v>768</v>
      </c>
      <c r="H634" t="s">
        <v>39</v>
      </c>
      <c r="I634" t="s">
        <v>23</v>
      </c>
      <c r="J634" s="3" t="s">
        <v>1865</v>
      </c>
      <c r="K634" s="11">
        <v>46181.299884259257</v>
      </c>
      <c r="M634">
        <v>660</v>
      </c>
      <c r="N634" t="s">
        <v>878</v>
      </c>
      <c r="P634" t="s">
        <v>1866</v>
      </c>
      <c r="Q634" s="10">
        <f>INT(Tabela1[[#This Row],[DATA]])</f>
        <v>46181</v>
      </c>
      <c r="R634" s="14" t="str">
        <f ca="1">IF(AND(Q634&gt;=TODAY()-WEEKDAY(TODAY(),2)+1,Q634&lt;TODAY()),"SIM","NÃO")</f>
        <v>NÃO</v>
      </c>
    </row>
    <row r="635" spans="1:18" hidden="1">
      <c r="A635" t="s">
        <v>273</v>
      </c>
      <c r="B635" t="s">
        <v>274</v>
      </c>
      <c r="C635">
        <v>300263220</v>
      </c>
      <c r="D635">
        <v>15215539</v>
      </c>
      <c r="E635" t="s">
        <v>29</v>
      </c>
      <c r="F635" t="s">
        <v>187</v>
      </c>
      <c r="G635">
        <v>5</v>
      </c>
      <c r="H635" t="s">
        <v>22</v>
      </c>
      <c r="I635" t="s">
        <v>23</v>
      </c>
      <c r="J635" s="3" t="s">
        <v>1867</v>
      </c>
      <c r="K635" s="11">
        <v>46181.300567129627</v>
      </c>
      <c r="M635">
        <v>661</v>
      </c>
      <c r="N635" t="s">
        <v>878</v>
      </c>
      <c r="P635" t="s">
        <v>1868</v>
      </c>
      <c r="Q635" s="10">
        <f>INT(Tabela1[[#This Row],[DATA]])</f>
        <v>46181</v>
      </c>
      <c r="R635" s="14" t="str">
        <f ca="1">IF(AND(Q635&gt;=TODAY()-WEEKDAY(TODAY(),2)+1,Q635&lt;TODAY()),"SIM","NÃO")</f>
        <v>NÃO</v>
      </c>
    </row>
    <row r="636" spans="1:18" hidden="1">
      <c r="A636" t="s">
        <v>163</v>
      </c>
      <c r="B636" t="s">
        <v>164</v>
      </c>
      <c r="C636">
        <v>300267148</v>
      </c>
      <c r="D636">
        <v>15128288</v>
      </c>
      <c r="E636" t="s">
        <v>29</v>
      </c>
      <c r="F636" t="s">
        <v>291</v>
      </c>
      <c r="G636">
        <v>48</v>
      </c>
      <c r="H636" t="s">
        <v>39</v>
      </c>
      <c r="I636" t="s">
        <v>23</v>
      </c>
      <c r="J636" s="3" t="s">
        <v>1869</v>
      </c>
      <c r="K636" s="11">
        <v>46181.301087962966</v>
      </c>
      <c r="M636">
        <v>662</v>
      </c>
      <c r="N636" t="s">
        <v>867</v>
      </c>
      <c r="P636" t="s">
        <v>1870</v>
      </c>
      <c r="Q636" s="10">
        <f>INT(Tabela1[[#This Row],[DATA]])</f>
        <v>46181</v>
      </c>
      <c r="R636" s="14" t="str">
        <f ca="1">IF(AND(Q636&gt;=TODAY()-WEEKDAY(TODAY(),2)+1,Q636&lt;TODAY()),"SIM","NÃO")</f>
        <v>NÃO</v>
      </c>
    </row>
    <row r="637" spans="1:18" hidden="1">
      <c r="A637" t="s">
        <v>49</v>
      </c>
      <c r="B637" t="s">
        <v>50</v>
      </c>
      <c r="C637">
        <v>300268059</v>
      </c>
      <c r="D637">
        <v>16473604</v>
      </c>
      <c r="E637" t="s">
        <v>37</v>
      </c>
      <c r="F637" t="s">
        <v>38</v>
      </c>
      <c r="G637">
        <v>608</v>
      </c>
      <c r="H637" t="s">
        <v>39</v>
      </c>
      <c r="I637" t="s">
        <v>23</v>
      </c>
      <c r="J637" s="3" t="s">
        <v>1871</v>
      </c>
      <c r="K637" s="11">
        <v>46181.319745370369</v>
      </c>
      <c r="M637">
        <v>663</v>
      </c>
      <c r="N637" t="s">
        <v>878</v>
      </c>
      <c r="P637" t="s">
        <v>1872</v>
      </c>
      <c r="Q637" s="10">
        <f>INT(Tabela1[[#This Row],[DATA]])</f>
        <v>46181</v>
      </c>
      <c r="R637" s="14" t="str">
        <f ca="1">IF(AND(Q637&gt;=TODAY()-WEEKDAY(TODAY(),2)+1,Q637&lt;TODAY()),"SIM","NÃO")</f>
        <v>NÃO</v>
      </c>
    </row>
    <row r="638" spans="1:18" hidden="1">
      <c r="A638" t="s">
        <v>845</v>
      </c>
      <c r="B638" t="s">
        <v>846</v>
      </c>
      <c r="C638">
        <v>300269765</v>
      </c>
      <c r="D638">
        <v>15775496</v>
      </c>
      <c r="E638" t="s">
        <v>37</v>
      </c>
      <c r="F638" t="s">
        <v>651</v>
      </c>
      <c r="G638">
        <v>932</v>
      </c>
      <c r="H638" t="s">
        <v>1873</v>
      </c>
      <c r="I638" t="s">
        <v>23</v>
      </c>
      <c r="J638" s="3" t="s">
        <v>1874</v>
      </c>
      <c r="K638" s="11">
        <v>46181.344155092593</v>
      </c>
      <c r="M638">
        <v>664</v>
      </c>
      <c r="N638" t="s">
        <v>878</v>
      </c>
      <c r="P638" t="s">
        <v>1875</v>
      </c>
      <c r="Q638" s="10">
        <f>INT(Tabela1[[#This Row],[DATA]])</f>
        <v>46181</v>
      </c>
      <c r="R638" s="14" t="str">
        <f ca="1">IF(AND(Q638&gt;=TODAY()-WEEKDAY(TODAY(),2)+1,Q638&lt;TODAY()),"SIM","NÃO")</f>
        <v>NÃO</v>
      </c>
    </row>
    <row r="639" spans="1:18" hidden="1">
      <c r="A639" t="s">
        <v>1439</v>
      </c>
      <c r="B639" t="s">
        <v>1440</v>
      </c>
      <c r="C639">
        <v>300265455</v>
      </c>
      <c r="D639">
        <v>16465164</v>
      </c>
      <c r="E639" t="s">
        <v>45</v>
      </c>
      <c r="F639" t="s">
        <v>64</v>
      </c>
      <c r="G639">
        <v>1.4850000000000001</v>
      </c>
      <c r="H639" t="s">
        <v>39</v>
      </c>
      <c r="I639" t="s">
        <v>23</v>
      </c>
      <c r="J639" s="3" t="s">
        <v>1876</v>
      </c>
      <c r="K639" s="11">
        <v>46181.347418981481</v>
      </c>
      <c r="M639">
        <v>665</v>
      </c>
      <c r="N639" t="s">
        <v>878</v>
      </c>
      <c r="P639" t="s">
        <v>1877</v>
      </c>
      <c r="Q639" s="10">
        <f>INT(Tabela1[[#This Row],[DATA]])</f>
        <v>46181</v>
      </c>
      <c r="R639" s="14" t="str">
        <f ca="1">IF(AND(Q639&gt;=TODAY()-WEEKDAY(TODAY(),2)+1,Q639&lt;TODAY()),"SIM","NÃO")</f>
        <v>NÃO</v>
      </c>
    </row>
    <row r="640" spans="1:18" hidden="1">
      <c r="A640" t="s">
        <v>1439</v>
      </c>
      <c r="B640" t="s">
        <v>1440</v>
      </c>
      <c r="C640">
        <v>300265453</v>
      </c>
      <c r="D640">
        <v>16465164</v>
      </c>
      <c r="E640" t="s">
        <v>45</v>
      </c>
      <c r="F640" t="s">
        <v>64</v>
      </c>
      <c r="G640">
        <v>8</v>
      </c>
      <c r="H640" t="s">
        <v>22</v>
      </c>
      <c r="I640" t="s">
        <v>23</v>
      </c>
      <c r="J640" s="3"/>
      <c r="K640" s="11">
        <v>46181.34915509259</v>
      </c>
      <c r="M640">
        <v>666</v>
      </c>
      <c r="N640" t="s">
        <v>867</v>
      </c>
      <c r="P640" t="s">
        <v>1878</v>
      </c>
      <c r="Q640" s="10">
        <f>INT(Tabela1[[#This Row],[DATA]])</f>
        <v>46181</v>
      </c>
      <c r="R640" s="14" t="str">
        <f ca="1">IF(AND(Q640&gt;=TODAY()-WEEKDAY(TODAY(),2)+1,Q640&lt;TODAY()),"SIM","NÃO")</f>
        <v>NÃO</v>
      </c>
    </row>
    <row r="641" spans="1:18" hidden="1">
      <c r="A641" t="s">
        <v>185</v>
      </c>
      <c r="B641" t="s">
        <v>1625</v>
      </c>
      <c r="C641">
        <v>300269812</v>
      </c>
      <c r="D641">
        <v>16373685</v>
      </c>
      <c r="E641" t="s">
        <v>37</v>
      </c>
      <c r="F641" t="s">
        <v>221</v>
      </c>
      <c r="G641">
        <v>1606</v>
      </c>
      <c r="H641" t="s">
        <v>39</v>
      </c>
      <c r="I641" t="s">
        <v>23</v>
      </c>
      <c r="J641" s="3" t="s">
        <v>1879</v>
      </c>
      <c r="K641" s="11">
        <v>46181.378784722219</v>
      </c>
      <c r="M641">
        <v>667</v>
      </c>
      <c r="N641" t="s">
        <v>878</v>
      </c>
      <c r="P641" t="s">
        <v>1880</v>
      </c>
      <c r="Q641" s="10">
        <f>INT(Tabela1[[#This Row],[DATA]])</f>
        <v>46181</v>
      </c>
      <c r="R641" s="14" t="str">
        <f ca="1">IF(AND(Q641&gt;=TODAY()-WEEKDAY(TODAY(),2)+1,Q641&lt;TODAY()),"SIM","NÃO")</f>
        <v>NÃO</v>
      </c>
    </row>
    <row r="642" spans="1:18" hidden="1">
      <c r="A642" t="s">
        <v>185</v>
      </c>
      <c r="B642" t="s">
        <v>1625</v>
      </c>
      <c r="C642">
        <v>300269812</v>
      </c>
      <c r="D642">
        <v>16373685</v>
      </c>
      <c r="E642" t="s">
        <v>37</v>
      </c>
      <c r="F642" t="s">
        <v>113</v>
      </c>
      <c r="G642">
        <v>1606</v>
      </c>
      <c r="H642" t="s">
        <v>39</v>
      </c>
      <c r="I642" t="s">
        <v>23</v>
      </c>
      <c r="J642" s="3" t="s">
        <v>1881</v>
      </c>
      <c r="K642" s="11">
        <v>46181.380532407406</v>
      </c>
      <c r="M642">
        <v>668</v>
      </c>
      <c r="N642" t="s">
        <v>878</v>
      </c>
      <c r="P642" t="s">
        <v>1882</v>
      </c>
      <c r="Q642" s="10">
        <f>INT(Tabela1[[#This Row],[DATA]])</f>
        <v>46181</v>
      </c>
      <c r="R642" s="14" t="str">
        <f ca="1">IF(AND(Q642&gt;=TODAY()-WEEKDAY(TODAY(),2)+1,Q642&lt;TODAY()),"SIM","NÃO")</f>
        <v>NÃO</v>
      </c>
    </row>
    <row r="643" spans="1:18" hidden="1">
      <c r="A643" t="s">
        <v>1144</v>
      </c>
      <c r="B643" t="s">
        <v>344</v>
      </c>
      <c r="C643">
        <v>300269350</v>
      </c>
      <c r="D643">
        <v>15773477</v>
      </c>
      <c r="E643" t="s">
        <v>37</v>
      </c>
      <c r="F643" t="s">
        <v>132</v>
      </c>
      <c r="G643">
        <v>0</v>
      </c>
      <c r="H643" t="s">
        <v>22</v>
      </c>
      <c r="I643" t="s">
        <v>23</v>
      </c>
      <c r="J643" s="3" t="s">
        <v>132</v>
      </c>
      <c r="K643" s="11">
        <v>46181.393946759257</v>
      </c>
      <c r="M643">
        <v>669</v>
      </c>
      <c r="N643" t="s">
        <v>878</v>
      </c>
      <c r="P643" t="s">
        <v>1883</v>
      </c>
      <c r="Q643" s="10">
        <f>INT(Tabela1[[#This Row],[DATA]])</f>
        <v>46181</v>
      </c>
      <c r="R643" s="14" t="str">
        <f ca="1">IF(AND(Q643&gt;=TODAY()-WEEKDAY(TODAY(),2)+1,Q643&lt;TODAY()),"SIM","NÃO")</f>
        <v>NÃO</v>
      </c>
    </row>
    <row r="644" spans="1:18" hidden="1">
      <c r="A644" t="s">
        <v>163</v>
      </c>
      <c r="B644" t="s">
        <v>164</v>
      </c>
      <c r="C644">
        <v>300264027</v>
      </c>
      <c r="D644">
        <v>16447549</v>
      </c>
      <c r="E644" t="s">
        <v>37</v>
      </c>
      <c r="F644" t="s">
        <v>38</v>
      </c>
      <c r="G644">
        <v>902</v>
      </c>
      <c r="H644" t="s">
        <v>39</v>
      </c>
      <c r="I644" t="s">
        <v>23</v>
      </c>
      <c r="J644" s="3" t="s">
        <v>1884</v>
      </c>
      <c r="K644" s="11">
        <v>46181.399756944447</v>
      </c>
      <c r="M644">
        <v>670</v>
      </c>
      <c r="N644" t="s">
        <v>878</v>
      </c>
      <c r="P644" t="s">
        <v>1885</v>
      </c>
      <c r="Q644" s="10">
        <f>INT(Tabela1[[#This Row],[DATA]])</f>
        <v>46181</v>
      </c>
      <c r="R644" s="14" t="str">
        <f ca="1">IF(AND(Q644&gt;=TODAY()-WEEKDAY(TODAY(),2)+1,Q644&lt;TODAY()),"SIM","NÃO")</f>
        <v>NÃO</v>
      </c>
    </row>
    <row r="645" spans="1:18" hidden="1">
      <c r="A645" t="s">
        <v>163</v>
      </c>
      <c r="B645" t="s">
        <v>164</v>
      </c>
      <c r="C645">
        <v>300264027</v>
      </c>
      <c r="D645">
        <v>16447549</v>
      </c>
      <c r="E645" t="s">
        <v>37</v>
      </c>
      <c r="F645" t="s">
        <v>60</v>
      </c>
      <c r="G645">
        <v>5</v>
      </c>
      <c r="H645" t="s">
        <v>22</v>
      </c>
      <c r="I645" t="s">
        <v>23</v>
      </c>
      <c r="J645" s="3" t="s">
        <v>1886</v>
      </c>
      <c r="K645" s="11">
        <v>46181.400960648149</v>
      </c>
      <c r="M645">
        <v>671</v>
      </c>
      <c r="N645" t="s">
        <v>867</v>
      </c>
      <c r="P645" t="s">
        <v>1887</v>
      </c>
      <c r="Q645" s="10">
        <f>INT(Tabela1[[#This Row],[DATA]])</f>
        <v>46181</v>
      </c>
      <c r="R645" s="14" t="str">
        <f ca="1">IF(AND(Q645&gt;=TODAY()-WEEKDAY(TODAY(),2)+1,Q645&lt;TODAY()),"SIM","NÃO")</f>
        <v>NÃO</v>
      </c>
    </row>
    <row r="646" spans="1:18" hidden="1">
      <c r="A646" t="s">
        <v>428</v>
      </c>
      <c r="B646" t="s">
        <v>429</v>
      </c>
      <c r="C646">
        <v>300269834</v>
      </c>
      <c r="D646">
        <v>16442660</v>
      </c>
      <c r="E646" t="s">
        <v>29</v>
      </c>
      <c r="F646" t="s">
        <v>96</v>
      </c>
      <c r="G646">
        <v>30</v>
      </c>
      <c r="H646" t="s">
        <v>39</v>
      </c>
      <c r="I646" t="s">
        <v>23</v>
      </c>
      <c r="J646" s="3" t="s">
        <v>1888</v>
      </c>
      <c r="K646" s="11">
        <v>46181.401921296296</v>
      </c>
      <c r="M646">
        <v>672</v>
      </c>
      <c r="N646" t="s">
        <v>867</v>
      </c>
      <c r="P646" t="s">
        <v>1889</v>
      </c>
      <c r="Q646" s="10">
        <f>INT(Tabela1[[#This Row],[DATA]])</f>
        <v>46181</v>
      </c>
      <c r="R646" s="14" t="str">
        <f ca="1">IF(AND(Q646&gt;=TODAY()-WEEKDAY(TODAY(),2)+1,Q646&lt;TODAY()),"SIM","NÃO")</f>
        <v>NÃO</v>
      </c>
    </row>
    <row r="647" spans="1:18" hidden="1">
      <c r="A647" t="s">
        <v>807</v>
      </c>
      <c r="B647" t="s">
        <v>1390</v>
      </c>
      <c r="C647">
        <v>300267524</v>
      </c>
      <c r="D647">
        <v>16223780</v>
      </c>
      <c r="E647" t="s">
        <v>45</v>
      </c>
      <c r="F647" t="s">
        <v>145</v>
      </c>
      <c r="G647">
        <v>1924</v>
      </c>
      <c r="H647" t="s">
        <v>1890</v>
      </c>
      <c r="I647" t="s">
        <v>23</v>
      </c>
      <c r="J647" s="3" t="s">
        <v>1891</v>
      </c>
      <c r="K647" s="11">
        <v>46181.402233796296</v>
      </c>
      <c r="M647">
        <v>673</v>
      </c>
      <c r="N647" t="s">
        <v>878</v>
      </c>
      <c r="P647" t="s">
        <v>1892</v>
      </c>
      <c r="Q647" s="10">
        <f>INT(Tabela1[[#This Row],[DATA]])</f>
        <v>46181</v>
      </c>
      <c r="R647" s="14" t="str">
        <f ca="1">IF(AND(Q647&gt;=TODAY()-WEEKDAY(TODAY(),2)+1,Q647&lt;TODAY()),"SIM","NÃO")</f>
        <v>NÃO</v>
      </c>
    </row>
    <row r="648" spans="1:18" hidden="1">
      <c r="A648" t="s">
        <v>428</v>
      </c>
      <c r="B648" t="s">
        <v>429</v>
      </c>
      <c r="C648">
        <v>300269834</v>
      </c>
      <c r="D648">
        <v>16442660</v>
      </c>
      <c r="E648" t="s">
        <v>29</v>
      </c>
      <c r="F648" t="s">
        <v>291</v>
      </c>
      <c r="G648">
        <v>150</v>
      </c>
      <c r="H648" t="s">
        <v>39</v>
      </c>
      <c r="I648" t="s">
        <v>23</v>
      </c>
      <c r="J648" s="3" t="s">
        <v>1893</v>
      </c>
      <c r="K648" s="11">
        <v>46181.402951388889</v>
      </c>
      <c r="M648">
        <v>674</v>
      </c>
      <c r="N648" t="s">
        <v>867</v>
      </c>
      <c r="P648" t="s">
        <v>1894</v>
      </c>
      <c r="Q648" s="10">
        <f>INT(Tabela1[[#This Row],[DATA]])</f>
        <v>46181</v>
      </c>
      <c r="R648" s="14" t="str">
        <f ca="1">IF(AND(Q648&gt;=TODAY()-WEEKDAY(TODAY(),2)+1,Q648&lt;TODAY()),"SIM","NÃO")</f>
        <v>NÃO</v>
      </c>
    </row>
    <row r="649" spans="1:18" hidden="1">
      <c r="A649" t="s">
        <v>1835</v>
      </c>
      <c r="B649" t="s">
        <v>1836</v>
      </c>
      <c r="C649">
        <v>300266626</v>
      </c>
      <c r="D649">
        <v>16474090</v>
      </c>
      <c r="E649" t="s">
        <v>37</v>
      </c>
      <c r="F649" t="s">
        <v>323</v>
      </c>
      <c r="G649">
        <v>32</v>
      </c>
      <c r="H649" t="s">
        <v>1895</v>
      </c>
      <c r="I649" t="s">
        <v>23</v>
      </c>
      <c r="J649" s="3"/>
      <c r="K649" s="11">
        <v>46181.403634259259</v>
      </c>
      <c r="M649">
        <v>675</v>
      </c>
      <c r="N649" t="s">
        <v>878</v>
      </c>
      <c r="P649" t="s">
        <v>1896</v>
      </c>
      <c r="Q649" s="10">
        <f>INT(Tabela1[[#This Row],[DATA]])</f>
        <v>46181</v>
      </c>
      <c r="R649" s="14" t="str">
        <f ca="1">IF(AND(Q649&gt;=TODAY()-WEEKDAY(TODAY(),2)+1,Q649&lt;TODAY()),"SIM","NÃO")</f>
        <v>NÃO</v>
      </c>
    </row>
    <row r="650" spans="1:18" hidden="1">
      <c r="A650" t="s">
        <v>287</v>
      </c>
      <c r="B650" t="s">
        <v>288</v>
      </c>
      <c r="C650">
        <v>300261843</v>
      </c>
      <c r="D650">
        <v>15773167</v>
      </c>
      <c r="E650" t="s">
        <v>37</v>
      </c>
      <c r="F650" t="s">
        <v>38</v>
      </c>
      <c r="G650">
        <v>12</v>
      </c>
      <c r="H650" t="s">
        <v>22</v>
      </c>
      <c r="I650" t="s">
        <v>23</v>
      </c>
      <c r="J650" s="3"/>
      <c r="K650" s="11">
        <v>46181.404652777775</v>
      </c>
      <c r="M650">
        <v>676</v>
      </c>
      <c r="N650" t="s">
        <v>867</v>
      </c>
      <c r="P650" t="s">
        <v>1897</v>
      </c>
      <c r="Q650" s="10">
        <f>INT(Tabela1[[#This Row],[DATA]])</f>
        <v>46181</v>
      </c>
      <c r="R650" s="14" t="str">
        <f ca="1">IF(AND(Q650&gt;=TODAY()-WEEKDAY(TODAY(),2)+1,Q650&lt;TODAY()),"SIM","NÃO")</f>
        <v>NÃO</v>
      </c>
    </row>
    <row r="651" spans="1:18" hidden="1">
      <c r="A651" t="s">
        <v>1835</v>
      </c>
      <c r="B651" t="s">
        <v>1836</v>
      </c>
      <c r="C651">
        <v>300266626</v>
      </c>
      <c r="D651">
        <v>16474090</v>
      </c>
      <c r="E651" t="s">
        <v>37</v>
      </c>
      <c r="F651" t="s">
        <v>323</v>
      </c>
      <c r="G651">
        <v>32</v>
      </c>
      <c r="H651" t="s">
        <v>1898</v>
      </c>
      <c r="I651" t="s">
        <v>23</v>
      </c>
      <c r="J651" s="3" t="s">
        <v>1899</v>
      </c>
      <c r="K651" s="11">
        <v>46181.405462962961</v>
      </c>
      <c r="M651">
        <v>677</v>
      </c>
      <c r="N651" t="s">
        <v>878</v>
      </c>
      <c r="P651" t="s">
        <v>1900</v>
      </c>
      <c r="Q651" s="10">
        <f>INT(Tabela1[[#This Row],[DATA]])</f>
        <v>46181</v>
      </c>
      <c r="R651" s="14" t="str">
        <f ca="1">IF(AND(Q651&gt;=TODAY()-WEEKDAY(TODAY(),2)+1,Q651&lt;TODAY()),"SIM","NÃO")</f>
        <v>NÃO</v>
      </c>
    </row>
    <row r="652" spans="1:18" hidden="1">
      <c r="A652" t="s">
        <v>1175</v>
      </c>
      <c r="B652" t="s">
        <v>1176</v>
      </c>
      <c r="C652">
        <v>300267245</v>
      </c>
      <c r="D652">
        <v>16508971</v>
      </c>
      <c r="E652" t="s">
        <v>37</v>
      </c>
      <c r="F652" t="s">
        <v>177</v>
      </c>
      <c r="G652">
        <v>250</v>
      </c>
      <c r="H652" t="s">
        <v>1901</v>
      </c>
      <c r="I652" t="s">
        <v>23</v>
      </c>
      <c r="J652" s="3" t="s">
        <v>1902</v>
      </c>
      <c r="K652" s="11">
        <v>46181.419074074074</v>
      </c>
      <c r="M652">
        <v>678</v>
      </c>
      <c r="N652" t="s">
        <v>867</v>
      </c>
      <c r="P652" t="s">
        <v>1903</v>
      </c>
      <c r="Q652" s="10">
        <f>INT(Tabela1[[#This Row],[DATA]])</f>
        <v>46181</v>
      </c>
      <c r="R652" s="14" t="str">
        <f ca="1">IF(AND(Q652&gt;=TODAY()-WEEKDAY(TODAY(),2)+1,Q652&lt;TODAY()),"SIM","NÃO")</f>
        <v>NÃO</v>
      </c>
    </row>
    <row r="653" spans="1:18" hidden="1">
      <c r="A653" t="s">
        <v>73</v>
      </c>
      <c r="B653" t="s">
        <v>74</v>
      </c>
      <c r="C653">
        <v>300266589</v>
      </c>
      <c r="D653">
        <v>16526112</v>
      </c>
      <c r="E653" t="s">
        <v>20</v>
      </c>
      <c r="F653" t="s">
        <v>1904</v>
      </c>
      <c r="G653">
        <v>4</v>
      </c>
      <c r="H653" t="s">
        <v>22</v>
      </c>
      <c r="I653" t="s">
        <v>23</v>
      </c>
      <c r="J653" s="3" t="s">
        <v>1905</v>
      </c>
      <c r="K653" s="11">
        <v>46181.586168981485</v>
      </c>
      <c r="M653">
        <v>679</v>
      </c>
      <c r="N653" t="s">
        <v>867</v>
      </c>
      <c r="P653" t="s">
        <v>1906</v>
      </c>
      <c r="Q653" s="10">
        <f>INT(Tabela1[[#This Row],[DATA]])</f>
        <v>46181</v>
      </c>
      <c r="R653" s="14" t="str">
        <f ca="1">IF(AND(Q653&gt;=TODAY()-WEEKDAY(TODAY(),2)+1,Q653&lt;TODAY()),"SIM","NÃO")</f>
        <v>NÃO</v>
      </c>
    </row>
    <row r="654" spans="1:18" hidden="1">
      <c r="A654" t="s">
        <v>149</v>
      </c>
      <c r="B654" t="s">
        <v>150</v>
      </c>
      <c r="C654">
        <v>300268647</v>
      </c>
      <c r="D654">
        <v>15775623</v>
      </c>
      <c r="E654" t="s">
        <v>37</v>
      </c>
      <c r="F654" t="s">
        <v>113</v>
      </c>
      <c r="G654">
        <v>1</v>
      </c>
      <c r="H654" t="s">
        <v>39</v>
      </c>
      <c r="I654" t="s">
        <v>23</v>
      </c>
      <c r="J654" s="3" t="s">
        <v>1907</v>
      </c>
      <c r="K654" s="11">
        <v>46181.595902777779</v>
      </c>
      <c r="M654">
        <v>680</v>
      </c>
      <c r="N654" t="s">
        <v>878</v>
      </c>
      <c r="P654" t="s">
        <v>1908</v>
      </c>
      <c r="Q654" s="10">
        <f>INT(Tabela1[[#This Row],[DATA]])</f>
        <v>46181</v>
      </c>
      <c r="R654" s="14" t="str">
        <f ca="1">IF(AND(Q654&gt;=TODAY()-WEEKDAY(TODAY(),2)+1,Q654&lt;TODAY()),"SIM","NÃO")</f>
        <v>NÃO</v>
      </c>
    </row>
    <row r="655" spans="1:18" hidden="1">
      <c r="A655" t="s">
        <v>1909</v>
      </c>
      <c r="B655" t="s">
        <v>1910</v>
      </c>
      <c r="C655">
        <v>300267386</v>
      </c>
      <c r="D655">
        <v>16027213</v>
      </c>
      <c r="E655" t="s">
        <v>37</v>
      </c>
      <c r="F655" t="s">
        <v>221</v>
      </c>
      <c r="G655">
        <v>1514</v>
      </c>
      <c r="H655" t="s">
        <v>39</v>
      </c>
      <c r="I655" t="s">
        <v>23</v>
      </c>
      <c r="J655" s="3"/>
      <c r="K655" s="11">
        <v>46181.614282407405</v>
      </c>
      <c r="M655">
        <v>681</v>
      </c>
      <c r="N655" t="s">
        <v>878</v>
      </c>
      <c r="P655" t="s">
        <v>1911</v>
      </c>
      <c r="Q655" s="10">
        <f>INT(Tabela1[[#This Row],[DATA]])</f>
        <v>46181</v>
      </c>
      <c r="R655" s="14" t="str">
        <f ca="1">IF(AND(Q655&gt;=TODAY()-WEEKDAY(TODAY(),2)+1,Q655&lt;TODAY()),"SIM","NÃO")</f>
        <v>NÃO</v>
      </c>
    </row>
    <row r="656" spans="1:18" hidden="1">
      <c r="A656" t="s">
        <v>43</v>
      </c>
      <c r="B656" t="s">
        <v>44</v>
      </c>
      <c r="C656">
        <v>300266766</v>
      </c>
      <c r="D656">
        <v>16461649</v>
      </c>
      <c r="E656" t="s">
        <v>45</v>
      </c>
      <c r="F656" t="s">
        <v>96</v>
      </c>
      <c r="G656">
        <v>106</v>
      </c>
      <c r="H656" t="s">
        <v>39</v>
      </c>
      <c r="I656" t="s">
        <v>23</v>
      </c>
      <c r="J656" s="3" t="s">
        <v>1912</v>
      </c>
      <c r="K656" s="11">
        <v>46181.624143518522</v>
      </c>
      <c r="M656">
        <v>682</v>
      </c>
      <c r="N656" t="s">
        <v>867</v>
      </c>
      <c r="P656" t="s">
        <v>1913</v>
      </c>
      <c r="Q656" s="10">
        <f>INT(Tabela1[[#This Row],[DATA]])</f>
        <v>46181</v>
      </c>
      <c r="R656" s="14" t="str">
        <f ca="1">IF(AND(Q656&gt;=TODAY()-WEEKDAY(TODAY(),2)+1,Q656&lt;TODAY()),"SIM","NÃO")</f>
        <v>NÃO</v>
      </c>
    </row>
    <row r="657" spans="1:18" hidden="1">
      <c r="A657" t="s">
        <v>605</v>
      </c>
      <c r="B657" t="s">
        <v>606</v>
      </c>
      <c r="C657">
        <v>300263199</v>
      </c>
      <c r="D657">
        <v>15215539</v>
      </c>
      <c r="E657" t="s">
        <v>29</v>
      </c>
      <c r="F657" t="s">
        <v>151</v>
      </c>
      <c r="G657">
        <v>69</v>
      </c>
      <c r="H657" t="s">
        <v>39</v>
      </c>
      <c r="I657" t="s">
        <v>934</v>
      </c>
      <c r="J657" s="3" t="s">
        <v>1914</v>
      </c>
      <c r="K657" s="11">
        <v>46181.626550925925</v>
      </c>
      <c r="M657">
        <v>683</v>
      </c>
      <c r="N657" t="s">
        <v>867</v>
      </c>
      <c r="P657" t="s">
        <v>1915</v>
      </c>
      <c r="Q657" s="10">
        <f>INT(Tabela1[[#This Row],[DATA]])</f>
        <v>46181</v>
      </c>
      <c r="R657" s="14" t="str">
        <f ca="1">IF(AND(Q657&gt;=TODAY()-WEEKDAY(TODAY(),2)+1,Q657&lt;TODAY()),"SIM","NÃO")</f>
        <v>NÃO</v>
      </c>
    </row>
    <row r="658" spans="1:18" hidden="1">
      <c r="A658" t="s">
        <v>1835</v>
      </c>
      <c r="B658" t="s">
        <v>1836</v>
      </c>
      <c r="C658">
        <v>300266626</v>
      </c>
      <c r="D658">
        <v>16474090</v>
      </c>
      <c r="E658" t="s">
        <v>37</v>
      </c>
      <c r="F658" t="s">
        <v>323</v>
      </c>
      <c r="G658">
        <v>32</v>
      </c>
      <c r="H658" t="s">
        <v>1895</v>
      </c>
      <c r="I658" t="s">
        <v>23</v>
      </c>
      <c r="J658" s="3" t="s">
        <v>1916</v>
      </c>
      <c r="K658" s="11">
        <v>46181.640601851854</v>
      </c>
      <c r="M658">
        <v>684</v>
      </c>
      <c r="N658" t="s">
        <v>878</v>
      </c>
      <c r="P658" t="s">
        <v>1917</v>
      </c>
      <c r="Q658" s="10">
        <f>INT(Tabela1[[#This Row],[DATA]])</f>
        <v>46181</v>
      </c>
      <c r="R658" s="14" t="str">
        <f ca="1">IF(AND(Q658&gt;=TODAY()-WEEKDAY(TODAY(),2)+1,Q658&lt;TODAY()),"SIM","NÃO")</f>
        <v>NÃO</v>
      </c>
    </row>
    <row r="659" spans="1:18" hidden="1">
      <c r="A659" t="s">
        <v>136</v>
      </c>
      <c r="B659" t="s">
        <v>137</v>
      </c>
      <c r="C659">
        <v>300269797</v>
      </c>
      <c r="D659">
        <v>16373685</v>
      </c>
      <c r="E659" t="s">
        <v>37</v>
      </c>
      <c r="F659" t="s">
        <v>221</v>
      </c>
      <c r="G659">
        <v>1140</v>
      </c>
      <c r="H659" t="s">
        <v>39</v>
      </c>
      <c r="I659" t="s">
        <v>23</v>
      </c>
      <c r="J659" s="3"/>
      <c r="K659" s="11">
        <v>46181.645752314813</v>
      </c>
      <c r="M659">
        <v>685</v>
      </c>
      <c r="N659" t="s">
        <v>878</v>
      </c>
      <c r="P659" s="5" t="s">
        <v>1918</v>
      </c>
      <c r="Q659" s="10">
        <f>INT(Tabela1[[#This Row],[DATA]])</f>
        <v>46181</v>
      </c>
      <c r="R659" s="14" t="str">
        <f ca="1">IF(AND(Q659&gt;=TODAY()-WEEKDAY(TODAY(),2)+1,Q659&lt;TODAY()),"SIM","NÃO")</f>
        <v>NÃO</v>
      </c>
    </row>
    <row r="660" spans="1:18" hidden="1">
      <c r="A660" t="s">
        <v>249</v>
      </c>
      <c r="B660" t="s">
        <v>112</v>
      </c>
      <c r="C660">
        <v>300262458</v>
      </c>
      <c r="D660">
        <v>16243668</v>
      </c>
      <c r="E660" t="s">
        <v>37</v>
      </c>
      <c r="F660" t="s">
        <v>323</v>
      </c>
      <c r="G660">
        <v>25</v>
      </c>
      <c r="H660" t="s">
        <v>22</v>
      </c>
      <c r="I660" t="s">
        <v>973</v>
      </c>
      <c r="J660" s="3" t="s">
        <v>1919</v>
      </c>
      <c r="K660" s="11">
        <v>46181.647152777776</v>
      </c>
      <c r="M660">
        <v>686</v>
      </c>
      <c r="N660" t="s">
        <v>867</v>
      </c>
      <c r="P660" t="s">
        <v>1920</v>
      </c>
      <c r="Q660" s="10">
        <f>INT(Tabela1[[#This Row],[DATA]])</f>
        <v>46181</v>
      </c>
      <c r="R660" s="14" t="str">
        <f ca="1">IF(AND(Q660&gt;=TODAY()-WEEKDAY(TODAY(),2)+1,Q660&lt;TODAY()),"SIM","NÃO")</f>
        <v>NÃO</v>
      </c>
    </row>
    <row r="661" spans="1:18" hidden="1">
      <c r="A661" t="s">
        <v>1283</v>
      </c>
      <c r="B661" t="s">
        <v>1284</v>
      </c>
      <c r="C661">
        <v>300269337</v>
      </c>
      <c r="D661">
        <v>15773477</v>
      </c>
      <c r="E661" t="s">
        <v>37</v>
      </c>
      <c r="F661" t="s">
        <v>203</v>
      </c>
      <c r="G661">
        <v>2</v>
      </c>
      <c r="H661" t="s">
        <v>39</v>
      </c>
      <c r="I661" t="s">
        <v>23</v>
      </c>
      <c r="J661" s="3"/>
      <c r="K661" s="11">
        <v>46181.658078703702</v>
      </c>
      <c r="M661">
        <v>687</v>
      </c>
      <c r="N661" t="s">
        <v>878</v>
      </c>
      <c r="P661" t="s">
        <v>1921</v>
      </c>
      <c r="Q661" s="10">
        <f>INT(Tabela1[[#This Row],[DATA]])</f>
        <v>46181</v>
      </c>
      <c r="R661" s="14" t="str">
        <f ca="1">IF(AND(Q661&gt;=TODAY()-WEEKDAY(TODAY(),2)+1,Q661&lt;TODAY()),"SIM","NÃO")</f>
        <v>NÃO</v>
      </c>
    </row>
    <row r="662" spans="1:18" hidden="1">
      <c r="A662" t="s">
        <v>1283</v>
      </c>
      <c r="B662" t="s">
        <v>1284</v>
      </c>
      <c r="C662">
        <v>300269337</v>
      </c>
      <c r="D662">
        <v>15773477</v>
      </c>
      <c r="E662" t="s">
        <v>37</v>
      </c>
      <c r="F662" t="s">
        <v>38</v>
      </c>
      <c r="G662">
        <v>50</v>
      </c>
      <c r="H662" t="s">
        <v>39</v>
      </c>
      <c r="I662" t="s">
        <v>23</v>
      </c>
      <c r="J662" s="3" t="s">
        <v>1922</v>
      </c>
      <c r="K662" s="11">
        <v>46181.659305555557</v>
      </c>
      <c r="M662">
        <v>688</v>
      </c>
      <c r="N662" t="s">
        <v>867</v>
      </c>
      <c r="P662" t="s">
        <v>1923</v>
      </c>
      <c r="Q662" s="10">
        <f>INT(Tabela1[[#This Row],[DATA]])</f>
        <v>46181</v>
      </c>
      <c r="R662" s="14" t="str">
        <f ca="1">IF(AND(Q662&gt;=TODAY()-WEEKDAY(TODAY(),2)+1,Q662&lt;TODAY()),"SIM","NÃO")</f>
        <v>NÃO</v>
      </c>
    </row>
    <row r="663" spans="1:18" hidden="1">
      <c r="A663" t="s">
        <v>481</v>
      </c>
      <c r="B663" t="s">
        <v>482</v>
      </c>
      <c r="C663">
        <v>300268635</v>
      </c>
      <c r="D663">
        <v>15773485</v>
      </c>
      <c r="E663" t="s">
        <v>37</v>
      </c>
      <c r="F663" t="s">
        <v>90</v>
      </c>
      <c r="G663">
        <v>1.167</v>
      </c>
      <c r="H663" t="s">
        <v>39</v>
      </c>
      <c r="I663" t="s">
        <v>23</v>
      </c>
      <c r="J663" s="3" t="s">
        <v>1924</v>
      </c>
      <c r="K663" s="11">
        <v>46181.662499999999</v>
      </c>
      <c r="M663">
        <v>689</v>
      </c>
      <c r="N663" t="s">
        <v>878</v>
      </c>
      <c r="P663" t="s">
        <v>1925</v>
      </c>
      <c r="Q663" s="10">
        <f>INT(Tabela1[[#This Row],[DATA]])</f>
        <v>46181</v>
      </c>
      <c r="R663" s="14" t="str">
        <f ca="1">IF(AND(Q663&gt;=TODAY()-WEEKDAY(TODAY(),2)+1,Q663&lt;TODAY()),"SIM","NÃO")</f>
        <v>NÃO</v>
      </c>
    </row>
    <row r="664" spans="1:18" hidden="1">
      <c r="A664" t="s">
        <v>481</v>
      </c>
      <c r="B664" t="s">
        <v>482</v>
      </c>
      <c r="C664">
        <v>300268635</v>
      </c>
      <c r="D664">
        <v>15773485</v>
      </c>
      <c r="E664" t="s">
        <v>37</v>
      </c>
      <c r="F664" t="s">
        <v>103</v>
      </c>
      <c r="G664">
        <v>1167</v>
      </c>
      <c r="H664" t="s">
        <v>39</v>
      </c>
      <c r="I664" t="s">
        <v>23</v>
      </c>
      <c r="J664" s="3" t="s">
        <v>1926</v>
      </c>
      <c r="K664" s="11">
        <v>46181.664872685185</v>
      </c>
      <c r="M664">
        <v>690</v>
      </c>
      <c r="N664" t="s">
        <v>878</v>
      </c>
      <c r="P664" t="s">
        <v>1927</v>
      </c>
      <c r="Q664" s="10">
        <f>INT(Tabela1[[#This Row],[DATA]])</f>
        <v>46181</v>
      </c>
      <c r="R664" s="14" t="str">
        <f ca="1">IF(AND(Q664&gt;=TODAY()-WEEKDAY(TODAY(),2)+1,Q664&lt;TODAY()),"SIM","NÃO")</f>
        <v>NÃO</v>
      </c>
    </row>
    <row r="665" spans="1:18" hidden="1">
      <c r="A665" t="s">
        <v>273</v>
      </c>
      <c r="B665" t="s">
        <v>274</v>
      </c>
      <c r="C665">
        <v>300265966</v>
      </c>
      <c r="D665">
        <v>12438235</v>
      </c>
      <c r="E665" t="s">
        <v>29</v>
      </c>
      <c r="F665" t="s">
        <v>187</v>
      </c>
      <c r="G665">
        <v>1186</v>
      </c>
      <c r="H665" t="s">
        <v>39</v>
      </c>
      <c r="I665" t="s">
        <v>23</v>
      </c>
      <c r="J665" s="3" t="s">
        <v>1928</v>
      </c>
      <c r="K665" s="11">
        <v>46181.675324074073</v>
      </c>
      <c r="M665">
        <v>691</v>
      </c>
      <c r="N665" t="s">
        <v>878</v>
      </c>
      <c r="P665" t="s">
        <v>1929</v>
      </c>
      <c r="Q665" s="10">
        <f>INT(Tabela1[[#This Row],[DATA]])</f>
        <v>46181</v>
      </c>
      <c r="R665" s="14" t="str">
        <f ca="1">IF(AND(Q665&gt;=TODAY()-WEEKDAY(TODAY(),2)+1,Q665&lt;TODAY()),"SIM","NÃO")</f>
        <v>NÃO</v>
      </c>
    </row>
    <row r="666" spans="1:18" hidden="1">
      <c r="A666" t="s">
        <v>111</v>
      </c>
      <c r="B666" t="s">
        <v>112</v>
      </c>
      <c r="C666">
        <v>300263967</v>
      </c>
      <c r="D666">
        <v>16289870</v>
      </c>
      <c r="E666" t="s">
        <v>45</v>
      </c>
      <c r="F666" t="s">
        <v>323</v>
      </c>
      <c r="G666">
        <v>13</v>
      </c>
      <c r="H666" t="s">
        <v>22</v>
      </c>
      <c r="I666" t="s">
        <v>23</v>
      </c>
      <c r="J666" s="3" t="s">
        <v>1930</v>
      </c>
      <c r="K666" s="11">
        <v>46181.678796296299</v>
      </c>
      <c r="M666">
        <v>692</v>
      </c>
      <c r="N666" t="s">
        <v>867</v>
      </c>
      <c r="P666" s="5" t="s">
        <v>1931</v>
      </c>
      <c r="Q666" s="10">
        <f>INT(Tabela1[[#This Row],[DATA]])</f>
        <v>46181</v>
      </c>
      <c r="R666" s="14" t="str">
        <f ca="1">IF(AND(Q666&gt;=TODAY()-WEEKDAY(TODAY(),2)+1,Q666&lt;TODAY()),"SIM","NÃO")</f>
        <v>NÃO</v>
      </c>
    </row>
    <row r="667" spans="1:18" hidden="1">
      <c r="A667" t="s">
        <v>43</v>
      </c>
      <c r="B667" t="s">
        <v>44</v>
      </c>
      <c r="C667">
        <v>300000000</v>
      </c>
      <c r="D667">
        <v>30000000</v>
      </c>
      <c r="E667" t="s">
        <v>45</v>
      </c>
      <c r="F667" t="s">
        <v>103</v>
      </c>
      <c r="G667">
        <v>100</v>
      </c>
      <c r="H667" t="s">
        <v>39</v>
      </c>
      <c r="I667" t="s">
        <v>23</v>
      </c>
      <c r="J667" s="3"/>
      <c r="K667" s="11">
        <v>46181.688414351855</v>
      </c>
      <c r="M667">
        <v>693</v>
      </c>
      <c r="N667" t="s">
        <v>878</v>
      </c>
      <c r="P667" t="s">
        <v>1932</v>
      </c>
      <c r="Q667" s="10">
        <f>INT(Tabela1[[#This Row],[DATA]])</f>
        <v>46181</v>
      </c>
      <c r="R667" s="14" t="str">
        <f ca="1">IF(AND(Q667&gt;=TODAY()-WEEKDAY(TODAY(),2)+1,Q667&lt;TODAY()),"SIM","NÃO")</f>
        <v>NÃO</v>
      </c>
    </row>
    <row r="668" spans="1:18" hidden="1">
      <c r="A668" t="s">
        <v>253</v>
      </c>
      <c r="B668" t="s">
        <v>254</v>
      </c>
      <c r="C668">
        <v>300269753</v>
      </c>
      <c r="D668">
        <v>16864448</v>
      </c>
      <c r="E668" t="s">
        <v>37</v>
      </c>
      <c r="F668" t="s">
        <v>113</v>
      </c>
      <c r="G668">
        <v>7</v>
      </c>
      <c r="H668" t="s">
        <v>22</v>
      </c>
      <c r="I668" t="s">
        <v>23</v>
      </c>
      <c r="J668" s="3" t="s">
        <v>1933</v>
      </c>
      <c r="K668" s="11">
        <v>46181.700520833336</v>
      </c>
      <c r="M668">
        <v>694</v>
      </c>
      <c r="N668" t="s">
        <v>867</v>
      </c>
      <c r="P668" t="s">
        <v>1934</v>
      </c>
      <c r="Q668" s="10">
        <f>INT(Tabela1[[#This Row],[DATA]])</f>
        <v>46181</v>
      </c>
      <c r="R668" s="14" t="str">
        <f ca="1">IF(AND(Q668&gt;=TODAY()-WEEKDAY(TODAY(),2)+1,Q668&lt;TODAY()),"SIM","NÃO")</f>
        <v>NÃO</v>
      </c>
    </row>
    <row r="669" spans="1:18" hidden="1">
      <c r="A669" t="s">
        <v>253</v>
      </c>
      <c r="B669" t="s">
        <v>254</v>
      </c>
      <c r="C669">
        <v>300269753</v>
      </c>
      <c r="D669">
        <v>15864448</v>
      </c>
      <c r="E669" t="s">
        <v>37</v>
      </c>
      <c r="F669" t="s">
        <v>113</v>
      </c>
      <c r="G669">
        <v>3</v>
      </c>
      <c r="H669" t="s">
        <v>22</v>
      </c>
      <c r="I669" t="s">
        <v>23</v>
      </c>
      <c r="J669" s="3" t="s">
        <v>1935</v>
      </c>
      <c r="K669" s="11">
        <v>46181.70113425926</v>
      </c>
      <c r="M669">
        <v>695</v>
      </c>
      <c r="N669" t="s">
        <v>867</v>
      </c>
      <c r="P669" t="s">
        <v>1936</v>
      </c>
      <c r="Q669" s="10">
        <f>INT(Tabela1[[#This Row],[DATA]])</f>
        <v>46181</v>
      </c>
      <c r="R669" s="14" t="str">
        <f ca="1">IF(AND(Q669&gt;=TODAY()-WEEKDAY(TODAY(),2)+1,Q669&lt;TODAY()),"SIM","NÃO")</f>
        <v>NÃO</v>
      </c>
    </row>
    <row r="670" spans="1:18" hidden="1">
      <c r="A670" t="s">
        <v>143</v>
      </c>
      <c r="B670" t="s">
        <v>144</v>
      </c>
      <c r="C670">
        <v>300267092</v>
      </c>
      <c r="D670">
        <v>16432924</v>
      </c>
      <c r="E670" t="s">
        <v>45</v>
      </c>
      <c r="F670" t="s">
        <v>323</v>
      </c>
      <c r="G670">
        <v>69</v>
      </c>
      <c r="H670" t="s">
        <v>39</v>
      </c>
      <c r="I670" t="s">
        <v>23</v>
      </c>
      <c r="J670" s="3" t="s">
        <v>1937</v>
      </c>
      <c r="K670" s="11">
        <v>46181.707141203704</v>
      </c>
      <c r="M670">
        <v>696</v>
      </c>
      <c r="N670" t="s">
        <v>867</v>
      </c>
      <c r="P670" t="s">
        <v>1938</v>
      </c>
      <c r="Q670" s="10">
        <f>INT(Tabela1[[#This Row],[DATA]])</f>
        <v>46181</v>
      </c>
      <c r="R670" s="14" t="str">
        <f ca="1">IF(AND(Q670&gt;=TODAY()-WEEKDAY(TODAY(),2)+1,Q670&lt;TODAY()),"SIM","NÃO")</f>
        <v>NÃO</v>
      </c>
    </row>
    <row r="671" spans="1:18" hidden="1">
      <c r="A671" t="s">
        <v>1175</v>
      </c>
      <c r="B671" t="s">
        <v>1176</v>
      </c>
      <c r="C671">
        <v>300267245</v>
      </c>
      <c r="D671">
        <v>16508971</v>
      </c>
      <c r="E671" t="s">
        <v>37</v>
      </c>
      <c r="F671" t="s">
        <v>651</v>
      </c>
      <c r="G671">
        <v>856</v>
      </c>
      <c r="H671" t="s">
        <v>1939</v>
      </c>
      <c r="I671" t="s">
        <v>23</v>
      </c>
      <c r="J671" s="3" t="s">
        <v>1940</v>
      </c>
      <c r="K671" s="11">
        <v>46181.707199074073</v>
      </c>
      <c r="M671">
        <v>697</v>
      </c>
      <c r="N671" t="s">
        <v>878</v>
      </c>
      <c r="P671" t="s">
        <v>1941</v>
      </c>
      <c r="Q671" s="10">
        <f>INT(Tabela1[[#This Row],[DATA]])</f>
        <v>46181</v>
      </c>
      <c r="R671" s="14" t="str">
        <f ca="1">IF(AND(Q671&gt;=TODAY()-WEEKDAY(TODAY(),2)+1,Q671&lt;TODAY()),"SIM","NÃO")</f>
        <v>NÃO</v>
      </c>
    </row>
    <row r="672" spans="1:18" hidden="1">
      <c r="A672" t="s">
        <v>143</v>
      </c>
      <c r="B672" t="s">
        <v>144</v>
      </c>
      <c r="C672">
        <v>300267090</v>
      </c>
      <c r="D672">
        <v>16432924</v>
      </c>
      <c r="E672" t="s">
        <v>45</v>
      </c>
      <c r="F672" t="s">
        <v>1814</v>
      </c>
      <c r="G672">
        <v>660</v>
      </c>
      <c r="H672" t="s">
        <v>39</v>
      </c>
      <c r="I672" t="s">
        <v>23</v>
      </c>
      <c r="J672" s="3" t="s">
        <v>1942</v>
      </c>
      <c r="K672" s="11">
        <v>46181.70925925926</v>
      </c>
      <c r="M672">
        <v>698</v>
      </c>
      <c r="N672" t="s">
        <v>878</v>
      </c>
      <c r="P672" t="s">
        <v>1943</v>
      </c>
      <c r="Q672" s="10">
        <f>INT(Tabela1[[#This Row],[DATA]])</f>
        <v>46181</v>
      </c>
      <c r="R672" s="14" t="str">
        <f ca="1">IF(AND(Q672&gt;=TODAY()-WEEKDAY(TODAY(),2)+1,Q672&lt;TODAY()),"SIM","NÃO")</f>
        <v>NÃO</v>
      </c>
    </row>
    <row r="673" spans="1:18" hidden="1">
      <c r="A673" t="s">
        <v>143</v>
      </c>
      <c r="B673" t="s">
        <v>144</v>
      </c>
      <c r="C673">
        <v>300267092</v>
      </c>
      <c r="D673">
        <v>16432924</v>
      </c>
      <c r="E673" t="s">
        <v>45</v>
      </c>
      <c r="F673" t="s">
        <v>1814</v>
      </c>
      <c r="G673">
        <v>690</v>
      </c>
      <c r="H673" t="s">
        <v>39</v>
      </c>
      <c r="I673" t="s">
        <v>23</v>
      </c>
      <c r="J673" s="3" t="s">
        <v>1942</v>
      </c>
      <c r="K673" s="11">
        <v>46181.710104166668</v>
      </c>
      <c r="M673">
        <v>699</v>
      </c>
      <c r="N673" t="s">
        <v>878</v>
      </c>
      <c r="P673" t="s">
        <v>1944</v>
      </c>
      <c r="Q673" s="10">
        <f>INT(Tabela1[[#This Row],[DATA]])</f>
        <v>46181</v>
      </c>
      <c r="R673" s="14" t="str">
        <f ca="1">IF(AND(Q673&gt;=TODAY()-WEEKDAY(TODAY(),2)+1,Q673&lt;TODAY()),"SIM","NÃO")</f>
        <v>NÃO</v>
      </c>
    </row>
    <row r="674" spans="1:18" hidden="1">
      <c r="A674" t="s">
        <v>143</v>
      </c>
      <c r="B674" t="s">
        <v>144</v>
      </c>
      <c r="C674">
        <v>300267089</v>
      </c>
      <c r="D674">
        <v>16432924</v>
      </c>
      <c r="E674" t="s">
        <v>45</v>
      </c>
      <c r="F674" t="s">
        <v>1814</v>
      </c>
      <c r="G674">
        <v>680</v>
      </c>
      <c r="H674" t="s">
        <v>39</v>
      </c>
      <c r="I674" t="s">
        <v>23</v>
      </c>
      <c r="J674" s="3" t="s">
        <v>1942</v>
      </c>
      <c r="K674" s="11">
        <v>46181.710821759261</v>
      </c>
      <c r="M674">
        <v>700</v>
      </c>
      <c r="N674" t="s">
        <v>878</v>
      </c>
      <c r="P674" t="s">
        <v>1945</v>
      </c>
      <c r="Q674" s="10">
        <f>INT(Tabela1[[#This Row],[DATA]])</f>
        <v>46181</v>
      </c>
      <c r="R674" s="14" t="str">
        <f ca="1">IF(AND(Q674&gt;=TODAY()-WEEKDAY(TODAY(),2)+1,Q674&lt;TODAY()),"SIM","NÃO")</f>
        <v>NÃO</v>
      </c>
    </row>
    <row r="675" spans="1:18" hidden="1">
      <c r="A675" t="s">
        <v>163</v>
      </c>
      <c r="B675" t="s">
        <v>164</v>
      </c>
      <c r="C675">
        <v>300267513</v>
      </c>
      <c r="D675">
        <v>16356780</v>
      </c>
      <c r="E675" t="s">
        <v>45</v>
      </c>
      <c r="F675" t="s">
        <v>513</v>
      </c>
      <c r="G675">
        <v>100</v>
      </c>
      <c r="H675" t="s">
        <v>22</v>
      </c>
      <c r="I675" t="s">
        <v>23</v>
      </c>
      <c r="J675" s="3" t="s">
        <v>1946</v>
      </c>
      <c r="K675" s="11">
        <v>46181.738206018519</v>
      </c>
      <c r="M675">
        <v>701</v>
      </c>
      <c r="N675" t="s">
        <v>867</v>
      </c>
      <c r="P675" t="s">
        <v>1947</v>
      </c>
      <c r="Q675" s="10">
        <f>INT(Tabela1[[#This Row],[DATA]])</f>
        <v>46181</v>
      </c>
      <c r="R675" s="14" t="str">
        <f ca="1">IF(AND(Q675&gt;=TODAY()-WEEKDAY(TODAY(),2)+1,Q675&lt;TODAY()),"SIM","NÃO")</f>
        <v>NÃO</v>
      </c>
    </row>
    <row r="676" spans="1:18" hidden="1">
      <c r="A676" t="s">
        <v>605</v>
      </c>
      <c r="B676" t="s">
        <v>606</v>
      </c>
      <c r="C676">
        <v>300269326</v>
      </c>
      <c r="D676">
        <v>16518730</v>
      </c>
      <c r="E676" t="s">
        <v>37</v>
      </c>
      <c r="F676" t="s">
        <v>38</v>
      </c>
      <c r="G676">
        <v>60</v>
      </c>
      <c r="H676" t="s">
        <v>22</v>
      </c>
      <c r="I676" t="s">
        <v>23</v>
      </c>
      <c r="J676" s="3" t="s">
        <v>1948</v>
      </c>
      <c r="K676" s="11">
        <v>46181.746851851851</v>
      </c>
      <c r="M676">
        <v>702</v>
      </c>
      <c r="N676" t="s">
        <v>867</v>
      </c>
      <c r="P676" t="s">
        <v>1949</v>
      </c>
      <c r="Q676" s="10">
        <f>INT(Tabela1[[#This Row],[DATA]])</f>
        <v>46181</v>
      </c>
      <c r="R676" s="14" t="str">
        <f ca="1">IF(AND(Q676&gt;=TODAY()-WEEKDAY(TODAY(),2)+1,Q676&lt;TODAY()),"SIM","NÃO")</f>
        <v>NÃO</v>
      </c>
    </row>
    <row r="677" spans="1:18" hidden="1">
      <c r="A677" t="s">
        <v>253</v>
      </c>
      <c r="B677" t="s">
        <v>254</v>
      </c>
      <c r="C677">
        <v>300264794</v>
      </c>
      <c r="D677">
        <v>15773949</v>
      </c>
      <c r="E677" t="s">
        <v>37</v>
      </c>
      <c r="F677" t="s">
        <v>323</v>
      </c>
      <c r="G677">
        <v>3</v>
      </c>
      <c r="H677" t="s">
        <v>22</v>
      </c>
      <c r="I677" t="s">
        <v>23</v>
      </c>
      <c r="J677" s="3" t="s">
        <v>1950</v>
      </c>
      <c r="K677" s="11">
        <v>46181.771643518521</v>
      </c>
      <c r="M677">
        <v>703</v>
      </c>
      <c r="N677" t="s">
        <v>867</v>
      </c>
      <c r="P677" t="s">
        <v>1951</v>
      </c>
      <c r="Q677" s="10">
        <f>INT(Tabela1[[#This Row],[DATA]])</f>
        <v>46181</v>
      </c>
      <c r="R677" s="14" t="str">
        <f ca="1">IF(AND(Q677&gt;=TODAY()-WEEKDAY(TODAY(),2)+1,Q677&lt;TODAY()),"SIM","NÃO")</f>
        <v>NÃO</v>
      </c>
    </row>
    <row r="678" spans="1:18" hidden="1">
      <c r="A678" t="s">
        <v>1952</v>
      </c>
      <c r="B678" t="s">
        <v>288</v>
      </c>
      <c r="C678">
        <v>300265791</v>
      </c>
      <c r="D678">
        <v>16520076</v>
      </c>
      <c r="E678" t="s">
        <v>37</v>
      </c>
      <c r="F678" t="s">
        <v>1953</v>
      </c>
      <c r="G678">
        <v>142</v>
      </c>
      <c r="H678" t="s">
        <v>1954</v>
      </c>
      <c r="J678" s="3"/>
      <c r="K678" s="11">
        <v>46182.490729166668</v>
      </c>
      <c r="M678">
        <v>3</v>
      </c>
      <c r="N678" t="s">
        <v>867</v>
      </c>
      <c r="P678" t="s">
        <v>1955</v>
      </c>
      <c r="Q678" s="10">
        <f>INT(Tabela1[[#This Row],[DATA]])</f>
        <v>46182</v>
      </c>
      <c r="R678" s="14" t="str">
        <f ca="1">IF(AND(Q678&gt;=TODAY()-WEEKDAY(TODAY(),2)+1,Q678&lt;TODAY()),"SIM","NÃO")</f>
        <v>NÃO</v>
      </c>
    </row>
    <row r="679" spans="1:18" hidden="1">
      <c r="A679" t="s">
        <v>1956</v>
      </c>
      <c r="B679" t="s">
        <v>242</v>
      </c>
      <c r="C679">
        <v>300269351</v>
      </c>
      <c r="D679">
        <v>15773477</v>
      </c>
      <c r="E679" t="s">
        <v>37</v>
      </c>
      <c r="F679" t="s">
        <v>1957</v>
      </c>
      <c r="G679">
        <v>25</v>
      </c>
      <c r="H679" t="s">
        <v>1958</v>
      </c>
      <c r="J679" s="3" t="s">
        <v>1959</v>
      </c>
      <c r="K679" s="11">
        <v>46182.523981481485</v>
      </c>
      <c r="M679">
        <v>4</v>
      </c>
      <c r="N679" t="s">
        <v>867</v>
      </c>
      <c r="P679" t="s">
        <v>1960</v>
      </c>
      <c r="Q679" s="10">
        <f>INT(Tabela1[[#This Row],[DATA]])</f>
        <v>46182</v>
      </c>
      <c r="R679" s="14" t="str">
        <f ca="1">IF(AND(Q679&gt;=TODAY()-WEEKDAY(TODAY(),2)+1,Q679&lt;TODAY()),"SIM","NÃO")</f>
        <v>NÃO</v>
      </c>
    </row>
    <row r="680" spans="1:18" hidden="1">
      <c r="A680" t="s">
        <v>1956</v>
      </c>
      <c r="B680" t="s">
        <v>242</v>
      </c>
      <c r="C680">
        <v>300269351</v>
      </c>
      <c r="D680">
        <v>15773477</v>
      </c>
      <c r="E680" t="s">
        <v>37</v>
      </c>
      <c r="F680" t="s">
        <v>1961</v>
      </c>
      <c r="G680">
        <v>40</v>
      </c>
      <c r="H680" t="s">
        <v>1958</v>
      </c>
      <c r="J680" s="3" t="s">
        <v>1962</v>
      </c>
      <c r="K680" s="11">
        <v>46182.525358796294</v>
      </c>
      <c r="M680">
        <v>5</v>
      </c>
      <c r="N680" t="s">
        <v>867</v>
      </c>
      <c r="P680" t="s">
        <v>1963</v>
      </c>
      <c r="Q680" s="10">
        <f>INT(Tabela1[[#This Row],[DATA]])</f>
        <v>46182</v>
      </c>
      <c r="R680" s="14" t="str">
        <f ca="1">IF(AND(Q680&gt;=TODAY()-WEEKDAY(TODAY(),2)+1,Q680&lt;TODAY()),"SIM","NÃO")</f>
        <v>NÃO</v>
      </c>
    </row>
    <row r="681" spans="1:18" hidden="1">
      <c r="A681" t="s">
        <v>1964</v>
      </c>
      <c r="B681" t="s">
        <v>242</v>
      </c>
      <c r="C681">
        <v>300269351</v>
      </c>
      <c r="D681">
        <v>15773477</v>
      </c>
      <c r="E681" t="s">
        <v>37</v>
      </c>
      <c r="F681" t="s">
        <v>1965</v>
      </c>
      <c r="G681">
        <v>14</v>
      </c>
      <c r="H681" t="s">
        <v>1966</v>
      </c>
      <c r="J681" s="3" t="s">
        <v>1967</v>
      </c>
      <c r="K681" s="11">
        <v>46182.530868055554</v>
      </c>
      <c r="M681">
        <v>6</v>
      </c>
      <c r="N681" t="s">
        <v>867</v>
      </c>
      <c r="P681" t="s">
        <v>1968</v>
      </c>
      <c r="Q681" s="10">
        <f>INT(Tabela1[[#This Row],[DATA]])</f>
        <v>46182</v>
      </c>
      <c r="R681" s="14" t="str">
        <f ca="1">IF(AND(Q681&gt;=TODAY()-WEEKDAY(TODAY(),2)+1,Q681&lt;TODAY()),"SIM","NÃO")</f>
        <v>NÃO</v>
      </c>
    </row>
    <row r="682" spans="1:18" hidden="1">
      <c r="A682" t="s">
        <v>1956</v>
      </c>
      <c r="B682" t="s">
        <v>242</v>
      </c>
      <c r="C682">
        <v>300269351</v>
      </c>
      <c r="D682">
        <v>15773477</v>
      </c>
      <c r="E682" t="s">
        <v>37</v>
      </c>
      <c r="F682" t="s">
        <v>1969</v>
      </c>
      <c r="G682">
        <v>36</v>
      </c>
      <c r="H682" t="s">
        <v>1958</v>
      </c>
      <c r="J682" s="3" t="s">
        <v>1970</v>
      </c>
      <c r="K682" s="11">
        <v>46182.532754629632</v>
      </c>
      <c r="M682">
        <v>7</v>
      </c>
      <c r="N682" t="s">
        <v>867</v>
      </c>
      <c r="P682" t="s">
        <v>1971</v>
      </c>
      <c r="Q682" s="10">
        <f>INT(Tabela1[[#This Row],[DATA]])</f>
        <v>46182</v>
      </c>
      <c r="R682" s="14" t="str">
        <f ca="1">IF(AND(Q682&gt;=TODAY()-WEEKDAY(TODAY(),2)+1,Q682&lt;TODAY()),"SIM","NÃO")</f>
        <v>NÃO</v>
      </c>
    </row>
    <row r="683" spans="1:18" hidden="1">
      <c r="A683" t="s">
        <v>1972</v>
      </c>
      <c r="B683" t="s">
        <v>119</v>
      </c>
      <c r="C683">
        <v>300269380</v>
      </c>
      <c r="D683">
        <v>16482751</v>
      </c>
      <c r="E683" t="s">
        <v>37</v>
      </c>
      <c r="F683" t="s">
        <v>1973</v>
      </c>
      <c r="G683" t="s">
        <v>1974</v>
      </c>
      <c r="H683" t="s">
        <v>1975</v>
      </c>
      <c r="J683" s="3" t="s">
        <v>1976</v>
      </c>
      <c r="K683" s="11">
        <v>46182.542048611111</v>
      </c>
      <c r="M683">
        <v>8</v>
      </c>
      <c r="N683" t="s">
        <v>878</v>
      </c>
      <c r="P683" t="s">
        <v>1977</v>
      </c>
      <c r="Q683" s="10">
        <f>INT(Tabela1[[#This Row],[DATA]])</f>
        <v>46182</v>
      </c>
      <c r="R683" s="14" t="str">
        <f ca="1">IF(AND(Q683&gt;=TODAY()-WEEKDAY(TODAY(),2)+1,Q683&lt;TODAY()),"SIM","NÃO")</f>
        <v>NÃO</v>
      </c>
    </row>
    <row r="684" spans="1:18" hidden="1">
      <c r="A684" t="s">
        <v>1978</v>
      </c>
      <c r="B684" t="s">
        <v>1284</v>
      </c>
      <c r="C684">
        <v>300269337</v>
      </c>
      <c r="D684">
        <v>15773477</v>
      </c>
      <c r="E684" t="s">
        <v>37</v>
      </c>
      <c r="F684" t="s">
        <v>1979</v>
      </c>
      <c r="G684" t="s">
        <v>1980</v>
      </c>
      <c r="H684" t="s">
        <v>1981</v>
      </c>
      <c r="J684" s="3"/>
      <c r="K684" s="11">
        <v>46182.544351851851</v>
      </c>
      <c r="M684">
        <v>9</v>
      </c>
      <c r="N684" t="s">
        <v>867</v>
      </c>
      <c r="P684" t="s">
        <v>1982</v>
      </c>
      <c r="Q684" s="10">
        <f>INT(Tabela1[[#This Row],[DATA]])</f>
        <v>46182</v>
      </c>
      <c r="R684" s="14" t="str">
        <f ca="1">IF(AND(Q684&gt;=TODAY()-WEEKDAY(TODAY(),2)+1,Q684&lt;TODAY()),"SIM","NÃO")</f>
        <v>NÃO</v>
      </c>
    </row>
    <row r="685" spans="1:18" hidden="1">
      <c r="A685" t="s">
        <v>1978</v>
      </c>
      <c r="B685" t="s">
        <v>1284</v>
      </c>
      <c r="C685">
        <v>300269337</v>
      </c>
      <c r="D685">
        <v>15773477</v>
      </c>
      <c r="E685" t="s">
        <v>37</v>
      </c>
      <c r="F685" t="s">
        <v>1983</v>
      </c>
      <c r="G685">
        <v>10</v>
      </c>
      <c r="H685" t="s">
        <v>1984</v>
      </c>
      <c r="J685" s="3"/>
      <c r="K685" s="11">
        <v>46182.545439814814</v>
      </c>
      <c r="M685">
        <v>10</v>
      </c>
      <c r="N685" t="s">
        <v>878</v>
      </c>
      <c r="P685" t="s">
        <v>1985</v>
      </c>
      <c r="Q685" s="10">
        <f>INT(Tabela1[[#This Row],[DATA]])</f>
        <v>46182</v>
      </c>
      <c r="R685" s="14" t="str">
        <f ca="1">IF(AND(Q685&gt;=TODAY()-WEEKDAY(TODAY(),2)+1,Q685&lt;TODAY()),"SIM","NÃO")</f>
        <v>NÃO</v>
      </c>
    </row>
    <row r="686" spans="1:18" hidden="1">
      <c r="A686" t="s">
        <v>1972</v>
      </c>
      <c r="B686" t="s">
        <v>119</v>
      </c>
      <c r="C686">
        <v>300269380</v>
      </c>
      <c r="D686">
        <v>16482751</v>
      </c>
      <c r="E686" t="s">
        <v>37</v>
      </c>
      <c r="F686" t="s">
        <v>1986</v>
      </c>
      <c r="G686" t="s">
        <v>1987</v>
      </c>
      <c r="H686" t="s">
        <v>1112</v>
      </c>
      <c r="J686" s="3" t="s">
        <v>1988</v>
      </c>
      <c r="K686" s="11">
        <v>46182.545752314814</v>
      </c>
      <c r="M686">
        <v>11</v>
      </c>
      <c r="N686" t="s">
        <v>878</v>
      </c>
      <c r="P686" t="s">
        <v>1989</v>
      </c>
      <c r="Q686" s="10">
        <f>INT(Tabela1[[#This Row],[DATA]])</f>
        <v>46182</v>
      </c>
      <c r="R686" s="14" t="str">
        <f ca="1">IF(AND(Q686&gt;=TODAY()-WEEKDAY(TODAY(),2)+1,Q686&lt;TODAY()),"SIM","NÃO")</f>
        <v>NÃO</v>
      </c>
    </row>
    <row r="687" spans="1:18" hidden="1">
      <c r="A687" t="s">
        <v>1990</v>
      </c>
      <c r="B687" t="s">
        <v>80</v>
      </c>
      <c r="C687">
        <v>300268639</v>
      </c>
      <c r="D687">
        <v>16442520</v>
      </c>
      <c r="E687" t="s">
        <v>29</v>
      </c>
      <c r="F687" t="s">
        <v>430</v>
      </c>
      <c r="G687" t="s">
        <v>1991</v>
      </c>
      <c r="H687" t="s">
        <v>1992</v>
      </c>
      <c r="J687" s="3" t="s">
        <v>1993</v>
      </c>
      <c r="K687" s="11">
        <v>46182.554745370369</v>
      </c>
      <c r="M687">
        <v>12</v>
      </c>
      <c r="N687" t="s">
        <v>867</v>
      </c>
      <c r="P687" t="s">
        <v>1994</v>
      </c>
      <c r="Q687" s="10">
        <f>INT(Tabela1[[#This Row],[DATA]])</f>
        <v>46182</v>
      </c>
      <c r="R687" s="14" t="str">
        <f ca="1">IF(AND(Q687&gt;=TODAY()-WEEKDAY(TODAY(),2)+1,Q687&lt;TODAY()),"SIM","NÃO")</f>
        <v>NÃO</v>
      </c>
    </row>
    <row r="688" spans="1:18" hidden="1">
      <c r="A688" t="s">
        <v>1995</v>
      </c>
      <c r="B688" t="s">
        <v>234</v>
      </c>
      <c r="C688">
        <v>300268633</v>
      </c>
      <c r="D688">
        <v>15773485</v>
      </c>
      <c r="E688" t="s">
        <v>37</v>
      </c>
      <c r="F688" t="s">
        <v>216</v>
      </c>
      <c r="G688" t="s">
        <v>1996</v>
      </c>
      <c r="H688" t="s">
        <v>1997</v>
      </c>
      <c r="J688" s="3" t="s">
        <v>1998</v>
      </c>
      <c r="K688" s="11">
        <v>46182.565578703703</v>
      </c>
      <c r="M688">
        <v>13</v>
      </c>
      <c r="N688" t="s">
        <v>867</v>
      </c>
      <c r="P688" t="s">
        <v>1999</v>
      </c>
      <c r="Q688" s="10">
        <f>INT(Tabela1[[#This Row],[DATA]])</f>
        <v>46182</v>
      </c>
      <c r="R688" s="14" t="str">
        <f ca="1">IF(AND(Q688&gt;=TODAY()-WEEKDAY(TODAY(),2)+1,Q688&lt;TODAY()),"SIM","NÃO")</f>
        <v>NÃO</v>
      </c>
    </row>
    <row r="689" spans="1:18" hidden="1">
      <c r="A689" t="s">
        <v>2000</v>
      </c>
      <c r="B689" t="s">
        <v>788</v>
      </c>
      <c r="C689">
        <v>300269760</v>
      </c>
      <c r="D689">
        <v>15864448</v>
      </c>
      <c r="E689" t="s">
        <v>37</v>
      </c>
      <c r="F689" t="s">
        <v>2001</v>
      </c>
      <c r="G689">
        <v>32</v>
      </c>
      <c r="H689" t="s">
        <v>2002</v>
      </c>
      <c r="J689" s="3" t="s">
        <v>2003</v>
      </c>
      <c r="K689" s="11">
        <v>46182.566041666665</v>
      </c>
      <c r="M689">
        <v>14</v>
      </c>
      <c r="N689" t="s">
        <v>867</v>
      </c>
      <c r="P689" t="s">
        <v>2004</v>
      </c>
      <c r="Q689" s="10">
        <f>INT(Tabela1[[#This Row],[DATA]])</f>
        <v>46182</v>
      </c>
      <c r="R689" s="14" t="str">
        <f ca="1">IF(AND(Q689&gt;=TODAY()-WEEKDAY(TODAY(),2)+1,Q689&lt;TODAY()),"SIM","NÃO")</f>
        <v>NÃO</v>
      </c>
    </row>
    <row r="690" spans="1:18" hidden="1">
      <c r="A690" t="s">
        <v>1972</v>
      </c>
      <c r="B690" t="s">
        <v>119</v>
      </c>
      <c r="C690">
        <v>300269380</v>
      </c>
      <c r="D690">
        <v>16482751</v>
      </c>
      <c r="E690" t="s">
        <v>37</v>
      </c>
      <c r="F690" t="s">
        <v>2005</v>
      </c>
      <c r="G690" t="s">
        <v>2006</v>
      </c>
      <c r="H690" t="s">
        <v>2007</v>
      </c>
      <c r="J690" s="3" t="s">
        <v>2008</v>
      </c>
      <c r="K690" s="11">
        <v>46182.581006944441</v>
      </c>
      <c r="M690">
        <v>15</v>
      </c>
      <c r="N690" t="s">
        <v>878</v>
      </c>
      <c r="P690" t="s">
        <v>2009</v>
      </c>
      <c r="Q690" s="10">
        <f>INT(Tabela1[[#This Row],[DATA]])</f>
        <v>46182</v>
      </c>
      <c r="R690" s="14" t="str">
        <f ca="1">IF(AND(Q690&gt;=TODAY()-WEEKDAY(TODAY(),2)+1,Q690&lt;TODAY()),"SIM","NÃO")</f>
        <v>NÃO</v>
      </c>
    </row>
    <row r="691" spans="1:18" hidden="1">
      <c r="A691" t="s">
        <v>2010</v>
      </c>
      <c r="B691" t="s">
        <v>929</v>
      </c>
      <c r="C691">
        <v>300266280</v>
      </c>
      <c r="D691">
        <v>16472233</v>
      </c>
      <c r="E691" t="s">
        <v>37</v>
      </c>
      <c r="F691" t="s">
        <v>2011</v>
      </c>
      <c r="G691" t="s">
        <v>208</v>
      </c>
      <c r="H691" t="s">
        <v>2012</v>
      </c>
      <c r="J691" s="3"/>
      <c r="K691" s="11">
        <v>46182.582777777781</v>
      </c>
      <c r="M691">
        <v>16</v>
      </c>
      <c r="N691" t="s">
        <v>878</v>
      </c>
      <c r="P691" t="s">
        <v>2013</v>
      </c>
      <c r="Q691" s="10">
        <f>INT(Tabela1[[#This Row],[DATA]])</f>
        <v>46182</v>
      </c>
      <c r="R691" s="14" t="str">
        <f ca="1">IF(AND(Q691&gt;=TODAY()-WEEKDAY(TODAY(),2)+1,Q691&lt;TODAY()),"SIM","NÃO")</f>
        <v>NÃO</v>
      </c>
    </row>
    <row r="692" spans="1:18" hidden="1">
      <c r="A692" t="s">
        <v>2014</v>
      </c>
      <c r="B692" t="s">
        <v>1440</v>
      </c>
      <c r="C692">
        <v>300265453</v>
      </c>
      <c r="D692">
        <v>16465164</v>
      </c>
      <c r="E692" t="s">
        <v>45</v>
      </c>
      <c r="F692" t="s">
        <v>2015</v>
      </c>
      <c r="G692">
        <v>36</v>
      </c>
      <c r="H692" t="s">
        <v>2016</v>
      </c>
      <c r="J692" s="3" t="s">
        <v>2017</v>
      </c>
      <c r="K692" s="11">
        <v>46182.586122685185</v>
      </c>
      <c r="M692">
        <v>17</v>
      </c>
      <c r="N692" t="s">
        <v>878</v>
      </c>
      <c r="P692" t="s">
        <v>2018</v>
      </c>
      <c r="Q692" s="10">
        <f>INT(Tabela1[[#This Row],[DATA]])</f>
        <v>46182</v>
      </c>
      <c r="R692" s="14" t="str">
        <f ca="1">IF(AND(Q692&gt;=TODAY()-WEEKDAY(TODAY(),2)+1,Q692&lt;TODAY()),"SIM","NÃO")</f>
        <v>NÃO</v>
      </c>
    </row>
    <row r="693" spans="1:18" hidden="1">
      <c r="A693" t="s">
        <v>2010</v>
      </c>
      <c r="B693" t="s">
        <v>929</v>
      </c>
      <c r="C693">
        <v>300266686</v>
      </c>
      <c r="D693">
        <v>16243340</v>
      </c>
      <c r="E693" t="s">
        <v>37</v>
      </c>
      <c r="F693" t="s">
        <v>2019</v>
      </c>
      <c r="G693">
        <v>15</v>
      </c>
      <c r="H693" t="s">
        <v>2020</v>
      </c>
      <c r="J693" s="3"/>
      <c r="K693" s="11">
        <v>46182.60087962963</v>
      </c>
      <c r="M693">
        <v>18</v>
      </c>
      <c r="N693" t="s">
        <v>867</v>
      </c>
      <c r="P693" t="s">
        <v>2021</v>
      </c>
      <c r="Q693" s="10">
        <f>INT(Tabela1[[#This Row],[DATA]])</f>
        <v>46182</v>
      </c>
      <c r="R693" s="14" t="str">
        <f ca="1">IF(AND(Q693&gt;=TODAY()-WEEKDAY(TODAY(),2)+1,Q693&lt;TODAY()),"SIM","NÃO")</f>
        <v>NÃO</v>
      </c>
    </row>
    <row r="694" spans="1:18" hidden="1">
      <c r="A694" t="s">
        <v>2022</v>
      </c>
      <c r="B694" t="s">
        <v>226</v>
      </c>
      <c r="C694">
        <v>300268637</v>
      </c>
      <c r="D694">
        <v>15773442</v>
      </c>
      <c r="E694" t="s">
        <v>37</v>
      </c>
      <c r="F694" t="s">
        <v>2023</v>
      </c>
      <c r="G694">
        <v>300</v>
      </c>
      <c r="H694" t="s">
        <v>2024</v>
      </c>
      <c r="J694" s="3" t="s">
        <v>2025</v>
      </c>
      <c r="K694" s="11">
        <v>46182.613263888888</v>
      </c>
      <c r="M694">
        <v>19</v>
      </c>
      <c r="N694" t="s">
        <v>867</v>
      </c>
      <c r="P694" t="s">
        <v>2026</v>
      </c>
      <c r="Q694" s="10">
        <f>INT(Tabela1[[#This Row],[DATA]])</f>
        <v>46182</v>
      </c>
      <c r="R694" s="14" t="str">
        <f ca="1">IF(AND(Q694&gt;=TODAY()-WEEKDAY(TODAY(),2)+1,Q694&lt;TODAY()),"SIM","NÃO")</f>
        <v>NÃO</v>
      </c>
    </row>
    <row r="695" spans="1:18" hidden="1">
      <c r="A695" t="s">
        <v>2027</v>
      </c>
      <c r="B695" t="s">
        <v>2028</v>
      </c>
      <c r="C695">
        <v>300267464</v>
      </c>
      <c r="D695">
        <v>15252434</v>
      </c>
      <c r="E695" t="s">
        <v>37</v>
      </c>
      <c r="F695" t="s">
        <v>2029</v>
      </c>
      <c r="G695">
        <v>315</v>
      </c>
      <c r="H695" t="s">
        <v>2030</v>
      </c>
      <c r="J695" s="3"/>
      <c r="K695" s="11">
        <v>46182.623576388891</v>
      </c>
      <c r="M695">
        <v>20</v>
      </c>
      <c r="N695" t="s">
        <v>867</v>
      </c>
      <c r="P695" t="s">
        <v>2031</v>
      </c>
      <c r="Q695" s="10">
        <f>INT(Tabela1[[#This Row],[DATA]])</f>
        <v>46182</v>
      </c>
      <c r="R695" s="14" t="str">
        <f ca="1">IF(AND(Q695&gt;=TODAY()-WEEKDAY(TODAY(),2)+1,Q695&lt;TODAY()),"SIM","NÃO")</f>
        <v>NÃO</v>
      </c>
    </row>
    <row r="696" spans="1:18" hidden="1">
      <c r="A696" t="s">
        <v>2032</v>
      </c>
      <c r="B696" t="s">
        <v>822</v>
      </c>
      <c r="C696">
        <v>300267464</v>
      </c>
      <c r="D696">
        <v>15252434</v>
      </c>
      <c r="E696" t="s">
        <v>37</v>
      </c>
      <c r="F696" t="s">
        <v>2033</v>
      </c>
      <c r="G696">
        <v>270</v>
      </c>
      <c r="H696" t="s">
        <v>2034</v>
      </c>
      <c r="J696" s="3"/>
      <c r="K696" s="11">
        <v>46182.627453703702</v>
      </c>
      <c r="M696">
        <v>23</v>
      </c>
      <c r="N696" t="s">
        <v>867</v>
      </c>
      <c r="P696" t="s">
        <v>2035</v>
      </c>
      <c r="Q696" s="10">
        <f>INT(Tabela1[[#This Row],[DATA]])</f>
        <v>46182</v>
      </c>
      <c r="R696" s="14" t="str">
        <f ca="1">IF(AND(Q696&gt;=TODAY()-WEEKDAY(TODAY(),2)+1,Q696&lt;TODAY()),"SIM","NÃO")</f>
        <v>NÃO</v>
      </c>
    </row>
    <row r="697" spans="1:18" hidden="1">
      <c r="A697" t="s">
        <v>185</v>
      </c>
      <c r="B697" t="s">
        <v>1625</v>
      </c>
      <c r="C697">
        <v>300267376</v>
      </c>
      <c r="D697">
        <v>16450272</v>
      </c>
      <c r="E697" t="s">
        <v>37</v>
      </c>
      <c r="F697" t="s">
        <v>2036</v>
      </c>
      <c r="G697">
        <v>10</v>
      </c>
      <c r="H697" t="s">
        <v>2037</v>
      </c>
      <c r="J697" s="3"/>
      <c r="K697" s="11">
        <v>46182.627557870372</v>
      </c>
      <c r="M697">
        <v>24</v>
      </c>
      <c r="N697" t="s">
        <v>867</v>
      </c>
      <c r="P697" t="s">
        <v>2038</v>
      </c>
      <c r="Q697" s="10">
        <f>INT(Tabela1[[#This Row],[DATA]])</f>
        <v>46182</v>
      </c>
      <c r="R697" s="14" t="str">
        <f ca="1">IF(AND(Q697&gt;=TODAY()-WEEKDAY(TODAY(),2)+1,Q697&lt;TODAY()),"SIM","NÃO")</f>
        <v>NÃO</v>
      </c>
    </row>
    <row r="698" spans="1:18" hidden="1">
      <c r="A698" t="s">
        <v>185</v>
      </c>
      <c r="B698" t="s">
        <v>1625</v>
      </c>
      <c r="C698">
        <v>300269812</v>
      </c>
      <c r="D698">
        <v>16373685</v>
      </c>
      <c r="E698" t="s">
        <v>37</v>
      </c>
      <c r="F698" t="s">
        <v>2036</v>
      </c>
      <c r="G698">
        <v>10</v>
      </c>
      <c r="H698" t="s">
        <v>2039</v>
      </c>
      <c r="J698" s="3"/>
      <c r="K698" s="11">
        <v>46182.628645833334</v>
      </c>
      <c r="M698">
        <v>25</v>
      </c>
      <c r="N698" t="s">
        <v>867</v>
      </c>
      <c r="P698" t="s">
        <v>2040</v>
      </c>
      <c r="Q698" s="10">
        <f>INT(Tabela1[[#This Row],[DATA]])</f>
        <v>46182</v>
      </c>
      <c r="R698" s="14" t="str">
        <f ca="1">IF(AND(Q698&gt;=TODAY()-WEEKDAY(TODAY(),2)+1,Q698&lt;TODAY()),"SIM","NÃO")</f>
        <v>NÃO</v>
      </c>
    </row>
    <row r="699" spans="1:18" hidden="1">
      <c r="A699" t="s">
        <v>2041</v>
      </c>
      <c r="B699" t="s">
        <v>2028</v>
      </c>
      <c r="C699">
        <v>300267464</v>
      </c>
      <c r="D699">
        <v>15252434</v>
      </c>
      <c r="E699" t="s">
        <v>37</v>
      </c>
      <c r="F699" t="s">
        <v>2042</v>
      </c>
      <c r="G699">
        <v>200</v>
      </c>
      <c r="H699" t="s">
        <v>2043</v>
      </c>
      <c r="J699" s="3"/>
      <c r="K699" s="11">
        <v>46182.628692129627</v>
      </c>
      <c r="M699">
        <v>22</v>
      </c>
      <c r="N699" t="s">
        <v>867</v>
      </c>
      <c r="P699" s="5" t="s">
        <v>2044</v>
      </c>
      <c r="Q699" s="10">
        <f>INT(Tabela1[[#This Row],[DATA]])</f>
        <v>46182</v>
      </c>
      <c r="R699" s="14" t="str">
        <f ca="1">IF(AND(Q699&gt;=TODAY()-WEEKDAY(TODAY(),2)+1,Q699&lt;TODAY()),"SIM","NÃO")</f>
        <v>NÃO</v>
      </c>
    </row>
    <row r="700" spans="1:18" hidden="1">
      <c r="A700" t="s">
        <v>2045</v>
      </c>
      <c r="B700" t="s">
        <v>144</v>
      </c>
      <c r="C700">
        <v>300267090</v>
      </c>
      <c r="D700">
        <v>16432924</v>
      </c>
      <c r="E700" t="s">
        <v>45</v>
      </c>
      <c r="F700" t="s">
        <v>2046</v>
      </c>
      <c r="G700">
        <v>5</v>
      </c>
      <c r="H700" t="s">
        <v>644</v>
      </c>
      <c r="J700" s="3"/>
      <c r="K700" s="11">
        <v>46182.632384259261</v>
      </c>
      <c r="M700">
        <v>26</v>
      </c>
      <c r="N700" t="s">
        <v>878</v>
      </c>
      <c r="P700" t="s">
        <v>2047</v>
      </c>
      <c r="Q700" s="10">
        <f>INT(Tabela1[[#This Row],[DATA]])</f>
        <v>46182</v>
      </c>
      <c r="R700" s="14" t="str">
        <f ca="1">IF(AND(Q700&gt;=TODAY()-WEEKDAY(TODAY(),2)+1,Q700&lt;TODAY()),"SIM","NÃO")</f>
        <v>NÃO</v>
      </c>
    </row>
    <row r="701" spans="1:18" hidden="1">
      <c r="A701" t="s">
        <v>2048</v>
      </c>
      <c r="B701" t="s">
        <v>137</v>
      </c>
      <c r="C701">
        <v>300248729</v>
      </c>
      <c r="D701">
        <v>16247388</v>
      </c>
      <c r="E701" t="s">
        <v>37</v>
      </c>
      <c r="F701" t="s">
        <v>2049</v>
      </c>
      <c r="G701">
        <v>53</v>
      </c>
      <c r="H701" t="s">
        <v>2050</v>
      </c>
      <c r="J701" s="3" t="s">
        <v>2051</v>
      </c>
      <c r="K701" s="11">
        <v>46182.636446759258</v>
      </c>
      <c r="M701">
        <v>27</v>
      </c>
      <c r="N701" t="s">
        <v>867</v>
      </c>
      <c r="P701" t="s">
        <v>2052</v>
      </c>
      <c r="Q701" s="10">
        <f>INT(Tabela1[[#This Row],[DATA]])</f>
        <v>46182</v>
      </c>
      <c r="R701" s="14" t="str">
        <f ca="1">IF(AND(Q701&gt;=TODAY()-WEEKDAY(TODAY(),2)+1,Q701&lt;TODAY()),"SIM","NÃO")</f>
        <v>NÃO</v>
      </c>
    </row>
    <row r="702" spans="1:18" hidden="1">
      <c r="A702" t="s">
        <v>2053</v>
      </c>
      <c r="B702" t="s">
        <v>192</v>
      </c>
      <c r="C702">
        <v>300263962</v>
      </c>
      <c r="D702">
        <v>13044826</v>
      </c>
      <c r="E702" t="s">
        <v>29</v>
      </c>
      <c r="F702" t="s">
        <v>2054</v>
      </c>
      <c r="G702">
        <v>10</v>
      </c>
      <c r="H702" t="s">
        <v>2055</v>
      </c>
      <c r="J702" s="3"/>
      <c r="K702" s="11">
        <v>46182.638854166667</v>
      </c>
      <c r="M702">
        <v>28</v>
      </c>
      <c r="N702" t="s">
        <v>867</v>
      </c>
      <c r="P702" t="s">
        <v>2056</v>
      </c>
      <c r="Q702" s="10">
        <f>INT(Tabela1[[#This Row],[DATA]])</f>
        <v>46182</v>
      </c>
      <c r="R702" s="14" t="str">
        <f ca="1">IF(AND(Q702&gt;=TODAY()-WEEKDAY(TODAY(),2)+1,Q702&lt;TODAY()),"SIM","NÃO")</f>
        <v>NÃO</v>
      </c>
    </row>
    <row r="703" spans="1:18" hidden="1">
      <c r="A703" t="s">
        <v>2057</v>
      </c>
      <c r="B703" t="s">
        <v>192</v>
      </c>
      <c r="C703">
        <v>300263962</v>
      </c>
      <c r="D703">
        <v>13044826</v>
      </c>
      <c r="E703" t="s">
        <v>29</v>
      </c>
      <c r="F703" t="s">
        <v>2036</v>
      </c>
      <c r="G703">
        <v>10</v>
      </c>
      <c r="H703" t="s">
        <v>2058</v>
      </c>
      <c r="J703" s="3"/>
      <c r="K703" s="11">
        <v>46182.640196759261</v>
      </c>
      <c r="M703">
        <v>29</v>
      </c>
      <c r="N703" t="s">
        <v>867</v>
      </c>
      <c r="P703" t="s">
        <v>2059</v>
      </c>
      <c r="Q703" s="10">
        <f>INT(Tabela1[[#This Row],[DATA]])</f>
        <v>46182</v>
      </c>
      <c r="R703" s="14" t="str">
        <f ca="1">IF(AND(Q703&gt;=TODAY()-WEEKDAY(TODAY(),2)+1,Q703&lt;TODAY()),"SIM","NÃO")</f>
        <v>NÃO</v>
      </c>
    </row>
    <row r="704" spans="1:18" hidden="1">
      <c r="A704" t="s">
        <v>2060</v>
      </c>
      <c r="B704" t="s">
        <v>690</v>
      </c>
      <c r="C704">
        <v>300270508</v>
      </c>
      <c r="D704">
        <v>15789640</v>
      </c>
      <c r="E704" t="s">
        <v>45</v>
      </c>
      <c r="F704" t="s">
        <v>2061</v>
      </c>
      <c r="G704">
        <v>130</v>
      </c>
      <c r="H704" t="s">
        <v>2062</v>
      </c>
      <c r="J704" s="3"/>
      <c r="K704" s="11">
        <v>46182.641944444447</v>
      </c>
      <c r="M704">
        <v>30</v>
      </c>
      <c r="N704" t="s">
        <v>867</v>
      </c>
      <c r="P704" t="s">
        <v>2063</v>
      </c>
      <c r="Q704" s="10">
        <f>INT(Tabela1[[#This Row],[DATA]])</f>
        <v>46182</v>
      </c>
      <c r="R704" s="14" t="str">
        <f ca="1">IF(AND(Q704&gt;=TODAY()-WEEKDAY(TODAY(),2)+1,Q704&lt;TODAY()),"SIM","NÃO")</f>
        <v>NÃO</v>
      </c>
    </row>
    <row r="705" spans="1:18" hidden="1">
      <c r="A705" t="s">
        <v>2048</v>
      </c>
      <c r="B705" t="s">
        <v>137</v>
      </c>
      <c r="C705">
        <v>300262451</v>
      </c>
      <c r="D705">
        <v>16448405</v>
      </c>
      <c r="E705" t="s">
        <v>37</v>
      </c>
      <c r="F705" t="s">
        <v>2036</v>
      </c>
      <c r="G705">
        <v>300</v>
      </c>
      <c r="H705" t="s">
        <v>2064</v>
      </c>
      <c r="J705" s="3" t="s">
        <v>2065</v>
      </c>
      <c r="K705" s="11">
        <v>46182.644143518519</v>
      </c>
      <c r="M705">
        <v>31</v>
      </c>
      <c r="N705" t="s">
        <v>867</v>
      </c>
      <c r="P705" t="s">
        <v>2066</v>
      </c>
      <c r="Q705" s="10">
        <f>INT(Tabela1[[#This Row],[DATA]])</f>
        <v>46182</v>
      </c>
      <c r="R705" s="14" t="str">
        <f ca="1">IF(AND(Q705&gt;=TODAY()-WEEKDAY(TODAY(),2)+1,Q705&lt;TODAY()),"SIM","NÃO")</f>
        <v>NÃO</v>
      </c>
    </row>
    <row r="706" spans="1:18" hidden="1">
      <c r="A706" t="s">
        <v>2067</v>
      </c>
      <c r="B706" t="s">
        <v>74</v>
      </c>
      <c r="C706">
        <v>300266587</v>
      </c>
      <c r="D706">
        <v>16526112</v>
      </c>
      <c r="E706" t="s">
        <v>20</v>
      </c>
      <c r="F706" t="s">
        <v>2068</v>
      </c>
      <c r="G706">
        <v>1001</v>
      </c>
      <c r="H706" t="s">
        <v>2069</v>
      </c>
      <c r="J706" s="3" t="s">
        <v>2070</v>
      </c>
      <c r="K706" s="11">
        <v>46182.644328703704</v>
      </c>
      <c r="M706">
        <v>32</v>
      </c>
      <c r="N706" t="s">
        <v>867</v>
      </c>
      <c r="P706" t="s">
        <v>2071</v>
      </c>
      <c r="Q706" s="10">
        <f>INT(Tabela1[[#This Row],[DATA]])</f>
        <v>46182</v>
      </c>
      <c r="R706" s="14" t="str">
        <f ca="1">IF(AND(Q706&gt;=TODAY()-WEEKDAY(TODAY(),2)+1,Q706&lt;TODAY()),"SIM","NÃO")</f>
        <v>NÃO</v>
      </c>
    </row>
    <row r="707" spans="1:18" hidden="1">
      <c r="A707" t="s">
        <v>2067</v>
      </c>
      <c r="B707" t="s">
        <v>74</v>
      </c>
      <c r="C707">
        <v>300266587</v>
      </c>
      <c r="D707">
        <v>16526112</v>
      </c>
      <c r="E707" t="s">
        <v>20</v>
      </c>
      <c r="F707" t="s">
        <v>2072</v>
      </c>
      <c r="G707">
        <v>15</v>
      </c>
      <c r="H707" t="s">
        <v>2073</v>
      </c>
      <c r="J707" s="3" t="s">
        <v>1831</v>
      </c>
      <c r="K707" s="11">
        <v>46182.647777777776</v>
      </c>
      <c r="M707">
        <v>33</v>
      </c>
      <c r="N707" t="s">
        <v>867</v>
      </c>
      <c r="P707" t="s">
        <v>2074</v>
      </c>
      <c r="Q707" s="10">
        <f>INT(Tabela1[[#This Row],[DATA]])</f>
        <v>46182</v>
      </c>
      <c r="R707" s="14" t="str">
        <f ca="1">IF(AND(Q707&gt;=TODAY()-WEEKDAY(TODAY(),2)+1,Q707&lt;TODAY()),"SIM","NÃO")</f>
        <v>NÃO</v>
      </c>
    </row>
    <row r="708" spans="1:18" hidden="1">
      <c r="A708" t="s">
        <v>1990</v>
      </c>
      <c r="B708" t="s">
        <v>80</v>
      </c>
      <c r="C708">
        <v>300268639</v>
      </c>
      <c r="D708">
        <v>16442520</v>
      </c>
      <c r="E708" t="s">
        <v>29</v>
      </c>
      <c r="F708" t="s">
        <v>2075</v>
      </c>
      <c r="G708" t="s">
        <v>2076</v>
      </c>
      <c r="H708" t="s">
        <v>2077</v>
      </c>
      <c r="J708" s="3"/>
      <c r="K708" s="11">
        <v>46182.649247685185</v>
      </c>
      <c r="M708">
        <v>34</v>
      </c>
      <c r="N708" t="s">
        <v>867</v>
      </c>
      <c r="P708" t="s">
        <v>2078</v>
      </c>
      <c r="Q708" s="10">
        <f>INT(Tabela1[[#This Row],[DATA]])</f>
        <v>46182</v>
      </c>
      <c r="R708" s="14" t="str">
        <f ca="1">IF(AND(Q708&gt;=TODAY()-WEEKDAY(TODAY(),2)+1,Q708&lt;TODAY()),"SIM","NÃO")</f>
        <v>NÃO</v>
      </c>
    </row>
    <row r="709" spans="1:18" hidden="1">
      <c r="A709" t="s">
        <v>2079</v>
      </c>
      <c r="B709" t="s">
        <v>288</v>
      </c>
      <c r="C709">
        <v>300265791</v>
      </c>
      <c r="D709">
        <v>16520076</v>
      </c>
      <c r="E709" t="s">
        <v>37</v>
      </c>
      <c r="F709" t="s">
        <v>2080</v>
      </c>
      <c r="G709">
        <v>104</v>
      </c>
      <c r="H709" t="s">
        <v>2081</v>
      </c>
      <c r="J709" s="3"/>
      <c r="K709" s="11">
        <v>46182.649293981478</v>
      </c>
      <c r="M709">
        <v>35</v>
      </c>
      <c r="N709" t="s">
        <v>867</v>
      </c>
      <c r="P709" t="s">
        <v>2082</v>
      </c>
      <c r="Q709" s="10">
        <f>INT(Tabela1[[#This Row],[DATA]])</f>
        <v>46182</v>
      </c>
      <c r="R709" s="14" t="str">
        <f ca="1">IF(AND(Q709&gt;=TODAY()-WEEKDAY(TODAY(),2)+1,Q709&lt;TODAY()),"SIM","NÃO")</f>
        <v>NÃO</v>
      </c>
    </row>
    <row r="710" spans="1:18" hidden="1">
      <c r="A710" t="s">
        <v>2083</v>
      </c>
      <c r="B710" t="s">
        <v>512</v>
      </c>
      <c r="C710">
        <v>300263684</v>
      </c>
      <c r="D710">
        <v>16474090</v>
      </c>
      <c r="E710" t="s">
        <v>37</v>
      </c>
      <c r="F710" t="s">
        <v>2084</v>
      </c>
      <c r="G710">
        <v>164</v>
      </c>
      <c r="H710" t="s">
        <v>2085</v>
      </c>
      <c r="J710" s="3" t="s">
        <v>2086</v>
      </c>
      <c r="K710" s="11">
        <v>46182.655752314815</v>
      </c>
      <c r="M710">
        <v>36</v>
      </c>
      <c r="N710" t="s">
        <v>867</v>
      </c>
      <c r="P710" t="s">
        <v>2087</v>
      </c>
      <c r="Q710" s="10">
        <f>INT(Tabela1[[#This Row],[DATA]])</f>
        <v>46182</v>
      </c>
      <c r="R710" s="14" t="str">
        <f ca="1">IF(AND(Q710&gt;=TODAY()-WEEKDAY(TODAY(),2)+1,Q710&lt;TODAY()),"SIM","NÃO")</f>
        <v>NÃO</v>
      </c>
    </row>
    <row r="711" spans="1:18" hidden="1">
      <c r="A711" t="s">
        <v>2088</v>
      </c>
      <c r="B711" t="s">
        <v>606</v>
      </c>
      <c r="C711">
        <v>300270840</v>
      </c>
      <c r="D711">
        <v>16442679</v>
      </c>
      <c r="E711" t="s">
        <v>29</v>
      </c>
      <c r="F711" t="s">
        <v>2089</v>
      </c>
      <c r="G711" t="s">
        <v>2090</v>
      </c>
      <c r="H711" t="s">
        <v>2091</v>
      </c>
      <c r="J711" s="3"/>
      <c r="K711" s="11">
        <v>46182.656261574077</v>
      </c>
      <c r="M711">
        <v>37</v>
      </c>
      <c r="N711" t="s">
        <v>867</v>
      </c>
      <c r="P711" t="s">
        <v>2092</v>
      </c>
      <c r="Q711" s="10">
        <f>INT(Tabela1[[#This Row],[DATA]])</f>
        <v>46182</v>
      </c>
      <c r="R711" s="14" t="str">
        <f ca="1">IF(AND(Q711&gt;=TODAY()-WEEKDAY(TODAY(),2)+1,Q711&lt;TODAY()),"SIM","NÃO")</f>
        <v>NÃO</v>
      </c>
    </row>
    <row r="712" spans="1:18" hidden="1">
      <c r="A712" t="s">
        <v>1956</v>
      </c>
      <c r="B712" t="s">
        <v>242</v>
      </c>
      <c r="C712">
        <v>300269351</v>
      </c>
      <c r="D712">
        <v>15773477</v>
      </c>
      <c r="E712" t="s">
        <v>37</v>
      </c>
      <c r="F712" t="s">
        <v>2093</v>
      </c>
      <c r="G712">
        <v>1</v>
      </c>
      <c r="H712" t="s">
        <v>2094</v>
      </c>
      <c r="J712" s="3" t="s">
        <v>2095</v>
      </c>
      <c r="K712" s="11">
        <v>46182.668263888889</v>
      </c>
      <c r="M712">
        <v>38</v>
      </c>
      <c r="N712" t="s">
        <v>867</v>
      </c>
      <c r="P712" t="s">
        <v>2096</v>
      </c>
      <c r="Q712" s="10">
        <f>INT(Tabela1[[#This Row],[DATA]])</f>
        <v>46182</v>
      </c>
      <c r="R712" s="14" t="str">
        <f ca="1">IF(AND(Q712&gt;=TODAY()-WEEKDAY(TODAY(),2)+1,Q712&lt;TODAY()),"SIM","NÃO")</f>
        <v>NÃO</v>
      </c>
    </row>
    <row r="713" spans="1:18" hidden="1">
      <c r="A713" t="s">
        <v>2097</v>
      </c>
      <c r="B713" t="s">
        <v>314</v>
      </c>
      <c r="C713">
        <v>300268551</v>
      </c>
      <c r="D713">
        <v>16441370</v>
      </c>
      <c r="E713" t="s">
        <v>45</v>
      </c>
      <c r="F713" t="s">
        <v>2046</v>
      </c>
      <c r="G713">
        <v>100</v>
      </c>
      <c r="H713" t="s">
        <v>2098</v>
      </c>
      <c r="J713" s="3"/>
      <c r="K713" s="11">
        <v>46182.672199074077</v>
      </c>
      <c r="M713">
        <v>39</v>
      </c>
      <c r="N713" t="s">
        <v>878</v>
      </c>
      <c r="P713" t="s">
        <v>2099</v>
      </c>
      <c r="Q713" s="10">
        <f>INT(Tabela1[[#This Row],[DATA]])</f>
        <v>46182</v>
      </c>
      <c r="R713" s="14" t="str">
        <f ca="1">IF(AND(Q713&gt;=TODAY()-WEEKDAY(TODAY(),2)+1,Q713&lt;TODAY()),"SIM","NÃO")</f>
        <v>NÃO</v>
      </c>
    </row>
    <row r="714" spans="1:18" hidden="1">
      <c r="A714" t="s">
        <v>185</v>
      </c>
      <c r="B714" t="s">
        <v>1625</v>
      </c>
      <c r="C714">
        <v>300267377</v>
      </c>
      <c r="D714">
        <v>16450272</v>
      </c>
      <c r="E714" t="s">
        <v>37</v>
      </c>
      <c r="F714" t="s">
        <v>2100</v>
      </c>
      <c r="G714">
        <v>10</v>
      </c>
      <c r="H714" t="s">
        <v>2101</v>
      </c>
      <c r="J714" s="3"/>
      <c r="K714" s="11">
        <v>46182.697824074072</v>
      </c>
      <c r="M714">
        <v>40</v>
      </c>
      <c r="N714" t="s">
        <v>867</v>
      </c>
      <c r="P714" t="s">
        <v>2102</v>
      </c>
      <c r="Q714" s="10">
        <f>INT(Tabela1[[#This Row],[DATA]])</f>
        <v>46182</v>
      </c>
      <c r="R714" s="14" t="str">
        <f ca="1">IF(AND(Q714&gt;=TODAY()-WEEKDAY(TODAY(),2)+1,Q714&lt;TODAY()),"SIM","NÃO")</f>
        <v>NÃO</v>
      </c>
    </row>
    <row r="715" spans="1:18" hidden="1">
      <c r="A715" t="s">
        <v>185</v>
      </c>
      <c r="B715" t="s">
        <v>1625</v>
      </c>
      <c r="C715">
        <v>300267377</v>
      </c>
      <c r="D715">
        <v>16450272</v>
      </c>
      <c r="E715" t="s">
        <v>37</v>
      </c>
      <c r="F715" t="s">
        <v>2100</v>
      </c>
      <c r="G715">
        <v>10</v>
      </c>
      <c r="H715" t="s">
        <v>2103</v>
      </c>
      <c r="J715" s="3"/>
      <c r="K715" s="11">
        <v>46182.698807870373</v>
      </c>
      <c r="M715">
        <v>41</v>
      </c>
      <c r="N715" t="s">
        <v>867</v>
      </c>
      <c r="P715" t="s">
        <v>2104</v>
      </c>
      <c r="Q715" s="10">
        <f>INT(Tabela1[[#This Row],[DATA]])</f>
        <v>46182</v>
      </c>
      <c r="R715" s="14" t="str">
        <f ca="1">IF(AND(Q715&gt;=TODAY()-WEEKDAY(TODAY(),2)+1,Q715&lt;TODAY()),"SIM","NÃO")</f>
        <v>NÃO</v>
      </c>
    </row>
    <row r="716" spans="1:18" hidden="1">
      <c r="A716" t="s">
        <v>185</v>
      </c>
      <c r="B716" t="s">
        <v>1625</v>
      </c>
      <c r="C716">
        <v>300267377</v>
      </c>
      <c r="D716">
        <v>16450272</v>
      </c>
      <c r="E716" t="s">
        <v>37</v>
      </c>
      <c r="F716" t="s">
        <v>2100</v>
      </c>
      <c r="G716">
        <v>10</v>
      </c>
      <c r="H716" t="s">
        <v>2101</v>
      </c>
      <c r="J716" s="3"/>
      <c r="K716" s="11">
        <v>46182.700532407405</v>
      </c>
      <c r="M716">
        <v>42</v>
      </c>
      <c r="N716" t="s">
        <v>867</v>
      </c>
      <c r="P716" t="s">
        <v>2105</v>
      </c>
      <c r="Q716" s="10">
        <f>INT(Tabela1[[#This Row],[DATA]])</f>
        <v>46182</v>
      </c>
      <c r="R716" s="14" t="str">
        <f ca="1">IF(AND(Q716&gt;=TODAY()-WEEKDAY(TODAY(),2)+1,Q716&lt;TODAY()),"SIM","NÃO")</f>
        <v>NÃO</v>
      </c>
    </row>
    <row r="717" spans="1:18" hidden="1">
      <c r="A717" t="s">
        <v>2106</v>
      </c>
      <c r="B717" t="s">
        <v>242</v>
      </c>
      <c r="C717">
        <v>300269351</v>
      </c>
      <c r="D717">
        <v>15773477</v>
      </c>
      <c r="E717" t="s">
        <v>37</v>
      </c>
      <c r="F717" t="s">
        <v>2107</v>
      </c>
      <c r="G717">
        <v>5</v>
      </c>
      <c r="H717" t="s">
        <v>1958</v>
      </c>
      <c r="J717" s="3" t="s">
        <v>2108</v>
      </c>
      <c r="K717" s="11">
        <v>46182.700810185182</v>
      </c>
      <c r="M717">
        <v>43</v>
      </c>
      <c r="N717" t="s">
        <v>867</v>
      </c>
      <c r="P717" t="s">
        <v>2109</v>
      </c>
      <c r="Q717" s="10">
        <f>INT(Tabela1[[#This Row],[DATA]])</f>
        <v>46182</v>
      </c>
      <c r="R717" s="14" t="str">
        <f ca="1">IF(AND(Q717&gt;=TODAY()-WEEKDAY(TODAY(),2)+1,Q717&lt;TODAY()),"SIM","NÃO")</f>
        <v>NÃO</v>
      </c>
    </row>
    <row r="718" spans="1:18" hidden="1">
      <c r="A718" t="s">
        <v>2110</v>
      </c>
      <c r="B718" t="s">
        <v>606</v>
      </c>
      <c r="C718">
        <v>300270840</v>
      </c>
      <c r="D718">
        <v>16442679</v>
      </c>
      <c r="E718" t="s">
        <v>29</v>
      </c>
      <c r="F718" t="s">
        <v>2111</v>
      </c>
      <c r="G718">
        <v>43200</v>
      </c>
      <c r="H718" t="s">
        <v>2112</v>
      </c>
      <c r="J718" s="3"/>
      <c r="K718" s="11">
        <v>46182.715370370373</v>
      </c>
      <c r="M718">
        <v>44</v>
      </c>
      <c r="N718" t="s">
        <v>867</v>
      </c>
      <c r="P718" t="s">
        <v>2113</v>
      </c>
      <c r="Q718" s="10">
        <f>INT(Tabela1[[#This Row],[DATA]])</f>
        <v>46182</v>
      </c>
      <c r="R718" s="14" t="str">
        <f ca="1">IF(AND(Q718&gt;=TODAY()-WEEKDAY(TODAY(),2)+1,Q718&lt;TODAY()),"SIM","NÃO")</f>
        <v>NÃO</v>
      </c>
    </row>
    <row r="719" spans="1:18" hidden="1">
      <c r="A719" t="s">
        <v>2114</v>
      </c>
      <c r="B719" t="s">
        <v>164</v>
      </c>
      <c r="C719">
        <v>300269799</v>
      </c>
      <c r="D719">
        <v>16218230</v>
      </c>
      <c r="E719" t="s">
        <v>37</v>
      </c>
      <c r="F719" t="s">
        <v>2115</v>
      </c>
      <c r="G719">
        <v>1078</v>
      </c>
      <c r="H719" t="s">
        <v>2116</v>
      </c>
      <c r="J719" s="3" t="s">
        <v>2117</v>
      </c>
      <c r="K719" s="11">
        <v>46182.715497685182</v>
      </c>
      <c r="M719">
        <v>45</v>
      </c>
      <c r="N719" t="s">
        <v>878</v>
      </c>
      <c r="P719" t="s">
        <v>2118</v>
      </c>
      <c r="Q719" s="10">
        <f>INT(Tabela1[[#This Row],[DATA]])</f>
        <v>46182</v>
      </c>
      <c r="R719" s="14" t="str">
        <f ca="1">IF(AND(Q719&gt;=TODAY()-WEEKDAY(TODAY(),2)+1,Q719&lt;TODAY()),"SIM","NÃO")</f>
        <v>NÃO</v>
      </c>
    </row>
    <row r="720" spans="1:18" hidden="1">
      <c r="A720" t="s">
        <v>1956</v>
      </c>
      <c r="B720" t="s">
        <v>242</v>
      </c>
      <c r="C720">
        <v>300269351</v>
      </c>
      <c r="D720">
        <v>15773477</v>
      </c>
      <c r="E720" t="s">
        <v>37</v>
      </c>
      <c r="F720" t="s">
        <v>2119</v>
      </c>
      <c r="G720">
        <v>30</v>
      </c>
      <c r="H720" t="s">
        <v>2120</v>
      </c>
      <c r="J720" s="3" t="s">
        <v>2121</v>
      </c>
      <c r="K720" s="11">
        <v>46182.722199074073</v>
      </c>
      <c r="M720">
        <v>46</v>
      </c>
      <c r="N720" t="s">
        <v>878</v>
      </c>
      <c r="P720" t="s">
        <v>2122</v>
      </c>
      <c r="Q720" s="10">
        <f>INT(Tabela1[[#This Row],[DATA]])</f>
        <v>46182</v>
      </c>
      <c r="R720" s="14" t="str">
        <f ca="1">IF(AND(Q720&gt;=TODAY()-WEEKDAY(TODAY(),2)+1,Q720&lt;TODAY()),"SIM","NÃO")</f>
        <v>NÃO</v>
      </c>
    </row>
    <row r="721" spans="1:18" hidden="1">
      <c r="A721" t="s">
        <v>2123</v>
      </c>
      <c r="B721" t="s">
        <v>69</v>
      </c>
      <c r="C721">
        <v>300268930</v>
      </c>
      <c r="D721">
        <v>16273311</v>
      </c>
      <c r="E721" t="s">
        <v>37</v>
      </c>
      <c r="F721" t="s">
        <v>2124</v>
      </c>
      <c r="G721">
        <v>30</v>
      </c>
      <c r="H721" t="s">
        <v>2125</v>
      </c>
      <c r="J721" s="3" t="s">
        <v>2126</v>
      </c>
      <c r="K721" s="11">
        <v>46182.724097222221</v>
      </c>
      <c r="M721">
        <v>47</v>
      </c>
      <c r="N721" t="s">
        <v>867</v>
      </c>
      <c r="P721" t="s">
        <v>2127</v>
      </c>
      <c r="Q721" s="10">
        <f>INT(Tabela1[[#This Row],[DATA]])</f>
        <v>46182</v>
      </c>
      <c r="R721" s="14" t="str">
        <f ca="1">IF(AND(Q721&gt;=TODAY()-WEEKDAY(TODAY(),2)+1,Q721&lt;TODAY()),"SIM","NÃO")</f>
        <v>NÃO</v>
      </c>
    </row>
    <row r="722" spans="1:18" hidden="1">
      <c r="A722" t="s">
        <v>2128</v>
      </c>
      <c r="B722" t="s">
        <v>482</v>
      </c>
      <c r="C722">
        <v>300269338</v>
      </c>
      <c r="D722">
        <v>15773477</v>
      </c>
      <c r="E722" t="s">
        <v>37</v>
      </c>
      <c r="F722" t="s">
        <v>2129</v>
      </c>
      <c r="G722">
        <v>800</v>
      </c>
      <c r="H722" t="s">
        <v>1831</v>
      </c>
      <c r="J722" s="3" t="s">
        <v>2130</v>
      </c>
      <c r="K722" s="11">
        <v>46182.72488425926</v>
      </c>
      <c r="M722">
        <v>48</v>
      </c>
      <c r="N722" t="s">
        <v>867</v>
      </c>
      <c r="P722" t="s">
        <v>2131</v>
      </c>
      <c r="Q722" s="10">
        <f>INT(Tabela1[[#This Row],[DATA]])</f>
        <v>46182</v>
      </c>
      <c r="R722" s="14" t="str">
        <f ca="1">IF(AND(Q722&gt;=TODAY()-WEEKDAY(TODAY(),2)+1,Q722&lt;TODAY()),"SIM","NÃO")</f>
        <v>NÃO</v>
      </c>
    </row>
    <row r="723" spans="1:18" hidden="1">
      <c r="A723" t="s">
        <v>2128</v>
      </c>
      <c r="B723" t="s">
        <v>482</v>
      </c>
      <c r="C723">
        <v>300269338</v>
      </c>
      <c r="D723">
        <v>15773477</v>
      </c>
      <c r="E723" t="s">
        <v>37</v>
      </c>
      <c r="F723" t="s">
        <v>2132</v>
      </c>
      <c r="G723">
        <v>100</v>
      </c>
      <c r="H723" t="s">
        <v>1831</v>
      </c>
      <c r="J723" s="3" t="s">
        <v>2133</v>
      </c>
      <c r="K723" s="11">
        <v>46182.727013888885</v>
      </c>
      <c r="M723">
        <v>49</v>
      </c>
      <c r="N723" t="s">
        <v>878</v>
      </c>
      <c r="P723" t="s">
        <v>2134</v>
      </c>
      <c r="Q723" s="10">
        <f>INT(Tabela1[[#This Row],[DATA]])</f>
        <v>46182</v>
      </c>
      <c r="R723" s="14" t="str">
        <f ca="1">IF(AND(Q723&gt;=TODAY()-WEEKDAY(TODAY(),2)+1,Q723&lt;TODAY()),"SIM","NÃO")</f>
        <v>NÃO</v>
      </c>
    </row>
    <row r="724" spans="1:18" hidden="1">
      <c r="A724" t="s">
        <v>2135</v>
      </c>
      <c r="B724" t="s">
        <v>69</v>
      </c>
      <c r="C724">
        <v>300270722</v>
      </c>
      <c r="D724">
        <v>16217802</v>
      </c>
      <c r="E724" t="s">
        <v>37</v>
      </c>
      <c r="F724" t="s">
        <v>2136</v>
      </c>
      <c r="G724">
        <v>35</v>
      </c>
      <c r="H724" t="s">
        <v>2137</v>
      </c>
      <c r="J724" s="3"/>
      <c r="K724" s="11">
        <v>46182.737685185188</v>
      </c>
      <c r="M724">
        <v>50</v>
      </c>
      <c r="N724" t="s">
        <v>867</v>
      </c>
      <c r="P724" t="s">
        <v>2138</v>
      </c>
      <c r="Q724" s="10">
        <f>INT(Tabela1[[#This Row],[DATA]])</f>
        <v>46182</v>
      </c>
      <c r="R724" s="14" t="str">
        <f ca="1">IF(AND(Q724&gt;=TODAY()-WEEKDAY(TODAY(),2)+1,Q724&lt;TODAY()),"SIM","NÃO")</f>
        <v>NÃO</v>
      </c>
    </row>
    <row r="725" spans="1:18" hidden="1">
      <c r="A725" t="s">
        <v>2139</v>
      </c>
      <c r="B725" t="s">
        <v>662</v>
      </c>
      <c r="C725">
        <v>300267046</v>
      </c>
      <c r="D725">
        <v>16242998</v>
      </c>
      <c r="E725" t="s">
        <v>37</v>
      </c>
      <c r="F725" t="s">
        <v>2140</v>
      </c>
      <c r="G725">
        <v>880</v>
      </c>
      <c r="H725" t="s">
        <v>2141</v>
      </c>
      <c r="J725" s="3"/>
      <c r="K725" s="11">
        <v>46182.789212962962</v>
      </c>
      <c r="M725">
        <v>51</v>
      </c>
      <c r="N725" t="s">
        <v>878</v>
      </c>
      <c r="P725" t="s">
        <v>2142</v>
      </c>
      <c r="Q725" s="10">
        <f>INT(Tabela1[[#This Row],[DATA]])</f>
        <v>46182</v>
      </c>
      <c r="R725" s="14" t="str">
        <f ca="1">IF(AND(Q725&gt;=TODAY()-WEEKDAY(TODAY(),2)+1,Q725&lt;TODAY()),"SIM","NÃO")</f>
        <v>NÃO</v>
      </c>
    </row>
    <row r="726" spans="1:18" hidden="1">
      <c r="A726" t="s">
        <v>2114</v>
      </c>
      <c r="B726" t="s">
        <v>164</v>
      </c>
      <c r="C726">
        <v>300270778</v>
      </c>
      <c r="D726">
        <v>16218299</v>
      </c>
      <c r="E726" t="s">
        <v>37</v>
      </c>
      <c r="F726" t="s">
        <v>2143</v>
      </c>
      <c r="G726">
        <v>1272</v>
      </c>
      <c r="H726" t="s">
        <v>2144</v>
      </c>
      <c r="J726" s="3" t="s">
        <v>2145</v>
      </c>
      <c r="K726" s="11">
        <v>46182.889918981484</v>
      </c>
      <c r="M726">
        <v>52</v>
      </c>
      <c r="N726" t="s">
        <v>878</v>
      </c>
      <c r="P726" t="s">
        <v>2146</v>
      </c>
      <c r="Q726" s="10">
        <f>INT(Tabela1[[#This Row],[DATA]])</f>
        <v>46182</v>
      </c>
      <c r="R726" s="14" t="str">
        <f ca="1">IF(AND(Q726&gt;=TODAY()-WEEKDAY(TODAY(),2)+1,Q726&lt;TODAY()),"SIM","NÃO")</f>
        <v>NÃO</v>
      </c>
    </row>
    <row r="727" spans="1:18" hidden="1">
      <c r="A727" t="s">
        <v>2147</v>
      </c>
      <c r="B727" t="s">
        <v>19</v>
      </c>
      <c r="C727">
        <v>300270454</v>
      </c>
      <c r="D727">
        <v>16546512</v>
      </c>
      <c r="E727" t="s">
        <v>20</v>
      </c>
      <c r="F727" t="s">
        <v>2148</v>
      </c>
      <c r="G727">
        <v>1000</v>
      </c>
      <c r="H727" t="s">
        <v>2149</v>
      </c>
      <c r="J727" s="3" t="s">
        <v>2150</v>
      </c>
      <c r="K727" s="11">
        <v>46183.271863425929</v>
      </c>
      <c r="M727">
        <v>53</v>
      </c>
      <c r="N727" t="s">
        <v>878</v>
      </c>
      <c r="P727" t="s">
        <v>2151</v>
      </c>
      <c r="Q727" s="10">
        <f>INT(Tabela1[[#This Row],[DATA]])</f>
        <v>46183</v>
      </c>
      <c r="R727" s="14" t="str">
        <f ca="1">IF(AND(Q727&gt;=TODAY()-WEEKDAY(TODAY(),2)+1,Q727&lt;TODAY()),"SIM","NÃO")</f>
        <v>NÃO</v>
      </c>
    </row>
    <row r="728" spans="1:18" hidden="1">
      <c r="A728" t="s">
        <v>2152</v>
      </c>
      <c r="B728" t="s">
        <v>612</v>
      </c>
      <c r="C728">
        <v>300264026</v>
      </c>
      <c r="D728">
        <v>16472217</v>
      </c>
      <c r="E728" t="s">
        <v>37</v>
      </c>
      <c r="F728" t="s">
        <v>2153</v>
      </c>
      <c r="G728" t="s">
        <v>2154</v>
      </c>
      <c r="H728" t="s">
        <v>2155</v>
      </c>
      <c r="J728" s="3" t="s">
        <v>2156</v>
      </c>
      <c r="K728" s="11">
        <v>46183.298703703702</v>
      </c>
      <c r="M728">
        <v>54</v>
      </c>
      <c r="N728" t="s">
        <v>867</v>
      </c>
      <c r="P728" t="s">
        <v>2157</v>
      </c>
      <c r="Q728" s="10">
        <f>INT(Tabela1[[#This Row],[DATA]])</f>
        <v>46183</v>
      </c>
      <c r="R728" s="14" t="str">
        <f ca="1">IF(AND(Q728&gt;=TODAY()-WEEKDAY(TODAY(),2)+1,Q728&lt;TODAY()),"SIM","NÃO")</f>
        <v>NÃO</v>
      </c>
    </row>
    <row r="729" spans="1:18" hidden="1">
      <c r="A729" t="s">
        <v>2158</v>
      </c>
      <c r="B729" t="s">
        <v>606</v>
      </c>
      <c r="C729">
        <v>300266979</v>
      </c>
      <c r="D729">
        <v>15773167</v>
      </c>
      <c r="E729" t="s">
        <v>37</v>
      </c>
      <c r="F729" t="s">
        <v>2159</v>
      </c>
      <c r="G729" t="s">
        <v>2160</v>
      </c>
      <c r="H729" t="s">
        <v>1771</v>
      </c>
      <c r="J729" s="3" t="s">
        <v>2161</v>
      </c>
      <c r="K729" s="11">
        <v>46183.309351851851</v>
      </c>
      <c r="M729">
        <v>55</v>
      </c>
      <c r="N729" t="s">
        <v>867</v>
      </c>
      <c r="P729" t="s">
        <v>2162</v>
      </c>
      <c r="Q729" s="10">
        <f>INT(Tabela1[[#This Row],[DATA]])</f>
        <v>46183</v>
      </c>
      <c r="R729" s="14" t="str">
        <f ca="1">IF(AND(Q729&gt;=TODAY()-WEEKDAY(TODAY(),2)+1,Q729&lt;TODAY()),"SIM","NÃO")</f>
        <v>NÃO</v>
      </c>
    </row>
    <row r="730" spans="1:18" hidden="1">
      <c r="A730" t="s">
        <v>2147</v>
      </c>
      <c r="B730" t="s">
        <v>19</v>
      </c>
      <c r="C730">
        <v>300270455</v>
      </c>
      <c r="D730">
        <v>16546512</v>
      </c>
      <c r="E730" t="s">
        <v>20</v>
      </c>
      <c r="F730" t="s">
        <v>2163</v>
      </c>
      <c r="G730">
        <v>973</v>
      </c>
      <c r="H730" t="s">
        <v>2164</v>
      </c>
      <c r="J730" s="3" t="s">
        <v>2165</v>
      </c>
      <c r="K730" s="11">
        <v>46183.318831018521</v>
      </c>
      <c r="M730">
        <v>56</v>
      </c>
      <c r="N730" t="s">
        <v>878</v>
      </c>
      <c r="P730" t="s">
        <v>2166</v>
      </c>
      <c r="Q730" s="10">
        <f>INT(Tabela1[[#This Row],[DATA]])</f>
        <v>46183</v>
      </c>
      <c r="R730" s="14" t="str">
        <f ca="1">IF(AND(Q730&gt;=TODAY()-WEEKDAY(TODAY(),2)+1,Q730&lt;TODAY()),"SIM","NÃO")</f>
        <v>NÃO</v>
      </c>
    </row>
    <row r="731" spans="1:18" hidden="1">
      <c r="A731" t="s">
        <v>2167</v>
      </c>
      <c r="B731" t="s">
        <v>112</v>
      </c>
      <c r="C731">
        <v>300269321</v>
      </c>
      <c r="D731">
        <v>16452267</v>
      </c>
      <c r="E731" t="s">
        <v>37</v>
      </c>
      <c r="F731" t="s">
        <v>2168</v>
      </c>
      <c r="G731">
        <v>8</v>
      </c>
      <c r="H731" t="s">
        <v>1831</v>
      </c>
      <c r="J731" s="3"/>
      <c r="K731" s="11">
        <v>46183.336030092592</v>
      </c>
      <c r="M731">
        <v>57</v>
      </c>
      <c r="N731" t="s">
        <v>867</v>
      </c>
      <c r="P731" t="s">
        <v>2169</v>
      </c>
      <c r="Q731" s="10">
        <f>INT(Tabela1[[#This Row],[DATA]])</f>
        <v>46183</v>
      </c>
      <c r="R731" s="14" t="str">
        <f ca="1">IF(AND(Q731&gt;=TODAY()-WEEKDAY(TODAY(),2)+1,Q731&lt;TODAY()),"SIM","NÃO")</f>
        <v>NÃO</v>
      </c>
    </row>
    <row r="732" spans="1:18" hidden="1">
      <c r="A732" t="s">
        <v>2170</v>
      </c>
      <c r="B732" t="s">
        <v>112</v>
      </c>
      <c r="C732">
        <v>300269321</v>
      </c>
      <c r="D732">
        <v>16452267</v>
      </c>
      <c r="E732" t="s">
        <v>37</v>
      </c>
      <c r="F732" t="s">
        <v>2171</v>
      </c>
      <c r="G732">
        <v>3</v>
      </c>
      <c r="H732" t="s">
        <v>2172</v>
      </c>
      <c r="J732" s="3"/>
      <c r="K732" s="11">
        <v>46183.337581018517</v>
      </c>
      <c r="M732">
        <v>58</v>
      </c>
      <c r="N732" t="s">
        <v>867</v>
      </c>
      <c r="P732" t="s">
        <v>2173</v>
      </c>
      <c r="Q732" s="10">
        <f>INT(Tabela1[[#This Row],[DATA]])</f>
        <v>46183</v>
      </c>
      <c r="R732" s="14" t="str">
        <f ca="1">IF(AND(Q732&gt;=TODAY()-WEEKDAY(TODAY(),2)+1,Q732&lt;TODAY()),"SIM","NÃO")</f>
        <v>NÃO</v>
      </c>
    </row>
    <row r="733" spans="1:18" hidden="1">
      <c r="A733" t="s">
        <v>2170</v>
      </c>
      <c r="B733" t="s">
        <v>112</v>
      </c>
      <c r="C733">
        <v>300269321</v>
      </c>
      <c r="D733">
        <v>16452267</v>
      </c>
      <c r="E733" t="s">
        <v>37</v>
      </c>
      <c r="F733" t="s">
        <v>2174</v>
      </c>
      <c r="G733">
        <v>2</v>
      </c>
      <c r="H733" t="s">
        <v>2175</v>
      </c>
      <c r="J733" s="3"/>
      <c r="K733" s="11">
        <v>46183.338472222225</v>
      </c>
      <c r="M733">
        <v>59</v>
      </c>
      <c r="N733" t="s">
        <v>867</v>
      </c>
      <c r="P733" t="s">
        <v>2176</v>
      </c>
      <c r="Q733" s="10">
        <f>INT(Tabela1[[#This Row],[DATA]])</f>
        <v>46183</v>
      </c>
      <c r="R733" s="14" t="str">
        <f ca="1">IF(AND(Q733&gt;=TODAY()-WEEKDAY(TODAY(),2)+1,Q733&lt;TODAY()),"SIM","NÃO")</f>
        <v>NÃO</v>
      </c>
    </row>
    <row r="734" spans="1:18" hidden="1">
      <c r="A734" t="s">
        <v>2177</v>
      </c>
      <c r="B734" t="s">
        <v>1073</v>
      </c>
      <c r="C734">
        <v>300259607</v>
      </c>
      <c r="D734">
        <v>16186656</v>
      </c>
      <c r="E734" t="s">
        <v>37</v>
      </c>
      <c r="F734" t="s">
        <v>2033</v>
      </c>
      <c r="G734">
        <v>20</v>
      </c>
      <c r="H734" t="s">
        <v>2178</v>
      </c>
      <c r="J734" s="3" t="s">
        <v>2179</v>
      </c>
      <c r="K734" s="11">
        <v>46183.361689814818</v>
      </c>
      <c r="M734">
        <v>60</v>
      </c>
      <c r="N734" t="s">
        <v>867</v>
      </c>
      <c r="P734" t="s">
        <v>2180</v>
      </c>
      <c r="Q734" s="10">
        <f>INT(Tabela1[[#This Row],[DATA]])</f>
        <v>46183</v>
      </c>
      <c r="R734" s="14" t="str">
        <f ca="1">IF(AND(Q734&gt;=TODAY()-WEEKDAY(TODAY(),2)+1,Q734&lt;TODAY()),"SIM","NÃO")</f>
        <v>NÃO</v>
      </c>
    </row>
    <row r="735" spans="1:18" hidden="1">
      <c r="A735" t="s">
        <v>2097</v>
      </c>
      <c r="B735" t="s">
        <v>314</v>
      </c>
      <c r="C735">
        <v>300250060</v>
      </c>
      <c r="D735">
        <v>0</v>
      </c>
      <c r="E735" t="s">
        <v>45</v>
      </c>
      <c r="F735" t="s">
        <v>2181</v>
      </c>
      <c r="G735">
        <v>5</v>
      </c>
      <c r="H735" t="s">
        <v>2098</v>
      </c>
      <c r="J735" s="3" t="s">
        <v>2182</v>
      </c>
      <c r="K735" s="11">
        <v>46183.36409722222</v>
      </c>
      <c r="M735">
        <v>61</v>
      </c>
      <c r="N735" t="s">
        <v>878</v>
      </c>
      <c r="P735" t="s">
        <v>2183</v>
      </c>
      <c r="Q735" s="10">
        <f>INT(Tabela1[[#This Row],[DATA]])</f>
        <v>46183</v>
      </c>
      <c r="R735" s="14" t="str">
        <f ca="1">IF(AND(Q735&gt;=TODAY()-WEEKDAY(TODAY(),2)+1,Q735&lt;TODAY()),"SIM","NÃO")</f>
        <v>NÃO</v>
      </c>
    </row>
    <row r="736" spans="1:18" hidden="1">
      <c r="A736" t="s">
        <v>2184</v>
      </c>
      <c r="B736" t="s">
        <v>1487</v>
      </c>
      <c r="C736">
        <v>300266688</v>
      </c>
      <c r="D736">
        <v>16243951</v>
      </c>
      <c r="E736" t="s">
        <v>37</v>
      </c>
      <c r="F736" t="s">
        <v>2185</v>
      </c>
      <c r="G736">
        <v>7</v>
      </c>
      <c r="H736" t="s">
        <v>2186</v>
      </c>
      <c r="J736" s="3" t="s">
        <v>2187</v>
      </c>
      <c r="K736" s="11">
        <v>46183.367824074077</v>
      </c>
      <c r="M736">
        <v>62</v>
      </c>
      <c r="N736" t="s">
        <v>867</v>
      </c>
      <c r="P736" t="s">
        <v>2188</v>
      </c>
      <c r="Q736" s="10">
        <f>INT(Tabela1[[#This Row],[DATA]])</f>
        <v>46183</v>
      </c>
      <c r="R736" s="14" t="str">
        <f ca="1">IF(AND(Q736&gt;=TODAY()-WEEKDAY(TODAY(),2)+1,Q736&lt;TODAY()),"SIM","NÃO")</f>
        <v>NÃO</v>
      </c>
    </row>
    <row r="737" spans="1:18" hidden="1">
      <c r="A737" t="s">
        <v>2189</v>
      </c>
      <c r="B737" t="s">
        <v>50</v>
      </c>
      <c r="C737">
        <v>300265825</v>
      </c>
      <c r="D737">
        <v>16482395</v>
      </c>
      <c r="E737" t="s">
        <v>37</v>
      </c>
      <c r="F737" t="s">
        <v>2190</v>
      </c>
      <c r="G737">
        <v>10</v>
      </c>
      <c r="H737" t="s">
        <v>2191</v>
      </c>
      <c r="J737" s="3" t="s">
        <v>2192</v>
      </c>
      <c r="K737" s="11">
        <v>46183.379293981481</v>
      </c>
      <c r="M737">
        <v>63</v>
      </c>
      <c r="N737" t="s">
        <v>878</v>
      </c>
      <c r="P737" t="s">
        <v>2193</v>
      </c>
      <c r="Q737" s="10">
        <f>INT(Tabela1[[#This Row],[DATA]])</f>
        <v>46183</v>
      </c>
      <c r="R737" s="14" t="str">
        <f ca="1">IF(AND(Q737&gt;=TODAY()-WEEKDAY(TODAY(),2)+1,Q737&lt;TODAY()),"SIM","NÃO")</f>
        <v>NÃO</v>
      </c>
    </row>
    <row r="738" spans="1:18" hidden="1">
      <c r="A738" t="s">
        <v>2097</v>
      </c>
      <c r="B738" t="s">
        <v>314</v>
      </c>
      <c r="C738">
        <v>300256000</v>
      </c>
      <c r="D738">
        <v>12554210</v>
      </c>
      <c r="E738" t="s">
        <v>45</v>
      </c>
      <c r="F738" t="s">
        <v>2194</v>
      </c>
      <c r="G738">
        <v>5</v>
      </c>
      <c r="H738" t="s">
        <v>847</v>
      </c>
      <c r="J738" s="3" t="s">
        <v>2195</v>
      </c>
      <c r="K738" s="11">
        <v>46183.388379629629</v>
      </c>
      <c r="M738">
        <v>64</v>
      </c>
      <c r="N738" t="s">
        <v>878</v>
      </c>
      <c r="P738" t="s">
        <v>2196</v>
      </c>
      <c r="Q738" s="10">
        <f>INT(Tabela1[[#This Row],[DATA]])</f>
        <v>46183</v>
      </c>
      <c r="R738" s="14" t="str">
        <f ca="1">IF(AND(Q738&gt;=TODAY()-WEEKDAY(TODAY(),2)+1,Q738&lt;TODAY()),"SIM","NÃO")</f>
        <v>NÃO</v>
      </c>
    </row>
    <row r="739" spans="1:18" hidden="1">
      <c r="A739" t="s">
        <v>2197</v>
      </c>
      <c r="B739" t="s">
        <v>80</v>
      </c>
      <c r="C739">
        <v>300268639</v>
      </c>
      <c r="D739">
        <v>16442520</v>
      </c>
      <c r="E739" t="s">
        <v>29</v>
      </c>
      <c r="F739" t="s">
        <v>64</v>
      </c>
      <c r="G739" t="s">
        <v>2198</v>
      </c>
      <c r="H739" t="s">
        <v>1418</v>
      </c>
      <c r="J739" s="3"/>
      <c r="K739" s="11">
        <v>46183.395011574074</v>
      </c>
      <c r="M739">
        <v>65</v>
      </c>
      <c r="N739" t="s">
        <v>867</v>
      </c>
      <c r="P739" t="s">
        <v>2199</v>
      </c>
      <c r="Q739" s="10">
        <f>INT(Tabela1[[#This Row],[DATA]])</f>
        <v>46183</v>
      </c>
      <c r="R739" s="14" t="str">
        <f ca="1">IF(AND(Q739&gt;=TODAY()-WEEKDAY(TODAY(),2)+1,Q739&lt;TODAY()),"SIM","NÃO")</f>
        <v>NÃO</v>
      </c>
    </row>
    <row r="740" spans="1:18" hidden="1">
      <c r="A740" t="s">
        <v>2200</v>
      </c>
      <c r="B740" t="s">
        <v>2201</v>
      </c>
      <c r="C740">
        <v>300264365</v>
      </c>
      <c r="D740">
        <v>16217845</v>
      </c>
      <c r="E740" t="s">
        <v>37</v>
      </c>
      <c r="F740" t="s">
        <v>2202</v>
      </c>
      <c r="G740">
        <v>14</v>
      </c>
      <c r="H740" t="s">
        <v>2203</v>
      </c>
      <c r="J740" s="3" t="s">
        <v>2204</v>
      </c>
      <c r="K740" s="11">
        <v>46183.397037037037</v>
      </c>
      <c r="M740">
        <v>67</v>
      </c>
      <c r="N740" t="s">
        <v>878</v>
      </c>
      <c r="P740" t="s">
        <v>2205</v>
      </c>
      <c r="Q740" s="10">
        <f>INT(Tabela1[[#This Row],[DATA]])</f>
        <v>46183</v>
      </c>
      <c r="R740" s="14" t="str">
        <f ca="1">IF(AND(Q740&gt;=TODAY()-WEEKDAY(TODAY(),2)+1,Q740&lt;TODAY()),"SIM","NÃO")</f>
        <v>NÃO</v>
      </c>
    </row>
    <row r="741" spans="1:18" hidden="1">
      <c r="A741" t="s">
        <v>2197</v>
      </c>
      <c r="B741" t="s">
        <v>80</v>
      </c>
      <c r="C741">
        <v>300268639</v>
      </c>
      <c r="D741">
        <v>16442520</v>
      </c>
      <c r="E741" t="s">
        <v>29</v>
      </c>
      <c r="F741" t="s">
        <v>1979</v>
      </c>
      <c r="G741">
        <v>40</v>
      </c>
      <c r="H741" t="s">
        <v>2206</v>
      </c>
      <c r="J741" s="3"/>
      <c r="K741" s="11">
        <v>46183.397048611114</v>
      </c>
      <c r="M741">
        <v>66</v>
      </c>
      <c r="N741" t="s">
        <v>867</v>
      </c>
      <c r="P741" t="s">
        <v>2207</v>
      </c>
      <c r="Q741" s="10">
        <f>INT(Tabela1[[#This Row],[DATA]])</f>
        <v>46183</v>
      </c>
      <c r="R741" s="14" t="str">
        <f ca="1">IF(AND(Q741&gt;=TODAY()-WEEKDAY(TODAY(),2)+1,Q741&lt;TODAY()),"SIM","NÃO")</f>
        <v>NÃO</v>
      </c>
    </row>
    <row r="742" spans="1:18" hidden="1">
      <c r="A742" t="s">
        <v>2032</v>
      </c>
      <c r="B742" t="s">
        <v>2028</v>
      </c>
      <c r="C742">
        <v>300267464</v>
      </c>
      <c r="D742">
        <v>15252434</v>
      </c>
      <c r="E742" t="s">
        <v>37</v>
      </c>
      <c r="F742" t="s">
        <v>2111</v>
      </c>
      <c r="G742" t="s">
        <v>2208</v>
      </c>
      <c r="H742" t="s">
        <v>2209</v>
      </c>
      <c r="J742" s="3" t="s">
        <v>2210</v>
      </c>
      <c r="K742" s="11">
        <v>46183.403402777774</v>
      </c>
      <c r="M742">
        <v>68</v>
      </c>
      <c r="N742" t="s">
        <v>867</v>
      </c>
      <c r="P742" t="s">
        <v>2211</v>
      </c>
      <c r="Q742" s="10">
        <f>INT(Tabela1[[#This Row],[DATA]])</f>
        <v>46183</v>
      </c>
      <c r="R742" s="14" t="str">
        <f ca="1">IF(AND(Q742&gt;=TODAY()-WEEKDAY(TODAY(),2)+1,Q742&lt;TODAY()),"SIM","NÃO")</f>
        <v>NÃO</v>
      </c>
    </row>
    <row r="743" spans="1:18" hidden="1">
      <c r="A743" t="s">
        <v>2212</v>
      </c>
      <c r="B743" t="s">
        <v>990</v>
      </c>
      <c r="C743">
        <v>300267387</v>
      </c>
      <c r="D743">
        <v>16217403</v>
      </c>
      <c r="E743" t="s">
        <v>37</v>
      </c>
      <c r="F743" t="s">
        <v>2213</v>
      </c>
      <c r="G743">
        <v>25</v>
      </c>
      <c r="H743" t="s">
        <v>2214</v>
      </c>
      <c r="J743" s="3" t="s">
        <v>2215</v>
      </c>
      <c r="K743" s="11">
        <v>46183.414606481485</v>
      </c>
      <c r="M743">
        <v>69</v>
      </c>
      <c r="N743" t="s">
        <v>867</v>
      </c>
      <c r="P743" t="s">
        <v>2216</v>
      </c>
      <c r="Q743" s="10">
        <f>INT(Tabela1[[#This Row],[DATA]])</f>
        <v>46183</v>
      </c>
      <c r="R743" s="14" t="str">
        <f ca="1">IF(AND(Q743&gt;=TODAY()-WEEKDAY(TODAY(),2)+1,Q743&lt;TODAY()),"SIM","NÃO")</f>
        <v>NÃO</v>
      </c>
    </row>
    <row r="744" spans="1:18" hidden="1">
      <c r="A744" t="s">
        <v>2217</v>
      </c>
      <c r="B744" t="s">
        <v>2218</v>
      </c>
      <c r="C744">
        <v>300269052</v>
      </c>
      <c r="D744">
        <v>14700328</v>
      </c>
      <c r="E744" t="s">
        <v>45</v>
      </c>
      <c r="F744" t="s">
        <v>2093</v>
      </c>
      <c r="G744">
        <v>25</v>
      </c>
      <c r="H744" t="s">
        <v>2219</v>
      </c>
      <c r="J744" s="3"/>
      <c r="K744" s="11">
        <v>46183.418611111112</v>
      </c>
      <c r="M744">
        <v>70</v>
      </c>
      <c r="N744" t="s">
        <v>867</v>
      </c>
      <c r="P744" t="s">
        <v>2220</v>
      </c>
      <c r="Q744" s="10">
        <f>INT(Tabela1[[#This Row],[DATA]])</f>
        <v>46183</v>
      </c>
      <c r="R744" s="14" t="str">
        <f ca="1">IF(AND(Q744&gt;=TODAY()-WEEKDAY(TODAY(),2)+1,Q744&lt;TODAY()),"SIM","NÃO")</f>
        <v>NÃO</v>
      </c>
    </row>
    <row r="745" spans="1:18" hidden="1">
      <c r="A745" t="s">
        <v>2221</v>
      </c>
      <c r="B745" t="s">
        <v>242</v>
      </c>
      <c r="C745">
        <v>300270291</v>
      </c>
      <c r="D745">
        <v>16548612</v>
      </c>
      <c r="E745" t="s">
        <v>37</v>
      </c>
      <c r="F745" t="s">
        <v>2222</v>
      </c>
      <c r="G745" t="s">
        <v>2223</v>
      </c>
      <c r="H745" t="s">
        <v>2155</v>
      </c>
      <c r="J745" s="3" t="s">
        <v>2224</v>
      </c>
      <c r="K745" s="11">
        <v>46183.425613425927</v>
      </c>
      <c r="M745">
        <v>71</v>
      </c>
      <c r="N745" t="s">
        <v>878</v>
      </c>
      <c r="P745" t="s">
        <v>2225</v>
      </c>
      <c r="Q745" s="10">
        <f>INT(Tabela1[[#This Row],[DATA]])</f>
        <v>46183</v>
      </c>
      <c r="R745" s="14" t="str">
        <f ca="1">IF(AND(Q745&gt;=TODAY()-WEEKDAY(TODAY(),2)+1,Q745&lt;TODAY()),"SIM","NÃO")</f>
        <v>NÃO</v>
      </c>
    </row>
    <row r="746" spans="1:18" hidden="1">
      <c r="A746" t="s">
        <v>2226</v>
      </c>
      <c r="B746" t="s">
        <v>254</v>
      </c>
      <c r="C746">
        <v>300269753</v>
      </c>
      <c r="D746">
        <v>15864448</v>
      </c>
      <c r="E746" t="s">
        <v>37</v>
      </c>
      <c r="F746" t="s">
        <v>2227</v>
      </c>
      <c r="G746">
        <v>70</v>
      </c>
      <c r="H746" t="s">
        <v>2228</v>
      </c>
      <c r="J746" s="3" t="s">
        <v>2228</v>
      </c>
      <c r="K746" s="11">
        <v>46183.440694444442</v>
      </c>
      <c r="M746">
        <v>72</v>
      </c>
      <c r="N746" t="s">
        <v>867</v>
      </c>
      <c r="P746" t="s">
        <v>2229</v>
      </c>
      <c r="Q746" s="10">
        <f>INT(Tabela1[[#This Row],[DATA]])</f>
        <v>46183</v>
      </c>
      <c r="R746" s="14" t="str">
        <f ca="1">IF(AND(Q746&gt;=TODAY()-WEEKDAY(TODAY(),2)+1,Q746&lt;TODAY()),"SIM","NÃO")</f>
        <v>NÃO</v>
      </c>
    </row>
    <row r="747" spans="1:18" hidden="1">
      <c r="A747" t="s">
        <v>2230</v>
      </c>
      <c r="B747" t="s">
        <v>1284</v>
      </c>
      <c r="C747">
        <v>300269337</v>
      </c>
      <c r="D747">
        <v>15773477</v>
      </c>
      <c r="E747" t="s">
        <v>37</v>
      </c>
      <c r="F747" t="s">
        <v>2231</v>
      </c>
      <c r="G747">
        <v>3</v>
      </c>
      <c r="H747" t="s">
        <v>2232</v>
      </c>
      <c r="J747" s="3"/>
      <c r="K747" s="11">
        <v>46183.530590277776</v>
      </c>
      <c r="M747">
        <v>73</v>
      </c>
      <c r="N747" t="s">
        <v>878</v>
      </c>
      <c r="P747" t="s">
        <v>2233</v>
      </c>
      <c r="Q747" s="10">
        <f>INT(Tabela1[[#This Row],[DATA]])</f>
        <v>46183</v>
      </c>
      <c r="R747" s="14" t="str">
        <f ca="1">IF(AND(Q747&gt;=TODAY()-WEEKDAY(TODAY(),2)+1,Q747&lt;TODAY()),"SIM","NÃO")</f>
        <v>NÃO</v>
      </c>
    </row>
    <row r="748" spans="1:18" hidden="1">
      <c r="A748" t="s">
        <v>2234</v>
      </c>
      <c r="B748" t="s">
        <v>112</v>
      </c>
      <c r="C748">
        <v>300268561</v>
      </c>
      <c r="D748">
        <v>16462998</v>
      </c>
      <c r="E748" t="s">
        <v>45</v>
      </c>
      <c r="F748" t="s">
        <v>2235</v>
      </c>
      <c r="G748">
        <v>80</v>
      </c>
      <c r="H748" t="s">
        <v>2172</v>
      </c>
      <c r="J748" s="3"/>
      <c r="K748" s="11">
        <v>46183.549375000002</v>
      </c>
      <c r="M748">
        <v>74</v>
      </c>
      <c r="N748" t="s">
        <v>867</v>
      </c>
      <c r="P748" t="s">
        <v>2236</v>
      </c>
      <c r="Q748" s="10">
        <f>INT(Tabela1[[#This Row],[DATA]])</f>
        <v>46183</v>
      </c>
      <c r="R748" s="14" t="str">
        <f ca="1">IF(AND(Q748&gt;=TODAY()-WEEKDAY(TODAY(),2)+1,Q748&lt;TODAY()),"SIM","NÃO")</f>
        <v>NÃO</v>
      </c>
    </row>
    <row r="749" spans="1:18" hidden="1">
      <c r="A749" t="s">
        <v>2067</v>
      </c>
      <c r="B749" t="s">
        <v>74</v>
      </c>
      <c r="C749">
        <v>300270432</v>
      </c>
      <c r="D749">
        <v>15497313</v>
      </c>
      <c r="E749" t="s">
        <v>45</v>
      </c>
      <c r="F749" t="s">
        <v>2168</v>
      </c>
      <c r="G749">
        <v>45</v>
      </c>
      <c r="H749" t="s">
        <v>555</v>
      </c>
      <c r="J749" s="3"/>
      <c r="K749" s="11">
        <v>46183.56050925926</v>
      </c>
      <c r="M749">
        <v>75</v>
      </c>
      <c r="N749" t="s">
        <v>867</v>
      </c>
      <c r="O749">
        <v>10000208279</v>
      </c>
      <c r="P749" t="s">
        <v>2237</v>
      </c>
      <c r="Q749" s="10">
        <f>INT(Tabela1[[#This Row],[DATA]])</f>
        <v>46183</v>
      </c>
      <c r="R749" s="14" t="str">
        <f ca="1">IF(AND(Q749&gt;=TODAY()-WEEKDAY(TODAY(),2)+1,Q749&lt;TODAY()),"SIM","NÃO")</f>
        <v>NÃO</v>
      </c>
    </row>
    <row r="750" spans="1:18" hidden="1">
      <c r="A750" t="s">
        <v>2032</v>
      </c>
      <c r="B750" t="s">
        <v>822</v>
      </c>
      <c r="C750">
        <v>300267464</v>
      </c>
      <c r="D750">
        <v>15252434</v>
      </c>
      <c r="E750" t="s">
        <v>37</v>
      </c>
      <c r="F750" t="s">
        <v>2033</v>
      </c>
      <c r="G750">
        <v>344</v>
      </c>
      <c r="H750" t="s">
        <v>2091</v>
      </c>
      <c r="J750" s="3" t="s">
        <v>2238</v>
      </c>
      <c r="K750" s="11">
        <v>46183.585972222223</v>
      </c>
      <c r="M750">
        <v>76</v>
      </c>
      <c r="N750" t="s">
        <v>867</v>
      </c>
      <c r="O750">
        <v>10000120068</v>
      </c>
      <c r="P750" t="s">
        <v>2239</v>
      </c>
      <c r="Q750" s="10">
        <f>INT(Tabela1[[#This Row],[DATA]])</f>
        <v>46183</v>
      </c>
      <c r="R750" s="14" t="str">
        <f ca="1">IF(AND(Q750&gt;=TODAY()-WEEKDAY(TODAY(),2)+1,Q750&lt;TODAY()),"SIM","NÃO")</f>
        <v>NÃO</v>
      </c>
    </row>
    <row r="751" spans="1:18" hidden="1">
      <c r="A751" t="s">
        <v>2032</v>
      </c>
      <c r="B751" t="s">
        <v>822</v>
      </c>
      <c r="C751">
        <v>300267464</v>
      </c>
      <c r="D751">
        <v>15252434</v>
      </c>
      <c r="E751" t="s">
        <v>37</v>
      </c>
      <c r="F751" t="s">
        <v>2240</v>
      </c>
      <c r="G751">
        <v>559</v>
      </c>
      <c r="H751" t="s">
        <v>2241</v>
      </c>
      <c r="J751" s="3"/>
      <c r="K751" s="11">
        <v>46183.593055555553</v>
      </c>
      <c r="M751">
        <v>77</v>
      </c>
      <c r="N751" t="s">
        <v>878</v>
      </c>
      <c r="O751">
        <v>10000120068</v>
      </c>
      <c r="P751" t="s">
        <v>2242</v>
      </c>
      <c r="Q751" s="10">
        <f>INT(Tabela1[[#This Row],[DATA]])</f>
        <v>46183</v>
      </c>
      <c r="R751" s="14" t="str">
        <f ca="1">IF(AND(Q751&gt;=TODAY()-WEEKDAY(TODAY(),2)+1,Q751&lt;TODAY()),"SIM","NÃO")</f>
        <v>NÃO</v>
      </c>
    </row>
    <row r="752" spans="1:18" hidden="1">
      <c r="A752" t="s">
        <v>2032</v>
      </c>
      <c r="B752" t="s">
        <v>822</v>
      </c>
      <c r="C752">
        <v>300267464</v>
      </c>
      <c r="D752">
        <v>15252434</v>
      </c>
      <c r="E752" t="s">
        <v>37</v>
      </c>
      <c r="F752" t="s">
        <v>2243</v>
      </c>
      <c r="G752">
        <v>390</v>
      </c>
      <c r="H752" t="s">
        <v>2091</v>
      </c>
      <c r="J752" s="3"/>
      <c r="K752" s="11">
        <v>46183.594444444447</v>
      </c>
      <c r="M752">
        <v>78</v>
      </c>
      <c r="N752" t="s">
        <v>867</v>
      </c>
      <c r="O752">
        <v>10000065700</v>
      </c>
      <c r="P752" t="s">
        <v>2244</v>
      </c>
      <c r="Q752" s="10">
        <f>INT(Tabela1[[#This Row],[DATA]])</f>
        <v>46183</v>
      </c>
      <c r="R752" s="14" t="str">
        <f ca="1">IF(AND(Q752&gt;=TODAY()-WEEKDAY(TODAY(),2)+1,Q752&lt;TODAY()),"SIM","NÃO")</f>
        <v>NÃO</v>
      </c>
    </row>
    <row r="753" spans="1:18" hidden="1">
      <c r="A753" t="s">
        <v>2245</v>
      </c>
      <c r="B753" t="s">
        <v>28</v>
      </c>
      <c r="C753">
        <v>300267373</v>
      </c>
      <c r="D753">
        <v>16448421</v>
      </c>
      <c r="E753" t="s">
        <v>37</v>
      </c>
      <c r="F753" t="s">
        <v>2246</v>
      </c>
      <c r="G753">
        <v>4</v>
      </c>
      <c r="H753" t="s">
        <v>2247</v>
      </c>
      <c r="J753" s="3"/>
      <c r="K753" s="11">
        <v>46183.61409722222</v>
      </c>
      <c r="M753">
        <v>79</v>
      </c>
      <c r="N753" t="s">
        <v>867</v>
      </c>
      <c r="O753">
        <v>1000121981</v>
      </c>
      <c r="P753" t="s">
        <v>2248</v>
      </c>
      <c r="Q753" s="10">
        <f>INT(Tabela1[[#This Row],[DATA]])</f>
        <v>46183</v>
      </c>
      <c r="R753" s="14" t="str">
        <f ca="1">IF(AND(Q753&gt;=TODAY()-WEEKDAY(TODAY(),2)+1,Q753&lt;TODAY()),"SIM","NÃO")</f>
        <v>NÃO</v>
      </c>
    </row>
    <row r="754" spans="1:18" hidden="1">
      <c r="A754" t="s">
        <v>2249</v>
      </c>
      <c r="B754" t="s">
        <v>429</v>
      </c>
      <c r="C754">
        <v>300263646</v>
      </c>
      <c r="D754">
        <v>13044826</v>
      </c>
      <c r="E754" t="s">
        <v>29</v>
      </c>
      <c r="F754" t="s">
        <v>2250</v>
      </c>
      <c r="G754">
        <v>552</v>
      </c>
      <c r="H754" t="s">
        <v>2137</v>
      </c>
      <c r="J754" s="3"/>
      <c r="K754" s="11">
        <v>46183.614791666667</v>
      </c>
      <c r="M754">
        <v>80</v>
      </c>
      <c r="N754" t="s">
        <v>878</v>
      </c>
      <c r="O754">
        <v>0</v>
      </c>
      <c r="P754" t="s">
        <v>2251</v>
      </c>
      <c r="Q754" s="10">
        <f>INT(Tabela1[[#This Row],[DATA]])</f>
        <v>46183</v>
      </c>
      <c r="R754" s="14" t="str">
        <f ca="1">IF(AND(Q754&gt;=TODAY()-WEEKDAY(TODAY(),2)+1,Q754&lt;TODAY()),"SIM","NÃO")</f>
        <v>NÃO</v>
      </c>
    </row>
    <row r="755" spans="1:18" hidden="1">
      <c r="A755" t="s">
        <v>2249</v>
      </c>
      <c r="B755" t="s">
        <v>429</v>
      </c>
      <c r="C755">
        <v>300269833</v>
      </c>
      <c r="D755">
        <v>16442660</v>
      </c>
      <c r="E755" t="s">
        <v>29</v>
      </c>
      <c r="F755" t="s">
        <v>2252</v>
      </c>
      <c r="G755">
        <v>200</v>
      </c>
      <c r="H755" t="s">
        <v>2137</v>
      </c>
      <c r="J755" s="3"/>
      <c r="K755" s="11">
        <v>46183.617349537039</v>
      </c>
      <c r="M755">
        <v>81</v>
      </c>
      <c r="N755" t="s">
        <v>867</v>
      </c>
      <c r="O755">
        <v>0</v>
      </c>
      <c r="P755" t="s">
        <v>2253</v>
      </c>
      <c r="Q755" s="10">
        <f>INT(Tabela1[[#This Row],[DATA]])</f>
        <v>46183</v>
      </c>
      <c r="R755" s="14" t="str">
        <f ca="1">IF(AND(Q755&gt;=TODAY()-WEEKDAY(TODAY(),2)+1,Q755&lt;TODAY()),"SIM","NÃO")</f>
        <v>NÃO</v>
      </c>
    </row>
    <row r="756" spans="1:18" hidden="1">
      <c r="A756" t="s">
        <v>2254</v>
      </c>
      <c r="B756" t="s">
        <v>990</v>
      </c>
      <c r="C756">
        <v>300269761</v>
      </c>
      <c r="D756">
        <v>15864448</v>
      </c>
      <c r="E756" t="s">
        <v>37</v>
      </c>
      <c r="F756" t="s">
        <v>2255</v>
      </c>
      <c r="G756">
        <v>100000</v>
      </c>
      <c r="H756" t="s">
        <v>2256</v>
      </c>
      <c r="J756" s="3" t="s">
        <v>2257</v>
      </c>
      <c r="K756" s="11">
        <v>46183.62940972222</v>
      </c>
      <c r="M756">
        <v>82</v>
      </c>
      <c r="N756" t="s">
        <v>867</v>
      </c>
      <c r="O756">
        <v>0</v>
      </c>
      <c r="P756" t="s">
        <v>2258</v>
      </c>
      <c r="Q756" s="10">
        <f>INT(Tabela1[[#This Row],[DATA]])</f>
        <v>46183</v>
      </c>
      <c r="R756" s="14" t="str">
        <f ca="1">IF(AND(Q756&gt;=TODAY()-WEEKDAY(TODAY(),2)+1,Q756&lt;TODAY()),"SIM","NÃO")</f>
        <v>NÃO</v>
      </c>
    </row>
    <row r="757" spans="1:18" hidden="1">
      <c r="A757" t="s">
        <v>2259</v>
      </c>
      <c r="B757" t="s">
        <v>306</v>
      </c>
      <c r="C757">
        <v>300263208</v>
      </c>
      <c r="D757">
        <v>15215539</v>
      </c>
      <c r="E757" t="s">
        <v>29</v>
      </c>
      <c r="F757" t="s">
        <v>2260</v>
      </c>
      <c r="G757">
        <v>230</v>
      </c>
      <c r="H757" t="s">
        <v>2261</v>
      </c>
      <c r="J757" s="3" t="s">
        <v>2262</v>
      </c>
      <c r="K757" s="11">
        <v>46183.65115740741</v>
      </c>
      <c r="M757">
        <v>83</v>
      </c>
      <c r="N757" t="s">
        <v>878</v>
      </c>
      <c r="O757">
        <v>0</v>
      </c>
      <c r="P757" t="s">
        <v>2263</v>
      </c>
      <c r="Q757" s="10">
        <f>INT(Tabela1[[#This Row],[DATA]])</f>
        <v>46183</v>
      </c>
      <c r="R757" s="14" t="str">
        <f ca="1">IF(AND(Q757&gt;=TODAY()-WEEKDAY(TODAY(),2)+1,Q757&lt;TODAY()),"SIM","NÃO")</f>
        <v>NÃO</v>
      </c>
    </row>
    <row r="758" spans="1:18" hidden="1">
      <c r="A758" t="s">
        <v>2259</v>
      </c>
      <c r="B758" t="s">
        <v>306</v>
      </c>
      <c r="C758">
        <v>300263209</v>
      </c>
      <c r="D758">
        <v>15215539</v>
      </c>
      <c r="E758" t="s">
        <v>29</v>
      </c>
      <c r="F758" t="s">
        <v>2264</v>
      </c>
      <c r="G758">
        <v>870</v>
      </c>
      <c r="H758" t="s">
        <v>2002</v>
      </c>
      <c r="J758" s="3" t="s">
        <v>2002</v>
      </c>
      <c r="K758" s="11">
        <v>46183.652951388889</v>
      </c>
      <c r="M758">
        <v>84</v>
      </c>
      <c r="N758" t="s">
        <v>878</v>
      </c>
      <c r="O758">
        <v>0</v>
      </c>
      <c r="P758" t="s">
        <v>2265</v>
      </c>
      <c r="Q758" s="10">
        <f>INT(Tabela1[[#This Row],[DATA]])</f>
        <v>46183</v>
      </c>
      <c r="R758" s="14" t="str">
        <f ca="1">IF(AND(Q758&gt;=TODAY()-WEEKDAY(TODAY(),2)+1,Q758&lt;TODAY()),"SIM","NÃO")</f>
        <v>NÃO</v>
      </c>
    </row>
    <row r="759" spans="1:18" hidden="1">
      <c r="A759" t="s">
        <v>2266</v>
      </c>
      <c r="B759" t="s">
        <v>512</v>
      </c>
      <c r="C759">
        <v>300268013</v>
      </c>
      <c r="D759">
        <v>15252485</v>
      </c>
      <c r="E759" t="s">
        <v>37</v>
      </c>
      <c r="F759" t="s">
        <v>2267</v>
      </c>
      <c r="G759">
        <v>14</v>
      </c>
      <c r="H759" t="s">
        <v>2268</v>
      </c>
      <c r="J759" s="3" t="s">
        <v>2269</v>
      </c>
      <c r="K759" s="11">
        <v>46183.654849537037</v>
      </c>
      <c r="M759">
        <v>85</v>
      </c>
      <c r="N759" t="s">
        <v>867</v>
      </c>
      <c r="O759">
        <v>185</v>
      </c>
      <c r="P759" t="s">
        <v>2270</v>
      </c>
      <c r="Q759" s="10">
        <f>INT(Tabela1[[#This Row],[DATA]])</f>
        <v>46183</v>
      </c>
      <c r="R759" s="14" t="str">
        <f ca="1">IF(AND(Q759&gt;=TODAY()-WEEKDAY(TODAY(),2)+1,Q759&lt;TODAY()),"SIM","NÃO")</f>
        <v>NÃO</v>
      </c>
    </row>
    <row r="760" spans="1:18" hidden="1">
      <c r="A760" t="s">
        <v>2128</v>
      </c>
      <c r="B760" t="s">
        <v>482</v>
      </c>
      <c r="C760">
        <v>300269338</v>
      </c>
      <c r="D760">
        <v>15773477</v>
      </c>
      <c r="E760" t="s">
        <v>37</v>
      </c>
      <c r="F760" t="s">
        <v>2129</v>
      </c>
      <c r="G760" t="s">
        <v>2271</v>
      </c>
      <c r="H760" t="s">
        <v>2272</v>
      </c>
      <c r="J760" s="3" t="s">
        <v>2273</v>
      </c>
      <c r="K760" s="11">
        <v>46183.660474537035</v>
      </c>
      <c r="M760">
        <v>86</v>
      </c>
      <c r="N760" t="s">
        <v>867</v>
      </c>
      <c r="O760">
        <v>0</v>
      </c>
      <c r="P760" t="s">
        <v>2274</v>
      </c>
      <c r="Q760" s="10">
        <f>INT(Tabela1[[#This Row],[DATA]])</f>
        <v>46183</v>
      </c>
      <c r="R760" s="14" t="str">
        <f ca="1">IF(AND(Q760&gt;=TODAY()-WEEKDAY(TODAY(),2)+1,Q760&lt;TODAY()),"SIM","NÃO")</f>
        <v>NÃO</v>
      </c>
    </row>
    <row r="761" spans="1:18" hidden="1">
      <c r="A761" t="s">
        <v>2275</v>
      </c>
      <c r="B761" t="s">
        <v>788</v>
      </c>
      <c r="C761">
        <v>300269766</v>
      </c>
      <c r="D761">
        <v>15775496</v>
      </c>
      <c r="E761" t="s">
        <v>37</v>
      </c>
      <c r="F761" t="s">
        <v>2276</v>
      </c>
      <c r="G761">
        <v>350</v>
      </c>
      <c r="H761" t="s">
        <v>2101</v>
      </c>
      <c r="J761" s="3"/>
      <c r="K761" s="11">
        <v>46183.668946759259</v>
      </c>
      <c r="M761">
        <v>87</v>
      </c>
      <c r="N761" t="s">
        <v>867</v>
      </c>
      <c r="O761">
        <v>0</v>
      </c>
      <c r="P761" t="s">
        <v>2277</v>
      </c>
      <c r="Q761" s="10">
        <f>INT(Tabela1[[#This Row],[DATA]])</f>
        <v>46183</v>
      </c>
      <c r="R761" s="14" t="str">
        <f ca="1">IF(AND(Q761&gt;=TODAY()-WEEKDAY(TODAY(),2)+1,Q761&lt;TODAY()),"SIM","NÃO")</f>
        <v>NÃO</v>
      </c>
    </row>
    <row r="762" spans="1:18" hidden="1">
      <c r="A762" t="s">
        <v>2170</v>
      </c>
      <c r="B762" t="s">
        <v>112</v>
      </c>
      <c r="C762">
        <v>300253185</v>
      </c>
      <c r="D762">
        <v>16368045</v>
      </c>
      <c r="E762" t="s">
        <v>45</v>
      </c>
      <c r="F762" t="s">
        <v>2093</v>
      </c>
      <c r="G762">
        <v>1.21</v>
      </c>
      <c r="H762" t="s">
        <v>2278</v>
      </c>
      <c r="J762" s="3"/>
      <c r="K762" s="11">
        <v>46183.682013888887</v>
      </c>
      <c r="M762">
        <v>88</v>
      </c>
      <c r="N762" t="s">
        <v>878</v>
      </c>
      <c r="O762">
        <v>0</v>
      </c>
      <c r="P762" t="s">
        <v>2279</v>
      </c>
      <c r="Q762" s="10">
        <f>INT(Tabela1[[#This Row],[DATA]])</f>
        <v>46183</v>
      </c>
      <c r="R762" s="14" t="str">
        <f ca="1">IF(AND(Q762&gt;=TODAY()-WEEKDAY(TODAY(),2)+1,Q762&lt;TODAY()),"SIM","NÃO")</f>
        <v>NÃO</v>
      </c>
    </row>
    <row r="763" spans="1:18" hidden="1">
      <c r="A763" t="s">
        <v>2234</v>
      </c>
      <c r="B763" t="s">
        <v>112</v>
      </c>
      <c r="C763">
        <v>300267378</v>
      </c>
      <c r="D763">
        <v>16243153</v>
      </c>
      <c r="E763" t="s">
        <v>37</v>
      </c>
      <c r="F763" t="s">
        <v>2280</v>
      </c>
      <c r="G763">
        <v>0</v>
      </c>
      <c r="H763" t="s">
        <v>2281</v>
      </c>
      <c r="J763" s="3"/>
      <c r="K763" s="11">
        <v>46183.6875462963</v>
      </c>
      <c r="M763">
        <v>89</v>
      </c>
      <c r="N763" t="s">
        <v>878</v>
      </c>
      <c r="O763">
        <v>0</v>
      </c>
      <c r="P763" t="s">
        <v>2282</v>
      </c>
      <c r="Q763" s="10">
        <f>INT(Tabela1[[#This Row],[DATA]])</f>
        <v>46183</v>
      </c>
      <c r="R763" s="14" t="str">
        <f ca="1">IF(AND(Q763&gt;=TODAY()-WEEKDAY(TODAY(),2)+1,Q763&lt;TODAY()),"SIM","NÃO")</f>
        <v>NÃO</v>
      </c>
    </row>
    <row r="764" spans="1:18" hidden="1">
      <c r="A764" t="s">
        <v>2234</v>
      </c>
      <c r="B764" t="s">
        <v>112</v>
      </c>
      <c r="C764">
        <v>300267378</v>
      </c>
      <c r="D764">
        <v>16243153</v>
      </c>
      <c r="E764" t="s">
        <v>37</v>
      </c>
      <c r="F764" t="s">
        <v>2283</v>
      </c>
      <c r="G764">
        <v>0</v>
      </c>
      <c r="H764" t="s">
        <v>2284</v>
      </c>
      <c r="J764" s="3"/>
      <c r="K764" s="11">
        <v>46183.689768518518</v>
      </c>
      <c r="M764">
        <v>90</v>
      </c>
      <c r="N764" t="s">
        <v>878</v>
      </c>
      <c r="O764">
        <v>0</v>
      </c>
      <c r="P764" t="s">
        <v>2285</v>
      </c>
      <c r="Q764" s="10">
        <f>INT(Tabela1[[#This Row],[DATA]])</f>
        <v>46183</v>
      </c>
      <c r="R764" s="14" t="str">
        <f ca="1">IF(AND(Q764&gt;=TODAY()-WEEKDAY(TODAY(),2)+1,Q764&lt;TODAY()),"SIM","NÃO")</f>
        <v>NÃO</v>
      </c>
    </row>
    <row r="765" spans="1:18" hidden="1">
      <c r="A765" t="s">
        <v>1909</v>
      </c>
      <c r="B765" t="s">
        <v>1910</v>
      </c>
      <c r="C765">
        <v>300000000</v>
      </c>
      <c r="D765">
        <v>0</v>
      </c>
      <c r="E765" t="s">
        <v>37</v>
      </c>
      <c r="F765" t="s">
        <v>2286</v>
      </c>
      <c r="G765">
        <v>0</v>
      </c>
      <c r="H765" t="s">
        <v>2287</v>
      </c>
      <c r="J765" s="3"/>
      <c r="K765" s="11">
        <v>46183.704953703702</v>
      </c>
      <c r="M765">
        <v>91</v>
      </c>
      <c r="N765" t="s">
        <v>878</v>
      </c>
      <c r="O765">
        <v>0</v>
      </c>
      <c r="P765" t="s">
        <v>2288</v>
      </c>
      <c r="Q765" s="10">
        <f>INT(Tabela1[[#This Row],[DATA]])</f>
        <v>46183</v>
      </c>
      <c r="R765" s="14" t="str">
        <f ca="1">IF(AND(Q765&gt;=TODAY()-WEEKDAY(TODAY(),2)+1,Q765&lt;TODAY()),"SIM","NÃO")</f>
        <v>NÃO</v>
      </c>
    </row>
    <row r="766" spans="1:18" hidden="1">
      <c r="A766" t="s">
        <v>2289</v>
      </c>
      <c r="B766" t="s">
        <v>164</v>
      </c>
      <c r="C766">
        <v>300269892</v>
      </c>
      <c r="D766">
        <v>16262646</v>
      </c>
      <c r="E766" t="s">
        <v>45</v>
      </c>
      <c r="F766" t="s">
        <v>2290</v>
      </c>
      <c r="G766">
        <v>150</v>
      </c>
      <c r="H766" t="s">
        <v>2291</v>
      </c>
      <c r="J766" s="3" t="s">
        <v>2292</v>
      </c>
      <c r="K766" s="11">
        <v>46183.709027777775</v>
      </c>
      <c r="M766">
        <v>92</v>
      </c>
      <c r="N766" t="s">
        <v>867</v>
      </c>
      <c r="O766">
        <v>0</v>
      </c>
      <c r="P766" t="s">
        <v>2293</v>
      </c>
      <c r="Q766" s="10">
        <f>INT(Tabela1[[#This Row],[DATA]])</f>
        <v>46183</v>
      </c>
      <c r="R766" s="14" t="str">
        <f ca="1">IF(AND(Q766&gt;=TODAY()-WEEKDAY(TODAY(),2)+1,Q766&lt;TODAY()),"SIM","NÃO")</f>
        <v>NÃO</v>
      </c>
    </row>
    <row r="767" spans="1:18" hidden="1">
      <c r="A767" t="s">
        <v>2060</v>
      </c>
      <c r="B767" t="s">
        <v>690</v>
      </c>
      <c r="C767">
        <v>300262239</v>
      </c>
      <c r="D767">
        <v>16459849</v>
      </c>
      <c r="E767" t="s">
        <v>45</v>
      </c>
      <c r="F767" t="s">
        <v>2124</v>
      </c>
      <c r="G767">
        <v>45</v>
      </c>
      <c r="H767" t="s">
        <v>2294</v>
      </c>
      <c r="J767" s="3"/>
      <c r="K767" s="11">
        <v>46183.711319444446</v>
      </c>
      <c r="M767">
        <v>93</v>
      </c>
      <c r="N767" t="s">
        <v>867</v>
      </c>
      <c r="O767">
        <v>0</v>
      </c>
      <c r="P767" t="s">
        <v>2295</v>
      </c>
      <c r="Q767" s="10">
        <f>INT(Tabela1[[#This Row],[DATA]])</f>
        <v>46183</v>
      </c>
      <c r="R767" s="14" t="str">
        <f ca="1">IF(AND(Q767&gt;=TODAY()-WEEKDAY(TODAY(),2)+1,Q767&lt;TODAY()),"SIM","NÃO")</f>
        <v>NÃO</v>
      </c>
    </row>
    <row r="768" spans="1:18" hidden="1">
      <c r="A768" t="s">
        <v>2296</v>
      </c>
      <c r="B768" t="s">
        <v>74</v>
      </c>
      <c r="C768">
        <v>300271999</v>
      </c>
      <c r="D768">
        <v>16547942</v>
      </c>
      <c r="E768" t="s">
        <v>20</v>
      </c>
      <c r="F768" t="s">
        <v>2297</v>
      </c>
      <c r="G768">
        <v>5352</v>
      </c>
      <c r="H768" t="s">
        <v>2137</v>
      </c>
      <c r="J768" s="3" t="s">
        <v>2298</v>
      </c>
      <c r="K768" s="11">
        <v>46183.72451388889</v>
      </c>
      <c r="M768">
        <v>94</v>
      </c>
      <c r="N768" t="s">
        <v>878</v>
      </c>
      <c r="O768">
        <v>0</v>
      </c>
      <c r="P768" t="s">
        <v>2299</v>
      </c>
      <c r="Q768" s="10">
        <f>INT(Tabela1[[#This Row],[DATA]])</f>
        <v>46183</v>
      </c>
      <c r="R768" s="14" t="str">
        <f ca="1">IF(AND(Q768&gt;=TODAY()-WEEKDAY(TODAY(),2)+1,Q768&lt;TODAY()),"SIM","NÃO")</f>
        <v>NÃO</v>
      </c>
    </row>
    <row r="769" spans="1:18" hidden="1">
      <c r="A769" t="s">
        <v>2060</v>
      </c>
      <c r="B769" t="s">
        <v>690</v>
      </c>
      <c r="C769">
        <v>300262239</v>
      </c>
      <c r="D769">
        <v>16459849</v>
      </c>
      <c r="E769" t="s">
        <v>45</v>
      </c>
      <c r="F769" t="s">
        <v>2124</v>
      </c>
      <c r="G769">
        <v>10</v>
      </c>
      <c r="H769" t="s">
        <v>2300</v>
      </c>
      <c r="J769" s="3"/>
      <c r="K769" s="11">
        <v>46183.724780092591</v>
      </c>
      <c r="M769">
        <v>95</v>
      </c>
      <c r="N769" t="s">
        <v>867</v>
      </c>
      <c r="O769">
        <v>0</v>
      </c>
      <c r="P769" s="5" t="s">
        <v>2301</v>
      </c>
      <c r="Q769" s="10">
        <f>INT(Tabela1[[#This Row],[DATA]])</f>
        <v>46183</v>
      </c>
      <c r="R769" s="14" t="str">
        <f ca="1">IF(AND(Q769&gt;=TODAY()-WEEKDAY(TODAY(),2)+1,Q769&lt;TODAY()),"SIM","NÃO")</f>
        <v>NÃO</v>
      </c>
    </row>
    <row r="770" spans="1:18" hidden="1">
      <c r="A770" t="s">
        <v>2296</v>
      </c>
      <c r="B770" t="s">
        <v>74</v>
      </c>
      <c r="C770">
        <v>300272000</v>
      </c>
      <c r="D770">
        <v>16547942</v>
      </c>
      <c r="E770" t="s">
        <v>20</v>
      </c>
      <c r="F770" t="s">
        <v>2302</v>
      </c>
      <c r="G770">
        <v>5352</v>
      </c>
      <c r="H770" t="s">
        <v>2232</v>
      </c>
      <c r="J770" s="3" t="s">
        <v>2303</v>
      </c>
      <c r="K770" s="11">
        <v>46183.726365740738</v>
      </c>
      <c r="M770">
        <v>96</v>
      </c>
      <c r="N770" t="s">
        <v>878</v>
      </c>
      <c r="O770">
        <v>0</v>
      </c>
      <c r="P770" t="s">
        <v>2304</v>
      </c>
      <c r="Q770" s="10">
        <f>INT(Tabela1[[#This Row],[DATA]])</f>
        <v>46183</v>
      </c>
      <c r="R770" s="14" t="str">
        <f ca="1">IF(AND(Q770&gt;=TODAY()-WEEKDAY(TODAY(),2)+1,Q770&lt;TODAY()),"SIM","NÃO")</f>
        <v>NÃO</v>
      </c>
    </row>
    <row r="771" spans="1:18" hidden="1">
      <c r="A771" t="s">
        <v>2296</v>
      </c>
      <c r="B771" t="s">
        <v>74</v>
      </c>
      <c r="C771">
        <v>300271999</v>
      </c>
      <c r="D771">
        <v>16547942</v>
      </c>
      <c r="E771" t="s">
        <v>20</v>
      </c>
      <c r="F771" t="s">
        <v>2305</v>
      </c>
      <c r="G771">
        <v>1752</v>
      </c>
      <c r="H771" t="s">
        <v>2232</v>
      </c>
      <c r="J771" s="3" t="s">
        <v>2298</v>
      </c>
      <c r="K771" s="11">
        <v>46183.727812500001</v>
      </c>
      <c r="M771">
        <v>97</v>
      </c>
      <c r="N771" t="s">
        <v>878</v>
      </c>
      <c r="O771">
        <v>0</v>
      </c>
      <c r="P771" t="s">
        <v>2306</v>
      </c>
      <c r="Q771" s="10">
        <f>INT(Tabela1[[#This Row],[DATA]])</f>
        <v>46183</v>
      </c>
      <c r="R771" s="14" t="str">
        <f ca="1">IF(AND(Q771&gt;=TODAY()-WEEKDAY(TODAY(),2)+1,Q771&lt;TODAY()),"SIM","NÃO")</f>
        <v>NÃO</v>
      </c>
    </row>
    <row r="772" spans="1:18" hidden="1">
      <c r="A772" t="s">
        <v>2057</v>
      </c>
      <c r="B772" t="s">
        <v>192</v>
      </c>
      <c r="C772">
        <v>300268101</v>
      </c>
      <c r="D772">
        <v>16442709</v>
      </c>
      <c r="E772" t="s">
        <v>29</v>
      </c>
      <c r="F772" t="s">
        <v>2307</v>
      </c>
      <c r="G772">
        <v>10</v>
      </c>
      <c r="H772" t="s">
        <v>2308</v>
      </c>
      <c r="J772" s="3"/>
      <c r="K772" s="11">
        <v>46183.848796296297</v>
      </c>
      <c r="M772">
        <v>98</v>
      </c>
      <c r="N772" t="s">
        <v>867</v>
      </c>
      <c r="O772">
        <v>10000071710</v>
      </c>
      <c r="P772" t="s">
        <v>2309</v>
      </c>
      <c r="Q772" s="10">
        <f>INT(Tabela1[[#This Row],[DATA]])</f>
        <v>46183</v>
      </c>
      <c r="R772" s="14" t="str">
        <f ca="1">IF(AND(Q772&gt;=TODAY()-WEEKDAY(TODAY(),2)+1,Q772&lt;TODAY()),"SIM","NÃO")</f>
        <v>NÃO</v>
      </c>
    </row>
    <row r="773" spans="1:18" hidden="1">
      <c r="A773" t="s">
        <v>2057</v>
      </c>
      <c r="B773" t="s">
        <v>192</v>
      </c>
      <c r="C773">
        <v>300268101</v>
      </c>
      <c r="D773">
        <v>16442709</v>
      </c>
      <c r="E773" t="s">
        <v>29</v>
      </c>
      <c r="F773" t="s">
        <v>2036</v>
      </c>
      <c r="G773">
        <v>10</v>
      </c>
      <c r="H773" t="s">
        <v>2310</v>
      </c>
      <c r="J773" s="3"/>
      <c r="K773" s="11">
        <v>46183.850034722222</v>
      </c>
      <c r="M773">
        <v>99</v>
      </c>
      <c r="N773" t="s">
        <v>867</v>
      </c>
      <c r="O773">
        <v>10000062842</v>
      </c>
      <c r="P773" t="s">
        <v>2311</v>
      </c>
      <c r="Q773" s="10">
        <f>INT(Tabela1[[#This Row],[DATA]])</f>
        <v>46183</v>
      </c>
      <c r="R773" s="14" t="str">
        <f ca="1">IF(AND(Q773&gt;=TODAY()-WEEKDAY(TODAY(),2)+1,Q773&lt;TODAY()),"SIM","NÃO")</f>
        <v>NÃO</v>
      </c>
    </row>
    <row r="774" spans="1:18" hidden="1">
      <c r="A774" t="s">
        <v>2057</v>
      </c>
      <c r="B774" t="s">
        <v>192</v>
      </c>
      <c r="C774">
        <v>300268953</v>
      </c>
      <c r="D774">
        <v>16443268</v>
      </c>
      <c r="E774" t="s">
        <v>29</v>
      </c>
      <c r="F774" t="s">
        <v>2312</v>
      </c>
      <c r="G774">
        <v>1.0389999999999999</v>
      </c>
      <c r="H774" t="s">
        <v>2313</v>
      </c>
      <c r="J774" s="3"/>
      <c r="K774" s="11">
        <v>46183.854548611111</v>
      </c>
      <c r="M774">
        <v>100</v>
      </c>
      <c r="N774" t="s">
        <v>878</v>
      </c>
      <c r="O774" s="5">
        <v>1.00000716951E+21</v>
      </c>
      <c r="P774" s="5" t="s">
        <v>2314</v>
      </c>
      <c r="Q774" s="10">
        <f>INT(Tabela1[[#This Row],[DATA]])</f>
        <v>46183</v>
      </c>
      <c r="R774" s="14" t="str">
        <f ca="1">IF(AND(Q774&gt;=TODAY()-WEEKDAY(TODAY(),2)+1,Q774&lt;TODAY()),"SIM","NÃO")</f>
        <v>NÃO</v>
      </c>
    </row>
    <row r="775" spans="1:18" hidden="1">
      <c r="A775" t="s">
        <v>2315</v>
      </c>
      <c r="B775" t="s">
        <v>2316</v>
      </c>
      <c r="C775">
        <v>300270287</v>
      </c>
      <c r="D775">
        <v>16548612</v>
      </c>
      <c r="E775" t="s">
        <v>37</v>
      </c>
      <c r="F775" t="s">
        <v>2317</v>
      </c>
      <c r="G775">
        <v>10</v>
      </c>
      <c r="H775" t="s">
        <v>2318</v>
      </c>
      <c r="J775" s="3"/>
      <c r="K775" s="11">
        <v>46184.346898148149</v>
      </c>
      <c r="M775">
        <v>101</v>
      </c>
      <c r="N775" t="s">
        <v>878</v>
      </c>
      <c r="O775" s="5">
        <v>0</v>
      </c>
      <c r="P775" s="5" t="s">
        <v>2319</v>
      </c>
      <c r="Q775" s="10">
        <f>INT(Tabela1[[#This Row],[DATA]])</f>
        <v>46184</v>
      </c>
      <c r="R775" s="14" t="str">
        <f ca="1">IF(AND(Q775&gt;=TODAY()-WEEKDAY(TODAY(),2)+1,Q775&lt;TODAY()),"SIM","NÃO")</f>
        <v>NÃO</v>
      </c>
    </row>
    <row r="776" spans="1:18" hidden="1">
      <c r="A776" t="s">
        <v>685</v>
      </c>
      <c r="B776" t="s">
        <v>686</v>
      </c>
      <c r="C776">
        <v>300248762</v>
      </c>
      <c r="D776">
        <v>16247388</v>
      </c>
      <c r="E776" t="s">
        <v>37</v>
      </c>
      <c r="F776" t="s">
        <v>2049</v>
      </c>
      <c r="G776">
        <v>30</v>
      </c>
      <c r="H776" t="s">
        <v>2318</v>
      </c>
      <c r="J776" s="3" t="s">
        <v>2320</v>
      </c>
      <c r="K776" s="11">
        <v>46184.403854166667</v>
      </c>
      <c r="M776">
        <v>102</v>
      </c>
      <c r="N776" t="s">
        <v>867</v>
      </c>
      <c r="O776" s="5">
        <v>10000220032</v>
      </c>
      <c r="P776" s="5" t="s">
        <v>2321</v>
      </c>
      <c r="Q776" s="10">
        <f>INT(Tabela1[[#This Row],[DATA]])</f>
        <v>46184</v>
      </c>
      <c r="R776" s="14" t="str">
        <f ca="1">IF(AND(Q776&gt;=TODAY()-WEEKDAY(TODAY(),2)+1,Q776&lt;TODAY()),"SIM","NÃO")</f>
        <v>NÃO</v>
      </c>
    </row>
    <row r="777" spans="1:18" hidden="1">
      <c r="A777" t="s">
        <v>2322</v>
      </c>
      <c r="B777" t="s">
        <v>2323</v>
      </c>
      <c r="C777">
        <v>300264863</v>
      </c>
      <c r="D777">
        <v>16370635</v>
      </c>
      <c r="E777" t="s">
        <v>37</v>
      </c>
      <c r="F777" t="s">
        <v>2324</v>
      </c>
      <c r="G777">
        <v>9</v>
      </c>
      <c r="H777" t="s">
        <v>2325</v>
      </c>
      <c r="J777" s="3" t="s">
        <v>2030</v>
      </c>
      <c r="K777" s="11">
        <v>46184.41615740741</v>
      </c>
      <c r="M777">
        <v>103</v>
      </c>
      <c r="N777" t="s">
        <v>867</v>
      </c>
      <c r="O777" s="5">
        <v>10000183946</v>
      </c>
      <c r="P777" s="5" t="s">
        <v>2326</v>
      </c>
      <c r="Q777" s="10">
        <f>INT(Tabela1[[#This Row],[DATA]])</f>
        <v>46184</v>
      </c>
      <c r="R777" s="14" t="str">
        <f ca="1">IF(AND(Q777&gt;=TODAY()-WEEKDAY(TODAY(),2)+1,Q777&lt;TODAY()),"SIM","NÃO")</f>
        <v>NÃO</v>
      </c>
    </row>
    <row r="778" spans="1:18" hidden="1">
      <c r="A778" t="s">
        <v>2327</v>
      </c>
      <c r="B778" t="s">
        <v>2323</v>
      </c>
      <c r="C778">
        <v>300271095</v>
      </c>
      <c r="D778">
        <v>16218159</v>
      </c>
      <c r="E778" t="s">
        <v>37</v>
      </c>
      <c r="F778" t="s">
        <v>2328</v>
      </c>
      <c r="G778">
        <v>3</v>
      </c>
      <c r="H778" t="s">
        <v>2329</v>
      </c>
      <c r="J778" s="3"/>
      <c r="K778" s="11">
        <v>46184.41715277778</v>
      </c>
      <c r="M778">
        <v>104</v>
      </c>
      <c r="N778" t="s">
        <v>878</v>
      </c>
      <c r="O778" s="5">
        <v>0</v>
      </c>
      <c r="P778" s="5" t="s">
        <v>2330</v>
      </c>
      <c r="Q778" s="10">
        <f>INT(Tabela1[[#This Row],[DATA]])</f>
        <v>46184</v>
      </c>
      <c r="R778" s="14" t="str">
        <f ca="1">IF(AND(Q778&gt;=TODAY()-WEEKDAY(TODAY(),2)+1,Q778&lt;TODAY()),"SIM","NÃO")</f>
        <v>NÃO</v>
      </c>
    </row>
    <row r="779" spans="1:18" hidden="1">
      <c r="A779" t="s">
        <v>2259</v>
      </c>
      <c r="B779" t="s">
        <v>306</v>
      </c>
      <c r="C779">
        <v>300267144</v>
      </c>
      <c r="D779">
        <v>15128288</v>
      </c>
      <c r="E779" t="s">
        <v>29</v>
      </c>
      <c r="F779" t="s">
        <v>323</v>
      </c>
      <c r="G779">
        <v>40</v>
      </c>
      <c r="H779" t="s">
        <v>307</v>
      </c>
      <c r="J779" s="3" t="s">
        <v>307</v>
      </c>
      <c r="K779" s="11">
        <v>46184.418414351851</v>
      </c>
      <c r="M779">
        <v>105</v>
      </c>
      <c r="N779" t="s">
        <v>878</v>
      </c>
      <c r="O779" s="5">
        <v>0</v>
      </c>
      <c r="P779" s="5" t="s">
        <v>2331</v>
      </c>
      <c r="Q779" s="10">
        <f>INT(Tabela1[[#This Row],[DATA]])</f>
        <v>46184</v>
      </c>
      <c r="R779" s="14" t="str">
        <f ca="1">IF(AND(Q779&gt;=TODAY()-WEEKDAY(TODAY(),2)+1,Q779&lt;TODAY()),"SIM","NÃO")</f>
        <v>NÃO</v>
      </c>
    </row>
    <row r="780" spans="1:18" hidden="1">
      <c r="A780" t="s">
        <v>2332</v>
      </c>
      <c r="B780" t="s">
        <v>254</v>
      </c>
      <c r="C780">
        <v>300270483</v>
      </c>
      <c r="D780">
        <v>16266943</v>
      </c>
      <c r="E780" t="s">
        <v>45</v>
      </c>
      <c r="F780" t="s">
        <v>2153</v>
      </c>
      <c r="G780">
        <v>5</v>
      </c>
      <c r="H780" t="s">
        <v>2228</v>
      </c>
      <c r="J780" s="3"/>
      <c r="K780" s="11">
        <v>46184.425208333334</v>
      </c>
      <c r="M780">
        <v>106</v>
      </c>
      <c r="N780" t="s">
        <v>867</v>
      </c>
      <c r="O780" s="5">
        <v>0</v>
      </c>
      <c r="P780" s="5" t="s">
        <v>2333</v>
      </c>
      <c r="Q780" s="10">
        <f>INT(Tabela1[[#This Row],[DATA]])</f>
        <v>46184</v>
      </c>
      <c r="R780" s="14" t="str">
        <f ca="1">IF(AND(Q780&gt;=TODAY()-WEEKDAY(TODAY(),2)+1,Q780&lt;TODAY()),"SIM","NÃO")</f>
        <v>NÃO</v>
      </c>
    </row>
    <row r="781" spans="1:18" hidden="1">
      <c r="A781" t="s">
        <v>185</v>
      </c>
      <c r="B781" t="s">
        <v>1625</v>
      </c>
      <c r="C781">
        <v>300231420</v>
      </c>
      <c r="D781">
        <v>16317840</v>
      </c>
      <c r="E781" t="s">
        <v>37</v>
      </c>
      <c r="F781" t="s">
        <v>2334</v>
      </c>
      <c r="G781" t="s">
        <v>2335</v>
      </c>
      <c r="H781" t="s">
        <v>1771</v>
      </c>
      <c r="J781" s="3"/>
      <c r="K781" s="11">
        <v>46184.432268518518</v>
      </c>
      <c r="M781">
        <v>107</v>
      </c>
      <c r="N781" t="s">
        <v>878</v>
      </c>
      <c r="O781" s="5">
        <v>150</v>
      </c>
      <c r="P781" s="5" t="s">
        <v>2336</v>
      </c>
      <c r="Q781" s="10">
        <f>INT(Tabela1[[#This Row],[DATA]])</f>
        <v>46184</v>
      </c>
      <c r="R781" s="14" t="str">
        <f ca="1">IF(AND(Q781&gt;=TODAY()-WEEKDAY(TODAY(),2)+1,Q781&lt;TODAY()),"SIM","NÃO")</f>
        <v>NÃO</v>
      </c>
    </row>
    <row r="782" spans="1:18" hidden="1">
      <c r="A782" t="s">
        <v>2337</v>
      </c>
      <c r="B782" t="s">
        <v>274</v>
      </c>
      <c r="C782">
        <v>300269763</v>
      </c>
      <c r="D782">
        <v>15775496</v>
      </c>
      <c r="E782" t="s">
        <v>37</v>
      </c>
      <c r="F782" t="s">
        <v>2338</v>
      </c>
      <c r="G782">
        <v>10</v>
      </c>
      <c r="H782" t="s">
        <v>2339</v>
      </c>
      <c r="J782" s="3"/>
      <c r="K782" s="11">
        <v>46184.447268518517</v>
      </c>
      <c r="M782">
        <v>108</v>
      </c>
      <c r="N782" t="s">
        <v>878</v>
      </c>
      <c r="O782" s="5">
        <v>0</v>
      </c>
      <c r="P782" s="5" t="s">
        <v>2340</v>
      </c>
      <c r="Q782" s="10">
        <f>INT(Tabela1[[#This Row],[DATA]])</f>
        <v>46184</v>
      </c>
      <c r="R782" s="14" t="str">
        <f ca="1">IF(AND(Q782&gt;=TODAY()-WEEKDAY(TODAY(),2)+1,Q782&lt;TODAY()),"SIM","NÃO")</f>
        <v>NÃO</v>
      </c>
    </row>
    <row r="783" spans="1:18" hidden="1">
      <c r="A783" t="s">
        <v>2337</v>
      </c>
      <c r="B783" t="s">
        <v>274</v>
      </c>
      <c r="C783">
        <v>300269763</v>
      </c>
      <c r="D783">
        <v>15775496</v>
      </c>
      <c r="E783" t="s">
        <v>37</v>
      </c>
      <c r="F783" t="s">
        <v>635</v>
      </c>
      <c r="G783">
        <v>1</v>
      </c>
      <c r="H783" t="s">
        <v>2339</v>
      </c>
      <c r="J783" s="3"/>
      <c r="K783" s="11">
        <v>46184.448807870373</v>
      </c>
      <c r="M783">
        <v>109</v>
      </c>
      <c r="N783" t="s">
        <v>878</v>
      </c>
      <c r="O783" s="5">
        <v>0</v>
      </c>
      <c r="P783" s="5" t="s">
        <v>2341</v>
      </c>
      <c r="Q783" s="10">
        <f>INT(Tabela1[[#This Row],[DATA]])</f>
        <v>46184</v>
      </c>
      <c r="R783" s="14" t="str">
        <f ca="1">IF(AND(Q783&gt;=TODAY()-WEEKDAY(TODAY(),2)+1,Q783&lt;TODAY()),"SIM","NÃO")</f>
        <v>NÃO</v>
      </c>
    </row>
    <row r="784" spans="1:18" hidden="1">
      <c r="A784" t="s">
        <v>2342</v>
      </c>
      <c r="B784" t="s">
        <v>274</v>
      </c>
      <c r="C784">
        <v>300269152</v>
      </c>
      <c r="D784">
        <v>15359492</v>
      </c>
      <c r="E784" t="s">
        <v>29</v>
      </c>
      <c r="F784" t="s">
        <v>2343</v>
      </c>
      <c r="G784">
        <v>9</v>
      </c>
      <c r="H784" t="s">
        <v>2344</v>
      </c>
      <c r="J784" s="3"/>
      <c r="K784" s="11">
        <v>46184.467013888891</v>
      </c>
      <c r="M784">
        <v>110</v>
      </c>
      <c r="N784" t="s">
        <v>867</v>
      </c>
      <c r="O784" s="5">
        <v>0</v>
      </c>
      <c r="P784" s="5" t="s">
        <v>2345</v>
      </c>
      <c r="Q784" s="10">
        <f>INT(Tabela1[[#This Row],[DATA]])</f>
        <v>46184</v>
      </c>
      <c r="R784" s="14" t="str">
        <f ca="1">IF(AND(Q784&gt;=TODAY()-WEEKDAY(TODAY(),2)+1,Q784&lt;TODAY()),"SIM","NÃO")</f>
        <v>NÃO</v>
      </c>
    </row>
    <row r="785" spans="1:18" hidden="1">
      <c r="A785" t="s">
        <v>2342</v>
      </c>
      <c r="B785" t="s">
        <v>274</v>
      </c>
      <c r="C785">
        <v>300269152</v>
      </c>
      <c r="D785">
        <v>15359492</v>
      </c>
      <c r="E785" t="s">
        <v>29</v>
      </c>
      <c r="F785" t="s">
        <v>2346</v>
      </c>
      <c r="G785" t="s">
        <v>2347</v>
      </c>
      <c r="H785" t="s">
        <v>2344</v>
      </c>
      <c r="J785" s="3"/>
      <c r="K785" s="11">
        <v>46184.468726851854</v>
      </c>
      <c r="M785">
        <v>111</v>
      </c>
      <c r="N785" t="s">
        <v>867</v>
      </c>
      <c r="O785" s="5">
        <v>0</v>
      </c>
      <c r="P785" s="5" t="s">
        <v>2348</v>
      </c>
      <c r="Q785" s="10">
        <f>INT(Tabela1[[#This Row],[DATA]])</f>
        <v>46184</v>
      </c>
      <c r="R785" s="14" t="str">
        <f ca="1">IF(AND(Q785&gt;=TODAY()-WEEKDAY(TODAY(),2)+1,Q785&lt;TODAY()),"SIM","NÃO")</f>
        <v>NÃO</v>
      </c>
    </row>
    <row r="786" spans="1:18" hidden="1">
      <c r="A786" t="s">
        <v>2349</v>
      </c>
      <c r="B786" t="s">
        <v>606</v>
      </c>
      <c r="C786">
        <v>300270729</v>
      </c>
      <c r="D786">
        <v>16243145</v>
      </c>
      <c r="E786" t="s">
        <v>37</v>
      </c>
      <c r="F786" t="s">
        <v>2350</v>
      </c>
      <c r="G786">
        <v>50</v>
      </c>
      <c r="H786" t="s">
        <v>1771</v>
      </c>
      <c r="J786" s="3" t="s">
        <v>1771</v>
      </c>
      <c r="K786" s="11">
        <v>46184.542060185187</v>
      </c>
      <c r="M786">
        <v>112</v>
      </c>
      <c r="N786" t="s">
        <v>867</v>
      </c>
      <c r="O786" s="5">
        <v>0</v>
      </c>
      <c r="P786" s="5" t="s">
        <v>2351</v>
      </c>
      <c r="Q786" s="10">
        <f>INT(Tabela1[[#This Row],[DATA]])</f>
        <v>46184</v>
      </c>
      <c r="R786" s="14" t="str">
        <f ca="1">IF(AND(Q786&gt;=TODAY()-WEEKDAY(TODAY(),2)+1,Q786&lt;TODAY()),"SIM","NÃO")</f>
        <v>NÃO</v>
      </c>
    </row>
    <row r="787" spans="1:18" hidden="1">
      <c r="A787" t="s">
        <v>2352</v>
      </c>
      <c r="B787" t="s">
        <v>344</v>
      </c>
      <c r="C787">
        <v>300269350</v>
      </c>
      <c r="D787">
        <v>15773477</v>
      </c>
      <c r="E787" t="s">
        <v>37</v>
      </c>
      <c r="F787" t="s">
        <v>2353</v>
      </c>
      <c r="G787">
        <v>0</v>
      </c>
      <c r="H787" t="s">
        <v>2039</v>
      </c>
      <c r="J787" s="3"/>
      <c r="K787" s="11">
        <v>46184.560833333337</v>
      </c>
      <c r="M787">
        <v>113</v>
      </c>
      <c r="N787" t="s">
        <v>867</v>
      </c>
      <c r="O787" s="5">
        <v>0</v>
      </c>
      <c r="P787" s="5" t="s">
        <v>2354</v>
      </c>
      <c r="Q787" s="10">
        <f>INT(Tabela1[[#This Row],[DATA]])</f>
        <v>46184</v>
      </c>
      <c r="R787" s="14" t="str">
        <f ca="1">IF(AND(Q787&gt;=TODAY()-WEEKDAY(TODAY(),2)+1,Q787&lt;TODAY()),"SIM","NÃO")</f>
        <v>NÃO</v>
      </c>
    </row>
    <row r="788" spans="1:18" hidden="1">
      <c r="A788" t="s">
        <v>2355</v>
      </c>
      <c r="B788" t="s">
        <v>36</v>
      </c>
      <c r="C788">
        <v>300268037</v>
      </c>
      <c r="D788">
        <v>16508203</v>
      </c>
      <c r="E788" t="s">
        <v>37</v>
      </c>
      <c r="F788" t="s">
        <v>2356</v>
      </c>
      <c r="G788">
        <v>40</v>
      </c>
      <c r="H788" t="s">
        <v>2357</v>
      </c>
      <c r="J788" s="3" t="s">
        <v>2358</v>
      </c>
      <c r="K788" s="11">
        <v>46184.584675925929</v>
      </c>
      <c r="M788">
        <v>114</v>
      </c>
      <c r="N788" t="s">
        <v>867</v>
      </c>
      <c r="O788" s="5">
        <v>0</v>
      </c>
      <c r="P788" s="5" t="s">
        <v>2359</v>
      </c>
      <c r="Q788" s="10">
        <f>INT(Tabela1[[#This Row],[DATA]])</f>
        <v>46184</v>
      </c>
      <c r="R788" s="14" t="str">
        <f ca="1">IF(AND(Q788&gt;=TODAY()-WEEKDAY(TODAY(),2)+1,Q788&lt;TODAY()),"SIM","NÃO")</f>
        <v>NÃO</v>
      </c>
    </row>
    <row r="789" spans="1:18" hidden="1">
      <c r="A789" t="s">
        <v>2360</v>
      </c>
      <c r="B789" t="s">
        <v>1422</v>
      </c>
      <c r="C789">
        <v>300270677</v>
      </c>
      <c r="D789">
        <v>16224116</v>
      </c>
      <c r="E789" t="s">
        <v>45</v>
      </c>
      <c r="F789" t="s">
        <v>2361</v>
      </c>
      <c r="G789">
        <v>54</v>
      </c>
      <c r="H789" t="s">
        <v>2362</v>
      </c>
      <c r="J789" s="3" t="s">
        <v>2363</v>
      </c>
      <c r="K789" s="11">
        <v>46184.588067129633</v>
      </c>
      <c r="M789">
        <v>115</v>
      </c>
      <c r="N789" t="s">
        <v>867</v>
      </c>
      <c r="O789" s="5">
        <v>0</v>
      </c>
      <c r="P789" s="5" t="s">
        <v>2364</v>
      </c>
      <c r="Q789" s="10">
        <f>INT(Tabela1[[#This Row],[DATA]])</f>
        <v>46184</v>
      </c>
      <c r="R789" s="14" t="str">
        <f ca="1">IF(AND(Q789&gt;=TODAY()-WEEKDAY(TODAY(),2)+1,Q789&lt;TODAY()),"SIM","NÃO")</f>
        <v>NÃO</v>
      </c>
    </row>
    <row r="790" spans="1:18" hidden="1">
      <c r="A790" t="s">
        <v>2365</v>
      </c>
      <c r="B790" t="s">
        <v>1422</v>
      </c>
      <c r="C790">
        <v>300270678</v>
      </c>
      <c r="D790">
        <v>16224116</v>
      </c>
      <c r="E790" t="s">
        <v>45</v>
      </c>
      <c r="F790" t="s">
        <v>2366</v>
      </c>
      <c r="G790" t="s">
        <v>2367</v>
      </c>
      <c r="H790" t="s">
        <v>2368</v>
      </c>
      <c r="J790" s="3" t="s">
        <v>2369</v>
      </c>
      <c r="K790" s="11">
        <v>46184.591157407405</v>
      </c>
      <c r="M790">
        <v>116</v>
      </c>
      <c r="N790" t="s">
        <v>867</v>
      </c>
      <c r="O790" s="5">
        <v>0</v>
      </c>
      <c r="P790" s="5" t="s">
        <v>2370</v>
      </c>
      <c r="Q790" s="10">
        <f>INT(Tabela1[[#This Row],[DATA]])</f>
        <v>46184</v>
      </c>
      <c r="R790" s="14" t="str">
        <f ca="1">IF(AND(Q790&gt;=TODAY()-WEEKDAY(TODAY(),2)+1,Q790&lt;TODAY()),"SIM","NÃO")</f>
        <v>NÃO</v>
      </c>
    </row>
    <row r="791" spans="1:18" hidden="1">
      <c r="A791" t="s">
        <v>2371</v>
      </c>
      <c r="B791" t="s">
        <v>181</v>
      </c>
      <c r="C791">
        <v>300264381</v>
      </c>
      <c r="D791">
        <v>16482611</v>
      </c>
      <c r="E791" t="s">
        <v>37</v>
      </c>
      <c r="F791" t="s">
        <v>2372</v>
      </c>
      <c r="G791">
        <v>20</v>
      </c>
      <c r="H791" t="s">
        <v>2373</v>
      </c>
      <c r="J791" s="3" t="s">
        <v>2374</v>
      </c>
      <c r="K791" s="11">
        <v>46184.594699074078</v>
      </c>
      <c r="M791">
        <v>117</v>
      </c>
      <c r="N791" t="s">
        <v>878</v>
      </c>
      <c r="O791" s="5">
        <v>0</v>
      </c>
      <c r="P791" s="5" t="s">
        <v>2375</v>
      </c>
      <c r="Q791" s="10">
        <f>INT(Tabela1[[#This Row],[DATA]])</f>
        <v>46184</v>
      </c>
      <c r="R791" s="14" t="str">
        <f ca="1">IF(AND(Q791&gt;=TODAY()-WEEKDAY(TODAY(),2)+1,Q791&lt;TODAY()),"SIM","NÃO")</f>
        <v>NÃO</v>
      </c>
    </row>
    <row r="792" spans="1:18" hidden="1">
      <c r="A792" t="s">
        <v>2371</v>
      </c>
      <c r="B792" t="s">
        <v>181</v>
      </c>
      <c r="C792">
        <v>300264381</v>
      </c>
      <c r="D792">
        <v>16482611</v>
      </c>
      <c r="E792" t="s">
        <v>37</v>
      </c>
      <c r="F792" t="s">
        <v>2286</v>
      </c>
      <c r="G792">
        <v>10</v>
      </c>
      <c r="H792" t="s">
        <v>2376</v>
      </c>
      <c r="J792" s="3" t="s">
        <v>2377</v>
      </c>
      <c r="K792" s="11">
        <v>46184.598912037036</v>
      </c>
      <c r="M792">
        <v>118</v>
      </c>
      <c r="N792" t="s">
        <v>878</v>
      </c>
      <c r="O792" s="5">
        <v>0</v>
      </c>
      <c r="P792" s="5" t="s">
        <v>2378</v>
      </c>
      <c r="Q792" s="10">
        <f>INT(Tabela1[[#This Row],[DATA]])</f>
        <v>46184</v>
      </c>
      <c r="R792" s="14" t="str">
        <f ca="1">IF(AND(Q792&gt;=TODAY()-WEEKDAY(TODAY(),2)+1,Q792&lt;TODAY()),"SIM","NÃO")</f>
        <v>NÃO</v>
      </c>
    </row>
    <row r="793" spans="1:18" hidden="1">
      <c r="A793" t="s">
        <v>2189</v>
      </c>
      <c r="B793" t="s">
        <v>50</v>
      </c>
      <c r="C793">
        <v>300269359</v>
      </c>
      <c r="D793">
        <v>16507657</v>
      </c>
      <c r="E793" t="s">
        <v>37</v>
      </c>
      <c r="F793" t="s">
        <v>2379</v>
      </c>
      <c r="G793">
        <v>300</v>
      </c>
      <c r="H793" t="s">
        <v>2380</v>
      </c>
      <c r="J793" s="3" t="s">
        <v>2381</v>
      </c>
      <c r="K793" s="11">
        <v>46184.60083333333</v>
      </c>
      <c r="M793">
        <v>119</v>
      </c>
      <c r="N793" t="s">
        <v>878</v>
      </c>
      <c r="O793" s="5">
        <v>300269359</v>
      </c>
      <c r="P793" s="5" t="s">
        <v>2382</v>
      </c>
      <c r="Q793" s="10">
        <f>INT(Tabela1[[#This Row],[DATA]])</f>
        <v>46184</v>
      </c>
      <c r="R793" s="14" t="str">
        <f ca="1">IF(AND(Q793&gt;=TODAY()-WEEKDAY(TODAY(),2)+1,Q793&lt;TODAY()),"SIM","NÃO")</f>
        <v>NÃO</v>
      </c>
    </row>
    <row r="794" spans="1:18" hidden="1">
      <c r="A794" t="s">
        <v>2332</v>
      </c>
      <c r="B794" t="s">
        <v>254</v>
      </c>
      <c r="C794">
        <v>300270482</v>
      </c>
      <c r="D794">
        <v>16266943</v>
      </c>
      <c r="E794" t="s">
        <v>45</v>
      </c>
      <c r="F794" t="s">
        <v>2124</v>
      </c>
      <c r="G794">
        <v>20</v>
      </c>
      <c r="H794" t="s">
        <v>579</v>
      </c>
      <c r="J794" s="3"/>
      <c r="K794" s="11">
        <v>46184.602349537039</v>
      </c>
      <c r="M794">
        <v>120</v>
      </c>
      <c r="N794" t="s">
        <v>867</v>
      </c>
      <c r="O794" s="5">
        <v>0</v>
      </c>
      <c r="P794" s="5" t="s">
        <v>2383</v>
      </c>
      <c r="Q794" s="10">
        <f>INT(Tabela1[[#This Row],[DATA]])</f>
        <v>46184</v>
      </c>
      <c r="R794" s="14" t="str">
        <f ca="1">IF(AND(Q794&gt;=TODAY()-WEEKDAY(TODAY(),2)+1,Q794&lt;TODAY()),"SIM","NÃO")</f>
        <v>NÃO</v>
      </c>
    </row>
    <row r="795" spans="1:18" hidden="1">
      <c r="A795" t="s">
        <v>2384</v>
      </c>
      <c r="B795" t="s">
        <v>95</v>
      </c>
      <c r="C795">
        <v>300271686</v>
      </c>
      <c r="D795">
        <v>16441370</v>
      </c>
      <c r="E795" t="s">
        <v>45</v>
      </c>
      <c r="F795" t="s">
        <v>2385</v>
      </c>
      <c r="G795">
        <v>1000</v>
      </c>
      <c r="H795" t="s">
        <v>2386</v>
      </c>
      <c r="J795" s="3" t="s">
        <v>2387</v>
      </c>
      <c r="K795" s="11">
        <v>46184.609467592592</v>
      </c>
      <c r="M795">
        <v>121</v>
      </c>
      <c r="N795" t="s">
        <v>878</v>
      </c>
      <c r="O795" s="5">
        <v>10000072658</v>
      </c>
      <c r="P795" s="5" t="s">
        <v>2388</v>
      </c>
      <c r="Q795" s="10">
        <f>INT(Tabela1[[#This Row],[DATA]])</f>
        <v>46184</v>
      </c>
      <c r="R795" s="14" t="str">
        <f ca="1">IF(AND(Q795&gt;=TODAY()-WEEKDAY(TODAY(),2)+1,Q795&lt;TODAY()),"SIM","NÃO")</f>
        <v>NÃO</v>
      </c>
    </row>
    <row r="796" spans="1:18" hidden="1">
      <c r="A796" t="s">
        <v>2389</v>
      </c>
      <c r="B796" t="s">
        <v>107</v>
      </c>
      <c r="C796">
        <v>300266481</v>
      </c>
      <c r="D796">
        <v>16441656</v>
      </c>
      <c r="E796" t="s">
        <v>45</v>
      </c>
      <c r="F796" t="s">
        <v>2390</v>
      </c>
      <c r="G796">
        <v>93</v>
      </c>
      <c r="H796" t="s">
        <v>2391</v>
      </c>
      <c r="J796" s="3" t="s">
        <v>2392</v>
      </c>
      <c r="K796" s="11">
        <v>46184.610289351855</v>
      </c>
      <c r="M796">
        <v>122</v>
      </c>
      <c r="N796" t="s">
        <v>867</v>
      </c>
      <c r="O796" s="5">
        <v>0</v>
      </c>
      <c r="P796" s="5" t="s">
        <v>2393</v>
      </c>
      <c r="Q796" s="10">
        <f>INT(Tabela1[[#This Row],[DATA]])</f>
        <v>46184</v>
      </c>
      <c r="R796" s="14" t="str">
        <f ca="1">IF(AND(Q796&gt;=TODAY()-WEEKDAY(TODAY(),2)+1,Q796&lt;TODAY()),"SIM","NÃO")</f>
        <v>NÃO</v>
      </c>
    </row>
    <row r="797" spans="1:18" hidden="1">
      <c r="A797" t="s">
        <v>2332</v>
      </c>
      <c r="B797" t="s">
        <v>254</v>
      </c>
      <c r="C797">
        <v>300270482</v>
      </c>
      <c r="D797">
        <v>16266943</v>
      </c>
      <c r="E797" t="s">
        <v>45</v>
      </c>
      <c r="F797" t="s">
        <v>2394</v>
      </c>
      <c r="G797">
        <v>10</v>
      </c>
      <c r="H797" t="s">
        <v>2395</v>
      </c>
      <c r="J797" s="3"/>
      <c r="K797" s="11">
        <v>46184.649178240739</v>
      </c>
      <c r="M797">
        <v>123</v>
      </c>
      <c r="N797" t="s">
        <v>867</v>
      </c>
      <c r="O797" s="5">
        <v>0</v>
      </c>
      <c r="P797" s="5" t="s">
        <v>2396</v>
      </c>
      <c r="Q797" s="10">
        <f>INT(Tabela1[[#This Row],[DATA]])</f>
        <v>46184</v>
      </c>
      <c r="R797" s="14" t="str">
        <f ca="1">IF(AND(Q797&gt;=TODAY()-WEEKDAY(TODAY(),2)+1,Q797&lt;TODAY()),"SIM","NÃO")</f>
        <v>NÃO</v>
      </c>
    </row>
    <row r="798" spans="1:18" hidden="1">
      <c r="A798" t="s">
        <v>2067</v>
      </c>
      <c r="B798" t="s">
        <v>74</v>
      </c>
      <c r="C798">
        <v>300270427</v>
      </c>
      <c r="D798">
        <v>15497313</v>
      </c>
      <c r="E798" t="s">
        <v>45</v>
      </c>
      <c r="F798" t="s">
        <v>2124</v>
      </c>
      <c r="G798">
        <v>1028</v>
      </c>
      <c r="H798" t="s">
        <v>2313</v>
      </c>
      <c r="J798" s="3"/>
      <c r="K798" s="11">
        <v>46184.651400462964</v>
      </c>
      <c r="M798">
        <v>124</v>
      </c>
      <c r="N798" t="s">
        <v>878</v>
      </c>
      <c r="O798" s="5">
        <v>0</v>
      </c>
      <c r="P798" s="5" t="s">
        <v>2397</v>
      </c>
      <c r="Q798" s="10">
        <f>INT(Tabela1[[#This Row],[DATA]])</f>
        <v>46184</v>
      </c>
      <c r="R798" s="14" t="str">
        <f ca="1">IF(AND(Q798&gt;=TODAY()-WEEKDAY(TODAY(),2)+1,Q798&lt;TODAY()),"SIM","NÃO")</f>
        <v>NÃO</v>
      </c>
    </row>
    <row r="799" spans="1:18" hidden="1">
      <c r="A799" t="s">
        <v>2067</v>
      </c>
      <c r="B799" t="s">
        <v>74</v>
      </c>
      <c r="C799">
        <v>300270427</v>
      </c>
      <c r="D799">
        <v>15497313</v>
      </c>
      <c r="E799" t="s">
        <v>45</v>
      </c>
      <c r="F799">
        <v>10</v>
      </c>
      <c r="G799">
        <v>10</v>
      </c>
      <c r="H799" t="s">
        <v>2101</v>
      </c>
      <c r="J799" s="3"/>
      <c r="K799" s="11">
        <v>46184.652766203704</v>
      </c>
      <c r="M799">
        <v>125</v>
      </c>
      <c r="N799" t="s">
        <v>867</v>
      </c>
      <c r="O799" s="5">
        <v>0</v>
      </c>
      <c r="P799" s="5" t="s">
        <v>2398</v>
      </c>
      <c r="Q799" s="10">
        <f>INT(Tabela1[[#This Row],[DATA]])</f>
        <v>46184</v>
      </c>
      <c r="R799" s="14" t="str">
        <f ca="1">IF(AND(Q799&gt;=TODAY()-WEEKDAY(TODAY(),2)+1,Q799&lt;TODAY()),"SIM","NÃO")</f>
        <v>NÃO</v>
      </c>
    </row>
    <row r="800" spans="1:18" hidden="1">
      <c r="A800" t="s">
        <v>2067</v>
      </c>
      <c r="B800" t="s">
        <v>74</v>
      </c>
      <c r="C800">
        <v>300270427</v>
      </c>
      <c r="D800">
        <v>15497313</v>
      </c>
      <c r="E800" t="s">
        <v>45</v>
      </c>
      <c r="F800" t="s">
        <v>2168</v>
      </c>
      <c r="G800">
        <v>10</v>
      </c>
      <c r="H800" t="s">
        <v>2137</v>
      </c>
      <c r="J800" s="3"/>
      <c r="K800" s="11">
        <v>46184.65420138889</v>
      </c>
      <c r="M800">
        <v>126</v>
      </c>
      <c r="N800" t="s">
        <v>867</v>
      </c>
      <c r="O800" s="5">
        <v>0</v>
      </c>
      <c r="P800" s="5" t="s">
        <v>2399</v>
      </c>
      <c r="Q800" s="10">
        <f>INT(Tabela1[[#This Row],[DATA]])</f>
        <v>46184</v>
      </c>
      <c r="R800" s="14" t="str">
        <f ca="1">IF(AND(Q800&gt;=TODAY()-WEEKDAY(TODAY(),2)+1,Q800&lt;TODAY()),"SIM","NÃO")</f>
        <v>NÃO</v>
      </c>
    </row>
    <row r="801" spans="1:18" hidden="1">
      <c r="A801" t="s">
        <v>2400</v>
      </c>
      <c r="B801" t="s">
        <v>358</v>
      </c>
      <c r="C801">
        <v>300267966</v>
      </c>
      <c r="D801">
        <v>16523741</v>
      </c>
      <c r="E801" t="s">
        <v>37</v>
      </c>
      <c r="F801" t="s">
        <v>2029</v>
      </c>
      <c r="G801">
        <v>30</v>
      </c>
      <c r="H801" t="s">
        <v>2401</v>
      </c>
      <c r="J801" s="3" t="s">
        <v>2402</v>
      </c>
      <c r="K801" s="11">
        <v>46184.666064814817</v>
      </c>
      <c r="M801">
        <v>127</v>
      </c>
      <c r="N801" t="s">
        <v>867</v>
      </c>
      <c r="O801" s="5">
        <v>10000214517</v>
      </c>
      <c r="P801" s="5" t="s">
        <v>2403</v>
      </c>
      <c r="Q801" s="10">
        <f>INT(Tabela1[[#This Row],[DATA]])</f>
        <v>46184</v>
      </c>
      <c r="R801" s="14" t="str">
        <f ca="1">IF(AND(Q801&gt;=TODAY()-WEEKDAY(TODAY(),2)+1,Q801&lt;TODAY()),"SIM","NÃO")</f>
        <v>NÃO</v>
      </c>
    </row>
    <row r="802" spans="1:18" hidden="1">
      <c r="A802" t="s">
        <v>2404</v>
      </c>
      <c r="B802" t="s">
        <v>1582</v>
      </c>
      <c r="C802">
        <v>300269057</v>
      </c>
      <c r="D802">
        <v>14700328</v>
      </c>
      <c r="E802" t="s">
        <v>45</v>
      </c>
      <c r="F802" t="s">
        <v>2405</v>
      </c>
      <c r="G802">
        <v>300</v>
      </c>
      <c r="H802" t="s">
        <v>2406</v>
      </c>
      <c r="J802" s="3" t="s">
        <v>2407</v>
      </c>
      <c r="K802" s="11">
        <v>46184.67763888889</v>
      </c>
      <c r="M802">
        <v>128</v>
      </c>
      <c r="N802" t="s">
        <v>867</v>
      </c>
      <c r="O802" s="5">
        <v>1.0000070395911801E+25</v>
      </c>
      <c r="P802" s="5" t="s">
        <v>2408</v>
      </c>
      <c r="Q802" s="10">
        <f>INT(Tabela1[[#This Row],[DATA]])</f>
        <v>46184</v>
      </c>
      <c r="R802" s="14" t="str">
        <f ca="1">IF(AND(Q802&gt;=TODAY()-WEEKDAY(TODAY(),2)+1,Q802&lt;TODAY()),"SIM","NÃO")</f>
        <v>NÃO</v>
      </c>
    </row>
    <row r="803" spans="1:18" hidden="1">
      <c r="A803" t="s">
        <v>2409</v>
      </c>
      <c r="B803" t="s">
        <v>756</v>
      </c>
      <c r="C803">
        <v>300270772</v>
      </c>
      <c r="D803">
        <v>16318249</v>
      </c>
      <c r="E803" t="s">
        <v>37</v>
      </c>
      <c r="F803" t="s">
        <v>2227</v>
      </c>
      <c r="G803">
        <v>120</v>
      </c>
      <c r="H803" t="s">
        <v>2410</v>
      </c>
      <c r="J803" s="3" t="s">
        <v>2410</v>
      </c>
      <c r="K803" s="11">
        <v>46184.68037037037</v>
      </c>
      <c r="M803">
        <v>129</v>
      </c>
      <c r="N803" t="s">
        <v>867</v>
      </c>
      <c r="O803" s="5">
        <v>32</v>
      </c>
      <c r="P803" s="5" t="s">
        <v>2411</v>
      </c>
      <c r="Q803" s="10">
        <f>INT(Tabela1[[#This Row],[DATA]])</f>
        <v>46184</v>
      </c>
      <c r="R803" s="14" t="str">
        <f ca="1">IF(AND(Q803&gt;=TODAY()-WEEKDAY(TODAY(),2)+1,Q803&lt;TODAY()),"SIM","NÃO")</f>
        <v>NÃO</v>
      </c>
    </row>
    <row r="804" spans="1:18" hidden="1">
      <c r="A804" t="s">
        <v>2409</v>
      </c>
      <c r="B804" t="s">
        <v>756</v>
      </c>
      <c r="C804">
        <v>300270772</v>
      </c>
      <c r="D804">
        <v>16319249</v>
      </c>
      <c r="E804" t="s">
        <v>37</v>
      </c>
      <c r="F804" t="s">
        <v>2412</v>
      </c>
      <c r="G804">
        <v>65</v>
      </c>
      <c r="H804" t="s">
        <v>2410</v>
      </c>
      <c r="J804" s="3" t="s">
        <v>2410</v>
      </c>
      <c r="K804" s="11">
        <v>46184.682488425926</v>
      </c>
      <c r="M804">
        <v>130</v>
      </c>
      <c r="N804" t="s">
        <v>867</v>
      </c>
      <c r="O804" s="5">
        <v>10000216488</v>
      </c>
      <c r="P804" s="5" t="s">
        <v>2413</v>
      </c>
      <c r="Q804" s="10">
        <f>INT(Tabela1[[#This Row],[DATA]])</f>
        <v>46184</v>
      </c>
      <c r="R804" s="14" t="str">
        <f ca="1">IF(AND(Q804&gt;=TODAY()-WEEKDAY(TODAY(),2)+1,Q804&lt;TODAY()),"SIM","NÃO")</f>
        <v>NÃO</v>
      </c>
    </row>
    <row r="805" spans="1:18" hidden="1">
      <c r="A805" t="s">
        <v>2414</v>
      </c>
      <c r="B805" t="s">
        <v>112</v>
      </c>
      <c r="C805">
        <v>300263767</v>
      </c>
      <c r="D805">
        <v>16289870</v>
      </c>
      <c r="E805" t="s">
        <v>45</v>
      </c>
      <c r="F805" t="s">
        <v>2415</v>
      </c>
      <c r="G805">
        <v>13</v>
      </c>
      <c r="H805" t="s">
        <v>2416</v>
      </c>
      <c r="J805" s="3"/>
      <c r="K805" s="11">
        <v>46184.694745370369</v>
      </c>
      <c r="M805">
        <v>131</v>
      </c>
      <c r="N805" t="s">
        <v>867</v>
      </c>
      <c r="O805" s="5">
        <v>0</v>
      </c>
      <c r="P805" s="5" t="s">
        <v>2417</v>
      </c>
      <c r="Q805" s="10">
        <f>INT(Tabela1[[#This Row],[DATA]])</f>
        <v>46184</v>
      </c>
      <c r="R805" s="14" t="str">
        <f ca="1">IF(AND(Q805&gt;=TODAY()-WEEKDAY(TODAY(),2)+1,Q805&lt;TODAY()),"SIM","NÃO")</f>
        <v>NÃO</v>
      </c>
    </row>
    <row r="806" spans="1:18" hidden="1">
      <c r="A806" t="s">
        <v>2418</v>
      </c>
      <c r="B806" t="s">
        <v>124</v>
      </c>
      <c r="C806">
        <v>300268957</v>
      </c>
      <c r="D806">
        <v>16218299</v>
      </c>
      <c r="E806" t="s">
        <v>37</v>
      </c>
      <c r="F806" t="s">
        <v>2419</v>
      </c>
      <c r="G806">
        <v>14</v>
      </c>
      <c r="H806" t="s">
        <v>82</v>
      </c>
      <c r="J806" s="3" t="s">
        <v>2420</v>
      </c>
      <c r="K806" s="11">
        <v>46184.707430555558</v>
      </c>
      <c r="M806">
        <v>132</v>
      </c>
      <c r="N806" t="s">
        <v>867</v>
      </c>
      <c r="O806" s="5">
        <v>10000216483</v>
      </c>
      <c r="P806" s="5" t="s">
        <v>2421</v>
      </c>
      <c r="Q806" s="10">
        <f>INT(Tabela1[[#This Row],[DATA]])</f>
        <v>46184</v>
      </c>
      <c r="R806" s="14" t="str">
        <f ca="1">IF(AND(Q806&gt;=TODAY()-WEEKDAY(TODAY(),2)+1,Q806&lt;TODAY()),"SIM","NÃO")</f>
        <v>NÃO</v>
      </c>
    </row>
    <row r="807" spans="1:18" hidden="1">
      <c r="A807" t="s">
        <v>2418</v>
      </c>
      <c r="B807" t="s">
        <v>124</v>
      </c>
      <c r="C807">
        <v>300268957</v>
      </c>
      <c r="D807">
        <v>16218299</v>
      </c>
      <c r="E807" t="s">
        <v>37</v>
      </c>
      <c r="F807" t="s">
        <v>2422</v>
      </c>
      <c r="G807" t="s">
        <v>2423</v>
      </c>
      <c r="H807" t="s">
        <v>2424</v>
      </c>
      <c r="J807" s="3" t="s">
        <v>2425</v>
      </c>
      <c r="K807" s="11">
        <v>46184.715520833335</v>
      </c>
      <c r="M807">
        <v>133</v>
      </c>
      <c r="N807" t="s">
        <v>867</v>
      </c>
      <c r="O807" s="5">
        <v>10000195771</v>
      </c>
      <c r="P807" s="5" t="s">
        <v>2426</v>
      </c>
      <c r="Q807" s="10">
        <f>INT(Tabela1[[#This Row],[DATA]])</f>
        <v>46184</v>
      </c>
      <c r="R807" s="14" t="str">
        <f ca="1">IF(AND(Q807&gt;=TODAY()-WEEKDAY(TODAY(),2)+1,Q807&lt;TODAY()),"SIM","NÃO")</f>
        <v>NÃO</v>
      </c>
    </row>
    <row r="808" spans="1:18" hidden="1">
      <c r="A808" t="s">
        <v>2249</v>
      </c>
      <c r="B808" t="s">
        <v>429</v>
      </c>
      <c r="C808">
        <v>300269833</v>
      </c>
      <c r="D808">
        <v>16442660</v>
      </c>
      <c r="E808" t="s">
        <v>29</v>
      </c>
      <c r="F808" t="s">
        <v>2427</v>
      </c>
      <c r="G808" t="s">
        <v>2428</v>
      </c>
      <c r="H808" t="s">
        <v>2137</v>
      </c>
      <c r="J808" s="3"/>
      <c r="K808" s="11">
        <v>46184.79891203704</v>
      </c>
      <c r="M808">
        <v>134</v>
      </c>
      <c r="N808" t="s">
        <v>878</v>
      </c>
      <c r="O808" s="5">
        <v>0</v>
      </c>
      <c r="P808" s="5" t="s">
        <v>2429</v>
      </c>
      <c r="Q808" s="10">
        <f>INT(Tabela1[[#This Row],[DATA]])</f>
        <v>46184</v>
      </c>
      <c r="R808" s="14" t="str">
        <f ca="1">IF(AND(Q808&gt;=TODAY()-WEEKDAY(TODAY(),2)+1,Q808&lt;TODAY()),"SIM","NÃO")</f>
        <v>NÃO</v>
      </c>
    </row>
    <row r="809" spans="1:18" hidden="1">
      <c r="A809" t="s">
        <v>2289</v>
      </c>
      <c r="B809" t="s">
        <v>164</v>
      </c>
      <c r="C809">
        <v>300267513</v>
      </c>
      <c r="D809">
        <v>16356780</v>
      </c>
      <c r="E809" t="s">
        <v>45</v>
      </c>
      <c r="F809" t="s">
        <v>2430</v>
      </c>
      <c r="G809">
        <v>100</v>
      </c>
      <c r="H809" t="s">
        <v>2431</v>
      </c>
      <c r="J809" s="3"/>
      <c r="K809" s="11">
        <v>46185.281400462962</v>
      </c>
      <c r="M809">
        <v>135</v>
      </c>
      <c r="N809" t="s">
        <v>867</v>
      </c>
      <c r="O809" s="5">
        <v>0</v>
      </c>
      <c r="P809" s="5" t="s">
        <v>2432</v>
      </c>
      <c r="Q809" s="10">
        <f>INT(Tabela1[[#This Row],[DATA]])</f>
        <v>46185</v>
      </c>
      <c r="R809" s="14" t="str">
        <f ca="1">IF(AND(Q809&gt;=TODAY()-WEEKDAY(TODAY(),2)+1,Q809&lt;TODAY()),"SIM","NÃO")</f>
        <v>NÃO</v>
      </c>
    </row>
    <row r="810" spans="1:18" hidden="1">
      <c r="A810" t="s">
        <v>845</v>
      </c>
      <c r="B810" t="s">
        <v>846</v>
      </c>
      <c r="C810">
        <v>300269770</v>
      </c>
      <c r="D810">
        <v>15775496</v>
      </c>
      <c r="E810" t="s">
        <v>37</v>
      </c>
      <c r="F810" t="s">
        <v>2433</v>
      </c>
      <c r="G810">
        <v>763</v>
      </c>
      <c r="H810" t="s">
        <v>2434</v>
      </c>
      <c r="J810" s="3"/>
      <c r="K810" s="11">
        <v>46185.303055555552</v>
      </c>
      <c r="M810">
        <v>136</v>
      </c>
      <c r="N810" t="s">
        <v>878</v>
      </c>
      <c r="O810" s="5">
        <v>1</v>
      </c>
      <c r="P810" s="5" t="s">
        <v>2435</v>
      </c>
      <c r="Q810" s="10">
        <f>INT(Tabela1[[#This Row],[DATA]])</f>
        <v>46185</v>
      </c>
      <c r="R810" s="14" t="str">
        <f ca="1">IF(AND(Q810&gt;=TODAY()-WEEKDAY(TODAY(),2)+1,Q810&lt;TODAY()),"SIM","NÃO")</f>
        <v>NÃO</v>
      </c>
    </row>
    <row r="811" spans="1:18" hidden="1">
      <c r="A811" t="s">
        <v>2436</v>
      </c>
      <c r="B811" t="s">
        <v>107</v>
      </c>
      <c r="C811">
        <v>300268119</v>
      </c>
      <c r="D811">
        <v>16334680</v>
      </c>
      <c r="E811" t="s">
        <v>45</v>
      </c>
      <c r="F811" t="s">
        <v>1953</v>
      </c>
      <c r="G811">
        <v>12</v>
      </c>
      <c r="H811" t="s">
        <v>2437</v>
      </c>
      <c r="J811" s="3"/>
      <c r="K811" s="11">
        <v>46185.316076388888</v>
      </c>
      <c r="M811">
        <v>137</v>
      </c>
      <c r="N811" t="s">
        <v>867</v>
      </c>
      <c r="O811" s="5">
        <v>0</v>
      </c>
      <c r="P811" s="5" t="s">
        <v>2438</v>
      </c>
      <c r="Q811" s="10">
        <f>INT(Tabela1[[#This Row],[DATA]])</f>
        <v>46185</v>
      </c>
      <c r="R811" s="14" t="str">
        <f ca="1">IF(AND(Q811&gt;=TODAY()-WEEKDAY(TODAY(),2)+1,Q811&lt;TODAY()),"SIM","NÃO")</f>
        <v>NÃO</v>
      </c>
    </row>
    <row r="812" spans="1:18" hidden="1">
      <c r="A812" t="s">
        <v>2439</v>
      </c>
      <c r="B812" t="s">
        <v>1293</v>
      </c>
      <c r="C812">
        <v>300269328</v>
      </c>
      <c r="D812">
        <v>16520025</v>
      </c>
      <c r="E812" t="s">
        <v>37</v>
      </c>
      <c r="F812" t="s">
        <v>2440</v>
      </c>
      <c r="G812">
        <v>216</v>
      </c>
      <c r="H812" t="s">
        <v>2101</v>
      </c>
      <c r="J812" s="3" t="s">
        <v>2441</v>
      </c>
      <c r="K812" s="11">
        <v>46185.352870370371</v>
      </c>
      <c r="M812">
        <v>138</v>
      </c>
      <c r="N812" t="s">
        <v>867</v>
      </c>
      <c r="O812" s="5">
        <v>10000064323</v>
      </c>
      <c r="P812" s="5" t="s">
        <v>2442</v>
      </c>
      <c r="Q812" s="10">
        <f>INT(Tabela1[[#This Row],[DATA]])</f>
        <v>46185</v>
      </c>
      <c r="R812" s="14" t="str">
        <f ca="1">IF(AND(Q812&gt;=TODAY()-WEEKDAY(TODAY(),2)+1,Q812&lt;TODAY()),"SIM","NÃO")</f>
        <v>NÃO</v>
      </c>
    </row>
    <row r="813" spans="1:18" hidden="1">
      <c r="A813" t="s">
        <v>2254</v>
      </c>
      <c r="B813" t="s">
        <v>990</v>
      </c>
      <c r="C813">
        <v>300268899</v>
      </c>
      <c r="D813">
        <v>15774104</v>
      </c>
      <c r="E813" t="s">
        <v>37</v>
      </c>
      <c r="F813" t="s">
        <v>2443</v>
      </c>
      <c r="G813">
        <v>5</v>
      </c>
      <c r="H813" t="s">
        <v>2444</v>
      </c>
      <c r="J813" s="3" t="s">
        <v>2443</v>
      </c>
      <c r="K813" s="11">
        <v>46185.385787037034</v>
      </c>
      <c r="M813">
        <v>139</v>
      </c>
      <c r="N813" t="s">
        <v>867</v>
      </c>
      <c r="O813" s="5">
        <v>0</v>
      </c>
      <c r="P813" s="5" t="s">
        <v>2445</v>
      </c>
      <c r="Q813" s="10">
        <f>INT(Tabela1[[#This Row],[DATA]])</f>
        <v>46185</v>
      </c>
      <c r="R813" s="14" t="str">
        <f ca="1">IF(AND(Q813&gt;=TODAY()-WEEKDAY(TODAY(),2)+1,Q813&lt;TODAY()),"SIM","NÃO")</f>
        <v>NÃO</v>
      </c>
    </row>
    <row r="814" spans="1:18" hidden="1">
      <c r="A814" t="s">
        <v>2259</v>
      </c>
      <c r="B814" t="s">
        <v>306</v>
      </c>
      <c r="C814">
        <v>300265824</v>
      </c>
      <c r="D814">
        <v>16482395</v>
      </c>
      <c r="E814" t="s">
        <v>37</v>
      </c>
      <c r="F814" t="s">
        <v>216</v>
      </c>
      <c r="G814">
        <v>44</v>
      </c>
      <c r="H814" t="s">
        <v>307</v>
      </c>
      <c r="J814" s="3" t="s">
        <v>2446</v>
      </c>
      <c r="K814" s="11">
        <v>46185.387569444443</v>
      </c>
      <c r="M814">
        <v>140</v>
      </c>
      <c r="N814" t="s">
        <v>878</v>
      </c>
      <c r="O814" s="5">
        <v>0</v>
      </c>
      <c r="P814" s="5" t="s">
        <v>2447</v>
      </c>
      <c r="Q814" s="10">
        <f>INT(Tabela1[[#This Row],[DATA]])</f>
        <v>46185</v>
      </c>
      <c r="R814" s="14" t="str">
        <f ca="1">IF(AND(Q814&gt;=TODAY()-WEEKDAY(TODAY(),2)+1,Q814&lt;TODAY()),"SIM","NÃO")</f>
        <v>NÃO</v>
      </c>
    </row>
    <row r="815" spans="1:18" hidden="1">
      <c r="A815" t="s">
        <v>2275</v>
      </c>
      <c r="B815" t="s">
        <v>788</v>
      </c>
      <c r="C815">
        <v>300000000</v>
      </c>
      <c r="D815">
        <v>0</v>
      </c>
      <c r="E815" t="s">
        <v>37</v>
      </c>
      <c r="F815" t="s">
        <v>2448</v>
      </c>
      <c r="G815">
        <v>10</v>
      </c>
      <c r="H815" t="s">
        <v>2172</v>
      </c>
      <c r="J815" s="3" t="s">
        <v>2449</v>
      </c>
      <c r="K815" s="11">
        <v>46185.38957175926</v>
      </c>
      <c r="M815">
        <v>141</v>
      </c>
      <c r="N815" t="s">
        <v>878</v>
      </c>
      <c r="O815" s="5">
        <v>0</v>
      </c>
      <c r="P815" s="5" t="s">
        <v>2450</v>
      </c>
      <c r="Q815" s="10">
        <f>INT(Tabela1[[#This Row],[DATA]])</f>
        <v>46185</v>
      </c>
      <c r="R815" s="14" t="str">
        <f ca="1">IF(AND(Q815&gt;=TODAY()-WEEKDAY(TODAY(),2)+1,Q815&lt;TODAY()),"SIM","NÃO")</f>
        <v>NÃO</v>
      </c>
    </row>
    <row r="816" spans="1:18" hidden="1">
      <c r="A816" t="s">
        <v>2000</v>
      </c>
      <c r="B816" t="s">
        <v>788</v>
      </c>
      <c r="C816">
        <v>310000000</v>
      </c>
      <c r="D816">
        <v>0</v>
      </c>
      <c r="E816" t="s">
        <v>37</v>
      </c>
      <c r="F816" t="s">
        <v>2132</v>
      </c>
      <c r="G816">
        <v>0</v>
      </c>
      <c r="H816" t="s">
        <v>2451</v>
      </c>
      <c r="J816" s="3"/>
      <c r="K816" s="11">
        <v>46185.390428240738</v>
      </c>
      <c r="M816">
        <v>142</v>
      </c>
      <c r="N816" t="s">
        <v>878</v>
      </c>
      <c r="O816" s="5">
        <v>0</v>
      </c>
      <c r="P816" s="5" t="s">
        <v>2452</v>
      </c>
      <c r="Q816" s="10">
        <f>INT(Tabela1[[#This Row],[DATA]])</f>
        <v>46185</v>
      </c>
      <c r="R816" s="14" t="str">
        <f ca="1">IF(AND(Q816&gt;=TODAY()-WEEKDAY(TODAY(),2)+1,Q816&lt;TODAY()),"SIM","NÃO")</f>
        <v>NÃO</v>
      </c>
    </row>
    <row r="817" spans="1:18" hidden="1">
      <c r="A817" t="s">
        <v>2453</v>
      </c>
      <c r="B817" t="s">
        <v>112</v>
      </c>
      <c r="C817">
        <v>300266586</v>
      </c>
      <c r="D817">
        <v>16526112</v>
      </c>
      <c r="E817" t="s">
        <v>20</v>
      </c>
      <c r="F817" t="s">
        <v>2235</v>
      </c>
      <c r="G817">
        <v>257</v>
      </c>
      <c r="H817" t="s">
        <v>2172</v>
      </c>
      <c r="J817" s="3"/>
      <c r="K817" s="11">
        <v>46185.393680555557</v>
      </c>
      <c r="M817">
        <v>143</v>
      </c>
      <c r="N817" t="s">
        <v>867</v>
      </c>
      <c r="O817" s="5">
        <v>0</v>
      </c>
      <c r="P817" s="5" t="s">
        <v>2454</v>
      </c>
      <c r="Q817" s="10">
        <f>INT(Tabela1[[#This Row],[DATA]])</f>
        <v>46185</v>
      </c>
      <c r="R817" s="14" t="str">
        <f ca="1">IF(AND(Q817&gt;=TODAY()-WEEKDAY(TODAY(),2)+1,Q817&lt;TODAY()),"SIM","NÃO")</f>
        <v>NÃO</v>
      </c>
    </row>
    <row r="818" spans="1:18" hidden="1">
      <c r="A818" t="s">
        <v>2404</v>
      </c>
      <c r="B818" t="s">
        <v>1582</v>
      </c>
      <c r="C818">
        <v>300268566</v>
      </c>
      <c r="D818">
        <v>16441630</v>
      </c>
      <c r="E818" t="s">
        <v>45</v>
      </c>
      <c r="F818" t="s">
        <v>323</v>
      </c>
      <c r="G818">
        <v>5</v>
      </c>
      <c r="H818" t="s">
        <v>2455</v>
      </c>
      <c r="J818" s="3" t="s">
        <v>2455</v>
      </c>
      <c r="K818" s="11">
        <v>46185.400289351855</v>
      </c>
      <c r="M818">
        <v>144</v>
      </c>
      <c r="N818" t="s">
        <v>867</v>
      </c>
      <c r="O818" s="5">
        <v>0</v>
      </c>
      <c r="P818" s="5" t="s">
        <v>2456</v>
      </c>
      <c r="Q818" s="10">
        <f>INT(Tabela1[[#This Row],[DATA]])</f>
        <v>46185</v>
      </c>
      <c r="R818" s="14" t="str">
        <f ca="1">IF(AND(Q818&gt;=TODAY()-WEEKDAY(TODAY(),2)+1,Q818&lt;TODAY()),"SIM","NÃO")</f>
        <v>NÃO</v>
      </c>
    </row>
    <row r="819" spans="1:18" hidden="1">
      <c r="A819" t="s">
        <v>2045</v>
      </c>
      <c r="B819" t="s">
        <v>144</v>
      </c>
      <c r="C819">
        <v>300268560</v>
      </c>
      <c r="D819">
        <v>16441656</v>
      </c>
      <c r="E819" t="s">
        <v>45</v>
      </c>
      <c r="F819" t="s">
        <v>2046</v>
      </c>
      <c r="G819">
        <v>10</v>
      </c>
      <c r="H819" t="s">
        <v>644</v>
      </c>
      <c r="J819" s="3"/>
      <c r="K819" s="11">
        <v>46185.403310185182</v>
      </c>
      <c r="M819">
        <v>145</v>
      </c>
      <c r="N819" t="s">
        <v>878</v>
      </c>
      <c r="O819" s="5">
        <v>0</v>
      </c>
      <c r="P819" s="5" t="s">
        <v>2457</v>
      </c>
      <c r="Q819" s="10">
        <f>INT(Tabela1[[#This Row],[DATA]])</f>
        <v>46185</v>
      </c>
      <c r="R819" s="14" t="str">
        <f ca="1">IF(AND(Q819&gt;=TODAY()-WEEKDAY(TODAY(),2)+1,Q819&lt;TODAY()),"SIM","NÃO")</f>
        <v>NÃO</v>
      </c>
    </row>
    <row r="820" spans="1:18" hidden="1">
      <c r="A820" t="s">
        <v>2458</v>
      </c>
      <c r="B820" t="s">
        <v>388</v>
      </c>
      <c r="C820">
        <v>300262599</v>
      </c>
      <c r="D820">
        <v>16444876</v>
      </c>
      <c r="E820" t="s">
        <v>37</v>
      </c>
      <c r="F820" t="s">
        <v>2283</v>
      </c>
      <c r="G820">
        <v>1</v>
      </c>
      <c r="H820" t="s">
        <v>644</v>
      </c>
      <c r="J820" s="3"/>
      <c r="K820" s="11">
        <v>46185.403958333336</v>
      </c>
      <c r="M820">
        <v>146</v>
      </c>
      <c r="N820" t="s">
        <v>878</v>
      </c>
      <c r="O820" s="5">
        <v>0</v>
      </c>
      <c r="P820" s="5" t="s">
        <v>2459</v>
      </c>
      <c r="Q820" s="10">
        <f>INT(Tabela1[[#This Row],[DATA]])</f>
        <v>46185</v>
      </c>
      <c r="R820" s="14" t="str">
        <f ca="1">IF(AND(Q820&gt;=TODAY()-WEEKDAY(TODAY(),2)+1,Q820&lt;TODAY()),"SIM","NÃO")</f>
        <v>NÃO</v>
      </c>
    </row>
    <row r="821" spans="1:18" hidden="1">
      <c r="A821" t="s">
        <v>2404</v>
      </c>
      <c r="B821" t="s">
        <v>1582</v>
      </c>
      <c r="C821">
        <v>300269951</v>
      </c>
      <c r="D821">
        <v>16487494</v>
      </c>
      <c r="E821" t="s">
        <v>20</v>
      </c>
      <c r="F821" t="s">
        <v>2153</v>
      </c>
      <c r="G821">
        <v>5</v>
      </c>
      <c r="H821" t="s">
        <v>2460</v>
      </c>
      <c r="J821" s="3" t="s">
        <v>2460</v>
      </c>
      <c r="K821" s="11">
        <v>46185.404710648145</v>
      </c>
      <c r="M821">
        <v>147</v>
      </c>
      <c r="N821" t="s">
        <v>867</v>
      </c>
      <c r="O821" s="5">
        <v>0</v>
      </c>
      <c r="P821" s="5" t="s">
        <v>2461</v>
      </c>
      <c r="Q821" s="10">
        <f>INT(Tabela1[[#This Row],[DATA]])</f>
        <v>46185</v>
      </c>
      <c r="R821" s="14" t="str">
        <f ca="1">IF(AND(Q821&gt;=TODAY()-WEEKDAY(TODAY(),2)+1,Q821&lt;TODAY()),"SIM","NÃO")</f>
        <v>NÃO</v>
      </c>
    </row>
    <row r="822" spans="1:18" hidden="1">
      <c r="A822" t="s">
        <v>2135</v>
      </c>
      <c r="B822" t="s">
        <v>69</v>
      </c>
      <c r="C822">
        <v>300270722</v>
      </c>
      <c r="D822">
        <v>16217802</v>
      </c>
      <c r="E822" t="s">
        <v>37</v>
      </c>
      <c r="F822" t="s">
        <v>2185</v>
      </c>
      <c r="G822">
        <v>20</v>
      </c>
      <c r="H822" t="s">
        <v>2462</v>
      </c>
      <c r="J822" s="3"/>
      <c r="K822" s="11">
        <v>46185.450370370374</v>
      </c>
      <c r="M822">
        <v>148</v>
      </c>
      <c r="N822" t="s">
        <v>867</v>
      </c>
      <c r="O822" s="5">
        <v>16217802</v>
      </c>
      <c r="P822" s="5" t="s">
        <v>2463</v>
      </c>
      <c r="Q822" s="10">
        <f>INT(Tabela1[[#This Row],[DATA]])</f>
        <v>46185</v>
      </c>
      <c r="R822" s="14" t="str">
        <f ca="1">IF(AND(Q822&gt;=TODAY()-WEEKDAY(TODAY(),2)+1,Q822&lt;TODAY()),"SIM","NÃO")</f>
        <v>NÃO</v>
      </c>
    </row>
    <row r="823" spans="1:18" hidden="1">
      <c r="A823" t="s">
        <v>2135</v>
      </c>
      <c r="B823" t="s">
        <v>69</v>
      </c>
      <c r="C823">
        <v>300261931</v>
      </c>
      <c r="D823">
        <v>16311809</v>
      </c>
      <c r="E823" t="s">
        <v>37</v>
      </c>
      <c r="F823" t="s">
        <v>2464</v>
      </c>
      <c r="G823">
        <v>53</v>
      </c>
      <c r="H823" t="s">
        <v>2137</v>
      </c>
      <c r="J823" s="3" t="s">
        <v>2465</v>
      </c>
      <c r="K823" s="11">
        <v>46185.451736111114</v>
      </c>
      <c r="M823">
        <v>149</v>
      </c>
      <c r="N823" t="s">
        <v>867</v>
      </c>
      <c r="O823" s="5">
        <v>16311809</v>
      </c>
      <c r="P823" s="5" t="s">
        <v>2466</v>
      </c>
      <c r="Q823" s="10">
        <f>INT(Tabela1[[#This Row],[DATA]])</f>
        <v>46185</v>
      </c>
      <c r="R823" s="14" t="str">
        <f ca="1">IF(AND(Q823&gt;=TODAY()-WEEKDAY(TODAY(),2)+1,Q823&lt;TODAY()),"SIM","NÃO")</f>
        <v>NÃO</v>
      </c>
    </row>
    <row r="824" spans="1:18" hidden="1">
      <c r="A824" t="s">
        <v>2135</v>
      </c>
      <c r="B824" t="s">
        <v>69</v>
      </c>
      <c r="C824">
        <v>300271093</v>
      </c>
      <c r="D824">
        <v>16292898</v>
      </c>
      <c r="E824" t="s">
        <v>37</v>
      </c>
      <c r="F824" t="s">
        <v>2467</v>
      </c>
      <c r="G824">
        <v>168</v>
      </c>
      <c r="H824" t="s">
        <v>2468</v>
      </c>
      <c r="J824" s="3" t="s">
        <v>2469</v>
      </c>
      <c r="K824" s="11">
        <v>46185.461597222224</v>
      </c>
      <c r="M824">
        <v>150</v>
      </c>
      <c r="N824" t="s">
        <v>867</v>
      </c>
      <c r="O824" s="5">
        <v>16292898</v>
      </c>
      <c r="P824" s="5" t="s">
        <v>2470</v>
      </c>
      <c r="Q824" s="10">
        <f>INT(Tabela1[[#This Row],[DATA]])</f>
        <v>46185</v>
      </c>
      <c r="R824" s="14" t="str">
        <f ca="1">IF(AND(Q824&gt;=TODAY()-WEEKDAY(TODAY(),2)+1,Q824&lt;TODAY()),"SIM","NÃO")</f>
        <v>NÃO</v>
      </c>
    </row>
    <row r="825" spans="1:18" hidden="1">
      <c r="A825" t="s">
        <v>2234</v>
      </c>
      <c r="B825" t="s">
        <v>112</v>
      </c>
      <c r="C825">
        <v>300271110</v>
      </c>
      <c r="D825">
        <v>16243161</v>
      </c>
      <c r="E825" t="s">
        <v>37</v>
      </c>
      <c r="F825" t="s">
        <v>2471</v>
      </c>
      <c r="G825" t="s">
        <v>2472</v>
      </c>
      <c r="H825" t="s">
        <v>2473</v>
      </c>
      <c r="J825" s="3"/>
      <c r="K825" s="11">
        <v>46185.469953703701</v>
      </c>
      <c r="M825">
        <v>151</v>
      </c>
      <c r="N825" t="s">
        <v>867</v>
      </c>
      <c r="O825" s="5">
        <v>10000191916</v>
      </c>
      <c r="P825" s="5" t="s">
        <v>2474</v>
      </c>
      <c r="Q825" s="10">
        <f>INT(Tabela1[[#This Row],[DATA]])</f>
        <v>46185</v>
      </c>
      <c r="R825" s="14" t="str">
        <f ca="1">IF(AND(Q825&gt;=TODAY()-WEEKDAY(TODAY(),2)+1,Q825&lt;TODAY()),"SIM","NÃO")</f>
        <v>NÃO</v>
      </c>
    </row>
    <row r="826" spans="1:18" hidden="1">
      <c r="A826" t="s">
        <v>2170</v>
      </c>
      <c r="B826" t="s">
        <v>112</v>
      </c>
      <c r="C826">
        <v>300252448</v>
      </c>
      <c r="D826">
        <v>16368150</v>
      </c>
      <c r="E826" t="s">
        <v>45</v>
      </c>
      <c r="F826" t="s">
        <v>2250</v>
      </c>
      <c r="G826">
        <v>57</v>
      </c>
      <c r="H826" t="s">
        <v>1831</v>
      </c>
      <c r="J826" s="3"/>
      <c r="K826" s="11">
        <v>46185.470995370371</v>
      </c>
      <c r="M826">
        <v>152</v>
      </c>
      <c r="N826" t="s">
        <v>867</v>
      </c>
      <c r="O826" s="5">
        <v>0</v>
      </c>
      <c r="P826" s="5" t="s">
        <v>2475</v>
      </c>
      <c r="Q826" s="10">
        <f>INT(Tabela1[[#This Row],[DATA]])</f>
        <v>46185</v>
      </c>
      <c r="R826" s="14" t="str">
        <f ca="1">IF(AND(Q826&gt;=TODAY()-WEEKDAY(TODAY(),2)+1,Q826&lt;TODAY()),"SIM","NÃO")</f>
        <v>NÃO</v>
      </c>
    </row>
    <row r="827" spans="1:18" hidden="1">
      <c r="A827" t="s">
        <v>2135</v>
      </c>
      <c r="B827" t="s">
        <v>69</v>
      </c>
      <c r="C827">
        <v>300271093</v>
      </c>
      <c r="D827">
        <v>16292898</v>
      </c>
      <c r="E827" t="s">
        <v>37</v>
      </c>
      <c r="F827" t="s">
        <v>2476</v>
      </c>
      <c r="G827">
        <v>84</v>
      </c>
      <c r="H827" t="s">
        <v>2137</v>
      </c>
      <c r="J827" s="3"/>
      <c r="K827" s="11">
        <v>46185.471493055556</v>
      </c>
      <c r="M827">
        <v>153</v>
      </c>
      <c r="N827" t="s">
        <v>867</v>
      </c>
      <c r="O827" s="5">
        <v>16292898</v>
      </c>
      <c r="P827" s="5" t="s">
        <v>2477</v>
      </c>
      <c r="Q827" s="10">
        <f>INT(Tabela1[[#This Row],[DATA]])</f>
        <v>46185</v>
      </c>
      <c r="R827" s="14" t="str">
        <f ca="1">IF(AND(Q827&gt;=TODAY()-WEEKDAY(TODAY(),2)+1,Q827&lt;TODAY()),"SIM","NÃO")</f>
        <v>NÃO</v>
      </c>
    </row>
    <row r="828" spans="1:18" hidden="1">
      <c r="A828" t="s">
        <v>2135</v>
      </c>
      <c r="B828" t="s">
        <v>69</v>
      </c>
      <c r="C828">
        <v>300271093</v>
      </c>
      <c r="D828">
        <v>16292898</v>
      </c>
      <c r="E828" t="s">
        <v>37</v>
      </c>
      <c r="F828" t="s">
        <v>2478</v>
      </c>
      <c r="G828">
        <v>42</v>
      </c>
      <c r="H828" t="s">
        <v>2137</v>
      </c>
      <c r="J828" s="3"/>
      <c r="K828" s="11">
        <v>46185.473923611113</v>
      </c>
      <c r="M828">
        <v>154</v>
      </c>
      <c r="N828" t="s">
        <v>867</v>
      </c>
      <c r="O828" s="5">
        <v>16292898</v>
      </c>
      <c r="P828" s="5" t="s">
        <v>2479</v>
      </c>
      <c r="Q828" s="10">
        <f>INT(Tabela1[[#This Row],[DATA]])</f>
        <v>46185</v>
      </c>
      <c r="R828" s="14" t="str">
        <f ca="1">IF(AND(Q828&gt;=TODAY()-WEEKDAY(TODAY(),2)+1,Q828&lt;TODAY()),"SIM","NÃO")</f>
        <v>NÃO</v>
      </c>
    </row>
    <row r="829" spans="1:18" hidden="1">
      <c r="A829" t="s">
        <v>2135</v>
      </c>
      <c r="B829" t="s">
        <v>69</v>
      </c>
      <c r="C829">
        <v>300271093</v>
      </c>
      <c r="D829">
        <v>16292898</v>
      </c>
      <c r="E829" t="s">
        <v>37</v>
      </c>
      <c r="F829" t="s">
        <v>1032</v>
      </c>
      <c r="G829">
        <v>100</v>
      </c>
      <c r="H829" t="s">
        <v>2480</v>
      </c>
      <c r="J829" s="3" t="s">
        <v>1034</v>
      </c>
      <c r="K829" s="11">
        <v>46185.474930555552</v>
      </c>
      <c r="M829">
        <v>155</v>
      </c>
      <c r="N829" t="s">
        <v>867</v>
      </c>
      <c r="O829" s="5">
        <v>16292898</v>
      </c>
      <c r="P829" s="5" t="s">
        <v>2481</v>
      </c>
      <c r="Q829" s="10">
        <f>INT(Tabela1[[#This Row],[DATA]])</f>
        <v>46185</v>
      </c>
      <c r="R829" s="14" t="str">
        <f ca="1">IF(AND(Q829&gt;=TODAY()-WEEKDAY(TODAY(),2)+1,Q829&lt;TODAY()),"SIM","NÃO")</f>
        <v>NÃO</v>
      </c>
    </row>
    <row r="830" spans="1:18" hidden="1">
      <c r="A830" t="s">
        <v>2170</v>
      </c>
      <c r="B830" t="s">
        <v>112</v>
      </c>
      <c r="C830">
        <v>300266586</v>
      </c>
      <c r="D830">
        <v>16526112</v>
      </c>
      <c r="E830" t="s">
        <v>20</v>
      </c>
      <c r="F830" t="s">
        <v>2072</v>
      </c>
      <c r="G830" t="s">
        <v>2482</v>
      </c>
      <c r="H830" t="s">
        <v>2172</v>
      </c>
      <c r="J830" s="3"/>
      <c r="K830" s="11">
        <v>46185.484606481485</v>
      </c>
      <c r="M830">
        <v>156</v>
      </c>
      <c r="N830" t="s">
        <v>878</v>
      </c>
      <c r="O830" s="5">
        <v>0</v>
      </c>
      <c r="P830" s="5" t="s">
        <v>2483</v>
      </c>
      <c r="Q830" s="10">
        <f>INT(Tabela1[[#This Row],[DATA]])</f>
        <v>46185</v>
      </c>
      <c r="R830" s="14" t="str">
        <f ca="1">IF(AND(Q830&gt;=TODAY()-WEEKDAY(TODAY(),2)+1,Q830&lt;TODAY()),"SIM","NÃO")</f>
        <v>NÃO</v>
      </c>
    </row>
    <row r="831" spans="1:18" hidden="1">
      <c r="A831" t="s">
        <v>2067</v>
      </c>
      <c r="B831" t="s">
        <v>74</v>
      </c>
      <c r="C831">
        <v>300270509</v>
      </c>
      <c r="D831">
        <v>15789640</v>
      </c>
      <c r="E831" t="s">
        <v>45</v>
      </c>
      <c r="F831" t="s">
        <v>2484</v>
      </c>
      <c r="G831">
        <v>798</v>
      </c>
      <c r="H831" t="s">
        <v>555</v>
      </c>
      <c r="J831" s="3"/>
      <c r="K831" s="11">
        <v>46185.485266203701</v>
      </c>
      <c r="M831">
        <v>157</v>
      </c>
      <c r="N831" t="s">
        <v>867</v>
      </c>
      <c r="O831" s="5">
        <v>0</v>
      </c>
      <c r="P831" s="5" t="s">
        <v>2485</v>
      </c>
      <c r="Q831" s="10">
        <f>INT(Tabela1[[#This Row],[DATA]])</f>
        <v>46185</v>
      </c>
      <c r="R831" s="14" t="str">
        <f ca="1">IF(AND(Q831&gt;=TODAY()-WEEKDAY(TODAY(),2)+1,Q831&lt;TODAY()),"SIM","NÃO")</f>
        <v>NÃO</v>
      </c>
    </row>
    <row r="832" spans="1:18" hidden="1">
      <c r="A832" t="s">
        <v>2067</v>
      </c>
      <c r="B832" t="s">
        <v>74</v>
      </c>
      <c r="C832">
        <v>300266587</v>
      </c>
      <c r="D832">
        <v>16526112</v>
      </c>
      <c r="E832" t="s">
        <v>20</v>
      </c>
      <c r="F832" t="s">
        <v>2484</v>
      </c>
      <c r="G832">
        <v>59</v>
      </c>
      <c r="H832" t="s">
        <v>2486</v>
      </c>
      <c r="J832" s="3"/>
      <c r="K832" s="11">
        <v>46185.48841435185</v>
      </c>
      <c r="M832">
        <v>158</v>
      </c>
      <c r="N832" t="s">
        <v>867</v>
      </c>
      <c r="O832" s="5">
        <v>0</v>
      </c>
      <c r="P832" s="5" t="s">
        <v>2487</v>
      </c>
      <c r="Q832" s="10">
        <f>INT(Tabela1[[#This Row],[DATA]])</f>
        <v>46185</v>
      </c>
      <c r="R832" s="14" t="str">
        <f ca="1">IF(AND(Q832&gt;=TODAY()-WEEKDAY(TODAY(),2)+1,Q832&lt;TODAY()),"SIM","NÃO")</f>
        <v>NÃO</v>
      </c>
    </row>
    <row r="833" spans="1:18" hidden="1">
      <c r="A833" t="s">
        <v>2488</v>
      </c>
      <c r="B833" t="s">
        <v>900</v>
      </c>
      <c r="C833">
        <v>300268951</v>
      </c>
      <c r="D833">
        <v>16518730</v>
      </c>
      <c r="E833" t="s">
        <v>37</v>
      </c>
      <c r="F833" t="s">
        <v>2489</v>
      </c>
      <c r="G833">
        <v>10</v>
      </c>
      <c r="H833" t="s">
        <v>655</v>
      </c>
      <c r="J833" s="3" t="s">
        <v>2490</v>
      </c>
      <c r="K833" s="11">
        <v>46185.568692129629</v>
      </c>
      <c r="M833">
        <v>159</v>
      </c>
      <c r="N833" t="s">
        <v>867</v>
      </c>
      <c r="O833" s="5">
        <v>0</v>
      </c>
      <c r="P833" s="5" t="s">
        <v>2491</v>
      </c>
      <c r="Q833" s="10">
        <f>INT(Tabela1[[#This Row],[DATA]])</f>
        <v>46185</v>
      </c>
      <c r="R833" s="14" t="str">
        <f ca="1">IF(AND(Q833&gt;=TODAY()-WEEKDAY(TODAY(),2)+1,Q833&lt;TODAY()),"SIM","NÃO")</f>
        <v>NÃO</v>
      </c>
    </row>
    <row r="834" spans="1:18" hidden="1">
      <c r="A834" t="s">
        <v>2259</v>
      </c>
      <c r="B834" t="s">
        <v>306</v>
      </c>
      <c r="C834">
        <v>300271535</v>
      </c>
      <c r="D834">
        <v>16243161</v>
      </c>
      <c r="E834" t="s">
        <v>37</v>
      </c>
      <c r="F834" t="s">
        <v>113</v>
      </c>
      <c r="G834" t="s">
        <v>2208</v>
      </c>
      <c r="H834" t="s">
        <v>2492</v>
      </c>
      <c r="J834" s="3" t="s">
        <v>2493</v>
      </c>
      <c r="K834" s="11">
        <v>46185.600486111114</v>
      </c>
      <c r="M834">
        <v>160</v>
      </c>
      <c r="N834" t="s">
        <v>867</v>
      </c>
      <c r="O834" s="5">
        <v>10000191916</v>
      </c>
      <c r="P834" s="5" t="s">
        <v>2494</v>
      </c>
      <c r="Q834" s="10">
        <f>INT(Tabela1[[#This Row],[DATA]])</f>
        <v>46185</v>
      </c>
      <c r="R834" s="14" t="str">
        <f ca="1">IF(AND(Q834&gt;=TODAY()-WEEKDAY(TODAY(),2)+1,Q834&lt;TODAY()),"SIM","NÃO")</f>
        <v>NÃO</v>
      </c>
    </row>
    <row r="835" spans="1:18" hidden="1">
      <c r="A835" t="s">
        <v>2259</v>
      </c>
      <c r="B835" t="s">
        <v>306</v>
      </c>
      <c r="C835">
        <v>300271535</v>
      </c>
      <c r="D835">
        <v>16243161</v>
      </c>
      <c r="E835" t="s">
        <v>37</v>
      </c>
      <c r="F835" t="s">
        <v>113</v>
      </c>
      <c r="G835" t="s">
        <v>2208</v>
      </c>
      <c r="H835" t="s">
        <v>2492</v>
      </c>
      <c r="J835" s="3" t="s">
        <v>2495</v>
      </c>
      <c r="K835" s="11">
        <v>46185.602187500001</v>
      </c>
      <c r="M835">
        <v>161</v>
      </c>
      <c r="N835" t="s">
        <v>867</v>
      </c>
      <c r="O835" s="5">
        <v>10000073238</v>
      </c>
      <c r="P835" s="5" t="s">
        <v>2496</v>
      </c>
      <c r="Q835" s="10">
        <f>INT(Tabela1[[#This Row],[DATA]])</f>
        <v>46185</v>
      </c>
      <c r="R835" s="14" t="str">
        <f ca="1">IF(AND(Q835&gt;=TODAY()-WEEKDAY(TODAY(),2)+1,Q835&lt;TODAY()),"SIM","NÃO")</f>
        <v>NÃO</v>
      </c>
    </row>
    <row r="836" spans="1:18" hidden="1">
      <c r="A836" t="s">
        <v>2497</v>
      </c>
      <c r="B836" t="s">
        <v>112</v>
      </c>
      <c r="C836">
        <v>300253184</v>
      </c>
      <c r="D836">
        <v>16368045</v>
      </c>
      <c r="E836" t="s">
        <v>45</v>
      </c>
      <c r="F836" t="s">
        <v>2235</v>
      </c>
      <c r="G836">
        <v>429</v>
      </c>
      <c r="H836" t="s">
        <v>2101</v>
      </c>
      <c r="J836" s="3"/>
      <c r="K836" s="11">
        <v>46185.643020833333</v>
      </c>
      <c r="M836">
        <v>162</v>
      </c>
      <c r="N836" t="s">
        <v>878</v>
      </c>
      <c r="O836" s="5">
        <v>0</v>
      </c>
      <c r="P836" s="5" t="s">
        <v>2498</v>
      </c>
      <c r="Q836" s="10">
        <f>INT(Tabela1[[#This Row],[DATA]])</f>
        <v>46185</v>
      </c>
      <c r="R836" s="14" t="str">
        <f ca="1">IF(AND(Q836&gt;=TODAY()-WEEKDAY(TODAY(),2)+1,Q836&lt;TODAY()),"SIM","NÃO")</f>
        <v>NÃO</v>
      </c>
    </row>
    <row r="837" spans="1:18" hidden="1">
      <c r="A837" t="s">
        <v>2499</v>
      </c>
      <c r="B837" t="s">
        <v>55</v>
      </c>
      <c r="C837">
        <v>300269773</v>
      </c>
      <c r="D837">
        <v>15775496</v>
      </c>
      <c r="E837" t="s">
        <v>37</v>
      </c>
      <c r="F837" t="s">
        <v>2500</v>
      </c>
      <c r="G837">
        <v>10</v>
      </c>
      <c r="H837" t="s">
        <v>2501</v>
      </c>
      <c r="J837" s="3" t="s">
        <v>2502</v>
      </c>
      <c r="K837" s="11">
        <v>46185.645312499997</v>
      </c>
      <c r="M837">
        <v>164</v>
      </c>
      <c r="N837" t="s">
        <v>867</v>
      </c>
      <c r="O837" s="5">
        <v>10000245278</v>
      </c>
      <c r="P837" s="5" t="s">
        <v>2503</v>
      </c>
      <c r="Q837" s="10">
        <f>INT(Tabela1[[#This Row],[DATA]])</f>
        <v>46185</v>
      </c>
      <c r="R837" s="14" t="str">
        <f ca="1">IF(AND(Q837&gt;=TODAY()-WEEKDAY(TODAY(),2)+1,Q837&lt;TODAY()),"SIM","NÃO")</f>
        <v>NÃO</v>
      </c>
    </row>
    <row r="838" spans="1:18" hidden="1">
      <c r="A838" t="s">
        <v>2032</v>
      </c>
      <c r="B838" t="s">
        <v>822</v>
      </c>
      <c r="C838">
        <v>300270706</v>
      </c>
      <c r="D838">
        <v>16217942</v>
      </c>
      <c r="E838" t="s">
        <v>37</v>
      </c>
      <c r="F838" t="s">
        <v>2504</v>
      </c>
      <c r="G838">
        <v>5</v>
      </c>
      <c r="H838" t="s">
        <v>1335</v>
      </c>
      <c r="J838" s="3"/>
      <c r="K838" s="11">
        <v>46185.650358796294</v>
      </c>
      <c r="M838">
        <v>165</v>
      </c>
      <c r="N838" t="s">
        <v>867</v>
      </c>
      <c r="O838" s="5">
        <v>90756012000</v>
      </c>
      <c r="P838" s="5" t="s">
        <v>2505</v>
      </c>
      <c r="Q838" s="10">
        <f>INT(Tabela1[[#This Row],[DATA]])</f>
        <v>46185</v>
      </c>
      <c r="R838" s="14" t="str">
        <f ca="1">IF(AND(Q838&gt;=TODAY()-WEEKDAY(TODAY(),2)+1,Q838&lt;TODAY()),"SIM","NÃO")</f>
        <v>NÃO</v>
      </c>
    </row>
    <row r="839" spans="1:18" hidden="1">
      <c r="A839" t="s">
        <v>2289</v>
      </c>
      <c r="B839" t="s">
        <v>164</v>
      </c>
      <c r="C839">
        <v>300268599</v>
      </c>
      <c r="D839">
        <v>16226852</v>
      </c>
      <c r="E839" t="s">
        <v>29</v>
      </c>
      <c r="F839" t="s">
        <v>291</v>
      </c>
      <c r="G839">
        <v>400</v>
      </c>
      <c r="H839" t="s">
        <v>2506</v>
      </c>
      <c r="J839" s="3" t="s">
        <v>2507</v>
      </c>
      <c r="K839" s="11">
        <v>46185.666319444441</v>
      </c>
      <c r="M839">
        <v>166</v>
      </c>
      <c r="N839" t="s">
        <v>867</v>
      </c>
      <c r="O839" s="5">
        <v>0</v>
      </c>
      <c r="P839" s="5" t="s">
        <v>2508</v>
      </c>
      <c r="Q839" s="10">
        <f>INT(Tabela1[[#This Row],[DATA]])</f>
        <v>46185</v>
      </c>
      <c r="R839" s="14" t="str">
        <f ca="1">IF(AND(Q839&gt;=TODAY()-WEEKDAY(TODAY(),2)+1,Q839&lt;TODAY()),"SIM","NÃO")</f>
        <v>NÃO</v>
      </c>
    </row>
    <row r="840" spans="1:18" hidden="1">
      <c r="A840" t="s">
        <v>2217</v>
      </c>
      <c r="B840" t="s">
        <v>542</v>
      </c>
      <c r="C840">
        <v>300270796</v>
      </c>
      <c r="D840">
        <v>16441354</v>
      </c>
      <c r="E840" t="s">
        <v>45</v>
      </c>
      <c r="F840" t="s">
        <v>2509</v>
      </c>
      <c r="G840">
        <v>65</v>
      </c>
      <c r="H840" t="s">
        <v>2219</v>
      </c>
      <c r="J840" s="3" t="s">
        <v>2510</v>
      </c>
      <c r="K840" s="11">
        <v>46185.672048611108</v>
      </c>
      <c r="M840">
        <v>167</v>
      </c>
      <c r="N840" t="s">
        <v>867</v>
      </c>
      <c r="O840" s="5">
        <v>0</v>
      </c>
      <c r="P840" s="5" t="s">
        <v>2511</v>
      </c>
      <c r="Q840" s="10">
        <f>INT(Tabela1[[#This Row],[DATA]])</f>
        <v>46185</v>
      </c>
      <c r="R840" s="14" t="str">
        <f ca="1">IF(AND(Q840&gt;=TODAY()-WEEKDAY(TODAY(),2)+1,Q840&lt;TODAY()),"SIM","NÃO")</f>
        <v>NÃO</v>
      </c>
    </row>
    <row r="841" spans="1:18" hidden="1">
      <c r="A841" t="s">
        <v>2512</v>
      </c>
      <c r="B841" t="s">
        <v>2513</v>
      </c>
      <c r="C841">
        <v>300267081</v>
      </c>
      <c r="D841">
        <v>16457340</v>
      </c>
      <c r="E841" t="s">
        <v>45</v>
      </c>
      <c r="F841" t="s">
        <v>2514</v>
      </c>
      <c r="G841">
        <v>12</v>
      </c>
      <c r="H841" t="s">
        <v>2515</v>
      </c>
      <c r="J841" s="3"/>
      <c r="K841" s="11">
        <v>46185.673229166663</v>
      </c>
      <c r="M841">
        <v>168</v>
      </c>
      <c r="N841" t="s">
        <v>867</v>
      </c>
      <c r="O841" s="5">
        <v>0</v>
      </c>
      <c r="P841" s="5" t="s">
        <v>2516</v>
      </c>
      <c r="Q841" s="10">
        <f>INT(Tabela1[[#This Row],[DATA]])</f>
        <v>46185</v>
      </c>
      <c r="R841" s="14" t="str">
        <f ca="1">IF(AND(Q841&gt;=TODAY()-WEEKDAY(TODAY(),2)+1,Q841&lt;TODAY()),"SIM","NÃO")</f>
        <v>NÃO</v>
      </c>
    </row>
    <row r="842" spans="1:18" hidden="1">
      <c r="A842" t="s">
        <v>2114</v>
      </c>
      <c r="B842" t="s">
        <v>164</v>
      </c>
      <c r="C842">
        <v>300267081</v>
      </c>
      <c r="D842">
        <v>16457340</v>
      </c>
      <c r="E842" t="s">
        <v>45</v>
      </c>
      <c r="F842" t="s">
        <v>2514</v>
      </c>
      <c r="G842">
        <v>12</v>
      </c>
      <c r="H842" t="s">
        <v>2517</v>
      </c>
      <c r="J842" s="3" t="s">
        <v>2518</v>
      </c>
      <c r="K842" s="11">
        <v>46185.675740740742</v>
      </c>
      <c r="M842">
        <v>169</v>
      </c>
      <c r="N842" t="s">
        <v>867</v>
      </c>
      <c r="O842" s="5">
        <v>0</v>
      </c>
      <c r="P842" s="5" t="s">
        <v>2519</v>
      </c>
      <c r="Q842" s="10">
        <f>INT(Tabela1[[#This Row],[DATA]])</f>
        <v>46185</v>
      </c>
      <c r="R842" s="14" t="str">
        <f ca="1">IF(AND(Q842&gt;=TODAY()-WEEKDAY(TODAY(),2)+1,Q842&lt;TODAY()),"SIM","NÃO")</f>
        <v>NÃO</v>
      </c>
    </row>
    <row r="843" spans="1:18" hidden="1">
      <c r="A843" t="s">
        <v>2520</v>
      </c>
      <c r="B843" t="s">
        <v>2521</v>
      </c>
      <c r="C843">
        <v>300270779</v>
      </c>
      <c r="D843">
        <v>16218299</v>
      </c>
      <c r="E843" t="s">
        <v>37</v>
      </c>
      <c r="F843" t="s">
        <v>2522</v>
      </c>
      <c r="G843" t="s">
        <v>2523</v>
      </c>
      <c r="H843" t="s">
        <v>2524</v>
      </c>
      <c r="J843" s="3" t="s">
        <v>2525</v>
      </c>
      <c r="K843" s="11">
        <v>46185.679363425923</v>
      </c>
      <c r="M843">
        <v>170</v>
      </c>
      <c r="N843" t="s">
        <v>867</v>
      </c>
      <c r="O843" s="5">
        <v>0</v>
      </c>
      <c r="P843" s="5" t="s">
        <v>2526</v>
      </c>
      <c r="Q843" s="10">
        <f>INT(Tabela1[[#This Row],[DATA]])</f>
        <v>46185</v>
      </c>
      <c r="R843" s="14" t="str">
        <f ca="1">IF(AND(Q843&gt;=TODAY()-WEEKDAY(TODAY(),2)+1,Q843&lt;TODAY()),"SIM","NÃO")</f>
        <v>NÃO</v>
      </c>
    </row>
    <row r="844" spans="1:18" hidden="1">
      <c r="A844" t="s">
        <v>2527</v>
      </c>
      <c r="B844" t="s">
        <v>1836</v>
      </c>
      <c r="C844">
        <v>300266626</v>
      </c>
      <c r="D844">
        <v>16474090</v>
      </c>
      <c r="E844" t="s">
        <v>37</v>
      </c>
      <c r="F844" t="s">
        <v>2528</v>
      </c>
      <c r="G844">
        <v>128</v>
      </c>
      <c r="H844" t="s">
        <v>2529</v>
      </c>
      <c r="J844" s="3"/>
      <c r="K844" s="11">
        <v>46185.682939814818</v>
      </c>
      <c r="M844">
        <v>163</v>
      </c>
      <c r="N844" t="s">
        <v>878</v>
      </c>
      <c r="O844" s="5">
        <v>100000127410</v>
      </c>
      <c r="P844" s="5" t="s">
        <v>2530</v>
      </c>
      <c r="Q844" s="10">
        <f>INT(Tabela1[[#This Row],[DATA]])</f>
        <v>46185</v>
      </c>
      <c r="R844" s="14" t="str">
        <f ca="1">IF(AND(Q844&gt;=TODAY()-WEEKDAY(TODAY(),2)+1,Q844&lt;TODAY()),"SIM","NÃO")</f>
        <v>NÃO</v>
      </c>
    </row>
    <row r="845" spans="1:18" hidden="1">
      <c r="A845" t="s">
        <v>2355</v>
      </c>
      <c r="B845" t="s">
        <v>36</v>
      </c>
      <c r="C845">
        <v>300271094</v>
      </c>
      <c r="D845">
        <v>16292898</v>
      </c>
      <c r="E845" t="s">
        <v>37</v>
      </c>
      <c r="F845" t="s">
        <v>2531</v>
      </c>
      <c r="G845">
        <v>4</v>
      </c>
      <c r="H845" t="s">
        <v>2532</v>
      </c>
      <c r="J845" s="3" t="s">
        <v>2533</v>
      </c>
      <c r="K845" s="11">
        <v>46185.688657407409</v>
      </c>
      <c r="M845">
        <v>171</v>
      </c>
      <c r="N845" t="s">
        <v>867</v>
      </c>
      <c r="O845" s="5">
        <v>10000073405</v>
      </c>
      <c r="P845" s="5" t="s">
        <v>2534</v>
      </c>
      <c r="Q845" s="10">
        <f>INT(Tabela1[[#This Row],[DATA]])</f>
        <v>46185</v>
      </c>
      <c r="R845" s="14" t="str">
        <f ca="1">IF(AND(Q845&gt;=TODAY()-WEEKDAY(TODAY(),2)+1,Q845&lt;TODAY()),"SIM","NÃO")</f>
        <v>NÃO</v>
      </c>
    </row>
    <row r="846" spans="1:18" hidden="1">
      <c r="A846" t="s">
        <v>2535</v>
      </c>
      <c r="B846" t="s">
        <v>2536</v>
      </c>
      <c r="C846">
        <v>300267045</v>
      </c>
      <c r="D846">
        <v>16447549</v>
      </c>
      <c r="E846" t="s">
        <v>37</v>
      </c>
      <c r="F846" t="s">
        <v>2537</v>
      </c>
      <c r="G846">
        <v>45</v>
      </c>
      <c r="H846" t="s">
        <v>2538</v>
      </c>
      <c r="J846" s="3" t="s">
        <v>2539</v>
      </c>
      <c r="K846" s="11">
        <v>46185.701458333337</v>
      </c>
      <c r="M846">
        <v>172</v>
      </c>
      <c r="N846" t="s">
        <v>867</v>
      </c>
      <c r="O846" s="5">
        <v>10000122070</v>
      </c>
      <c r="P846" s="5" t="s">
        <v>2540</v>
      </c>
      <c r="Q846" s="10">
        <f>INT(Tabela1[[#This Row],[DATA]])</f>
        <v>46185</v>
      </c>
      <c r="R846" s="14" t="str">
        <f ca="1">IF(AND(Q846&gt;=TODAY()-WEEKDAY(TODAY(),2)+1,Q846&lt;TODAY()),"SIM","NÃO")</f>
        <v>NÃO</v>
      </c>
    </row>
    <row r="847" spans="1:18" hidden="1">
      <c r="A847" s="6" t="s">
        <v>2541</v>
      </c>
      <c r="B847" t="s">
        <v>388</v>
      </c>
      <c r="C847">
        <v>300270501</v>
      </c>
      <c r="D847">
        <v>16491998</v>
      </c>
      <c r="E847" t="s">
        <v>45</v>
      </c>
      <c r="F847" s="6" t="s">
        <v>513</v>
      </c>
      <c r="G847">
        <v>1104</v>
      </c>
      <c r="H847" t="s">
        <v>2155</v>
      </c>
      <c r="J847" s="3"/>
      <c r="K847" s="11">
        <v>46185.722696759258</v>
      </c>
      <c r="M847">
        <v>173</v>
      </c>
      <c r="N847" t="s">
        <v>878</v>
      </c>
      <c r="O847" s="5">
        <v>0</v>
      </c>
      <c r="P847" s="5" t="s">
        <v>2542</v>
      </c>
      <c r="Q847" s="10">
        <f>INT(Tabela1[[#This Row],[DATA]])</f>
        <v>46185</v>
      </c>
      <c r="R847" s="14" t="str">
        <f ca="1">IF(AND(Q847&gt;=TODAY()-WEEKDAY(TODAY(),2)+1,Q847&lt;TODAY()),"SIM","NÃO")</f>
        <v>NÃO</v>
      </c>
    </row>
    <row r="848" spans="1:18" hidden="1">
      <c r="A848" s="7" t="s">
        <v>2543</v>
      </c>
      <c r="B848" t="s">
        <v>28</v>
      </c>
      <c r="C848">
        <v>300267045</v>
      </c>
      <c r="D848">
        <v>16447549</v>
      </c>
      <c r="E848" t="s">
        <v>37</v>
      </c>
      <c r="F848" s="7" t="s">
        <v>323</v>
      </c>
      <c r="G848">
        <v>45</v>
      </c>
      <c r="H848" t="s">
        <v>2544</v>
      </c>
      <c r="J848" s="3" t="s">
        <v>2545</v>
      </c>
      <c r="K848" s="11">
        <v>46185.723634259259</v>
      </c>
      <c r="M848">
        <v>174</v>
      </c>
      <c r="N848" t="s">
        <v>867</v>
      </c>
      <c r="O848" s="5">
        <v>10000122070</v>
      </c>
      <c r="P848" s="5" t="s">
        <v>2546</v>
      </c>
      <c r="Q848" s="10">
        <f>INT(Tabela1[[#This Row],[DATA]])</f>
        <v>46185</v>
      </c>
      <c r="R848" s="14" t="str">
        <f ca="1">IF(AND(Q848&gt;=TODAY()-WEEKDAY(TODAY(),2)+1,Q848&lt;TODAY()),"SIM","NÃO")</f>
        <v>NÃO</v>
      </c>
    </row>
    <row r="849" spans="1:18" hidden="1">
      <c r="A849" s="8" t="s">
        <v>2547</v>
      </c>
      <c r="B849" t="s">
        <v>1582</v>
      </c>
      <c r="C849">
        <v>300269070</v>
      </c>
      <c r="D849">
        <v>14700328</v>
      </c>
      <c r="E849" t="s">
        <v>45</v>
      </c>
      <c r="F849" s="8" t="s">
        <v>151</v>
      </c>
      <c r="G849">
        <v>5</v>
      </c>
      <c r="H849" t="s">
        <v>2548</v>
      </c>
      <c r="J849" s="3" t="s">
        <v>2548</v>
      </c>
      <c r="K849" s="11">
        <v>46186.384340277778</v>
      </c>
      <c r="M849">
        <v>175</v>
      </c>
      <c r="N849" t="s">
        <v>867</v>
      </c>
      <c r="O849" s="5">
        <v>0</v>
      </c>
      <c r="P849" s="5"/>
      <c r="Q849" s="10">
        <f>INT(Tabela1[[#This Row],[DATA]])</f>
        <v>46186</v>
      </c>
      <c r="R849" s="14" t="str">
        <f ca="1">IF(AND(Q849&gt;=TODAY()-WEEKDAY(TODAY(),2)+1,Q849&lt;TODAY()),"SIM","NÃO")</f>
        <v>NÃO</v>
      </c>
    </row>
    <row r="850" spans="1:18" hidden="1">
      <c r="A850" s="8" t="s">
        <v>2549</v>
      </c>
      <c r="B850" t="s">
        <v>19</v>
      </c>
      <c r="C850">
        <v>300272654</v>
      </c>
      <c r="D850">
        <v>16554400</v>
      </c>
      <c r="E850" t="s">
        <v>20</v>
      </c>
      <c r="F850" s="8" t="s">
        <v>113</v>
      </c>
      <c r="G850">
        <v>7</v>
      </c>
      <c r="H850" t="s">
        <v>2550</v>
      </c>
      <c r="J850" s="3" t="s">
        <v>2550</v>
      </c>
      <c r="K850" s="11">
        <v>46186.664224537039</v>
      </c>
      <c r="M850">
        <v>176</v>
      </c>
      <c r="N850" t="s">
        <v>878</v>
      </c>
      <c r="O850" s="5">
        <v>100000630</v>
      </c>
      <c r="P850" s="5"/>
      <c r="Q850" s="10">
        <f>INT(Tabela1[[#This Row],[DATA]])</f>
        <v>46186</v>
      </c>
      <c r="R850" s="14" t="str">
        <f ca="1">IF(AND(Q850&gt;=TODAY()-WEEKDAY(TODAY(),2)+1,Q850&lt;TODAY()),"SIM","NÃO")</f>
        <v>NÃO</v>
      </c>
    </row>
    <row r="851" spans="1:18" hidden="1">
      <c r="A851" s="8" t="s">
        <v>2551</v>
      </c>
      <c r="B851" t="s">
        <v>274</v>
      </c>
      <c r="C851">
        <v>300270903</v>
      </c>
      <c r="D851">
        <v>15690210</v>
      </c>
      <c r="E851" t="s">
        <v>37</v>
      </c>
      <c r="F851" s="8" t="s">
        <v>90</v>
      </c>
      <c r="G851">
        <v>10</v>
      </c>
      <c r="H851" t="s">
        <v>2552</v>
      </c>
      <c r="J851" s="3"/>
      <c r="K851" s="11">
        <v>46188.309305555558</v>
      </c>
      <c r="M851">
        <v>177</v>
      </c>
      <c r="N851" t="s">
        <v>867</v>
      </c>
      <c r="O851" s="5">
        <v>0</v>
      </c>
      <c r="P851" s="5"/>
      <c r="Q851" s="10">
        <f>INT(Tabela1[[#This Row],[DATA]])</f>
        <v>46188</v>
      </c>
      <c r="R851" s="14" t="str">
        <f ca="1">IF(AND(Q851&gt;=TODAY()-WEEKDAY(TODAY(),2)+1,Q851&lt;TODAY()),"SIM","NÃO")</f>
        <v>NÃO</v>
      </c>
    </row>
    <row r="852" spans="1:18" hidden="1">
      <c r="A852" s="8" t="s">
        <v>143</v>
      </c>
      <c r="B852" t="s">
        <v>144</v>
      </c>
      <c r="C852">
        <v>300270501</v>
      </c>
      <c r="D852">
        <v>16491998</v>
      </c>
      <c r="E852" t="s">
        <v>45</v>
      </c>
      <c r="F852" s="8" t="s">
        <v>513</v>
      </c>
      <c r="G852">
        <v>1104</v>
      </c>
      <c r="H852" t="s">
        <v>2553</v>
      </c>
      <c r="J852" s="3"/>
      <c r="K852" s="11">
        <v>46188.314004629632</v>
      </c>
      <c r="M852">
        <v>178</v>
      </c>
      <c r="N852" t="s">
        <v>878</v>
      </c>
      <c r="O852" s="5">
        <v>0</v>
      </c>
      <c r="P852" s="5"/>
      <c r="Q852" s="10">
        <f>INT(Tabela1[[#This Row],[DATA]])</f>
        <v>46188</v>
      </c>
      <c r="R852" s="14" t="str">
        <f ca="1">IF(AND(Q852&gt;=TODAY()-WEEKDAY(TODAY(),2)+1,Q852&lt;TODAY()),"SIM","NÃO")</f>
        <v>NÃO</v>
      </c>
    </row>
    <row r="853" spans="1:18" hidden="1">
      <c r="A853" s="8" t="s">
        <v>2554</v>
      </c>
      <c r="B853" t="s">
        <v>150</v>
      </c>
      <c r="C853">
        <v>300271101</v>
      </c>
      <c r="D853">
        <v>16292987</v>
      </c>
      <c r="E853" t="s">
        <v>37</v>
      </c>
      <c r="F853" s="8" t="s">
        <v>90</v>
      </c>
      <c r="G853">
        <v>1</v>
      </c>
      <c r="H853" t="s">
        <v>655</v>
      </c>
      <c r="J853" s="3" t="s">
        <v>2555</v>
      </c>
      <c r="K853" s="11">
        <v>46188.317442129628</v>
      </c>
      <c r="M853">
        <v>179</v>
      </c>
      <c r="N853" t="s">
        <v>878</v>
      </c>
      <c r="O853" s="5">
        <v>1</v>
      </c>
      <c r="P853" s="5"/>
      <c r="Q853" s="10">
        <f>INT(Tabela1[[#This Row],[DATA]])</f>
        <v>46188</v>
      </c>
      <c r="R853" s="14" t="str">
        <f ca="1">IF(AND(Q853&gt;=TODAY()-WEEKDAY(TODAY(),2)+1,Q853&lt;TODAY()),"SIM","NÃO")</f>
        <v>NÃO</v>
      </c>
    </row>
    <row r="854" spans="1:18" hidden="1">
      <c r="A854" s="8" t="s">
        <v>111</v>
      </c>
      <c r="B854" t="s">
        <v>112</v>
      </c>
      <c r="C854">
        <v>300266586</v>
      </c>
      <c r="D854">
        <v>16526112</v>
      </c>
      <c r="E854" t="s">
        <v>20</v>
      </c>
      <c r="F854" s="8" t="s">
        <v>543</v>
      </c>
      <c r="G854">
        <v>28</v>
      </c>
      <c r="H854" t="s">
        <v>1831</v>
      </c>
      <c r="J854" s="3"/>
      <c r="K854" s="11">
        <v>46188.318136574075</v>
      </c>
      <c r="M854">
        <v>180</v>
      </c>
      <c r="N854" t="s">
        <v>867</v>
      </c>
      <c r="O854" s="5">
        <v>0</v>
      </c>
      <c r="P854" s="5"/>
      <c r="Q854" s="10">
        <f>INT(Tabela1[[#This Row],[DATA]])</f>
        <v>46188</v>
      </c>
      <c r="R854" s="14" t="str">
        <f ca="1">IF(AND(Q854&gt;=TODAY()-WEEKDAY(TODAY(),2)+1,Q854&lt;TODAY()),"SIM","NÃO")</f>
        <v>NÃO</v>
      </c>
    </row>
    <row r="855" spans="1:18" hidden="1">
      <c r="A855" s="8" t="s">
        <v>143</v>
      </c>
      <c r="B855" t="s">
        <v>144</v>
      </c>
      <c r="C855">
        <v>300270501</v>
      </c>
      <c r="D855">
        <v>16491998</v>
      </c>
      <c r="E855" t="s">
        <v>45</v>
      </c>
      <c r="F855" s="8" t="s">
        <v>1287</v>
      </c>
      <c r="G855">
        <v>10</v>
      </c>
      <c r="H855" t="s">
        <v>644</v>
      </c>
      <c r="J855" s="3"/>
      <c r="K855" s="11">
        <v>46188.318854166668</v>
      </c>
      <c r="M855">
        <v>181</v>
      </c>
      <c r="N855" t="s">
        <v>878</v>
      </c>
      <c r="O855" s="5">
        <v>0</v>
      </c>
      <c r="P855" s="5"/>
      <c r="Q855" s="10">
        <f>INT(Tabela1[[#This Row],[DATA]])</f>
        <v>46188</v>
      </c>
      <c r="R855" s="14" t="str">
        <f ca="1">IF(AND(Q855&gt;=TODAY()-WEEKDAY(TODAY(),2)+1,Q855&lt;TODAY()),"SIM","NÃO")</f>
        <v>NÃO</v>
      </c>
    </row>
    <row r="856" spans="1:18" hidden="1">
      <c r="A856" s="8" t="s">
        <v>685</v>
      </c>
      <c r="B856" t="s">
        <v>686</v>
      </c>
      <c r="C856">
        <v>300248762</v>
      </c>
      <c r="D856">
        <v>16247388</v>
      </c>
      <c r="E856" t="s">
        <v>37</v>
      </c>
      <c r="F856" s="8" t="s">
        <v>2556</v>
      </c>
      <c r="G856">
        <v>15</v>
      </c>
      <c r="H856" t="s">
        <v>2557</v>
      </c>
      <c r="J856" s="3"/>
      <c r="K856" s="11">
        <v>46188.325613425928</v>
      </c>
      <c r="M856">
        <v>182</v>
      </c>
      <c r="N856" t="s">
        <v>867</v>
      </c>
      <c r="O856" s="5">
        <v>10000212094</v>
      </c>
      <c r="P856" s="5"/>
      <c r="Q856" s="10">
        <f>INT(Tabela1[[#This Row],[DATA]])</f>
        <v>46188</v>
      </c>
      <c r="R856" s="14" t="str">
        <f ca="1">IF(AND(Q856&gt;=TODAY()-WEEKDAY(TODAY(),2)+1,Q856&lt;TODAY()),"SIM","NÃO")</f>
        <v>NÃO</v>
      </c>
    </row>
    <row r="857" spans="1:18" hidden="1">
      <c r="A857" s="8" t="s">
        <v>685</v>
      </c>
      <c r="B857" t="s">
        <v>686</v>
      </c>
      <c r="C857">
        <v>300261034</v>
      </c>
      <c r="D857">
        <v>16285417</v>
      </c>
      <c r="E857" t="s">
        <v>37</v>
      </c>
      <c r="F857" s="8" t="s">
        <v>113</v>
      </c>
      <c r="G857">
        <v>300</v>
      </c>
      <c r="H857" t="s">
        <v>2558</v>
      </c>
      <c r="J857" s="3"/>
      <c r="K857" s="11">
        <v>46188.327685185184</v>
      </c>
      <c r="M857">
        <v>183</v>
      </c>
      <c r="N857" t="s">
        <v>867</v>
      </c>
      <c r="O857" s="5">
        <v>10000185491</v>
      </c>
      <c r="P857" s="5"/>
      <c r="Q857" s="10">
        <f>INT(Tabela1[[#This Row],[DATA]])</f>
        <v>46188</v>
      </c>
      <c r="R857" s="14" t="str">
        <f ca="1">IF(AND(Q857&gt;=TODAY()-WEEKDAY(TODAY(),2)+1,Q857&lt;TODAY()),"SIM","NÃO")</f>
        <v>NÃO</v>
      </c>
    </row>
    <row r="858" spans="1:18" hidden="1">
      <c r="A858" s="8" t="s">
        <v>2177</v>
      </c>
      <c r="B858" t="s">
        <v>1073</v>
      </c>
      <c r="C858">
        <v>300260170</v>
      </c>
      <c r="D858">
        <v>15762831</v>
      </c>
      <c r="E858" t="s">
        <v>37</v>
      </c>
      <c r="F858" s="8" t="s">
        <v>651</v>
      </c>
      <c r="G858">
        <v>480</v>
      </c>
      <c r="H858" t="s">
        <v>2559</v>
      </c>
      <c r="J858" s="3" t="s">
        <v>2560</v>
      </c>
      <c r="K858" s="11">
        <v>46188.341631944444</v>
      </c>
      <c r="M858">
        <v>184</v>
      </c>
      <c r="N858" t="s">
        <v>867</v>
      </c>
      <c r="O858" s="5" t="s">
        <v>2561</v>
      </c>
      <c r="P858" s="5"/>
      <c r="Q858" s="10">
        <f>INT(Tabela1[[#This Row],[DATA]])</f>
        <v>46188</v>
      </c>
      <c r="R858" s="14" t="str">
        <f ca="1">IF(AND(Q858&gt;=TODAY()-WEEKDAY(TODAY(),2)+1,Q858&lt;TODAY()),"SIM","NÃO")</f>
        <v>NÃO</v>
      </c>
    </row>
    <row r="859" spans="1:18" hidden="1">
      <c r="A859" s="8" t="s">
        <v>2562</v>
      </c>
      <c r="B859" t="s">
        <v>612</v>
      </c>
      <c r="C859">
        <v>300264026</v>
      </c>
      <c r="D859">
        <v>16472217</v>
      </c>
      <c r="E859" t="s">
        <v>20</v>
      </c>
      <c r="F859" s="8" t="s">
        <v>177</v>
      </c>
      <c r="G859">
        <v>40</v>
      </c>
      <c r="H859" t="s">
        <v>2563</v>
      </c>
      <c r="J859" s="3" t="s">
        <v>2564</v>
      </c>
      <c r="K859" s="11">
        <v>46188.382210648146</v>
      </c>
      <c r="M859">
        <v>185</v>
      </c>
      <c r="N859" t="s">
        <v>878</v>
      </c>
      <c r="O859" s="5">
        <v>0</v>
      </c>
      <c r="P859" s="5"/>
      <c r="Q859" s="10">
        <f>INT(Tabela1[[#This Row],[DATA]])</f>
        <v>46188</v>
      </c>
      <c r="R859" s="14" t="str">
        <f ca="1">IF(AND(Q859&gt;=TODAY()-WEEKDAY(TODAY(),2)+1,Q859&lt;TODAY()),"SIM","NÃO")</f>
        <v>NÃO</v>
      </c>
    </row>
    <row r="860" spans="1:18" hidden="1">
      <c r="A860" s="8" t="s">
        <v>2565</v>
      </c>
      <c r="B860" t="s">
        <v>95</v>
      </c>
      <c r="C860">
        <v>300271906</v>
      </c>
      <c r="D860">
        <v>16441630</v>
      </c>
      <c r="E860" t="s">
        <v>45</v>
      </c>
      <c r="F860" s="8" t="s">
        <v>38</v>
      </c>
      <c r="G860" t="s">
        <v>2566</v>
      </c>
      <c r="H860" t="s">
        <v>2567</v>
      </c>
      <c r="J860" s="3" t="s">
        <v>2567</v>
      </c>
      <c r="K860" s="11">
        <v>46188.383842592593</v>
      </c>
      <c r="M860">
        <v>186</v>
      </c>
      <c r="N860" t="s">
        <v>878</v>
      </c>
      <c r="O860" s="5" t="s">
        <v>848</v>
      </c>
      <c r="P860" s="5"/>
      <c r="Q860" s="10">
        <f>INT(Tabela1[[#This Row],[DATA]])</f>
        <v>46188</v>
      </c>
      <c r="R860" s="14" t="str">
        <f ca="1">IF(AND(Q860&gt;=TODAY()-WEEKDAY(TODAY(),2)+1,Q860&lt;TODAY()),"SIM","NÃO")</f>
        <v>NÃO</v>
      </c>
    </row>
    <row r="861" spans="1:18" hidden="1">
      <c r="A861" s="8" t="s">
        <v>2562</v>
      </c>
      <c r="B861" t="s">
        <v>612</v>
      </c>
      <c r="C861">
        <v>300271099</v>
      </c>
      <c r="D861">
        <v>16292987</v>
      </c>
      <c r="E861" t="s">
        <v>37</v>
      </c>
      <c r="F861" s="8" t="s">
        <v>90</v>
      </c>
      <c r="G861" t="s">
        <v>2568</v>
      </c>
      <c r="H861" t="s">
        <v>2569</v>
      </c>
      <c r="J861" s="3" t="s">
        <v>2570</v>
      </c>
      <c r="K861" s="11">
        <v>46188.384872685187</v>
      </c>
      <c r="M861">
        <v>187</v>
      </c>
      <c r="N861" t="s">
        <v>878</v>
      </c>
      <c r="O861" s="5">
        <v>0</v>
      </c>
      <c r="P861" s="5"/>
      <c r="Q861" s="10">
        <f>INT(Tabela1[[#This Row],[DATA]])</f>
        <v>46188</v>
      </c>
      <c r="R861" s="14" t="str">
        <f ca="1">IF(AND(Q861&gt;=TODAY()-WEEKDAY(TODAY(),2)+1,Q861&lt;TODAY()),"SIM","NÃO")</f>
        <v>NÃO</v>
      </c>
    </row>
    <row r="862" spans="1:18" hidden="1">
      <c r="A862" s="8" t="s">
        <v>2571</v>
      </c>
      <c r="B862" t="s">
        <v>1487</v>
      </c>
      <c r="C862">
        <v>300267134</v>
      </c>
      <c r="D862">
        <v>15724344</v>
      </c>
      <c r="E862" t="s">
        <v>45</v>
      </c>
      <c r="F862" s="8" t="s">
        <v>96</v>
      </c>
      <c r="G862">
        <v>45</v>
      </c>
      <c r="H862" t="s">
        <v>2572</v>
      </c>
      <c r="J862" s="3" t="s">
        <v>2573</v>
      </c>
      <c r="K862" s="11">
        <v>46188.387106481481</v>
      </c>
      <c r="M862">
        <v>188</v>
      </c>
      <c r="N862" t="s">
        <v>867</v>
      </c>
      <c r="O862" s="5" t="s">
        <v>2574</v>
      </c>
      <c r="P862" s="5"/>
      <c r="Q862" s="10">
        <f>INT(Tabela1[[#This Row],[DATA]])</f>
        <v>46188</v>
      </c>
      <c r="R862" s="14" t="str">
        <f ca="1">IF(AND(Q862&gt;=TODAY()-WEEKDAY(TODAY(),2)+1,Q862&lt;TODAY()),"SIM","NÃO")</f>
        <v>NÃO</v>
      </c>
    </row>
    <row r="863" spans="1:18" hidden="1">
      <c r="A863" s="8" t="s">
        <v>2562</v>
      </c>
      <c r="B863" t="s">
        <v>612</v>
      </c>
      <c r="C863">
        <v>300271099</v>
      </c>
      <c r="D863">
        <v>16292987</v>
      </c>
      <c r="E863" t="s">
        <v>37</v>
      </c>
      <c r="F863" s="8" t="s">
        <v>132</v>
      </c>
      <c r="G863" t="s">
        <v>2575</v>
      </c>
      <c r="H863" t="s">
        <v>644</v>
      </c>
      <c r="J863" s="3" t="s">
        <v>2576</v>
      </c>
      <c r="K863" s="11">
        <v>46188.387175925927</v>
      </c>
      <c r="M863">
        <v>189</v>
      </c>
      <c r="N863" t="s">
        <v>878</v>
      </c>
      <c r="O863" s="5">
        <v>0</v>
      </c>
      <c r="P863" s="5"/>
      <c r="Q863" s="10">
        <f>INT(Tabela1[[#This Row],[DATA]])</f>
        <v>46188</v>
      </c>
      <c r="R863" s="14" t="str">
        <f ca="1">IF(AND(Q863&gt;=TODAY()-WEEKDAY(TODAY(),2)+1,Q863&lt;TODAY()),"SIM","NÃO")</f>
        <v>NÃO</v>
      </c>
    </row>
    <row r="864" spans="1:18" hidden="1">
      <c r="A864" s="8" t="s">
        <v>196</v>
      </c>
      <c r="B864" t="s">
        <v>1625</v>
      </c>
      <c r="C864">
        <v>300260651</v>
      </c>
      <c r="D864">
        <v>16448090</v>
      </c>
      <c r="E864" t="s">
        <v>37</v>
      </c>
      <c r="F864" s="8" t="s">
        <v>430</v>
      </c>
      <c r="G864">
        <v>1.3680000000000001</v>
      </c>
      <c r="H864" t="s">
        <v>1771</v>
      </c>
      <c r="J864" s="3" t="s">
        <v>2577</v>
      </c>
      <c r="K864" s="11">
        <v>46188.397083333337</v>
      </c>
      <c r="M864">
        <v>190</v>
      </c>
      <c r="N864" t="s">
        <v>878</v>
      </c>
      <c r="O864" s="5">
        <v>10000068569</v>
      </c>
      <c r="P864" s="5"/>
      <c r="Q864" s="10">
        <f>INT(Tabela1[[#This Row],[DATA]])</f>
        <v>46188</v>
      </c>
      <c r="R864" s="14" t="str">
        <f ca="1">IF(AND(Q864&gt;=TODAY()-WEEKDAY(TODAY(),2)+1,Q864&lt;TODAY()),"SIM","NÃO")</f>
        <v>NÃO</v>
      </c>
    </row>
    <row r="865" spans="1:18" hidden="1">
      <c r="A865" s="8" t="s">
        <v>2578</v>
      </c>
      <c r="B865" t="s">
        <v>69</v>
      </c>
      <c r="C865">
        <v>300271767</v>
      </c>
      <c r="D865">
        <v>16273303</v>
      </c>
      <c r="E865" t="s">
        <v>37</v>
      </c>
      <c r="F865" s="8" t="s">
        <v>2213</v>
      </c>
      <c r="G865">
        <v>52</v>
      </c>
      <c r="H865" t="s">
        <v>2137</v>
      </c>
      <c r="J865" s="3"/>
      <c r="K865" s="11">
        <v>46188.397615740738</v>
      </c>
      <c r="M865">
        <v>191</v>
      </c>
      <c r="N865" t="s">
        <v>867</v>
      </c>
      <c r="O865" s="5" t="s">
        <v>2579</v>
      </c>
      <c r="P865" s="5"/>
      <c r="Q865" s="10">
        <f>INT(Tabela1[[#This Row],[DATA]])</f>
        <v>46188</v>
      </c>
      <c r="R865" s="14" t="str">
        <f ca="1">IF(AND(Q865&gt;=TODAY()-WEEKDAY(TODAY(),2)+1,Q865&lt;TODAY()),"SIM","NÃO")</f>
        <v>NÃO</v>
      </c>
    </row>
    <row r="866" spans="1:18" hidden="1">
      <c r="A866" s="8" t="s">
        <v>185</v>
      </c>
      <c r="B866" t="s">
        <v>1625</v>
      </c>
      <c r="C866">
        <v>300266445</v>
      </c>
      <c r="D866">
        <v>16480430</v>
      </c>
      <c r="E866" t="s">
        <v>37</v>
      </c>
      <c r="F866" s="8" t="s">
        <v>2580</v>
      </c>
      <c r="G866">
        <v>16</v>
      </c>
      <c r="H866" t="s">
        <v>2278</v>
      </c>
      <c r="J866" s="3"/>
      <c r="K866" s="11">
        <v>46188.405231481483</v>
      </c>
      <c r="M866">
        <v>192</v>
      </c>
      <c r="N866" t="s">
        <v>867</v>
      </c>
      <c r="O866" s="5" t="s">
        <v>2581</v>
      </c>
      <c r="P866" s="5"/>
      <c r="Q866" s="10">
        <f>INT(Tabela1[[#This Row],[DATA]])</f>
        <v>46188</v>
      </c>
      <c r="R866" s="14" t="str">
        <f ca="1">IF(AND(Q866&gt;=TODAY()-WEEKDAY(TODAY(),2)+1,Q866&lt;TODAY()),"SIM","NÃO")</f>
        <v>NÃO</v>
      </c>
    </row>
    <row r="867" spans="1:18" hidden="1">
      <c r="A867" s="8" t="s">
        <v>185</v>
      </c>
      <c r="B867" t="s">
        <v>1625</v>
      </c>
      <c r="C867">
        <v>300266645</v>
      </c>
      <c r="D867">
        <v>16480430</v>
      </c>
      <c r="E867" t="s">
        <v>37</v>
      </c>
      <c r="F867" s="8" t="s">
        <v>177</v>
      </c>
      <c r="G867">
        <v>8</v>
      </c>
      <c r="H867" t="s">
        <v>2101</v>
      </c>
      <c r="J867" s="3"/>
      <c r="K867" s="11">
        <v>46188.409930555557</v>
      </c>
      <c r="M867">
        <v>193</v>
      </c>
      <c r="N867" t="s">
        <v>867</v>
      </c>
      <c r="O867" s="5">
        <v>10000157258</v>
      </c>
      <c r="P867" s="5"/>
      <c r="Q867" s="10">
        <f>INT(Tabela1[[#This Row],[DATA]])</f>
        <v>46188</v>
      </c>
      <c r="R867" s="14" t="str">
        <f ca="1">IF(AND(Q867&gt;=TODAY()-WEEKDAY(TODAY(),2)+1,Q867&lt;TODAY()),"SIM","NÃO")</f>
        <v>NÃO</v>
      </c>
    </row>
    <row r="868" spans="1:18" hidden="1">
      <c r="A868" s="8" t="s">
        <v>2578</v>
      </c>
      <c r="B868" t="s">
        <v>69</v>
      </c>
      <c r="C868">
        <v>300261930</v>
      </c>
      <c r="D868">
        <v>16273311</v>
      </c>
      <c r="E868" t="s">
        <v>37</v>
      </c>
      <c r="F868" s="8" t="s">
        <v>323</v>
      </c>
      <c r="G868">
        <v>65</v>
      </c>
      <c r="H868" t="s">
        <v>2582</v>
      </c>
      <c r="J868" s="3"/>
      <c r="K868" s="11">
        <v>46188.412245370368</v>
      </c>
      <c r="M868">
        <v>194</v>
      </c>
      <c r="N868" t="s">
        <v>867</v>
      </c>
      <c r="O868" s="5" t="s">
        <v>2583</v>
      </c>
      <c r="P868" s="5"/>
      <c r="Q868" s="10">
        <f>INT(Tabela1[[#This Row],[DATA]])</f>
        <v>46188</v>
      </c>
      <c r="R868" s="14" t="str">
        <f ca="1">IF(AND(Q868&gt;=TODAY()-WEEKDAY(TODAY(),2)+1,Q868&lt;TODAY()),"SIM","NÃO")</f>
        <v>NÃO</v>
      </c>
    </row>
    <row r="869" spans="1:18" hidden="1">
      <c r="A869" s="8" t="s">
        <v>2578</v>
      </c>
      <c r="B869" t="s">
        <v>69</v>
      </c>
      <c r="C869">
        <v>300261930</v>
      </c>
      <c r="D869">
        <v>16311809</v>
      </c>
      <c r="E869" t="s">
        <v>45</v>
      </c>
      <c r="F869" s="8" t="s">
        <v>802</v>
      </c>
      <c r="G869">
        <v>65</v>
      </c>
      <c r="H869" t="s">
        <v>2584</v>
      </c>
      <c r="J869" s="3"/>
      <c r="K869" s="11">
        <v>46188.414456018516</v>
      </c>
      <c r="M869">
        <v>195</v>
      </c>
      <c r="N869" t="s">
        <v>867</v>
      </c>
      <c r="O869" s="5" t="s">
        <v>2585</v>
      </c>
      <c r="P869" s="5"/>
      <c r="Q869" s="10">
        <f>INT(Tabela1[[#This Row],[DATA]])</f>
        <v>46188</v>
      </c>
      <c r="R869" s="14" t="str">
        <f ca="1">IF(AND(Q869&gt;=TODAY()-WEEKDAY(TODAY(),2)+1,Q869&lt;TODAY()),"SIM","NÃO")</f>
        <v>NÃO</v>
      </c>
    </row>
    <row r="870" spans="1:18" hidden="1">
      <c r="A870" s="8" t="s">
        <v>111</v>
      </c>
      <c r="B870" t="s">
        <v>112</v>
      </c>
      <c r="C870">
        <v>300269321</v>
      </c>
      <c r="D870">
        <v>16452267</v>
      </c>
      <c r="E870" t="s">
        <v>37</v>
      </c>
      <c r="F870" s="8" t="s">
        <v>38</v>
      </c>
      <c r="G870">
        <v>10</v>
      </c>
      <c r="H870" t="s">
        <v>1831</v>
      </c>
      <c r="J870" s="3"/>
      <c r="K870" s="11">
        <v>46188.421435185184</v>
      </c>
      <c r="M870">
        <v>196</v>
      </c>
      <c r="N870" t="s">
        <v>867</v>
      </c>
      <c r="O870" s="5">
        <v>0</v>
      </c>
      <c r="P870" s="5"/>
      <c r="Q870" s="10">
        <f>INT(Tabela1[[#This Row],[DATA]])</f>
        <v>46188</v>
      </c>
      <c r="R870" s="14" t="str">
        <f ca="1">IF(AND(Q870&gt;=TODAY()-WEEKDAY(TODAY(),2)+1,Q870&lt;TODAY()),"SIM","NÃO")</f>
        <v>NÃO</v>
      </c>
    </row>
    <row r="871" spans="1:18" hidden="1">
      <c r="A871" s="8" t="s">
        <v>2543</v>
      </c>
      <c r="B871" t="s">
        <v>28</v>
      </c>
      <c r="C871">
        <v>300270295</v>
      </c>
      <c r="D871">
        <v>16310373</v>
      </c>
      <c r="E871" t="s">
        <v>37</v>
      </c>
      <c r="F871" s="8" t="s">
        <v>221</v>
      </c>
      <c r="G871">
        <v>720</v>
      </c>
      <c r="H871" t="s">
        <v>2586</v>
      </c>
      <c r="J871" s="3" t="s">
        <v>2587</v>
      </c>
      <c r="K871" s="11">
        <v>46188.431643518517</v>
      </c>
      <c r="M871">
        <v>197</v>
      </c>
      <c r="N871" t="s">
        <v>878</v>
      </c>
      <c r="O871" s="5">
        <v>10000195771</v>
      </c>
      <c r="P871" s="5"/>
      <c r="Q871" s="10">
        <f>INT(Tabela1[[#This Row],[DATA]])</f>
        <v>46188</v>
      </c>
      <c r="R871" s="14" t="str">
        <f ca="1">IF(AND(Q871&gt;=TODAY()-WEEKDAY(TODAY(),2)+1,Q871&lt;TODAY()),"SIM","NÃO")</f>
        <v>NÃO</v>
      </c>
    </row>
    <row r="872" spans="1:18" hidden="1">
      <c r="A872" s="8" t="s">
        <v>185</v>
      </c>
      <c r="B872" t="s">
        <v>1625</v>
      </c>
      <c r="C872">
        <v>300268611</v>
      </c>
      <c r="D872">
        <v>16473825</v>
      </c>
      <c r="E872" t="s">
        <v>37</v>
      </c>
      <c r="F872" s="8" t="s">
        <v>2580</v>
      </c>
      <c r="G872">
        <v>4</v>
      </c>
      <c r="H872" t="s">
        <v>2103</v>
      </c>
      <c r="J872" s="3"/>
      <c r="K872" s="11">
        <v>46188.436469907407</v>
      </c>
      <c r="M872">
        <v>198</v>
      </c>
      <c r="N872" t="s">
        <v>867</v>
      </c>
      <c r="O872" s="5" t="s">
        <v>2588</v>
      </c>
      <c r="P872" s="5"/>
      <c r="Q872" s="10">
        <f>INT(Tabela1[[#This Row],[DATA]])</f>
        <v>46188</v>
      </c>
      <c r="R872" s="14" t="str">
        <f ca="1">IF(AND(Q872&gt;=TODAY()-WEEKDAY(TODAY(),2)+1,Q872&lt;TODAY()),"SIM","NÃO")</f>
        <v>NÃO</v>
      </c>
    </row>
    <row r="873" spans="1:18" hidden="1">
      <c r="A873" s="8" t="s">
        <v>2589</v>
      </c>
      <c r="B873" t="s">
        <v>2590</v>
      </c>
      <c r="C873">
        <v>300270915</v>
      </c>
      <c r="D873">
        <v>16507444</v>
      </c>
      <c r="E873" t="s">
        <v>20</v>
      </c>
      <c r="F873" s="8" t="s">
        <v>60</v>
      </c>
      <c r="G873">
        <v>582</v>
      </c>
      <c r="H873" t="s">
        <v>2591</v>
      </c>
      <c r="J873" s="3" t="s">
        <v>2592</v>
      </c>
      <c r="K873" s="11">
        <v>46188.436666666668</v>
      </c>
      <c r="M873">
        <v>199</v>
      </c>
      <c r="N873" t="s">
        <v>878</v>
      </c>
      <c r="O873" s="5">
        <v>10000248078</v>
      </c>
      <c r="P873" s="5"/>
      <c r="Q873" s="10">
        <f>INT(Tabela1[[#This Row],[DATA]])</f>
        <v>46188</v>
      </c>
      <c r="R873" s="14" t="str">
        <f ca="1">IF(AND(Q873&gt;=TODAY()-WEEKDAY(TODAY(),2)+1,Q873&lt;TODAY()),"SIM","NÃO")</f>
        <v>NÃO</v>
      </c>
    </row>
    <row r="874" spans="1:18" hidden="1">
      <c r="A874" s="8" t="s">
        <v>2565</v>
      </c>
      <c r="B874" t="s">
        <v>95</v>
      </c>
      <c r="C874">
        <v>300272038</v>
      </c>
      <c r="D874">
        <v>16224388</v>
      </c>
      <c r="E874" t="s">
        <v>45</v>
      </c>
      <c r="F874" s="8" t="s">
        <v>525</v>
      </c>
      <c r="G874">
        <v>107</v>
      </c>
      <c r="H874" t="s">
        <v>2593</v>
      </c>
      <c r="J874" s="3" t="s">
        <v>2594</v>
      </c>
      <c r="K874" s="11">
        <v>46188.4374537037</v>
      </c>
      <c r="M874">
        <v>200</v>
      </c>
      <c r="N874" t="s">
        <v>878</v>
      </c>
      <c r="O874" s="5" t="s">
        <v>848</v>
      </c>
      <c r="P874" s="5"/>
      <c r="Q874" s="10">
        <f>INT(Tabela1[[#This Row],[DATA]])</f>
        <v>46188</v>
      </c>
      <c r="R874" s="14" t="str">
        <f ca="1">IF(AND(Q874&gt;=TODAY()-WEEKDAY(TODAY(),2)+1,Q874&lt;TODAY()),"SIM","NÃO")</f>
        <v>NÃO</v>
      </c>
    </row>
    <row r="875" spans="1:18" hidden="1">
      <c r="A875" s="8" t="s">
        <v>2589</v>
      </c>
      <c r="B875" t="s">
        <v>2590</v>
      </c>
      <c r="C875">
        <v>300270916</v>
      </c>
      <c r="D875">
        <v>16507444</v>
      </c>
      <c r="E875" t="s">
        <v>20</v>
      </c>
      <c r="F875" s="8" t="s">
        <v>60</v>
      </c>
      <c r="G875">
        <v>840</v>
      </c>
      <c r="H875" t="s">
        <v>2595</v>
      </c>
      <c r="J875" s="3" t="s">
        <v>2596</v>
      </c>
      <c r="K875" s="11">
        <v>46188.440578703703</v>
      </c>
      <c r="M875">
        <v>201</v>
      </c>
      <c r="N875" t="s">
        <v>878</v>
      </c>
      <c r="O875" s="5">
        <v>10000248078</v>
      </c>
      <c r="P875" s="5"/>
      <c r="Q875" s="10">
        <f>INT(Tabela1[[#This Row],[DATA]])</f>
        <v>46188</v>
      </c>
      <c r="R875" s="14" t="str">
        <f ca="1">IF(AND(Q875&gt;=TODAY()-WEEKDAY(TODAY(),2)+1,Q875&lt;TODAY()),"SIM","NÃO")</f>
        <v>NÃO</v>
      </c>
    </row>
    <row r="876" spans="1:18" hidden="1">
      <c r="A876" s="8" t="s">
        <v>2551</v>
      </c>
      <c r="B876" t="s">
        <v>274</v>
      </c>
      <c r="C876">
        <v>300265966</v>
      </c>
      <c r="D876">
        <v>12438235</v>
      </c>
      <c r="E876" t="s">
        <v>29</v>
      </c>
      <c r="F876" s="8" t="s">
        <v>525</v>
      </c>
      <c r="G876">
        <v>50</v>
      </c>
      <c r="H876" t="s">
        <v>2597</v>
      </c>
      <c r="J876" s="3"/>
      <c r="K876" s="11">
        <v>46188.445474537039</v>
      </c>
      <c r="M876">
        <v>202</v>
      </c>
      <c r="N876" t="s">
        <v>867</v>
      </c>
      <c r="O876" s="5">
        <v>0</v>
      </c>
      <c r="P876" s="5"/>
      <c r="Q876" s="10">
        <f>INT(Tabela1[[#This Row],[DATA]])</f>
        <v>46188</v>
      </c>
      <c r="R876" s="14" t="str">
        <f ca="1">IF(AND(Q876&gt;=TODAY()-WEEKDAY(TODAY(),2)+1,Q876&lt;TODAY()),"SIM","NÃO")</f>
        <v>NÃO</v>
      </c>
    </row>
    <row r="877" spans="1:18" hidden="1">
      <c r="A877" s="8" t="s">
        <v>2589</v>
      </c>
      <c r="B877" t="s">
        <v>2590</v>
      </c>
      <c r="C877">
        <v>300266650</v>
      </c>
      <c r="D877">
        <v>16526112</v>
      </c>
      <c r="E877" t="s">
        <v>20</v>
      </c>
      <c r="F877" s="8" t="s">
        <v>2598</v>
      </c>
      <c r="G877" t="s">
        <v>2599</v>
      </c>
      <c r="H877" t="s">
        <v>2600</v>
      </c>
      <c r="J877" s="3"/>
      <c r="K877" s="11">
        <v>46188.468854166669</v>
      </c>
      <c r="M877">
        <v>203</v>
      </c>
      <c r="N877" t="s">
        <v>878</v>
      </c>
      <c r="O877" s="5">
        <v>1</v>
      </c>
      <c r="P877" s="5"/>
      <c r="Q877" s="10">
        <f>INT(Tabela1[[#This Row],[DATA]])</f>
        <v>46188</v>
      </c>
      <c r="R877" s="14" t="str">
        <f ca="1">IF(AND(Q877&gt;=TODAY()-WEEKDAY(TODAY(),2)+1,Q877&lt;TODAY()),"SIM","NÃO")</f>
        <v>NÃO</v>
      </c>
    </row>
    <row r="878" spans="1:18" hidden="1">
      <c r="A878" s="8" t="s">
        <v>2177</v>
      </c>
      <c r="B878" t="s">
        <v>1073</v>
      </c>
      <c r="C878">
        <v>300264320</v>
      </c>
      <c r="D878">
        <v>15690210</v>
      </c>
      <c r="E878" t="s">
        <v>37</v>
      </c>
      <c r="F878" s="8" t="s">
        <v>132</v>
      </c>
      <c r="G878" t="s">
        <v>2601</v>
      </c>
      <c r="H878" t="s">
        <v>1510</v>
      </c>
      <c r="J878" s="3" t="s">
        <v>2602</v>
      </c>
      <c r="K878" s="11">
        <v>46188.540902777779</v>
      </c>
      <c r="M878">
        <v>204</v>
      </c>
      <c r="N878" t="s">
        <v>878</v>
      </c>
      <c r="O878" s="5">
        <v>0</v>
      </c>
      <c r="P878" s="5"/>
      <c r="Q878" s="10">
        <f>INT(Tabela1[[#This Row],[DATA]])</f>
        <v>46188</v>
      </c>
      <c r="R878" s="14" t="str">
        <f ca="1">IF(AND(Q878&gt;=TODAY()-WEEKDAY(TODAY(),2)+1,Q878&lt;TODAY()),"SIM","NÃO")</f>
        <v>NÃO</v>
      </c>
    </row>
    <row r="879" spans="1:18" hidden="1">
      <c r="A879" s="8" t="s">
        <v>2603</v>
      </c>
      <c r="B879" t="s">
        <v>929</v>
      </c>
      <c r="C879">
        <v>300268959</v>
      </c>
      <c r="D879">
        <v>16508858</v>
      </c>
      <c r="E879" t="s">
        <v>37</v>
      </c>
      <c r="F879" s="8" t="s">
        <v>38</v>
      </c>
      <c r="G879">
        <v>35</v>
      </c>
      <c r="H879" t="s">
        <v>2172</v>
      </c>
      <c r="J879" s="3"/>
      <c r="K879" s="11">
        <v>46188.566527777781</v>
      </c>
      <c r="M879">
        <v>205</v>
      </c>
      <c r="N879" t="s">
        <v>867</v>
      </c>
      <c r="O879" s="5">
        <v>0</v>
      </c>
      <c r="P879" s="5"/>
      <c r="Q879" s="10">
        <f>INT(Tabela1[[#This Row],[DATA]])</f>
        <v>46188</v>
      </c>
      <c r="R879" s="14" t="str">
        <f ca="1">IF(AND(Q879&gt;=TODAY()-WEEKDAY(TODAY(),2)+1,Q879&lt;TODAY()),"SIM","NÃO")</f>
        <v>NÃO</v>
      </c>
    </row>
    <row r="880" spans="1:18" hidden="1">
      <c r="A880" s="8" t="s">
        <v>605</v>
      </c>
      <c r="B880" t="s">
        <v>606</v>
      </c>
      <c r="C880">
        <v>300266636</v>
      </c>
      <c r="D880">
        <v>16518730</v>
      </c>
      <c r="E880" t="s">
        <v>37</v>
      </c>
      <c r="F880" s="8" t="s">
        <v>38</v>
      </c>
      <c r="G880">
        <v>70</v>
      </c>
      <c r="H880" t="s">
        <v>1771</v>
      </c>
      <c r="J880" s="3" t="s">
        <v>2604</v>
      </c>
      <c r="K880" s="11">
        <v>46188.585914351854</v>
      </c>
      <c r="M880">
        <v>206</v>
      </c>
      <c r="N880" t="s">
        <v>867</v>
      </c>
      <c r="O880" s="5">
        <v>0</v>
      </c>
      <c r="P880" s="5"/>
      <c r="Q880" s="10">
        <f>INT(Tabela1[[#This Row],[DATA]])</f>
        <v>46188</v>
      </c>
      <c r="R880" s="14" t="str">
        <f ca="1">IF(AND(Q880&gt;=TODAY()-WEEKDAY(TODAY(),2)+1,Q880&lt;TODAY()),"SIM","NÃO")</f>
        <v>NÃO</v>
      </c>
    </row>
    <row r="881" spans="1:18" hidden="1">
      <c r="A881" s="8" t="s">
        <v>2605</v>
      </c>
      <c r="B881" t="s">
        <v>2606</v>
      </c>
      <c r="C881">
        <v>300269323</v>
      </c>
      <c r="D881">
        <v>16452267</v>
      </c>
      <c r="E881" t="s">
        <v>37</v>
      </c>
      <c r="F881" s="8" t="s">
        <v>2580</v>
      </c>
      <c r="G881">
        <v>39</v>
      </c>
      <c r="H881" t="s">
        <v>2607</v>
      </c>
      <c r="J881" s="3" t="s">
        <v>2608</v>
      </c>
      <c r="K881" s="11">
        <v>46188.615972222222</v>
      </c>
      <c r="M881">
        <v>207</v>
      </c>
      <c r="N881" t="s">
        <v>867</v>
      </c>
      <c r="O881" s="5" t="s">
        <v>2609</v>
      </c>
      <c r="P881" s="5"/>
      <c r="Q881" s="10">
        <f>INT(Tabela1[[#This Row],[DATA]])</f>
        <v>46188</v>
      </c>
      <c r="R881" s="14" t="str">
        <f ca="1">IF(AND(Q881&gt;=TODAY()-WEEKDAY(TODAY(),2)+1,Q881&lt;TODAY()),"SIM","NÃO")</f>
        <v>NÃO</v>
      </c>
    </row>
    <row r="882" spans="1:18" hidden="1">
      <c r="A882" s="8" t="s">
        <v>2610</v>
      </c>
      <c r="B882" t="s">
        <v>74</v>
      </c>
      <c r="C882">
        <v>300270432</v>
      </c>
      <c r="D882">
        <v>15497313</v>
      </c>
      <c r="E882" t="s">
        <v>45</v>
      </c>
      <c r="F882" s="8" t="s">
        <v>2598</v>
      </c>
      <c r="G882">
        <v>479</v>
      </c>
      <c r="H882" t="s">
        <v>2611</v>
      </c>
      <c r="J882" s="3"/>
      <c r="K882" s="11">
        <v>46188.624884259261</v>
      </c>
      <c r="M882">
        <v>208</v>
      </c>
      <c r="N882" t="s">
        <v>867</v>
      </c>
      <c r="O882" s="5">
        <v>0</v>
      </c>
      <c r="P882" s="5"/>
      <c r="Q882" s="10">
        <f>INT(Tabela1[[#This Row],[DATA]])</f>
        <v>46188</v>
      </c>
      <c r="R882" s="14" t="str">
        <f ca="1">IF(AND(Q882&gt;=TODAY()-WEEKDAY(TODAY(),2)+1,Q882&lt;TODAY()),"SIM","NÃO")</f>
        <v>NÃO</v>
      </c>
    </row>
    <row r="883" spans="1:18" hidden="1">
      <c r="A883" s="8" t="s">
        <v>313</v>
      </c>
      <c r="B883" t="s">
        <v>314</v>
      </c>
      <c r="C883">
        <v>300254500</v>
      </c>
      <c r="D883">
        <v>15260690</v>
      </c>
      <c r="E883" t="s">
        <v>45</v>
      </c>
      <c r="F883" s="8" t="s">
        <v>2598</v>
      </c>
      <c r="G883">
        <v>6</v>
      </c>
      <c r="H883" t="s">
        <v>2612</v>
      </c>
      <c r="J883" s="3" t="s">
        <v>2613</v>
      </c>
      <c r="K883" s="11">
        <v>46188.635370370372</v>
      </c>
      <c r="M883">
        <v>209</v>
      </c>
      <c r="N883" t="s">
        <v>867</v>
      </c>
      <c r="O883" s="5">
        <v>0</v>
      </c>
      <c r="P883" s="5"/>
      <c r="Q883" s="10">
        <f>INT(Tabela1[[#This Row],[DATA]])</f>
        <v>46188</v>
      </c>
      <c r="R883" s="14" t="str">
        <f ca="1">IF(AND(Q883&gt;=TODAY()-WEEKDAY(TODAY(),2)+1,Q883&lt;TODAY()),"SIM","NÃO")</f>
        <v>NÃO</v>
      </c>
    </row>
    <row r="884" spans="1:18" hidden="1">
      <c r="A884" s="8" t="s">
        <v>287</v>
      </c>
      <c r="B884" t="s">
        <v>288</v>
      </c>
      <c r="C884">
        <v>300268651</v>
      </c>
      <c r="D884">
        <v>16520025</v>
      </c>
      <c r="E884" t="s">
        <v>37</v>
      </c>
      <c r="F884" s="8" t="s">
        <v>113</v>
      </c>
      <c r="G884" t="s">
        <v>460</v>
      </c>
      <c r="H884" t="s">
        <v>2614</v>
      </c>
      <c r="J884" s="3"/>
      <c r="K884" s="11">
        <v>46188.651469907411</v>
      </c>
      <c r="M884">
        <v>210</v>
      </c>
      <c r="N884" t="s">
        <v>867</v>
      </c>
      <c r="O884" s="5">
        <v>10000073235</v>
      </c>
      <c r="P884" s="5"/>
      <c r="Q884" s="10">
        <f>INT(Tabela1[[#This Row],[DATA]])</f>
        <v>46188</v>
      </c>
      <c r="R884" s="14" t="str">
        <f ca="1">IF(AND(Q884&gt;=TODAY()-WEEKDAY(TODAY(),2)+1,Q884&lt;TODAY()),"SIM","NÃO")</f>
        <v>NÃO</v>
      </c>
    </row>
    <row r="885" spans="1:18" hidden="1">
      <c r="A885" s="8" t="s">
        <v>605</v>
      </c>
      <c r="B885" t="s">
        <v>606</v>
      </c>
      <c r="C885">
        <v>300270729</v>
      </c>
      <c r="D885">
        <v>16243145</v>
      </c>
      <c r="E885" t="s">
        <v>37</v>
      </c>
      <c r="F885" s="8" t="s">
        <v>2556</v>
      </c>
      <c r="G885">
        <v>15</v>
      </c>
      <c r="H885" t="s">
        <v>2492</v>
      </c>
      <c r="J885" s="3"/>
      <c r="K885" s="11">
        <v>46188.662731481483</v>
      </c>
      <c r="M885">
        <v>211</v>
      </c>
      <c r="N885" t="s">
        <v>867</v>
      </c>
      <c r="O885" s="5">
        <v>0</v>
      </c>
      <c r="P885" s="5"/>
      <c r="Q885" s="10">
        <f>INT(Tabela1[[#This Row],[DATA]])</f>
        <v>46188</v>
      </c>
      <c r="R885" s="14" t="str">
        <f ca="1">IF(AND(Q885&gt;=TODAY()-WEEKDAY(TODAY(),2)+1,Q885&lt;TODAY()),"SIM","NÃO")</f>
        <v>NÃO</v>
      </c>
    </row>
    <row r="886" spans="1:18" hidden="1">
      <c r="A886" s="8" t="s">
        <v>2589</v>
      </c>
      <c r="B886" t="s">
        <v>2590</v>
      </c>
      <c r="C886">
        <v>300266588</v>
      </c>
      <c r="D886">
        <v>16526112</v>
      </c>
      <c r="E886" t="s">
        <v>20</v>
      </c>
      <c r="F886" s="8" t="s">
        <v>1427</v>
      </c>
      <c r="G886">
        <v>1</v>
      </c>
      <c r="H886" t="s">
        <v>2615</v>
      </c>
      <c r="J886" s="3" t="s">
        <v>2616</v>
      </c>
      <c r="K886" s="11">
        <v>46188.663541666669</v>
      </c>
      <c r="M886">
        <v>212</v>
      </c>
      <c r="N886" t="s">
        <v>878</v>
      </c>
      <c r="O886" s="5">
        <v>12</v>
      </c>
      <c r="P886" s="5"/>
      <c r="Q886" s="10">
        <f>INT(Tabela1[[#This Row],[DATA]])</f>
        <v>46188</v>
      </c>
      <c r="R886" s="14" t="str">
        <f ca="1">IF(AND(Q886&gt;=TODAY()-WEEKDAY(TODAY(),2)+1,Q886&lt;TODAY()),"SIM","NÃO")</f>
        <v>NÃO</v>
      </c>
    </row>
    <row r="887" spans="1:18" hidden="1">
      <c r="A887" s="8" t="s">
        <v>2554</v>
      </c>
      <c r="B887" t="s">
        <v>150</v>
      </c>
      <c r="C887">
        <v>300268647</v>
      </c>
      <c r="D887">
        <v>15775623</v>
      </c>
      <c r="E887" t="s">
        <v>37</v>
      </c>
      <c r="F887" s="8" t="s">
        <v>2580</v>
      </c>
      <c r="G887">
        <v>2</v>
      </c>
      <c r="H887" t="s">
        <v>2617</v>
      </c>
      <c r="J887" s="3"/>
      <c r="K887" s="11">
        <v>46188.670868055553</v>
      </c>
      <c r="M887">
        <v>213</v>
      </c>
      <c r="N887" t="s">
        <v>867</v>
      </c>
      <c r="O887" s="5">
        <v>1</v>
      </c>
      <c r="P887" s="5"/>
      <c r="Q887" s="10">
        <f>INT(Tabela1[[#This Row],[DATA]])</f>
        <v>46188</v>
      </c>
      <c r="R887" s="14" t="str">
        <f ca="1">IF(AND(Q887&gt;=TODAY()-WEEKDAY(TODAY(),2)+1,Q887&lt;TODAY()),"SIM","NÃO")</f>
        <v>NÃO</v>
      </c>
    </row>
    <row r="888" spans="1:18" hidden="1">
      <c r="A888" s="8" t="s">
        <v>2177</v>
      </c>
      <c r="B888" t="s">
        <v>1073</v>
      </c>
      <c r="C888">
        <v>300264320</v>
      </c>
      <c r="D888">
        <v>15690210</v>
      </c>
      <c r="E888" t="s">
        <v>37</v>
      </c>
      <c r="F888" s="8" t="s">
        <v>177</v>
      </c>
      <c r="G888">
        <v>532</v>
      </c>
      <c r="H888" t="s">
        <v>2618</v>
      </c>
      <c r="J888" s="3" t="s">
        <v>2619</v>
      </c>
      <c r="K888" s="11">
        <v>46188.693391203706</v>
      </c>
      <c r="M888">
        <v>214</v>
      </c>
      <c r="N888" t="s">
        <v>867</v>
      </c>
      <c r="O888" s="5" t="s">
        <v>2620</v>
      </c>
      <c r="P888" s="5"/>
      <c r="Q888" s="10">
        <f>INT(Tabela1[[#This Row],[DATA]])</f>
        <v>46188</v>
      </c>
      <c r="R888" s="14" t="str">
        <f ca="1">IF(AND(Q888&gt;=TODAY()-WEEKDAY(TODAY(),2)+1,Q888&lt;TODAY()),"SIM","NÃO")</f>
        <v>NÃO</v>
      </c>
    </row>
    <row r="889" spans="1:18" hidden="1">
      <c r="A889" s="8" t="s">
        <v>2177</v>
      </c>
      <c r="B889" t="s">
        <v>1073</v>
      </c>
      <c r="C889">
        <v>300264320</v>
      </c>
      <c r="D889">
        <v>15690210</v>
      </c>
      <c r="E889" t="s">
        <v>37</v>
      </c>
      <c r="F889" s="8" t="s">
        <v>60</v>
      </c>
      <c r="G889">
        <v>604</v>
      </c>
      <c r="H889" t="s">
        <v>2621</v>
      </c>
      <c r="J889" s="3" t="s">
        <v>2622</v>
      </c>
      <c r="K889" s="11">
        <v>46188.699664351851</v>
      </c>
      <c r="M889">
        <v>215</v>
      </c>
      <c r="N889" t="s">
        <v>867</v>
      </c>
      <c r="O889" s="5" t="s">
        <v>2623</v>
      </c>
      <c r="P889" s="5"/>
      <c r="Q889" s="10">
        <f>INT(Tabela1[[#This Row],[DATA]])</f>
        <v>46188</v>
      </c>
      <c r="R889" s="14" t="str">
        <f ca="1">IF(AND(Q889&gt;=TODAY()-WEEKDAY(TODAY(),2)+1,Q889&lt;TODAY()),"SIM","NÃO")</f>
        <v>NÃO</v>
      </c>
    </row>
    <row r="890" spans="1:18" hidden="1">
      <c r="A890" s="8" t="s">
        <v>253</v>
      </c>
      <c r="B890" t="s">
        <v>254</v>
      </c>
      <c r="C890">
        <v>300268230</v>
      </c>
      <c r="D890">
        <v>16472675</v>
      </c>
      <c r="E890" t="s">
        <v>45</v>
      </c>
      <c r="F890" s="8" t="s">
        <v>151</v>
      </c>
      <c r="G890">
        <v>4</v>
      </c>
      <c r="H890" t="s">
        <v>582</v>
      </c>
      <c r="J890" s="3"/>
      <c r="K890" s="11">
        <v>46188.700590277775</v>
      </c>
      <c r="M890">
        <v>216</v>
      </c>
      <c r="N890" t="s">
        <v>867</v>
      </c>
      <c r="O890" s="5">
        <v>0</v>
      </c>
      <c r="P890" s="5"/>
      <c r="Q890" s="10">
        <f>INT(Tabela1[[#This Row],[DATA]])</f>
        <v>46188</v>
      </c>
      <c r="R890" s="14" t="str">
        <f ca="1">IF(AND(Q890&gt;=TODAY()-WEEKDAY(TODAY(),2)+1,Q890&lt;TODAY()),"SIM","NÃO")</f>
        <v>NÃO</v>
      </c>
    </row>
    <row r="891" spans="1:18" hidden="1">
      <c r="A891" s="8" t="s">
        <v>253</v>
      </c>
      <c r="B891" t="s">
        <v>254</v>
      </c>
      <c r="C891">
        <v>300269764</v>
      </c>
      <c r="D891">
        <v>15775496</v>
      </c>
      <c r="E891" t="s">
        <v>45</v>
      </c>
      <c r="F891" s="8" t="s">
        <v>151</v>
      </c>
      <c r="G891">
        <v>5</v>
      </c>
      <c r="H891" t="s">
        <v>2228</v>
      </c>
      <c r="J891" s="3"/>
      <c r="K891" s="11">
        <v>46188.709513888891</v>
      </c>
      <c r="M891">
        <v>217</v>
      </c>
      <c r="N891" t="s">
        <v>867</v>
      </c>
      <c r="O891" s="5">
        <v>0</v>
      </c>
      <c r="P891" s="5"/>
      <c r="Q891" s="10">
        <f>INT(Tabela1[[#This Row],[DATA]])</f>
        <v>46188</v>
      </c>
      <c r="R891" s="14" t="str">
        <f ca="1">IF(AND(Q891&gt;=TODAY()-WEEKDAY(TODAY(),2)+1,Q891&lt;TODAY()),"SIM","NÃO")</f>
        <v>NÃO</v>
      </c>
    </row>
    <row r="892" spans="1:18" hidden="1">
      <c r="A892" s="8" t="s">
        <v>2624</v>
      </c>
      <c r="B892" t="s">
        <v>50</v>
      </c>
      <c r="C892">
        <v>300269359</v>
      </c>
      <c r="D892">
        <v>16507657</v>
      </c>
      <c r="E892" t="s">
        <v>37</v>
      </c>
      <c r="F892" s="8" t="s">
        <v>38</v>
      </c>
      <c r="G892">
        <v>80</v>
      </c>
      <c r="H892" t="s">
        <v>2625</v>
      </c>
      <c r="J892" s="3" t="s">
        <v>2626</v>
      </c>
      <c r="K892" s="11">
        <v>46188.712430555555</v>
      </c>
      <c r="M892">
        <v>218</v>
      </c>
      <c r="N892" t="s">
        <v>878</v>
      </c>
      <c r="O892" s="5">
        <v>300269359</v>
      </c>
      <c r="P892" s="5"/>
      <c r="Q892" s="10">
        <f>INT(Tabela1[[#This Row],[DATA]])</f>
        <v>46188</v>
      </c>
      <c r="R892" s="14" t="str">
        <f ca="1">IF(AND(Q892&gt;=TODAY()-WEEKDAY(TODAY(),2)+1,Q892&lt;TODAY()),"SIM","NÃO")</f>
        <v>NÃO</v>
      </c>
    </row>
    <row r="893" spans="1:18" hidden="1">
      <c r="A893" s="8" t="s">
        <v>2571</v>
      </c>
      <c r="B893" t="s">
        <v>798</v>
      </c>
      <c r="C893">
        <v>300267134</v>
      </c>
      <c r="D893">
        <v>15724344</v>
      </c>
      <c r="E893" t="s">
        <v>45</v>
      </c>
      <c r="F893" s="8" t="s">
        <v>96</v>
      </c>
      <c r="G893">
        <v>115</v>
      </c>
      <c r="H893" t="s">
        <v>2627</v>
      </c>
      <c r="J893" s="3" t="s">
        <v>2628</v>
      </c>
      <c r="K893" s="11">
        <v>46188.712534722225</v>
      </c>
      <c r="M893">
        <v>219</v>
      </c>
      <c r="N893" t="s">
        <v>867</v>
      </c>
      <c r="O893" s="5" t="s">
        <v>592</v>
      </c>
      <c r="P893" s="5"/>
      <c r="Q893" s="10">
        <f>INT(Tabela1[[#This Row],[DATA]])</f>
        <v>46188</v>
      </c>
      <c r="R893" s="14" t="str">
        <f ca="1">IF(AND(Q893&gt;=TODAY()-WEEKDAY(TODAY(),2)+1,Q893&lt;TODAY()),"SIM","NÃO")</f>
        <v>NÃO</v>
      </c>
    </row>
    <row r="894" spans="1:18" hidden="1">
      <c r="A894" s="8" t="s">
        <v>2541</v>
      </c>
      <c r="B894" t="s">
        <v>388</v>
      </c>
      <c r="C894">
        <v>300268935</v>
      </c>
      <c r="D894">
        <v>16447590</v>
      </c>
      <c r="E894" t="s">
        <v>37</v>
      </c>
      <c r="F894" s="8" t="s">
        <v>315</v>
      </c>
      <c r="G894">
        <v>10</v>
      </c>
      <c r="H894" t="s">
        <v>644</v>
      </c>
      <c r="J894" s="3"/>
      <c r="K894" s="11">
        <v>46188.712685185186</v>
      </c>
      <c r="M894">
        <v>220</v>
      </c>
      <c r="N894" t="s">
        <v>878</v>
      </c>
      <c r="O894" s="5">
        <v>0</v>
      </c>
      <c r="P894" s="5"/>
      <c r="Q894" s="10">
        <f>INT(Tabela1[[#This Row],[DATA]])</f>
        <v>46188</v>
      </c>
      <c r="R894" s="14" t="str">
        <f ca="1">IF(AND(Q894&gt;=TODAY()-WEEKDAY(TODAY(),2)+1,Q894&lt;TODAY()),"SIM","NÃO")</f>
        <v>NÃO</v>
      </c>
    </row>
    <row r="895" spans="1:18" hidden="1">
      <c r="A895" s="8" t="s">
        <v>2571</v>
      </c>
      <c r="B895" t="s">
        <v>1487</v>
      </c>
      <c r="C895">
        <v>300267134</v>
      </c>
      <c r="D895">
        <v>15724344</v>
      </c>
      <c r="E895" t="s">
        <v>45</v>
      </c>
      <c r="F895" s="8" t="s">
        <v>151</v>
      </c>
      <c r="G895">
        <v>40</v>
      </c>
      <c r="H895" t="s">
        <v>2629</v>
      </c>
      <c r="J895" s="3" t="s">
        <v>2628</v>
      </c>
      <c r="K895" s="11">
        <v>46188.713958333334</v>
      </c>
      <c r="M895">
        <v>221</v>
      </c>
      <c r="N895" t="s">
        <v>867</v>
      </c>
      <c r="O895" s="5" t="s">
        <v>2630</v>
      </c>
      <c r="P895" s="5"/>
      <c r="Q895" s="10">
        <f>INT(Tabela1[[#This Row],[DATA]])</f>
        <v>46188</v>
      </c>
      <c r="R895" s="14" t="str">
        <f ca="1">IF(AND(Q895&gt;=TODAY()-WEEKDAY(TODAY(),2)+1,Q895&lt;TODAY()),"SIM","NÃO")</f>
        <v>NÃO</v>
      </c>
    </row>
    <row r="896" spans="1:18" hidden="1">
      <c r="A896" s="8" t="s">
        <v>2541</v>
      </c>
      <c r="B896" t="s">
        <v>388</v>
      </c>
      <c r="C896">
        <v>300268935</v>
      </c>
      <c r="D896">
        <v>16447590</v>
      </c>
      <c r="E896" t="s">
        <v>37</v>
      </c>
      <c r="F896" s="8" t="s">
        <v>21</v>
      </c>
      <c r="G896">
        <v>20</v>
      </c>
      <c r="H896" t="s">
        <v>2631</v>
      </c>
      <c r="J896" s="3"/>
      <c r="K896" s="11">
        <v>46188.714224537034</v>
      </c>
      <c r="M896">
        <v>222</v>
      </c>
      <c r="N896" t="s">
        <v>878</v>
      </c>
      <c r="O896" s="5">
        <v>0</v>
      </c>
      <c r="P896" s="5"/>
      <c r="Q896" s="10">
        <f>INT(Tabela1[[#This Row],[DATA]])</f>
        <v>46188</v>
      </c>
      <c r="R896" s="14" t="str">
        <f ca="1">IF(AND(Q896&gt;=TODAY()-WEEKDAY(TODAY(),2)+1,Q896&lt;TODAY()),"SIM","NÃO")</f>
        <v>NÃO</v>
      </c>
    </row>
    <row r="897" spans="1:18" hidden="1">
      <c r="A897" s="8" t="s">
        <v>1439</v>
      </c>
      <c r="B897" t="s">
        <v>1440</v>
      </c>
      <c r="C897">
        <v>300270436</v>
      </c>
      <c r="D897">
        <v>16483510</v>
      </c>
      <c r="E897" t="s">
        <v>45</v>
      </c>
      <c r="F897" s="8" t="s">
        <v>113</v>
      </c>
      <c r="G897">
        <v>836</v>
      </c>
      <c r="H897" t="s">
        <v>2632</v>
      </c>
      <c r="J897" s="3" t="s">
        <v>2633</v>
      </c>
      <c r="K897" s="11">
        <v>46188.738368055558</v>
      </c>
      <c r="M897">
        <v>223</v>
      </c>
      <c r="N897" t="s">
        <v>867</v>
      </c>
      <c r="O897" s="5">
        <v>0</v>
      </c>
      <c r="P897" s="5"/>
      <c r="Q897" s="10">
        <f>INT(Tabela1[[#This Row],[DATA]])</f>
        <v>46188</v>
      </c>
      <c r="R897" s="14" t="str">
        <f ca="1">IF(AND(Q897&gt;=TODAY()-WEEKDAY(TODAY(),2)+1,Q897&lt;TODAY()),"SIM","NÃO")</f>
        <v>NÃO</v>
      </c>
    </row>
    <row r="898" spans="1:18" hidden="1">
      <c r="A898" s="8" t="s">
        <v>253</v>
      </c>
      <c r="B898" t="s">
        <v>254</v>
      </c>
      <c r="C898">
        <v>300270319</v>
      </c>
      <c r="D898">
        <v>16187741</v>
      </c>
      <c r="E898" t="s">
        <v>37</v>
      </c>
      <c r="F898" s="8" t="s">
        <v>216</v>
      </c>
      <c r="G898">
        <v>60</v>
      </c>
      <c r="H898" t="s">
        <v>2634</v>
      </c>
      <c r="J898" s="3" t="s">
        <v>2635</v>
      </c>
      <c r="K898" s="11">
        <v>46189.34778935185</v>
      </c>
      <c r="M898">
        <v>224</v>
      </c>
      <c r="N898" t="s">
        <v>867</v>
      </c>
      <c r="O898" s="5">
        <v>0</v>
      </c>
      <c r="P898" s="5"/>
      <c r="Q898" s="10">
        <f>INT(Tabela1[[#This Row],[DATA]])</f>
        <v>46189</v>
      </c>
      <c r="R898" s="14" t="str">
        <f ca="1">IF(AND(Q898&gt;=TODAY()-WEEKDAY(TODAY(),2)+1,Q898&lt;TODAY()),"SIM","NÃO")</f>
        <v>NÃO</v>
      </c>
    </row>
    <row r="899" spans="1:18" hidden="1">
      <c r="A899" s="8" t="s">
        <v>305</v>
      </c>
      <c r="B899" t="s">
        <v>306</v>
      </c>
      <c r="C899">
        <v>300265824</v>
      </c>
      <c r="D899">
        <v>16482395</v>
      </c>
      <c r="E899" t="s">
        <v>37</v>
      </c>
      <c r="F899" s="8" t="s">
        <v>216</v>
      </c>
      <c r="G899" t="s">
        <v>2636</v>
      </c>
      <c r="H899" t="s">
        <v>307</v>
      </c>
      <c r="J899" s="3" t="s">
        <v>2637</v>
      </c>
      <c r="K899" s="11">
        <v>46189.383738425924</v>
      </c>
      <c r="M899">
        <v>225</v>
      </c>
      <c r="N899" t="s">
        <v>867</v>
      </c>
      <c r="O899" s="5">
        <v>0</v>
      </c>
      <c r="P899" s="5"/>
      <c r="Q899" s="10">
        <f>INT(Tabela1[[#This Row],[DATA]])</f>
        <v>46189</v>
      </c>
      <c r="R899" s="14" t="str">
        <f ca="1">IF(AND(Q899&gt;=TODAY()-WEEKDAY(TODAY(),2)+1,Q899&lt;TODAY()),"SIM","NÃO")</f>
        <v>NÃO</v>
      </c>
    </row>
    <row r="900" spans="1:18" hidden="1">
      <c r="A900" s="8" t="s">
        <v>493</v>
      </c>
      <c r="B900" t="s">
        <v>95</v>
      </c>
      <c r="C900">
        <v>300000000</v>
      </c>
      <c r="D900">
        <v>1</v>
      </c>
      <c r="E900" t="s">
        <v>37</v>
      </c>
      <c r="F900" s="8" t="s">
        <v>132</v>
      </c>
      <c r="G900">
        <v>1</v>
      </c>
      <c r="H900" t="s">
        <v>547</v>
      </c>
      <c r="J900" s="3" t="s">
        <v>2638</v>
      </c>
      <c r="K900" s="11">
        <v>46189.384895833333</v>
      </c>
      <c r="M900">
        <v>226</v>
      </c>
      <c r="N900" t="s">
        <v>878</v>
      </c>
      <c r="O900" s="5">
        <v>1</v>
      </c>
      <c r="P900" s="5"/>
      <c r="Q900" s="10">
        <f>INT(Tabela1[[#This Row],[DATA]])</f>
        <v>46189</v>
      </c>
      <c r="R900" s="14" t="str">
        <f ca="1">IF(AND(Q900&gt;=TODAY()-WEEKDAY(TODAY(),2)+1,Q900&lt;TODAY()),"SIM","NÃO")</f>
        <v>NÃO</v>
      </c>
    </row>
    <row r="901" spans="1:18" hidden="1">
      <c r="A901" s="8" t="s">
        <v>2551</v>
      </c>
      <c r="B901" t="s">
        <v>274</v>
      </c>
      <c r="C901">
        <v>300271188</v>
      </c>
      <c r="D901">
        <v>15215539</v>
      </c>
      <c r="E901" t="s">
        <v>29</v>
      </c>
      <c r="F901" s="8" t="s">
        <v>38</v>
      </c>
      <c r="G901">
        <v>1.0920000000000001</v>
      </c>
      <c r="H901" t="s">
        <v>2094</v>
      </c>
      <c r="J901" s="3"/>
      <c r="K901" s="11">
        <v>46189.385150462964</v>
      </c>
      <c r="M901">
        <v>227</v>
      </c>
      <c r="N901" t="s">
        <v>878</v>
      </c>
      <c r="O901" s="5">
        <v>0</v>
      </c>
      <c r="P901" s="5"/>
      <c r="Q901" s="10">
        <f>INT(Tabela1[[#This Row],[DATA]])</f>
        <v>46189</v>
      </c>
      <c r="R901" s="14" t="str">
        <f ca="1">IF(AND(Q901&gt;=TODAY()-WEEKDAY(TODAY(),2)+1,Q901&lt;TODAY()),"SIM","NÃO")</f>
        <v>NÃO</v>
      </c>
    </row>
    <row r="902" spans="1:18" hidden="1">
      <c r="A902" s="8" t="s">
        <v>123</v>
      </c>
      <c r="B902" t="s">
        <v>124</v>
      </c>
      <c r="C902">
        <v>300265451</v>
      </c>
      <c r="D902">
        <v>16484606</v>
      </c>
      <c r="E902" t="s">
        <v>37</v>
      </c>
      <c r="F902" s="8" t="s">
        <v>60</v>
      </c>
      <c r="G902">
        <v>5</v>
      </c>
      <c r="H902" t="s">
        <v>82</v>
      </c>
      <c r="J902" s="3" t="s">
        <v>2420</v>
      </c>
      <c r="K902" s="11">
        <v>46189.394548611112</v>
      </c>
      <c r="M902">
        <v>228</v>
      </c>
      <c r="N902" t="s">
        <v>867</v>
      </c>
      <c r="O902" s="5">
        <v>10000228860</v>
      </c>
      <c r="P902" s="5"/>
      <c r="Q902" s="10">
        <f>INT(Tabela1[[#This Row],[DATA]])</f>
        <v>46189</v>
      </c>
      <c r="R902" s="14" t="str">
        <f ca="1">IF(AND(Q902&gt;=TODAY()-WEEKDAY(TODAY(),2)+1,Q902&lt;TODAY()),"SIM","NÃO")</f>
        <v>NÃO</v>
      </c>
    </row>
    <row r="903" spans="1:18" hidden="1">
      <c r="A903" s="8" t="s">
        <v>1421</v>
      </c>
      <c r="B903" t="s">
        <v>1422</v>
      </c>
      <c r="C903">
        <v>300270870</v>
      </c>
      <c r="D903">
        <v>16224116</v>
      </c>
      <c r="E903" t="s">
        <v>45</v>
      </c>
      <c r="F903" s="8" t="s">
        <v>103</v>
      </c>
      <c r="G903">
        <v>100</v>
      </c>
      <c r="H903" t="s">
        <v>655</v>
      </c>
      <c r="J903" s="3"/>
      <c r="K903" s="11">
        <v>46189.396215277775</v>
      </c>
      <c r="M903">
        <v>229</v>
      </c>
      <c r="N903" t="s">
        <v>878</v>
      </c>
      <c r="O903" s="5" t="s">
        <v>848</v>
      </c>
      <c r="P903" s="5"/>
      <c r="Q903" s="10">
        <f>INT(Tabela1[[#This Row],[DATA]])</f>
        <v>46189</v>
      </c>
      <c r="R903" s="14" t="str">
        <f ca="1">IF(AND(Q903&gt;=TODAY()-WEEKDAY(TODAY(),2)+1,Q903&lt;TODAY()),"SIM","NÃO")</f>
        <v>NÃO</v>
      </c>
    </row>
    <row r="904" spans="1:18" hidden="1">
      <c r="A904" s="8" t="s">
        <v>2639</v>
      </c>
      <c r="B904" t="s">
        <v>2640</v>
      </c>
      <c r="C904">
        <v>300242504</v>
      </c>
      <c r="D904">
        <v>16379390</v>
      </c>
      <c r="E904" t="s">
        <v>37</v>
      </c>
      <c r="F904" s="8" t="s">
        <v>113</v>
      </c>
      <c r="G904">
        <v>3</v>
      </c>
      <c r="H904" t="s">
        <v>2492</v>
      </c>
      <c r="J904" s="3" t="s">
        <v>2641</v>
      </c>
      <c r="K904" s="11">
        <v>46189.396678240744</v>
      </c>
      <c r="M904">
        <v>230</v>
      </c>
      <c r="N904" t="s">
        <v>867</v>
      </c>
      <c r="O904" s="5" t="s">
        <v>2642</v>
      </c>
      <c r="P904" s="5"/>
      <c r="Q904" s="10">
        <f>INT(Tabela1[[#This Row],[DATA]])</f>
        <v>46189</v>
      </c>
      <c r="R904" s="14" t="str">
        <f ca="1">IF(AND(Q904&gt;=TODAY()-WEEKDAY(TODAY(),2)+1,Q904&lt;TODAY()),"SIM","NÃO")</f>
        <v>NÃO</v>
      </c>
    </row>
    <row r="905" spans="1:18" hidden="1">
      <c r="A905" s="8" t="s">
        <v>1096</v>
      </c>
      <c r="B905" t="s">
        <v>1097</v>
      </c>
      <c r="C905">
        <v>300268060</v>
      </c>
      <c r="D905">
        <v>16473604</v>
      </c>
      <c r="E905" t="s">
        <v>37</v>
      </c>
      <c r="F905" s="8" t="s">
        <v>90</v>
      </c>
      <c r="G905">
        <v>10</v>
      </c>
      <c r="H905" t="s">
        <v>579</v>
      </c>
      <c r="J905" s="3" t="s">
        <v>2643</v>
      </c>
      <c r="K905" s="11">
        <v>46189.413946759261</v>
      </c>
      <c r="M905">
        <v>231</v>
      </c>
      <c r="N905" t="s">
        <v>878</v>
      </c>
      <c r="O905" s="5">
        <v>0</v>
      </c>
      <c r="P905" s="5"/>
      <c r="Q905" s="10">
        <f>INT(Tabela1[[#This Row],[DATA]])</f>
        <v>46189</v>
      </c>
      <c r="R905" s="14" t="str">
        <f ca="1">IF(AND(Q905&gt;=TODAY()-WEEKDAY(TODAY(),2)+1,Q905&lt;TODAY()),"SIM","NÃO")</f>
        <v>NÃO</v>
      </c>
    </row>
    <row r="906" spans="1:18" hidden="1">
      <c r="A906" s="8" t="s">
        <v>185</v>
      </c>
      <c r="B906" t="s">
        <v>1625</v>
      </c>
      <c r="C906">
        <v>300269812</v>
      </c>
      <c r="D906">
        <v>16373685</v>
      </c>
      <c r="E906" t="s">
        <v>37</v>
      </c>
      <c r="F906" s="8" t="s">
        <v>38</v>
      </c>
      <c r="G906">
        <v>4</v>
      </c>
      <c r="H906" t="s">
        <v>522</v>
      </c>
      <c r="J906" s="3"/>
      <c r="K906" s="11">
        <v>46189.436620370368</v>
      </c>
      <c r="M906">
        <v>232</v>
      </c>
      <c r="N906" t="s">
        <v>867</v>
      </c>
      <c r="O906" s="5">
        <v>0</v>
      </c>
      <c r="P906" s="5"/>
      <c r="Q906" s="10">
        <f>INT(Tabela1[[#This Row],[DATA]])</f>
        <v>46189</v>
      </c>
      <c r="R906" s="14" t="str">
        <f ca="1">IF(AND(Q906&gt;=TODAY()-WEEKDAY(TODAY(),2)+1,Q906&lt;TODAY()),"SIM","NÃO")</f>
        <v>NÃO</v>
      </c>
    </row>
    <row r="907" spans="1:18" hidden="1">
      <c r="A907" s="8" t="s">
        <v>185</v>
      </c>
      <c r="B907" t="s">
        <v>1625</v>
      </c>
      <c r="C907">
        <v>300270730</v>
      </c>
      <c r="D907">
        <v>16243145</v>
      </c>
      <c r="E907" t="s">
        <v>37</v>
      </c>
      <c r="F907" s="8" t="s">
        <v>2644</v>
      </c>
      <c r="G907">
        <v>5</v>
      </c>
      <c r="H907" t="s">
        <v>2645</v>
      </c>
      <c r="J907" s="3"/>
      <c r="K907" s="11">
        <v>46189.445868055554</v>
      </c>
      <c r="M907">
        <v>233</v>
      </c>
      <c r="N907" t="s">
        <v>867</v>
      </c>
      <c r="O907" s="5">
        <v>10000063371</v>
      </c>
      <c r="P907" s="5"/>
      <c r="Q907" s="10">
        <f>INT(Tabela1[[#This Row],[DATA]])</f>
        <v>46189</v>
      </c>
      <c r="R907" s="14" t="str">
        <f ca="1">IF(AND(Q907&gt;=TODAY()-WEEKDAY(TODAY(),2)+1,Q907&lt;TODAY()),"SIM","NÃO")</f>
        <v>NÃO</v>
      </c>
    </row>
    <row r="908" spans="1:18" hidden="1">
      <c r="A908" s="8" t="s">
        <v>101</v>
      </c>
      <c r="B908" t="s">
        <v>990</v>
      </c>
      <c r="C908">
        <v>300269761</v>
      </c>
      <c r="D908">
        <v>15864448</v>
      </c>
      <c r="E908" t="s">
        <v>37</v>
      </c>
      <c r="F908" s="8" t="s">
        <v>2580</v>
      </c>
      <c r="G908">
        <v>1.2210000000000001</v>
      </c>
      <c r="H908" t="s">
        <v>2646</v>
      </c>
      <c r="J908" s="3" t="s">
        <v>2647</v>
      </c>
      <c r="K908" s="11">
        <v>46189.448495370372</v>
      </c>
      <c r="M908">
        <v>234</v>
      </c>
      <c r="N908" t="s">
        <v>878</v>
      </c>
      <c r="O908" s="5" t="s">
        <v>2648</v>
      </c>
      <c r="P908" s="5"/>
      <c r="Q908" s="10">
        <f>INT(Tabela1[[#This Row],[DATA]])</f>
        <v>46189</v>
      </c>
      <c r="R908" s="14" t="str">
        <f ca="1">IF(AND(Q908&gt;=TODAY()-WEEKDAY(TODAY(),2)+1,Q908&lt;TODAY()),"SIM","NÃO")</f>
        <v>NÃO</v>
      </c>
    </row>
    <row r="909" spans="1:18" hidden="1">
      <c r="A909" s="8" t="s">
        <v>2649</v>
      </c>
      <c r="B909" t="s">
        <v>137</v>
      </c>
      <c r="C909">
        <v>300000000</v>
      </c>
      <c r="D909">
        <v>0</v>
      </c>
      <c r="E909" t="s">
        <v>37</v>
      </c>
      <c r="F909" s="8" t="s">
        <v>132</v>
      </c>
      <c r="G909">
        <v>1</v>
      </c>
      <c r="H909" t="s">
        <v>13</v>
      </c>
      <c r="J909" s="3"/>
      <c r="K909" s="11">
        <v>46189.449178240742</v>
      </c>
      <c r="M909">
        <v>235</v>
      </c>
      <c r="N909" t="s">
        <v>878</v>
      </c>
      <c r="O909" s="5">
        <v>0</v>
      </c>
      <c r="P909" s="5"/>
      <c r="Q909" s="10">
        <f>INT(Tabela1[[#This Row],[DATA]])</f>
        <v>46189</v>
      </c>
      <c r="R909" s="14" t="str">
        <f ca="1">IF(AND(Q909&gt;=TODAY()-WEEKDAY(TODAY(),2)+1,Q909&lt;TODAY()),"SIM","NÃO")</f>
        <v>NÃO</v>
      </c>
    </row>
    <row r="910" spans="1:18" hidden="1">
      <c r="A910" s="8" t="s">
        <v>196</v>
      </c>
      <c r="B910" t="s">
        <v>1625</v>
      </c>
      <c r="C910">
        <v>300000000</v>
      </c>
      <c r="D910">
        <v>0</v>
      </c>
      <c r="E910" t="s">
        <v>37</v>
      </c>
      <c r="F910" s="8" t="s">
        <v>132</v>
      </c>
      <c r="G910">
        <v>1</v>
      </c>
      <c r="H910" t="s">
        <v>1771</v>
      </c>
      <c r="J910" s="3"/>
      <c r="K910" s="11">
        <v>46189.450416666667</v>
      </c>
      <c r="M910">
        <v>236</v>
      </c>
      <c r="N910" t="s">
        <v>878</v>
      </c>
      <c r="O910" s="5">
        <v>0</v>
      </c>
      <c r="P910" s="5"/>
      <c r="Q910" s="10">
        <f>INT(Tabela1[[#This Row],[DATA]])</f>
        <v>46189</v>
      </c>
      <c r="R910" s="14" t="str">
        <f ca="1">IF(AND(Q910&gt;=TODAY()-WEEKDAY(TODAY(),2)+1,Q910&lt;TODAY()),"SIM","NÃO")</f>
        <v>NÃO</v>
      </c>
    </row>
    <row r="911" spans="1:18" hidden="1">
      <c r="A911" s="8" t="s">
        <v>185</v>
      </c>
      <c r="B911" t="s">
        <v>1625</v>
      </c>
      <c r="C911">
        <v>300000000</v>
      </c>
      <c r="D911">
        <v>0</v>
      </c>
      <c r="E911" t="s">
        <v>37</v>
      </c>
      <c r="F911" s="8" t="s">
        <v>132</v>
      </c>
      <c r="G911">
        <v>1</v>
      </c>
      <c r="H911" t="s">
        <v>1771</v>
      </c>
      <c r="J911" s="3"/>
      <c r="K911" s="11">
        <v>46189.451053240744</v>
      </c>
      <c r="M911">
        <v>237</v>
      </c>
      <c r="N911" t="s">
        <v>878</v>
      </c>
      <c r="O911" s="5">
        <v>0</v>
      </c>
      <c r="P911" s="5"/>
      <c r="Q911" s="10">
        <f>INT(Tabela1[[#This Row],[DATA]])</f>
        <v>46189</v>
      </c>
      <c r="R911" s="14" t="str">
        <f ca="1">IF(AND(Q911&gt;=TODAY()-WEEKDAY(TODAY(),2)+1,Q911&lt;TODAY()),"SIM","NÃO")</f>
        <v>NÃO</v>
      </c>
    </row>
    <row r="912" spans="1:18" hidden="1">
      <c r="A912" s="8" t="s">
        <v>2650</v>
      </c>
      <c r="B912" t="s">
        <v>137</v>
      </c>
      <c r="C912">
        <v>300000000</v>
      </c>
      <c r="D912">
        <v>0</v>
      </c>
      <c r="E912" t="s">
        <v>37</v>
      </c>
      <c r="F912" s="8" t="s">
        <v>132</v>
      </c>
      <c r="G912">
        <v>1</v>
      </c>
      <c r="H912" t="s">
        <v>138</v>
      </c>
      <c r="J912" s="3"/>
      <c r="K912" s="11">
        <v>46189.452372685184</v>
      </c>
      <c r="M912">
        <v>238</v>
      </c>
      <c r="N912" t="s">
        <v>878</v>
      </c>
      <c r="O912" s="5" t="s">
        <v>848</v>
      </c>
      <c r="P912" s="5"/>
      <c r="Q912" s="10">
        <f>INT(Tabela1[[#This Row],[DATA]])</f>
        <v>46189</v>
      </c>
      <c r="R912" s="14" t="str">
        <f ca="1">IF(AND(Q912&gt;=TODAY()-WEEKDAY(TODAY(),2)+1,Q912&lt;TODAY()),"SIM","NÃO")</f>
        <v>NÃO</v>
      </c>
    </row>
    <row r="913" spans="1:18" hidden="1">
      <c r="A913" s="8" t="s">
        <v>2650</v>
      </c>
      <c r="B913" t="s">
        <v>137</v>
      </c>
      <c r="C913">
        <v>300000000</v>
      </c>
      <c r="D913">
        <v>0</v>
      </c>
      <c r="E913" t="s">
        <v>37</v>
      </c>
      <c r="F913" s="8" t="s">
        <v>103</v>
      </c>
      <c r="G913">
        <v>1</v>
      </c>
      <c r="H913" t="s">
        <v>13</v>
      </c>
      <c r="J913" s="3"/>
      <c r="K913" s="11">
        <v>46189.453217592592</v>
      </c>
      <c r="M913">
        <v>239</v>
      </c>
      <c r="N913" t="s">
        <v>878</v>
      </c>
      <c r="O913" s="5" t="s">
        <v>138</v>
      </c>
      <c r="P913" s="5"/>
      <c r="Q913" s="10">
        <f>INT(Tabela1[[#This Row],[DATA]])</f>
        <v>46189</v>
      </c>
      <c r="R913" s="14" t="str">
        <f ca="1">IF(AND(Q913&gt;=TODAY()-WEEKDAY(TODAY(),2)+1,Q913&lt;TODAY()),"SIM","NÃO")</f>
        <v>NÃO</v>
      </c>
    </row>
    <row r="914" spans="1:18" hidden="1">
      <c r="A914" s="8" t="s">
        <v>2650</v>
      </c>
      <c r="B914" t="s">
        <v>137</v>
      </c>
      <c r="C914">
        <v>300000000</v>
      </c>
      <c r="D914">
        <v>0</v>
      </c>
      <c r="E914" t="s">
        <v>37</v>
      </c>
      <c r="F914" s="8" t="s">
        <v>90</v>
      </c>
      <c r="G914" t="s">
        <v>138</v>
      </c>
      <c r="H914" t="s">
        <v>13</v>
      </c>
      <c r="J914" s="3"/>
      <c r="K914" s="11">
        <v>46189.453750000001</v>
      </c>
      <c r="M914">
        <v>240</v>
      </c>
      <c r="N914" t="s">
        <v>878</v>
      </c>
      <c r="O914" s="5">
        <v>0</v>
      </c>
      <c r="P914" s="5"/>
      <c r="Q914" s="10">
        <f>INT(Tabela1[[#This Row],[DATA]])</f>
        <v>46189</v>
      </c>
      <c r="R914" s="14" t="str">
        <f ca="1">IF(AND(Q914&gt;=TODAY()-WEEKDAY(TODAY(),2)+1,Q914&lt;TODAY()),"SIM","NÃO")</f>
        <v>NÃO</v>
      </c>
    </row>
    <row r="915" spans="1:18" hidden="1">
      <c r="A915" s="8" t="s">
        <v>914</v>
      </c>
      <c r="B915" t="s">
        <v>2651</v>
      </c>
      <c r="C915">
        <v>300264321</v>
      </c>
      <c r="D915">
        <v>15690210</v>
      </c>
      <c r="E915" t="s">
        <v>37</v>
      </c>
      <c r="F915" s="8" t="s">
        <v>177</v>
      </c>
      <c r="G915">
        <v>686</v>
      </c>
      <c r="H915" t="s">
        <v>2652</v>
      </c>
      <c r="J915" s="3" t="s">
        <v>2653</v>
      </c>
      <c r="K915" s="11">
        <v>46189.45648148148</v>
      </c>
      <c r="M915">
        <v>241</v>
      </c>
      <c r="N915" t="s">
        <v>878</v>
      </c>
      <c r="O915" s="5">
        <v>0</v>
      </c>
      <c r="P915" s="5"/>
      <c r="Q915" s="10">
        <f>INT(Tabela1[[#This Row],[DATA]])</f>
        <v>46189</v>
      </c>
      <c r="R915" s="14" t="str">
        <f ca="1">IF(AND(Q915&gt;=TODAY()-WEEKDAY(TODAY(),2)+1,Q915&lt;TODAY()),"SIM","NÃO")</f>
        <v>NÃO</v>
      </c>
    </row>
    <row r="916" spans="1:18" hidden="1">
      <c r="A916" s="8" t="s">
        <v>2654</v>
      </c>
      <c r="B916" t="s">
        <v>2655</v>
      </c>
      <c r="C916">
        <v>300270700</v>
      </c>
      <c r="D916">
        <v>16310217</v>
      </c>
      <c r="E916" t="s">
        <v>37</v>
      </c>
      <c r="F916" s="8" t="s">
        <v>132</v>
      </c>
      <c r="G916">
        <v>1</v>
      </c>
      <c r="H916" t="s">
        <v>2091</v>
      </c>
      <c r="J916" s="3"/>
      <c r="K916" s="11">
        <v>46189.463935185187</v>
      </c>
      <c r="M916">
        <v>242</v>
      </c>
      <c r="N916" t="s">
        <v>878</v>
      </c>
      <c r="O916" s="5" t="s">
        <v>848</v>
      </c>
      <c r="P916" s="5"/>
      <c r="Q916" s="10">
        <f>INT(Tabela1[[#This Row],[DATA]])</f>
        <v>46189</v>
      </c>
      <c r="R916" s="14" t="str">
        <f ca="1">IF(AND(Q916&gt;=TODAY()-WEEKDAY(TODAY(),2)+1,Q916&lt;TODAY()),"SIM","NÃO")</f>
        <v>NÃO</v>
      </c>
    </row>
    <row r="917" spans="1:18" hidden="1">
      <c r="A917" s="8" t="s">
        <v>2649</v>
      </c>
      <c r="B917" t="s">
        <v>137</v>
      </c>
      <c r="C917">
        <v>300000000</v>
      </c>
      <c r="D917">
        <v>0</v>
      </c>
      <c r="E917" t="s">
        <v>37</v>
      </c>
      <c r="F917" s="8" t="s">
        <v>103</v>
      </c>
      <c r="G917">
        <v>1</v>
      </c>
      <c r="H917" t="s">
        <v>13</v>
      </c>
      <c r="J917" s="3"/>
      <c r="K917" s="11">
        <v>46189.471539351849</v>
      </c>
      <c r="M917">
        <v>243</v>
      </c>
      <c r="N917" t="s">
        <v>878</v>
      </c>
      <c r="O917" s="5">
        <v>0</v>
      </c>
      <c r="P917" s="5"/>
      <c r="Q917" s="10">
        <f>INT(Tabela1[[#This Row],[DATA]])</f>
        <v>46189</v>
      </c>
      <c r="R917" s="14" t="str">
        <f ca="1">IF(AND(Q917&gt;=TODAY()-WEEKDAY(TODAY(),2)+1,Q917&lt;TODAY()),"SIM","NÃO")</f>
        <v>NÃO</v>
      </c>
    </row>
    <row r="918" spans="1:18" hidden="1">
      <c r="A918" s="8" t="s">
        <v>2656</v>
      </c>
      <c r="B918" t="s">
        <v>119</v>
      </c>
      <c r="C918">
        <v>300269380</v>
      </c>
      <c r="D918">
        <v>16482751</v>
      </c>
      <c r="E918" t="s">
        <v>37</v>
      </c>
      <c r="F918" s="8" t="s">
        <v>177</v>
      </c>
      <c r="G918">
        <v>5</v>
      </c>
      <c r="H918" t="s">
        <v>2657</v>
      </c>
      <c r="J918" s="3" t="s">
        <v>2658</v>
      </c>
      <c r="K918" s="11">
        <v>46189.472314814811</v>
      </c>
      <c r="M918">
        <v>244</v>
      </c>
      <c r="N918" t="s">
        <v>867</v>
      </c>
      <c r="O918" s="5">
        <v>10000157258</v>
      </c>
      <c r="P918" s="5"/>
      <c r="Q918" s="10">
        <f>INT(Tabela1[[#This Row],[DATA]])</f>
        <v>46189</v>
      </c>
      <c r="R918" s="14" t="str">
        <f ca="1">IF(AND(Q918&gt;=TODAY()-WEEKDAY(TODAY(),2)+1,Q918&lt;TODAY()),"SIM","NÃO")</f>
        <v>NÃO</v>
      </c>
    </row>
    <row r="919" spans="1:18" hidden="1">
      <c r="A919" s="8" t="s">
        <v>2649</v>
      </c>
      <c r="B919" t="s">
        <v>137</v>
      </c>
      <c r="C919">
        <v>300267048</v>
      </c>
      <c r="D919">
        <v>16446054</v>
      </c>
      <c r="E919" t="s">
        <v>37</v>
      </c>
      <c r="F919" s="8" t="s">
        <v>38</v>
      </c>
      <c r="G919">
        <v>50</v>
      </c>
      <c r="H919" t="s">
        <v>2557</v>
      </c>
      <c r="J919" s="3"/>
      <c r="K919" s="11">
        <v>46189.475324074076</v>
      </c>
      <c r="M919">
        <v>245</v>
      </c>
      <c r="N919" t="s">
        <v>867</v>
      </c>
      <c r="O919" s="5">
        <v>0</v>
      </c>
      <c r="P919" s="5"/>
      <c r="Q919" s="10">
        <f>INT(Tabela1[[#This Row],[DATA]])</f>
        <v>46189</v>
      </c>
      <c r="R919" s="14" t="str">
        <f ca="1">IF(AND(Q919&gt;=TODAY()-WEEKDAY(TODAY(),2)+1,Q919&lt;TODAY()),"SIM","NÃO")</f>
        <v>NÃO</v>
      </c>
    </row>
    <row r="920" spans="1:18" hidden="1">
      <c r="A920" s="8" t="s">
        <v>2649</v>
      </c>
      <c r="B920" t="s">
        <v>137</v>
      </c>
      <c r="C920">
        <v>300000000</v>
      </c>
      <c r="D920">
        <v>0</v>
      </c>
      <c r="E920" t="s">
        <v>37</v>
      </c>
      <c r="F920" s="8" t="s">
        <v>90</v>
      </c>
      <c r="G920" t="s">
        <v>138</v>
      </c>
      <c r="H920" t="s">
        <v>13</v>
      </c>
      <c r="J920" s="3"/>
      <c r="K920" s="11">
        <v>46189.477303240739</v>
      </c>
      <c r="M920">
        <v>246</v>
      </c>
      <c r="N920" t="s">
        <v>878</v>
      </c>
      <c r="O920" s="5" t="s">
        <v>138</v>
      </c>
      <c r="P920" s="5"/>
      <c r="Q920" s="10">
        <f>INT(Tabela1[[#This Row],[DATA]])</f>
        <v>46189</v>
      </c>
      <c r="R920" s="14" t="str">
        <f ca="1">IF(AND(Q920&gt;=TODAY()-WEEKDAY(TODAY(),2)+1,Q920&lt;TODAY()),"SIM","NÃO")</f>
        <v>NÃO</v>
      </c>
    </row>
    <row r="921" spans="1:18" hidden="1">
      <c r="A921" s="8" t="s">
        <v>2659</v>
      </c>
      <c r="B921" t="s">
        <v>677</v>
      </c>
      <c r="C921">
        <v>300268938</v>
      </c>
      <c r="D921">
        <v>16261526</v>
      </c>
      <c r="E921" t="s">
        <v>37</v>
      </c>
      <c r="F921" s="8" t="s">
        <v>60</v>
      </c>
      <c r="G921">
        <v>23</v>
      </c>
      <c r="H921" t="s">
        <v>2660</v>
      </c>
      <c r="J921" s="3" t="s">
        <v>2661</v>
      </c>
      <c r="K921" s="11">
        <v>46189.479745370372</v>
      </c>
      <c r="M921">
        <v>247</v>
      </c>
      <c r="N921" t="s">
        <v>867</v>
      </c>
      <c r="O921" s="5">
        <v>184</v>
      </c>
      <c r="P921" s="5"/>
      <c r="Q921" s="10">
        <f>INT(Tabela1[[#This Row],[DATA]])</f>
        <v>46189</v>
      </c>
      <c r="R921" s="14" t="str">
        <f ca="1">IF(AND(Q921&gt;=TODAY()-WEEKDAY(TODAY(),2)+1,Q921&lt;TODAY()),"SIM","NÃO")</f>
        <v>NÃO</v>
      </c>
    </row>
    <row r="922" spans="1:18" hidden="1">
      <c r="A922" s="8" t="s">
        <v>2662</v>
      </c>
      <c r="B922" t="s">
        <v>471</v>
      </c>
      <c r="C922">
        <v>300267517</v>
      </c>
      <c r="D922">
        <v>16223780</v>
      </c>
      <c r="E922" t="s">
        <v>45</v>
      </c>
      <c r="F922" s="8" t="s">
        <v>2598</v>
      </c>
      <c r="G922">
        <v>150</v>
      </c>
      <c r="H922" t="s">
        <v>2663</v>
      </c>
      <c r="J922" s="3"/>
      <c r="K922" s="11">
        <v>46189.538240740738</v>
      </c>
      <c r="M922">
        <v>248</v>
      </c>
      <c r="N922" t="s">
        <v>867</v>
      </c>
      <c r="O922" s="5">
        <v>150</v>
      </c>
      <c r="P922" s="5"/>
      <c r="Q922" s="10">
        <f>INT(Tabela1[[#This Row],[DATA]])</f>
        <v>46189</v>
      </c>
      <c r="R922" s="14" t="str">
        <f ca="1">IF(AND(Q922&gt;=TODAY()-WEEKDAY(TODAY(),2)+1,Q922&lt;TODAY()),"SIM","NÃO")</f>
        <v>NÃO</v>
      </c>
    </row>
    <row r="923" spans="1:18" hidden="1">
      <c r="A923" s="8" t="s">
        <v>111</v>
      </c>
      <c r="B923" t="s">
        <v>112</v>
      </c>
      <c r="C923">
        <v>300262154</v>
      </c>
      <c r="D923">
        <v>16318404</v>
      </c>
      <c r="E923" t="s">
        <v>37</v>
      </c>
      <c r="F923" s="8" t="s">
        <v>30</v>
      </c>
      <c r="G923">
        <v>6</v>
      </c>
      <c r="H923" t="s">
        <v>1335</v>
      </c>
      <c r="J923" s="3"/>
      <c r="K923" s="11">
        <v>46189.538310185184</v>
      </c>
      <c r="M923">
        <v>249</v>
      </c>
      <c r="N923" t="s">
        <v>867</v>
      </c>
      <c r="O923" s="5">
        <v>10000068894</v>
      </c>
      <c r="P923" s="5"/>
      <c r="Q923" s="10">
        <f>INT(Tabela1[[#This Row],[DATA]])</f>
        <v>46189</v>
      </c>
      <c r="R923" s="14" t="str">
        <f ca="1">IF(AND(Q923&gt;=TODAY()-WEEKDAY(TODAY(),2)+1,Q923&lt;TODAY()),"SIM","NÃO")</f>
        <v>NÃO</v>
      </c>
    </row>
    <row r="924" spans="1:18" hidden="1">
      <c r="A924" s="8" t="s">
        <v>2662</v>
      </c>
      <c r="B924" t="s">
        <v>471</v>
      </c>
      <c r="C924">
        <v>300267517</v>
      </c>
      <c r="D924">
        <v>16223780</v>
      </c>
      <c r="E924" t="s">
        <v>45</v>
      </c>
      <c r="F924" s="8" t="s">
        <v>2556</v>
      </c>
      <c r="G924">
        <v>1436</v>
      </c>
      <c r="H924" t="s">
        <v>39</v>
      </c>
      <c r="J924" s="3"/>
      <c r="K924" s="11">
        <v>46189.540856481479</v>
      </c>
      <c r="M924">
        <v>250</v>
      </c>
      <c r="N924" t="s">
        <v>878</v>
      </c>
      <c r="O924" s="5">
        <v>150</v>
      </c>
      <c r="P924" s="5"/>
      <c r="Q924" s="10">
        <f>INT(Tabela1[[#This Row],[DATA]])</f>
        <v>46189</v>
      </c>
      <c r="R924" s="14" t="str">
        <f ca="1">IF(AND(Q924&gt;=TODAY()-WEEKDAY(TODAY(),2)+1,Q924&lt;TODAY()),"SIM","NÃO")</f>
        <v>NÃO</v>
      </c>
    </row>
    <row r="925" spans="1:18" hidden="1">
      <c r="A925" s="8" t="s">
        <v>497</v>
      </c>
      <c r="B925" t="s">
        <v>498</v>
      </c>
      <c r="C925">
        <v>300263334</v>
      </c>
      <c r="D925">
        <v>16099605</v>
      </c>
      <c r="E925" t="s">
        <v>45</v>
      </c>
      <c r="F925" s="8" t="s">
        <v>103</v>
      </c>
      <c r="G925">
        <v>400</v>
      </c>
      <c r="H925" t="s">
        <v>2401</v>
      </c>
      <c r="J925" s="3"/>
      <c r="K925" s="11">
        <v>46189.548414351855</v>
      </c>
      <c r="M925">
        <v>251</v>
      </c>
      <c r="N925" t="s">
        <v>878</v>
      </c>
      <c r="O925" s="5">
        <v>150</v>
      </c>
      <c r="P925" s="5"/>
      <c r="Q925" s="10">
        <f>INT(Tabela1[[#This Row],[DATA]])</f>
        <v>46189</v>
      </c>
      <c r="R925" s="14" t="str">
        <f ca="1">IF(AND(Q925&gt;=TODAY()-WEEKDAY(TODAY(),2)+1,Q925&lt;TODAY()),"SIM","NÃO")</f>
        <v>NÃO</v>
      </c>
    </row>
    <row r="926" spans="1:18" hidden="1">
      <c r="A926" s="8" t="s">
        <v>2610</v>
      </c>
      <c r="B926" t="s">
        <v>74</v>
      </c>
      <c r="C926">
        <v>300271999</v>
      </c>
      <c r="D926">
        <v>16547942</v>
      </c>
      <c r="E926" t="s">
        <v>20</v>
      </c>
      <c r="F926" s="8" t="s">
        <v>38</v>
      </c>
      <c r="G926">
        <v>27</v>
      </c>
      <c r="H926" t="s">
        <v>555</v>
      </c>
      <c r="J926" s="3"/>
      <c r="K926" s="11">
        <v>46189.552372685182</v>
      </c>
      <c r="M926">
        <v>252</v>
      </c>
      <c r="N926" t="s">
        <v>867</v>
      </c>
      <c r="O926" s="5">
        <v>0</v>
      </c>
      <c r="P926" s="5"/>
      <c r="Q926" s="10">
        <f>INT(Tabela1[[#This Row],[DATA]])</f>
        <v>46189</v>
      </c>
      <c r="R926" s="14" t="str">
        <f ca="1">IF(AND(Q926&gt;=TODAY()-WEEKDAY(TODAY(),2)+1,Q926&lt;TODAY()),"SIM","NÃO")</f>
        <v>NÃO</v>
      </c>
    </row>
    <row r="927" spans="1:18" hidden="1">
      <c r="A927" s="8" t="s">
        <v>755</v>
      </c>
      <c r="B927" t="s">
        <v>756</v>
      </c>
      <c r="C927">
        <v>300268616</v>
      </c>
      <c r="D927">
        <v>16473825</v>
      </c>
      <c r="E927" t="s">
        <v>37</v>
      </c>
      <c r="F927" s="8" t="s">
        <v>132</v>
      </c>
      <c r="G927">
        <v>1</v>
      </c>
      <c r="H927" t="s">
        <v>764</v>
      </c>
      <c r="J927" s="3" t="s">
        <v>764</v>
      </c>
      <c r="K927" s="11">
        <v>46189.553229166668</v>
      </c>
      <c r="M927">
        <v>253</v>
      </c>
      <c r="N927" t="s">
        <v>878</v>
      </c>
      <c r="O927" s="5" t="s">
        <v>2664</v>
      </c>
      <c r="P927" s="5"/>
      <c r="Q927" s="10">
        <f>INT(Tabela1[[#This Row],[DATA]])</f>
        <v>46189</v>
      </c>
      <c r="R927" s="14" t="str">
        <f ca="1">IF(AND(Q927&gt;=TODAY()-WEEKDAY(TODAY(),2)+1,Q927&lt;TODAY()),"SIM","NÃO")</f>
        <v>NÃO</v>
      </c>
    </row>
    <row r="928" spans="1:18" hidden="1">
      <c r="A928" s="8" t="s">
        <v>2610</v>
      </c>
      <c r="B928" t="s">
        <v>74</v>
      </c>
      <c r="C928">
        <v>300271999</v>
      </c>
      <c r="D928">
        <v>16547942</v>
      </c>
      <c r="E928" t="s">
        <v>20</v>
      </c>
      <c r="F928" s="8" t="s">
        <v>125</v>
      </c>
      <c r="G928">
        <v>10</v>
      </c>
      <c r="H928" t="s">
        <v>2665</v>
      </c>
      <c r="J928" s="3" t="s">
        <v>2666</v>
      </c>
      <c r="K928" s="11">
        <v>46189.553576388891</v>
      </c>
      <c r="M928">
        <v>254</v>
      </c>
      <c r="N928" t="s">
        <v>867</v>
      </c>
      <c r="O928" s="5">
        <v>0</v>
      </c>
      <c r="P928" s="5"/>
      <c r="Q928" s="10">
        <f>INT(Tabela1[[#This Row],[DATA]])</f>
        <v>46189</v>
      </c>
      <c r="R928" s="14" t="str">
        <f ca="1">IF(AND(Q928&gt;=TODAY()-WEEKDAY(TODAY(),2)+1,Q928&lt;TODAY()),"SIM","NÃO")</f>
        <v>NÃO</v>
      </c>
    </row>
    <row r="929" spans="1:18" hidden="1">
      <c r="A929" s="8" t="s">
        <v>2610</v>
      </c>
      <c r="B929" t="s">
        <v>74</v>
      </c>
      <c r="C929">
        <v>300270432</v>
      </c>
      <c r="D929">
        <v>15497313</v>
      </c>
      <c r="E929" t="s">
        <v>45</v>
      </c>
      <c r="F929" s="8" t="s">
        <v>38</v>
      </c>
      <c r="G929">
        <v>10</v>
      </c>
      <c r="H929" t="s">
        <v>555</v>
      </c>
      <c r="J929" s="3"/>
      <c r="K929" s="11">
        <v>46189.562465277777</v>
      </c>
      <c r="M929">
        <v>255</v>
      </c>
      <c r="N929" t="s">
        <v>867</v>
      </c>
      <c r="O929" s="5">
        <v>0</v>
      </c>
      <c r="P929" s="5"/>
      <c r="Q929" s="10">
        <f>INT(Tabela1[[#This Row],[DATA]])</f>
        <v>46189</v>
      </c>
      <c r="R929" s="14" t="str">
        <f ca="1">IF(AND(Q929&gt;=TODAY()-WEEKDAY(TODAY(),2)+1,Q929&lt;TODAY()),"SIM","NÃO")</f>
        <v>NÃO</v>
      </c>
    </row>
    <row r="930" spans="1:18" hidden="1">
      <c r="A930" s="8" t="s">
        <v>2177</v>
      </c>
      <c r="B930" t="s">
        <v>1073</v>
      </c>
      <c r="C930">
        <v>300264300</v>
      </c>
      <c r="D930">
        <v>16690210</v>
      </c>
      <c r="E930" t="s">
        <v>37</v>
      </c>
      <c r="F930" s="8" t="s">
        <v>60</v>
      </c>
      <c r="G930">
        <v>684</v>
      </c>
      <c r="H930" t="s">
        <v>2559</v>
      </c>
      <c r="J930" s="3" t="s">
        <v>2667</v>
      </c>
      <c r="K930" s="11">
        <v>46189.564027777778</v>
      </c>
      <c r="M930">
        <v>256</v>
      </c>
      <c r="N930" t="s">
        <v>878</v>
      </c>
      <c r="O930" s="5" t="s">
        <v>2668</v>
      </c>
      <c r="P930" s="5"/>
      <c r="Q930" s="10">
        <f>INT(Tabela1[[#This Row],[DATA]])</f>
        <v>46189</v>
      </c>
      <c r="R930" s="14" t="str">
        <f ca="1">IF(AND(Q930&gt;=TODAY()-WEEKDAY(TODAY(),2)+1,Q930&lt;TODAY()),"SIM","NÃO")</f>
        <v>NÃO</v>
      </c>
    </row>
    <row r="931" spans="1:18" hidden="1">
      <c r="A931" s="8" t="s">
        <v>332</v>
      </c>
      <c r="B931" t="s">
        <v>28</v>
      </c>
      <c r="C931">
        <v>300265945</v>
      </c>
      <c r="D931">
        <v>16251962</v>
      </c>
      <c r="E931" t="s">
        <v>45</v>
      </c>
      <c r="F931" s="8" t="s">
        <v>187</v>
      </c>
      <c r="G931">
        <v>50</v>
      </c>
      <c r="H931" t="s">
        <v>2669</v>
      </c>
      <c r="J931" s="3" t="s">
        <v>2670</v>
      </c>
      <c r="K931" s="11">
        <v>46189.567129629628</v>
      </c>
      <c r="M931">
        <v>257</v>
      </c>
      <c r="N931" t="s">
        <v>867</v>
      </c>
      <c r="O931" s="5">
        <v>0</v>
      </c>
      <c r="P931" s="5"/>
      <c r="Q931" s="10">
        <f>INT(Tabela1[[#This Row],[DATA]])</f>
        <v>46189</v>
      </c>
      <c r="R931" s="14" t="str">
        <f ca="1">IF(AND(Q931&gt;=TODAY()-WEEKDAY(TODAY(),2)+1,Q931&lt;TODAY()),"SIM","NÃO")</f>
        <v>NÃO</v>
      </c>
    </row>
    <row r="932" spans="1:18" hidden="1">
      <c r="A932" s="8" t="s">
        <v>2671</v>
      </c>
      <c r="B932" t="s">
        <v>89</v>
      </c>
      <c r="C932">
        <v>300268711</v>
      </c>
      <c r="D932">
        <v>16481402</v>
      </c>
      <c r="E932" t="s">
        <v>37</v>
      </c>
      <c r="F932" s="8" t="s">
        <v>132</v>
      </c>
      <c r="G932">
        <v>30</v>
      </c>
      <c r="H932" t="s">
        <v>2672</v>
      </c>
      <c r="J932" s="3" t="s">
        <v>2286</v>
      </c>
      <c r="K932" s="11">
        <v>46189.576689814814</v>
      </c>
      <c r="M932">
        <v>258</v>
      </c>
      <c r="N932" t="s">
        <v>878</v>
      </c>
      <c r="O932" s="5">
        <v>0</v>
      </c>
      <c r="P932" s="5"/>
      <c r="Q932" s="10">
        <f>INT(Tabela1[[#This Row],[DATA]])</f>
        <v>46189</v>
      </c>
      <c r="R932" s="14" t="str">
        <f ca="1">IF(AND(Q932&gt;=TODAY()-WEEKDAY(TODAY(),2)+1,Q932&lt;TODAY()),"SIM","NÃO")</f>
        <v>NÃO</v>
      </c>
    </row>
    <row r="933" spans="1:18" hidden="1">
      <c r="A933" s="8" t="s">
        <v>2671</v>
      </c>
      <c r="B933" t="s">
        <v>89</v>
      </c>
      <c r="C933">
        <v>300268711</v>
      </c>
      <c r="D933">
        <v>16481402</v>
      </c>
      <c r="E933" t="s">
        <v>37</v>
      </c>
      <c r="F933" s="8" t="s">
        <v>90</v>
      </c>
      <c r="G933">
        <v>30</v>
      </c>
      <c r="H933" t="s">
        <v>2673</v>
      </c>
      <c r="J933" s="3" t="s">
        <v>2674</v>
      </c>
      <c r="K933" s="11">
        <v>46189.578090277777</v>
      </c>
      <c r="M933">
        <v>259</v>
      </c>
      <c r="N933" t="s">
        <v>878</v>
      </c>
      <c r="O933" s="5">
        <v>0</v>
      </c>
      <c r="P933" s="5"/>
      <c r="Q933" s="10">
        <f>INT(Tabela1[[#This Row],[DATA]])</f>
        <v>46189</v>
      </c>
      <c r="R933" s="14" t="str">
        <f ca="1">IF(AND(Q933&gt;=TODAY()-WEEKDAY(TODAY(),2)+1,Q933&lt;TODAY()),"SIM","NÃO")</f>
        <v>NÃO</v>
      </c>
    </row>
    <row r="934" spans="1:18" hidden="1">
      <c r="A934" s="8" t="s">
        <v>253</v>
      </c>
      <c r="B934" t="s">
        <v>254</v>
      </c>
      <c r="C934">
        <v>300268229</v>
      </c>
      <c r="D934">
        <v>16472675</v>
      </c>
      <c r="E934" t="s">
        <v>45</v>
      </c>
      <c r="F934" s="8" t="s">
        <v>151</v>
      </c>
      <c r="G934">
        <v>3</v>
      </c>
      <c r="H934" t="s">
        <v>582</v>
      </c>
      <c r="J934" s="3"/>
      <c r="K934" s="11">
        <v>46189.585115740738</v>
      </c>
      <c r="M934">
        <v>260</v>
      </c>
      <c r="N934" t="s">
        <v>867</v>
      </c>
      <c r="O934" s="5">
        <v>0</v>
      </c>
      <c r="P934" s="5"/>
      <c r="Q934" s="10">
        <f>INT(Tabela1[[#This Row],[DATA]])</f>
        <v>46189</v>
      </c>
      <c r="R934" s="14" t="str">
        <f ca="1">IF(AND(Q934&gt;=TODAY()-WEEKDAY(TODAY(),2)+1,Q934&lt;TODAY()),"SIM","NÃO")</f>
        <v>NÃO</v>
      </c>
    </row>
    <row r="935" spans="1:18" hidden="1">
      <c r="A935" s="8" t="s">
        <v>2656</v>
      </c>
      <c r="B935" t="s">
        <v>119</v>
      </c>
      <c r="C935">
        <v>300269380</v>
      </c>
      <c r="D935">
        <v>16482751</v>
      </c>
      <c r="E935" t="s">
        <v>37</v>
      </c>
      <c r="F935" s="8" t="s">
        <v>151</v>
      </c>
      <c r="G935" t="s">
        <v>2675</v>
      </c>
      <c r="H935" t="s">
        <v>2676</v>
      </c>
      <c r="J935" s="3" t="s">
        <v>2677</v>
      </c>
      <c r="K935" s="11">
        <v>46189.591944444444</v>
      </c>
      <c r="M935">
        <v>261</v>
      </c>
      <c r="N935" t="s">
        <v>867</v>
      </c>
      <c r="O935" s="5">
        <v>0</v>
      </c>
      <c r="P935" s="5"/>
      <c r="Q935" s="10">
        <f>INT(Tabela1[[#This Row],[DATA]])</f>
        <v>46189</v>
      </c>
      <c r="R935" s="14" t="str">
        <f ca="1">IF(AND(Q935&gt;=TODAY()-WEEKDAY(TODAY(),2)+1,Q935&lt;TODAY()),"SIM","NÃO")</f>
        <v>NÃO</v>
      </c>
    </row>
    <row r="936" spans="1:18" hidden="1">
      <c r="A936" s="8" t="s">
        <v>605</v>
      </c>
      <c r="B936" t="s">
        <v>606</v>
      </c>
      <c r="C936">
        <v>300268961</v>
      </c>
      <c r="D936">
        <v>16508858</v>
      </c>
      <c r="E936" t="s">
        <v>37</v>
      </c>
      <c r="F936" s="8" t="s">
        <v>38</v>
      </c>
      <c r="G936">
        <v>100</v>
      </c>
      <c r="H936" t="s">
        <v>2313</v>
      </c>
      <c r="J936" s="3" t="s">
        <v>2678</v>
      </c>
      <c r="K936" s="11">
        <v>46189.606944444444</v>
      </c>
      <c r="M936">
        <v>262</v>
      </c>
      <c r="N936" t="s">
        <v>867</v>
      </c>
      <c r="O936" s="5">
        <v>10000214530</v>
      </c>
      <c r="P936" s="5"/>
      <c r="Q936" s="10">
        <f>INT(Tabela1[[#This Row],[DATA]])</f>
        <v>46189</v>
      </c>
      <c r="R936" s="14" t="str">
        <f ca="1">IF(AND(Q936&gt;=TODAY()-WEEKDAY(TODAY(),2)+1,Q936&lt;TODAY()),"SIM","NÃO")</f>
        <v>NÃO</v>
      </c>
    </row>
    <row r="937" spans="1:18" hidden="1">
      <c r="A937" s="8" t="s">
        <v>163</v>
      </c>
      <c r="B937" t="s">
        <v>164</v>
      </c>
      <c r="C937">
        <v>300271783</v>
      </c>
      <c r="D937">
        <v>14487004</v>
      </c>
      <c r="E937" t="s">
        <v>29</v>
      </c>
      <c r="F937" s="8" t="s">
        <v>38</v>
      </c>
      <c r="G937">
        <v>1045</v>
      </c>
      <c r="H937" t="s">
        <v>2679</v>
      </c>
      <c r="J937" s="3" t="s">
        <v>2680</v>
      </c>
      <c r="K937" s="11">
        <v>46189.645590277774</v>
      </c>
      <c r="M937">
        <v>263</v>
      </c>
      <c r="N937" t="s">
        <v>878</v>
      </c>
      <c r="O937" s="5">
        <v>0</v>
      </c>
      <c r="P937" s="5"/>
      <c r="Q937" s="10">
        <f>INT(Tabela1[[#This Row],[DATA]])</f>
        <v>46189</v>
      </c>
      <c r="R937" s="14" t="str">
        <f ca="1">IF(AND(Q937&gt;=TODAY()-WEEKDAY(TODAY(),2)+1,Q937&lt;TODAY()),"SIM","NÃO")</f>
        <v>NÃO</v>
      </c>
    </row>
    <row r="938" spans="1:18" hidden="1">
      <c r="A938" s="8" t="s">
        <v>2681</v>
      </c>
      <c r="B938" t="s">
        <v>1284</v>
      </c>
      <c r="C938">
        <v>300271852</v>
      </c>
      <c r="D938">
        <v>15773469</v>
      </c>
      <c r="E938" t="s">
        <v>37</v>
      </c>
      <c r="F938" s="8" t="s">
        <v>90</v>
      </c>
      <c r="G938">
        <v>3</v>
      </c>
      <c r="H938" t="s">
        <v>2329</v>
      </c>
      <c r="J938" s="3"/>
      <c r="K938" s="11">
        <v>46189.650254629632</v>
      </c>
      <c r="M938">
        <v>264</v>
      </c>
      <c r="N938" t="s">
        <v>867</v>
      </c>
      <c r="O938" s="5">
        <v>350</v>
      </c>
      <c r="P938" s="5"/>
      <c r="Q938" s="10">
        <f>INT(Tabela1[[#This Row],[DATA]])</f>
        <v>46189</v>
      </c>
      <c r="R938" s="14" t="str">
        <f ca="1">IF(AND(Q938&gt;=TODAY()-WEEKDAY(TODAY(),2)+1,Q938&lt;TODAY()),"SIM","NÃO")</f>
        <v>NÃO</v>
      </c>
    </row>
    <row r="939" spans="1:18" hidden="1">
      <c r="A939" s="8" t="s">
        <v>2562</v>
      </c>
      <c r="B939" t="s">
        <v>612</v>
      </c>
      <c r="C939">
        <v>300271099</v>
      </c>
      <c r="D939">
        <v>16292987</v>
      </c>
      <c r="E939" t="s">
        <v>37</v>
      </c>
      <c r="F939" s="8" t="s">
        <v>769</v>
      </c>
      <c r="G939">
        <v>520</v>
      </c>
      <c r="H939" t="s">
        <v>2682</v>
      </c>
      <c r="J939" s="3" t="s">
        <v>2683</v>
      </c>
      <c r="K939" s="11">
        <v>46189.686053240737</v>
      </c>
      <c r="M939">
        <v>265</v>
      </c>
      <c r="N939" t="s">
        <v>878</v>
      </c>
      <c r="O939" s="5">
        <v>0</v>
      </c>
      <c r="P939" s="5"/>
      <c r="Q939" s="10">
        <f>INT(Tabela1[[#This Row],[DATA]])</f>
        <v>46189</v>
      </c>
      <c r="R939" s="14" t="str">
        <f ca="1">IF(AND(Q939&gt;=TODAY()-WEEKDAY(TODAY(),2)+1,Q939&lt;TODAY()),"SIM","NÃO")</f>
        <v>NÃO</v>
      </c>
    </row>
    <row r="940" spans="1:18" hidden="1">
      <c r="A940" s="8" t="s">
        <v>185</v>
      </c>
      <c r="B940" t="s">
        <v>1625</v>
      </c>
      <c r="C940">
        <v>300269812</v>
      </c>
      <c r="D940">
        <v>16373685</v>
      </c>
      <c r="E940" t="s">
        <v>37</v>
      </c>
      <c r="F940" s="8" t="s">
        <v>38</v>
      </c>
      <c r="G940">
        <v>3</v>
      </c>
      <c r="H940" t="s">
        <v>2313</v>
      </c>
      <c r="J940" s="3"/>
      <c r="K940" s="11">
        <v>46189.698564814818</v>
      </c>
      <c r="M940">
        <v>266</v>
      </c>
      <c r="N940" t="s">
        <v>867</v>
      </c>
      <c r="O940" s="5">
        <v>0</v>
      </c>
      <c r="P940" s="5"/>
      <c r="Q940" s="10">
        <f>INT(Tabela1[[#This Row],[DATA]])</f>
        <v>46189</v>
      </c>
      <c r="R940" s="14" t="str">
        <f ca="1">IF(AND(Q940&gt;=TODAY()-WEEKDAY(TODAY(),2)+1,Q940&lt;TODAY()),"SIM","NÃO")</f>
        <v>NÃO</v>
      </c>
    </row>
    <row r="941" spans="1:18" hidden="1">
      <c r="A941" s="8" t="s">
        <v>305</v>
      </c>
      <c r="B941" t="s">
        <v>306</v>
      </c>
      <c r="C941">
        <v>300267144</v>
      </c>
      <c r="D941">
        <v>15128288</v>
      </c>
      <c r="E941" t="s">
        <v>29</v>
      </c>
      <c r="F941" s="8" t="s">
        <v>96</v>
      </c>
      <c r="G941">
        <v>195</v>
      </c>
      <c r="H941" t="s">
        <v>2684</v>
      </c>
      <c r="J941" s="3" t="s">
        <v>2685</v>
      </c>
      <c r="K941" s="11">
        <v>46189.700590277775</v>
      </c>
      <c r="M941">
        <v>267</v>
      </c>
      <c r="N941" t="s">
        <v>867</v>
      </c>
      <c r="O941" s="5">
        <v>0</v>
      </c>
      <c r="P941" s="5"/>
      <c r="Q941" s="10">
        <f>INT(Tabela1[[#This Row],[DATA]])</f>
        <v>46189</v>
      </c>
      <c r="R941" s="14" t="str">
        <f ca="1">IF(AND(Q941&gt;=TODAY()-WEEKDAY(TODAY(),2)+1,Q941&lt;TODAY()),"SIM","NÃO")</f>
        <v>NÃO</v>
      </c>
    </row>
    <row r="942" spans="1:18" hidden="1">
      <c r="A942" s="8" t="s">
        <v>185</v>
      </c>
      <c r="B942" t="s">
        <v>1625</v>
      </c>
      <c r="C942">
        <v>300000000</v>
      </c>
      <c r="D942">
        <v>0</v>
      </c>
      <c r="E942" t="s">
        <v>37</v>
      </c>
      <c r="F942" s="8" t="s">
        <v>90</v>
      </c>
      <c r="G942">
        <v>1</v>
      </c>
      <c r="H942" t="s">
        <v>1771</v>
      </c>
      <c r="J942" s="3"/>
      <c r="K942" s="11">
        <v>46189.701099537036</v>
      </c>
      <c r="M942">
        <v>268</v>
      </c>
      <c r="N942" t="s">
        <v>878</v>
      </c>
      <c r="O942" s="5">
        <v>0</v>
      </c>
      <c r="P942" s="5"/>
      <c r="Q942" s="10">
        <f>INT(Tabela1[[#This Row],[DATA]])</f>
        <v>46189</v>
      </c>
      <c r="R942" s="14" t="str">
        <f ca="1">IF(AND(Q942&gt;=TODAY()-WEEKDAY(TODAY(),2)+1,Q942&lt;TODAY()),"SIM","NÃO")</f>
        <v>NÃO</v>
      </c>
    </row>
    <row r="943" spans="1:18" hidden="1">
      <c r="A943" s="8" t="s">
        <v>196</v>
      </c>
      <c r="B943" t="s">
        <v>1625</v>
      </c>
      <c r="C943">
        <v>300000000</v>
      </c>
      <c r="D943">
        <v>0</v>
      </c>
      <c r="E943" t="s">
        <v>37</v>
      </c>
      <c r="F943" s="8" t="s">
        <v>90</v>
      </c>
      <c r="G943">
        <v>1</v>
      </c>
      <c r="H943" t="s">
        <v>1771</v>
      </c>
      <c r="J943" s="3"/>
      <c r="K943" s="11">
        <v>46189.702118055553</v>
      </c>
      <c r="M943">
        <v>269</v>
      </c>
      <c r="N943" t="s">
        <v>878</v>
      </c>
      <c r="O943" s="5">
        <v>0</v>
      </c>
      <c r="P943" s="5"/>
      <c r="Q943" s="10">
        <f>INT(Tabela1[[#This Row],[DATA]])</f>
        <v>46189</v>
      </c>
      <c r="R943" s="14" t="str">
        <f ca="1">IF(AND(Q943&gt;=TODAY()-WEEKDAY(TODAY(),2)+1,Q943&lt;TODAY()),"SIM","NÃO")</f>
        <v>NÃO</v>
      </c>
    </row>
    <row r="944" spans="1:18" hidden="1">
      <c r="A944" s="8" t="s">
        <v>196</v>
      </c>
      <c r="B944" t="s">
        <v>1625</v>
      </c>
      <c r="C944">
        <v>300270730</v>
      </c>
      <c r="D944">
        <v>16243145</v>
      </c>
      <c r="E944" t="s">
        <v>37</v>
      </c>
      <c r="F944" s="8" t="s">
        <v>113</v>
      </c>
      <c r="G944">
        <v>5</v>
      </c>
      <c r="H944" t="s">
        <v>1771</v>
      </c>
      <c r="J944" s="3"/>
      <c r="K944" s="11">
        <v>46189.729178240741</v>
      </c>
      <c r="M944">
        <v>270</v>
      </c>
      <c r="N944" t="s">
        <v>867</v>
      </c>
      <c r="O944" s="5">
        <v>10000073313</v>
      </c>
      <c r="P944" s="5"/>
      <c r="Q944" s="10">
        <f>INT(Tabela1[[#This Row],[DATA]])</f>
        <v>46189</v>
      </c>
      <c r="R944" s="14" t="str">
        <f ca="1">IF(AND(Q944&gt;=TODAY()-WEEKDAY(TODAY(),2)+1,Q944&lt;TODAY()),"SIM","NÃO")</f>
        <v>NÃO</v>
      </c>
    </row>
    <row r="945" spans="1:18" hidden="1">
      <c r="A945" s="8" t="s">
        <v>2547</v>
      </c>
      <c r="B945" t="s">
        <v>1582</v>
      </c>
      <c r="C945">
        <v>300269511</v>
      </c>
      <c r="D945">
        <v>16229479</v>
      </c>
      <c r="E945" t="s">
        <v>45</v>
      </c>
      <c r="F945" s="8" t="s">
        <v>151</v>
      </c>
      <c r="G945">
        <v>4</v>
      </c>
      <c r="H945" t="s">
        <v>2686</v>
      </c>
      <c r="J945" s="3" t="s">
        <v>2686</v>
      </c>
      <c r="K945" s="11">
        <v>46189.748414351852</v>
      </c>
      <c r="M945">
        <v>271</v>
      </c>
      <c r="N945" t="s">
        <v>867</v>
      </c>
      <c r="O945" s="5">
        <v>0</v>
      </c>
      <c r="P945" s="5"/>
      <c r="Q945" s="10">
        <f>INT(Tabela1[[#This Row],[DATA]])</f>
        <v>46189</v>
      </c>
      <c r="R945" s="14" t="str">
        <f ca="1">IF(AND(Q945&gt;=TODAY()-WEEKDAY(TODAY(),2)+1,Q945&lt;TODAY()),"SIM","NÃO")</f>
        <v>NÃO</v>
      </c>
    </row>
    <row r="946" spans="1:18" hidden="1">
      <c r="A946" s="8" t="s">
        <v>2554</v>
      </c>
      <c r="B946" t="s">
        <v>2687</v>
      </c>
      <c r="C946">
        <v>300271764</v>
      </c>
      <c r="D946">
        <v>16273303</v>
      </c>
      <c r="E946" t="s">
        <v>37</v>
      </c>
      <c r="F946" s="8" t="s">
        <v>2213</v>
      </c>
      <c r="G946">
        <v>504</v>
      </c>
      <c r="H946" t="s">
        <v>2238</v>
      </c>
      <c r="J946" s="3" t="s">
        <v>2688</v>
      </c>
      <c r="K946" s="11">
        <v>46190.330752314818</v>
      </c>
      <c r="M946">
        <v>272</v>
      </c>
      <c r="N946" t="s">
        <v>878</v>
      </c>
      <c r="O946" s="5">
        <v>100002288</v>
      </c>
      <c r="P946" s="5"/>
      <c r="Q946" s="10">
        <f>INT(Tabela1[[#This Row],[DATA]])</f>
        <v>46190</v>
      </c>
      <c r="R946" s="14" t="str">
        <f ca="1">IF(AND(Q946&gt;=TODAY()-WEEKDAY(TODAY(),2)+1,Q946&lt;TODAY()),"SIM","NÃO")</f>
        <v>NÃO</v>
      </c>
    </row>
    <row r="947" spans="1:18" hidden="1">
      <c r="A947" s="8" t="s">
        <v>143</v>
      </c>
      <c r="B947" t="s">
        <v>144</v>
      </c>
      <c r="C947">
        <v>300270413</v>
      </c>
      <c r="D947">
        <v>16249526</v>
      </c>
      <c r="E947" t="s">
        <v>45</v>
      </c>
      <c r="F947" s="8" t="s">
        <v>1287</v>
      </c>
      <c r="G947">
        <v>10</v>
      </c>
      <c r="H947" t="s">
        <v>644</v>
      </c>
      <c r="J947" s="3"/>
      <c r="K947" s="11">
        <v>46190.33457175926</v>
      </c>
      <c r="M947">
        <v>273</v>
      </c>
      <c r="N947" t="s">
        <v>878</v>
      </c>
      <c r="O947" s="5">
        <v>0</v>
      </c>
      <c r="P947" s="5"/>
      <c r="Q947" s="10">
        <f>INT(Tabela1[[#This Row],[DATA]])</f>
        <v>46190</v>
      </c>
      <c r="R947" s="14" t="str">
        <f ca="1">IF(AND(Q947&gt;=TODAY()-WEEKDAY(TODAY(),2)+1,Q947&lt;TODAY()),"SIM","NÃO")</f>
        <v>NÃO</v>
      </c>
    </row>
    <row r="948" spans="1:18" hidden="1">
      <c r="A948" s="8" t="s">
        <v>2541</v>
      </c>
      <c r="B948" t="s">
        <v>388</v>
      </c>
      <c r="C948">
        <v>300269320</v>
      </c>
      <c r="D948">
        <v>16476298</v>
      </c>
      <c r="E948" t="s">
        <v>37</v>
      </c>
      <c r="F948" s="8" t="s">
        <v>323</v>
      </c>
      <c r="G948">
        <v>36</v>
      </c>
      <c r="H948" t="s">
        <v>2689</v>
      </c>
      <c r="J948" s="3" t="s">
        <v>1013</v>
      </c>
      <c r="K948" s="11">
        <v>46190.342291666668</v>
      </c>
      <c r="M948">
        <v>274</v>
      </c>
      <c r="N948" t="s">
        <v>867</v>
      </c>
      <c r="O948" s="5">
        <v>0</v>
      </c>
      <c r="P948" s="5"/>
      <c r="Q948" s="10">
        <f>INT(Tabela1[[#This Row],[DATA]])</f>
        <v>46190</v>
      </c>
      <c r="R948" s="14" t="str">
        <f ca="1">IF(AND(Q948&gt;=TODAY()-WEEKDAY(TODAY(),2)+1,Q948&lt;TODAY()),"SIM","NÃO")</f>
        <v>NÃO</v>
      </c>
    </row>
    <row r="949" spans="1:18" hidden="1">
      <c r="A949" s="8" t="s">
        <v>2541</v>
      </c>
      <c r="B949" t="s">
        <v>388</v>
      </c>
      <c r="C949">
        <v>300269320</v>
      </c>
      <c r="D949">
        <v>16476298</v>
      </c>
      <c r="E949" t="s">
        <v>37</v>
      </c>
      <c r="F949" s="8" t="s">
        <v>323</v>
      </c>
      <c r="G949">
        <v>38</v>
      </c>
      <c r="H949" t="s">
        <v>2313</v>
      </c>
      <c r="J949" s="3" t="s">
        <v>2690</v>
      </c>
      <c r="K949" s="11">
        <v>46190.3437037037</v>
      </c>
      <c r="M949">
        <v>275</v>
      </c>
      <c r="N949" t="s">
        <v>867</v>
      </c>
      <c r="O949" s="5">
        <v>0</v>
      </c>
      <c r="P949" s="5"/>
      <c r="Q949" s="10">
        <f>INT(Tabela1[[#This Row],[DATA]])</f>
        <v>46190</v>
      </c>
      <c r="R949" s="14" t="str">
        <f ca="1">IF(AND(Q949&gt;=TODAY()-WEEKDAY(TODAY(),2)+1,Q949&lt;TODAY()),"SIM","NÃO")</f>
        <v>NÃO</v>
      </c>
    </row>
    <row r="950" spans="1:18" hidden="1">
      <c r="A950" s="8" t="s">
        <v>2691</v>
      </c>
      <c r="B950" t="s">
        <v>2692</v>
      </c>
      <c r="C950">
        <v>300269869</v>
      </c>
      <c r="D950">
        <v>16441435</v>
      </c>
      <c r="E950" t="s">
        <v>45</v>
      </c>
      <c r="F950" s="8" t="s">
        <v>323</v>
      </c>
      <c r="G950">
        <v>130</v>
      </c>
      <c r="H950" t="s">
        <v>2693</v>
      </c>
      <c r="J950" s="3" t="s">
        <v>2694</v>
      </c>
      <c r="K950" s="11">
        <v>46190.344004629631</v>
      </c>
      <c r="M950">
        <v>276</v>
      </c>
      <c r="N950" t="s">
        <v>867</v>
      </c>
      <c r="O950" s="5">
        <v>0</v>
      </c>
      <c r="P950" s="5"/>
      <c r="Q950" s="10">
        <f>INT(Tabela1[[#This Row],[DATA]])</f>
        <v>46190</v>
      </c>
      <c r="R950" s="14" t="str">
        <f ca="1">IF(AND(Q950&gt;=TODAY()-WEEKDAY(TODAY(),2)+1,Q950&lt;TODAY()),"SIM","NÃO")</f>
        <v>NÃO</v>
      </c>
    </row>
    <row r="951" spans="1:18" hidden="1">
      <c r="A951" s="8" t="s">
        <v>2691</v>
      </c>
      <c r="B951" t="s">
        <v>2692</v>
      </c>
      <c r="C951">
        <v>300269869</v>
      </c>
      <c r="D951">
        <v>16441435</v>
      </c>
      <c r="E951" t="s">
        <v>45</v>
      </c>
      <c r="F951" s="8" t="s">
        <v>151</v>
      </c>
      <c r="G951">
        <v>130</v>
      </c>
      <c r="H951" t="s">
        <v>2695</v>
      </c>
      <c r="J951" s="3" t="s">
        <v>2696</v>
      </c>
      <c r="K951" s="11">
        <v>46190.345405092594</v>
      </c>
      <c r="M951">
        <v>277</v>
      </c>
      <c r="N951" t="s">
        <v>867</v>
      </c>
      <c r="O951" s="5">
        <v>0</v>
      </c>
      <c r="P951" s="5"/>
      <c r="Q951" s="10">
        <f>INT(Tabela1[[#This Row],[DATA]])</f>
        <v>46190</v>
      </c>
      <c r="R951" s="14" t="str">
        <f ca="1">IF(AND(Q951&gt;=TODAY()-WEEKDAY(TODAY(),2)+1,Q951&lt;TODAY()),"SIM","NÃO")</f>
        <v>NÃO</v>
      </c>
    </row>
    <row r="952" spans="1:18" hidden="1">
      <c r="A952" s="8" t="s">
        <v>2691</v>
      </c>
      <c r="B952" t="s">
        <v>2692</v>
      </c>
      <c r="C952">
        <v>300269869</v>
      </c>
      <c r="D952">
        <v>16441435</v>
      </c>
      <c r="E952" t="s">
        <v>45</v>
      </c>
      <c r="F952" s="8" t="s">
        <v>525</v>
      </c>
      <c r="G952">
        <v>260</v>
      </c>
      <c r="H952" t="s">
        <v>2697</v>
      </c>
      <c r="J952" s="3" t="s">
        <v>2278</v>
      </c>
      <c r="K952" s="11">
        <v>46190.34679398148</v>
      </c>
      <c r="M952">
        <v>278</v>
      </c>
      <c r="N952" t="s">
        <v>867</v>
      </c>
      <c r="O952" s="5">
        <v>0</v>
      </c>
      <c r="P952" s="5"/>
      <c r="Q952" s="10">
        <f>INT(Tabela1[[#This Row],[DATA]])</f>
        <v>46190</v>
      </c>
      <c r="R952" s="14" t="str">
        <f ca="1">IF(AND(Q952&gt;=TODAY()-WEEKDAY(TODAY(),2)+1,Q952&lt;TODAY()),"SIM","NÃO")</f>
        <v>NÃO</v>
      </c>
    </row>
    <row r="953" spans="1:18" hidden="1">
      <c r="A953" s="8" t="s">
        <v>661</v>
      </c>
      <c r="B953" t="s">
        <v>662</v>
      </c>
      <c r="C953">
        <v>300270736</v>
      </c>
      <c r="D953">
        <v>16218957</v>
      </c>
      <c r="E953" t="s">
        <v>37</v>
      </c>
      <c r="F953" s="8" t="s">
        <v>38</v>
      </c>
      <c r="G953">
        <v>40</v>
      </c>
      <c r="H953" t="s">
        <v>2698</v>
      </c>
      <c r="J953" s="3" t="s">
        <v>1979</v>
      </c>
      <c r="K953" s="11">
        <v>46190.349432870367</v>
      </c>
      <c r="M953">
        <v>279</v>
      </c>
      <c r="N953" t="s">
        <v>867</v>
      </c>
      <c r="O953" s="5">
        <v>0</v>
      </c>
      <c r="P953" s="5"/>
      <c r="Q953" s="10">
        <f>INT(Tabela1[[#This Row],[DATA]])</f>
        <v>46190</v>
      </c>
      <c r="R953" s="14" t="str">
        <f ca="1">IF(AND(Q953&gt;=TODAY()-WEEKDAY(TODAY(),2)+1,Q953&lt;TODAY()),"SIM","NÃO")</f>
        <v>NÃO</v>
      </c>
    </row>
    <row r="954" spans="1:18" hidden="1">
      <c r="A954" s="8" t="s">
        <v>661</v>
      </c>
      <c r="B954" t="s">
        <v>662</v>
      </c>
      <c r="C954">
        <v>300271510</v>
      </c>
      <c r="D954">
        <v>16218299</v>
      </c>
      <c r="E954" t="s">
        <v>37</v>
      </c>
      <c r="F954" s="8" t="s">
        <v>1205</v>
      </c>
      <c r="G954">
        <v>40</v>
      </c>
      <c r="H954" t="s">
        <v>2699</v>
      </c>
      <c r="J954" s="3" t="s">
        <v>2700</v>
      </c>
      <c r="K954" s="11">
        <v>46190.352268518516</v>
      </c>
      <c r="M954">
        <v>280</v>
      </c>
      <c r="N954" t="s">
        <v>867</v>
      </c>
      <c r="O954" s="5">
        <v>0</v>
      </c>
      <c r="P954" s="5"/>
      <c r="Q954" s="10">
        <f>INT(Tabela1[[#This Row],[DATA]])</f>
        <v>46190</v>
      </c>
      <c r="R954" s="14" t="str">
        <f ca="1">IF(AND(Q954&gt;=TODAY()-WEEKDAY(TODAY(),2)+1,Q954&lt;TODAY()),"SIM","NÃO")</f>
        <v>NÃO</v>
      </c>
    </row>
    <row r="955" spans="1:18" hidden="1">
      <c r="A955" s="8" t="s">
        <v>2691</v>
      </c>
      <c r="B955" t="s">
        <v>2692</v>
      </c>
      <c r="C955">
        <v>300263803</v>
      </c>
      <c r="D955">
        <v>16222954</v>
      </c>
      <c r="E955" t="s">
        <v>45</v>
      </c>
      <c r="F955" s="8" t="s">
        <v>96</v>
      </c>
      <c r="G955">
        <v>494</v>
      </c>
      <c r="H955" t="s">
        <v>2697</v>
      </c>
      <c r="J955" s="3" t="s">
        <v>2701</v>
      </c>
      <c r="K955" s="11">
        <v>46190.352326388886</v>
      </c>
      <c r="M955">
        <v>281</v>
      </c>
      <c r="N955" t="s">
        <v>867</v>
      </c>
      <c r="O955" s="5">
        <v>0</v>
      </c>
      <c r="P955" s="5"/>
      <c r="Q955" s="10">
        <f>INT(Tabela1[[#This Row],[DATA]])</f>
        <v>46190</v>
      </c>
      <c r="R955" s="14" t="str">
        <f ca="1">IF(AND(Q955&gt;=TODAY()-WEEKDAY(TODAY(),2)+1,Q955&lt;TODAY()),"SIM","NÃO")</f>
        <v>NÃO</v>
      </c>
    </row>
    <row r="956" spans="1:18" hidden="1">
      <c r="A956" s="8" t="s">
        <v>2702</v>
      </c>
      <c r="B956" t="s">
        <v>482</v>
      </c>
      <c r="C956">
        <v>300266689</v>
      </c>
      <c r="D956">
        <v>16120337</v>
      </c>
      <c r="E956" t="s">
        <v>37</v>
      </c>
      <c r="F956" s="8" t="s">
        <v>90</v>
      </c>
      <c r="G956" t="s">
        <v>2703</v>
      </c>
      <c r="H956" t="s">
        <v>2704</v>
      </c>
      <c r="J956" s="3" t="s">
        <v>2705</v>
      </c>
      <c r="K956" s="11">
        <v>46190.361724537041</v>
      </c>
      <c r="M956">
        <v>282</v>
      </c>
      <c r="N956" t="s">
        <v>867</v>
      </c>
      <c r="O956" s="5" t="s">
        <v>2706</v>
      </c>
      <c r="P956" s="5"/>
      <c r="Q956" s="10">
        <f>INT(Tabela1[[#This Row],[DATA]])</f>
        <v>46190</v>
      </c>
      <c r="R956" s="14" t="str">
        <f ca="1">IF(AND(Q956&gt;=TODAY()-WEEKDAY(TODAY(),2)+1,Q956&lt;TODAY()),"SIM","NÃO")</f>
        <v>NÃO</v>
      </c>
    </row>
    <row r="957" spans="1:18" hidden="1">
      <c r="A957" s="8" t="s">
        <v>2707</v>
      </c>
      <c r="B957" t="s">
        <v>181</v>
      </c>
      <c r="C957">
        <v>300270668</v>
      </c>
      <c r="D957">
        <v>16310225</v>
      </c>
      <c r="E957" t="s">
        <v>37</v>
      </c>
      <c r="F957" s="8" t="s">
        <v>125</v>
      </c>
      <c r="G957" t="s">
        <v>708</v>
      </c>
      <c r="H957" t="s">
        <v>2376</v>
      </c>
      <c r="J957" s="3" t="s">
        <v>2708</v>
      </c>
      <c r="K957" s="11">
        <v>46190.378842592596</v>
      </c>
      <c r="M957">
        <v>283</v>
      </c>
      <c r="N957" t="s">
        <v>867</v>
      </c>
      <c r="O957" s="5">
        <v>0</v>
      </c>
      <c r="P957" s="5"/>
      <c r="Q957" s="10">
        <f>INT(Tabela1[[#This Row],[DATA]])</f>
        <v>46190</v>
      </c>
      <c r="R957" s="14" t="str">
        <f ca="1">IF(AND(Q957&gt;=TODAY()-WEEKDAY(TODAY(),2)+1,Q957&lt;TODAY()),"SIM","NÃO")</f>
        <v>NÃO</v>
      </c>
    </row>
    <row r="958" spans="1:18" hidden="1">
      <c r="A958" s="8" t="s">
        <v>111</v>
      </c>
      <c r="B958" t="s">
        <v>112</v>
      </c>
      <c r="C958">
        <v>300272455</v>
      </c>
      <c r="D958">
        <v>16222326</v>
      </c>
      <c r="E958" t="s">
        <v>45</v>
      </c>
      <c r="F958" s="8" t="s">
        <v>38</v>
      </c>
      <c r="G958">
        <v>30</v>
      </c>
      <c r="H958" t="s">
        <v>2709</v>
      </c>
      <c r="J958" s="3"/>
      <c r="K958" s="11">
        <v>46190.400185185186</v>
      </c>
      <c r="M958">
        <v>284</v>
      </c>
      <c r="N958" t="s">
        <v>867</v>
      </c>
      <c r="O958" s="5">
        <v>0</v>
      </c>
      <c r="P958" s="5"/>
      <c r="Q958" s="10">
        <f>INT(Tabela1[[#This Row],[DATA]])</f>
        <v>46190</v>
      </c>
      <c r="R958" s="14" t="str">
        <f ca="1">IF(AND(Q958&gt;=TODAY()-WEEKDAY(TODAY(),2)+1,Q958&lt;TODAY()),"SIM","NÃO")</f>
        <v>NÃO</v>
      </c>
    </row>
    <row r="959" spans="1:18" hidden="1">
      <c r="A959" s="8" t="s">
        <v>111</v>
      </c>
      <c r="B959" t="s">
        <v>112</v>
      </c>
      <c r="C959">
        <v>300272455</v>
      </c>
      <c r="D959">
        <v>16222326</v>
      </c>
      <c r="E959" t="s">
        <v>45</v>
      </c>
      <c r="F959" s="8" t="s">
        <v>64</v>
      </c>
      <c r="G959">
        <v>400</v>
      </c>
      <c r="H959" t="s">
        <v>2709</v>
      </c>
      <c r="J959" s="3"/>
      <c r="K959" s="11">
        <v>46190.404143518521</v>
      </c>
      <c r="M959">
        <v>285</v>
      </c>
      <c r="N959" t="s">
        <v>867</v>
      </c>
      <c r="O959" s="5">
        <v>0</v>
      </c>
      <c r="P959" s="5"/>
      <c r="Q959" s="10">
        <f>INT(Tabela1[[#This Row],[DATA]])</f>
        <v>46190</v>
      </c>
      <c r="R959" s="14" t="str">
        <f ca="1">IF(AND(Q959&gt;=TODAY()-WEEKDAY(TODAY(),2)+1,Q959&lt;TODAY()),"SIM","NÃO")</f>
        <v>NÃO</v>
      </c>
    </row>
    <row r="960" spans="1:18" hidden="1">
      <c r="A960" s="8" t="s">
        <v>249</v>
      </c>
      <c r="B960" t="s">
        <v>112</v>
      </c>
      <c r="C960">
        <v>300272941</v>
      </c>
      <c r="D960">
        <v>15774112</v>
      </c>
      <c r="E960" t="s">
        <v>37</v>
      </c>
      <c r="F960" s="8" t="s">
        <v>60</v>
      </c>
      <c r="G960">
        <v>1</v>
      </c>
      <c r="H960" t="s">
        <v>1831</v>
      </c>
      <c r="J960" s="3"/>
      <c r="K960" s="11">
        <v>46190.415613425925</v>
      </c>
      <c r="M960">
        <v>286</v>
      </c>
      <c r="N960" t="s">
        <v>867</v>
      </c>
      <c r="O960" s="5">
        <v>10000214517</v>
      </c>
      <c r="P960" s="5"/>
      <c r="Q960" s="10">
        <f>INT(Tabela1[[#This Row],[DATA]])</f>
        <v>46190</v>
      </c>
      <c r="R960" s="14" t="str">
        <f ca="1">IF(AND(Q960&gt;=TODAY()-WEEKDAY(TODAY(),2)+1,Q960&lt;TODAY()),"SIM","NÃO")</f>
        <v>NÃO</v>
      </c>
    </row>
    <row r="961" spans="1:18" hidden="1">
      <c r="A961" s="8" t="s">
        <v>123</v>
      </c>
      <c r="B961" t="s">
        <v>124</v>
      </c>
      <c r="C961">
        <v>300269150</v>
      </c>
      <c r="D961">
        <v>16545222</v>
      </c>
      <c r="E961" t="s">
        <v>20</v>
      </c>
      <c r="F961" s="8" t="s">
        <v>2580</v>
      </c>
      <c r="G961">
        <v>70</v>
      </c>
      <c r="H961" t="s">
        <v>2710</v>
      </c>
      <c r="J961" s="3"/>
      <c r="K961" s="11">
        <v>46190.437777777777</v>
      </c>
      <c r="M961">
        <v>287</v>
      </c>
      <c r="N961" t="s">
        <v>867</v>
      </c>
      <c r="O961" s="5" t="s">
        <v>2711</v>
      </c>
      <c r="P961" s="5"/>
      <c r="Q961" s="10">
        <f>INT(Tabela1[[#This Row],[DATA]])</f>
        <v>46190</v>
      </c>
      <c r="R961" s="14" t="str">
        <f ca="1">IF(AND(Q961&gt;=TODAY()-WEEKDAY(TODAY(),2)+1,Q961&lt;TODAY()),"SIM","NÃO")</f>
        <v>NÃO</v>
      </c>
    </row>
    <row r="962" spans="1:18" hidden="1">
      <c r="A962" s="8" t="s">
        <v>2610</v>
      </c>
      <c r="B962" t="s">
        <v>74</v>
      </c>
      <c r="C962">
        <v>300273027</v>
      </c>
      <c r="D962">
        <v>16510216</v>
      </c>
      <c r="E962" t="s">
        <v>20</v>
      </c>
      <c r="F962" s="8" t="s">
        <v>64</v>
      </c>
      <c r="G962">
        <v>135</v>
      </c>
      <c r="H962" t="s">
        <v>82</v>
      </c>
      <c r="J962" s="3"/>
      <c r="K962" s="11">
        <v>46190.438807870371</v>
      </c>
      <c r="M962">
        <v>288</v>
      </c>
      <c r="N962" t="s">
        <v>867</v>
      </c>
      <c r="O962" s="5">
        <v>0</v>
      </c>
      <c r="P962" s="5"/>
      <c r="Q962" s="10">
        <f>INT(Tabela1[[#This Row],[DATA]])</f>
        <v>46190</v>
      </c>
      <c r="R962" s="14" t="str">
        <f ca="1">IF(AND(Q962&gt;=TODAY()-WEEKDAY(TODAY(),2)+1,Q962&lt;TODAY()),"SIM","NÃO")</f>
        <v>NÃO</v>
      </c>
    </row>
    <row r="963" spans="1:18" hidden="1">
      <c r="A963" s="8" t="s">
        <v>2610</v>
      </c>
      <c r="B963" t="s">
        <v>74</v>
      </c>
      <c r="C963">
        <v>300270427</v>
      </c>
      <c r="D963">
        <v>15497313</v>
      </c>
      <c r="E963" t="s">
        <v>45</v>
      </c>
      <c r="F963" s="8" t="s">
        <v>38</v>
      </c>
      <c r="G963">
        <v>9</v>
      </c>
      <c r="H963" t="s">
        <v>2712</v>
      </c>
      <c r="J963" s="3"/>
      <c r="K963" s="11">
        <v>46190.442453703705</v>
      </c>
      <c r="M963">
        <v>289</v>
      </c>
      <c r="N963" t="s">
        <v>867</v>
      </c>
      <c r="O963" s="5">
        <v>0</v>
      </c>
      <c r="P963" s="5"/>
      <c r="Q963" s="10">
        <f>INT(Tabela1[[#This Row],[DATA]])</f>
        <v>46190</v>
      </c>
      <c r="R963" s="14" t="str">
        <f ca="1">IF(AND(Q963&gt;=TODAY()-WEEKDAY(TODAY(),2)+1,Q963&lt;TODAY()),"SIM","NÃO")</f>
        <v>NÃO</v>
      </c>
    </row>
    <row r="964" spans="1:18" hidden="1">
      <c r="A964" s="8" t="s">
        <v>2713</v>
      </c>
      <c r="B964" t="s">
        <v>55</v>
      </c>
      <c r="C964">
        <v>300267546</v>
      </c>
      <c r="D964">
        <v>16226895</v>
      </c>
      <c r="E964" t="s">
        <v>45</v>
      </c>
      <c r="F964" s="8" t="s">
        <v>64</v>
      </c>
      <c r="G964">
        <v>274</v>
      </c>
      <c r="H964" t="s">
        <v>2714</v>
      </c>
      <c r="J964" s="3" t="s">
        <v>2715</v>
      </c>
      <c r="K964" s="11">
        <v>46190.44332175926</v>
      </c>
      <c r="M964">
        <v>290</v>
      </c>
      <c r="N964" t="s">
        <v>867</v>
      </c>
      <c r="O964" s="5" t="s">
        <v>2068</v>
      </c>
      <c r="P964" s="5"/>
      <c r="Q964" s="10">
        <f>INT(Tabela1[[#This Row],[DATA]])</f>
        <v>46190</v>
      </c>
      <c r="R964" s="14" t="str">
        <f ca="1">IF(AND(Q964&gt;=TODAY()-WEEKDAY(TODAY(),2)+1,Q964&lt;TODAY()),"SIM","NÃO")</f>
        <v>NÃO</v>
      </c>
    </row>
    <row r="965" spans="1:18" hidden="1">
      <c r="A965" s="8" t="s">
        <v>2578</v>
      </c>
      <c r="B965" t="s">
        <v>69</v>
      </c>
      <c r="C965">
        <v>300267171</v>
      </c>
      <c r="D965">
        <v>16445007</v>
      </c>
      <c r="E965" t="s">
        <v>45</v>
      </c>
      <c r="F965" s="8" t="s">
        <v>60</v>
      </c>
      <c r="G965">
        <v>1704</v>
      </c>
      <c r="H965" t="s">
        <v>2137</v>
      </c>
      <c r="J965" s="3" t="s">
        <v>2716</v>
      </c>
      <c r="K965" s="11">
        <v>46190.465798611112</v>
      </c>
      <c r="M965">
        <v>291</v>
      </c>
      <c r="N965" t="s">
        <v>878</v>
      </c>
      <c r="O965" s="5" t="s">
        <v>2717</v>
      </c>
      <c r="P965" s="5"/>
      <c r="Q965" s="10">
        <f>INT(Tabela1[[#This Row],[DATA]])</f>
        <v>46190</v>
      </c>
      <c r="R965" s="14" t="str">
        <f ca="1">IF(AND(Q965&gt;=TODAY()-WEEKDAY(TODAY(),2)+1,Q965&lt;TODAY()),"SIM","NÃO")</f>
        <v>NÃO</v>
      </c>
    </row>
    <row r="966" spans="1:18" hidden="1">
      <c r="A966" s="8" t="s">
        <v>253</v>
      </c>
      <c r="B966" t="s">
        <v>254</v>
      </c>
      <c r="C966">
        <v>300272961</v>
      </c>
      <c r="D966">
        <v>15699293</v>
      </c>
      <c r="E966" t="s">
        <v>37</v>
      </c>
      <c r="F966" s="8" t="s">
        <v>113</v>
      </c>
      <c r="G966">
        <v>10</v>
      </c>
      <c r="H966" t="s">
        <v>582</v>
      </c>
      <c r="J966" s="3"/>
      <c r="K966" s="11">
        <v>46190.497754629629</v>
      </c>
      <c r="M966">
        <v>292</v>
      </c>
      <c r="N966" t="s">
        <v>867</v>
      </c>
      <c r="O966" s="5">
        <v>10000072682</v>
      </c>
      <c r="P966" s="5"/>
      <c r="Q966" s="10">
        <f>INT(Tabela1[[#This Row],[DATA]])</f>
        <v>46190</v>
      </c>
      <c r="R966" s="14" t="str">
        <f ca="1">IF(AND(Q966&gt;=TODAY()-WEEKDAY(TODAY(),2)+1,Q966&lt;TODAY()),"SIM","NÃO")</f>
        <v>NÃO</v>
      </c>
    </row>
    <row r="967" spans="1:18" hidden="1">
      <c r="A967" s="8" t="s">
        <v>2610</v>
      </c>
      <c r="B967" t="s">
        <v>74</v>
      </c>
      <c r="C967">
        <v>300273027</v>
      </c>
      <c r="D967">
        <v>16510216</v>
      </c>
      <c r="E967" t="s">
        <v>20</v>
      </c>
      <c r="F967" s="8" t="s">
        <v>430</v>
      </c>
      <c r="G967">
        <v>50</v>
      </c>
      <c r="H967" t="s">
        <v>82</v>
      </c>
      <c r="J967" s="3"/>
      <c r="K967" s="11">
        <v>46190.563634259262</v>
      </c>
      <c r="M967">
        <v>293</v>
      </c>
      <c r="N967" t="s">
        <v>867</v>
      </c>
      <c r="O967" s="5">
        <v>10000191438</v>
      </c>
      <c r="P967" s="5"/>
      <c r="Q967" s="10">
        <f>INT(Tabela1[[#This Row],[DATA]])</f>
        <v>46190</v>
      </c>
      <c r="R967" s="14" t="str">
        <f ca="1">IF(AND(Q967&gt;=TODAY()-WEEKDAY(TODAY(),2)+1,Q967&lt;TODAY()),"SIM","NÃO")</f>
        <v>NÃO</v>
      </c>
    </row>
    <row r="968" spans="1:18" hidden="1">
      <c r="A968" s="8" t="s">
        <v>196</v>
      </c>
      <c r="B968" t="s">
        <v>1625</v>
      </c>
      <c r="C968">
        <v>300260651</v>
      </c>
      <c r="D968">
        <v>16448090</v>
      </c>
      <c r="E968" t="s">
        <v>37</v>
      </c>
      <c r="F968" s="8" t="s">
        <v>221</v>
      </c>
      <c r="G968">
        <v>500</v>
      </c>
      <c r="H968" t="s">
        <v>1771</v>
      </c>
      <c r="J968" s="3" t="s">
        <v>2718</v>
      </c>
      <c r="K968" s="11">
        <v>46190.588877314818</v>
      </c>
      <c r="M968">
        <v>294</v>
      </c>
      <c r="N968" t="s">
        <v>867</v>
      </c>
      <c r="O968" s="5">
        <v>10000195773</v>
      </c>
      <c r="P968" s="5"/>
      <c r="Q968" s="10">
        <f>INT(Tabela1[[#This Row],[DATA]])</f>
        <v>46190</v>
      </c>
      <c r="R968" s="14" t="str">
        <f ca="1">IF(AND(Q968&gt;=TODAY()-WEEKDAY(TODAY(),2)+1,Q968&lt;TODAY()),"SIM","NÃO")</f>
        <v>NÃO</v>
      </c>
    </row>
    <row r="969" spans="1:18" hidden="1">
      <c r="A969" s="9" t="s">
        <v>313</v>
      </c>
      <c r="B969" t="s">
        <v>314</v>
      </c>
      <c r="C969">
        <v>300272621</v>
      </c>
      <c r="D969">
        <v>15467783</v>
      </c>
      <c r="E969" t="s">
        <v>45</v>
      </c>
      <c r="F969" s="9" t="s">
        <v>1287</v>
      </c>
      <c r="G969">
        <v>5000</v>
      </c>
      <c r="H969" t="s">
        <v>847</v>
      </c>
      <c r="J969" s="3" t="s">
        <v>2719</v>
      </c>
      <c r="K969" s="11">
        <v>46190.606886574074</v>
      </c>
      <c r="M969">
        <v>295</v>
      </c>
      <c r="N969" t="s">
        <v>878</v>
      </c>
      <c r="O969" s="5">
        <v>0</v>
      </c>
      <c r="P969" s="5"/>
      <c r="Q969" s="10">
        <f>INT(Tabela1[[#This Row],[DATA]])</f>
        <v>46190</v>
      </c>
      <c r="R969" s="14" t="str">
        <f ca="1">IF(AND(Q969&gt;=TODAY()-WEEKDAY(TODAY(),2)+1,Q969&lt;TODAY()),"SIM","NÃO")</f>
        <v>NÃO</v>
      </c>
    </row>
    <row r="970" spans="1:18" hidden="1">
      <c r="A970" s="9" t="s">
        <v>185</v>
      </c>
      <c r="B970" t="s">
        <v>1625</v>
      </c>
      <c r="C970">
        <v>300000000</v>
      </c>
      <c r="D970">
        <v>0</v>
      </c>
      <c r="E970" t="s">
        <v>37</v>
      </c>
      <c r="F970" s="9" t="s">
        <v>315</v>
      </c>
      <c r="G970">
        <v>5</v>
      </c>
      <c r="H970" t="s">
        <v>2720</v>
      </c>
      <c r="J970" s="3"/>
      <c r="K970" s="11">
        <v>46190.614976851852</v>
      </c>
      <c r="M970">
        <v>296</v>
      </c>
      <c r="N970" t="s">
        <v>878</v>
      </c>
      <c r="O970" s="5">
        <v>0</v>
      </c>
      <c r="P970" s="5"/>
      <c r="Q970" s="10">
        <f>INT(Tabela1[[#This Row],[DATA]])</f>
        <v>46190</v>
      </c>
      <c r="R970" s="14" t="str">
        <f ca="1">IF(AND(Q970&gt;=TODAY()-WEEKDAY(TODAY(),2)+1,Q970&lt;TODAY()),"SIM","NÃO")</f>
        <v>NÃO</v>
      </c>
    </row>
    <row r="971" spans="1:18" hidden="1">
      <c r="A971" s="9" t="s">
        <v>196</v>
      </c>
      <c r="B971" t="s">
        <v>1625</v>
      </c>
      <c r="C971">
        <v>300000000</v>
      </c>
      <c r="D971">
        <v>0</v>
      </c>
      <c r="E971" t="s">
        <v>37</v>
      </c>
      <c r="F971" s="9" t="s">
        <v>315</v>
      </c>
      <c r="G971">
        <v>5</v>
      </c>
      <c r="H971" t="s">
        <v>2720</v>
      </c>
      <c r="J971" s="3"/>
      <c r="K971" s="11">
        <v>46190.615543981483</v>
      </c>
      <c r="M971">
        <v>297</v>
      </c>
      <c r="N971" t="s">
        <v>878</v>
      </c>
      <c r="O971" s="5">
        <v>0</v>
      </c>
      <c r="P971" s="5"/>
      <c r="Q971" s="10">
        <f>INT(Tabela1[[#This Row],[DATA]])</f>
        <v>46190</v>
      </c>
      <c r="R971" s="14" t="str">
        <f ca="1">IF(AND(Q971&gt;=TODAY()-WEEKDAY(TODAY(),2)+1,Q971&lt;TODAY()),"SIM","NÃO")</f>
        <v>NÃO</v>
      </c>
    </row>
    <row r="972" spans="1:18" hidden="1">
      <c r="A972" s="9" t="s">
        <v>101</v>
      </c>
      <c r="B972" t="s">
        <v>990</v>
      </c>
      <c r="C972">
        <v>300269761</v>
      </c>
      <c r="D972">
        <v>15864448</v>
      </c>
      <c r="E972" t="s">
        <v>37</v>
      </c>
      <c r="F972" s="9" t="s">
        <v>38</v>
      </c>
      <c r="G972">
        <v>6</v>
      </c>
      <c r="H972" t="s">
        <v>2721</v>
      </c>
      <c r="J972" s="3" t="s">
        <v>2443</v>
      </c>
      <c r="K972" s="11">
        <v>46190.626643518517</v>
      </c>
      <c r="M972">
        <v>298</v>
      </c>
      <c r="N972" t="s">
        <v>867</v>
      </c>
      <c r="O972" s="5" t="s">
        <v>2443</v>
      </c>
      <c r="P972" s="5"/>
      <c r="Q972" s="10">
        <f>INT(Tabela1[[#This Row],[DATA]])</f>
        <v>46190</v>
      </c>
      <c r="R972" s="14" t="str">
        <f ca="1">IF(AND(Q972&gt;=TODAY()-WEEKDAY(TODAY(),2)+1,Q972&lt;TODAY()),"SIM","NÃO")</f>
        <v>NÃO</v>
      </c>
    </row>
    <row r="973" spans="1:18" hidden="1">
      <c r="A973" s="9" t="s">
        <v>253</v>
      </c>
      <c r="B973" t="s">
        <v>254</v>
      </c>
      <c r="C973">
        <v>300270319</v>
      </c>
      <c r="D973">
        <v>16187741</v>
      </c>
      <c r="E973" t="s">
        <v>37</v>
      </c>
      <c r="F973" s="9" t="s">
        <v>1979</v>
      </c>
      <c r="G973">
        <v>80</v>
      </c>
      <c r="H973" t="s">
        <v>582</v>
      </c>
      <c r="J973" s="3"/>
      <c r="K973" s="11">
        <v>46190.649293981478</v>
      </c>
      <c r="M973">
        <v>299</v>
      </c>
      <c r="N973" t="s">
        <v>867</v>
      </c>
      <c r="O973" s="5">
        <v>0</v>
      </c>
      <c r="P973" s="5"/>
      <c r="Q973" s="10">
        <f>INT(Tabela1[[#This Row],[DATA]])</f>
        <v>46190</v>
      </c>
      <c r="R973" s="14" t="str">
        <f ca="1">IF(AND(Q973&gt;=TODAY()-WEEKDAY(TODAY(),2)+1,Q973&lt;TODAY()),"SIM","NÃO")</f>
        <v>NÃO</v>
      </c>
    </row>
    <row r="974" spans="1:18" hidden="1">
      <c r="A974" s="9" t="s">
        <v>253</v>
      </c>
      <c r="B974" t="s">
        <v>254</v>
      </c>
      <c r="C974">
        <v>300271548</v>
      </c>
      <c r="D974">
        <v>16222326</v>
      </c>
      <c r="E974" t="s">
        <v>45</v>
      </c>
      <c r="F974" s="9" t="s">
        <v>802</v>
      </c>
      <c r="G974">
        <v>25</v>
      </c>
      <c r="H974" t="s">
        <v>2722</v>
      </c>
      <c r="J974" s="3" t="s">
        <v>2723</v>
      </c>
      <c r="K974" s="11">
        <v>46190.652604166666</v>
      </c>
      <c r="M974">
        <v>300</v>
      </c>
      <c r="N974" t="s">
        <v>867</v>
      </c>
      <c r="O974" s="5">
        <v>0</v>
      </c>
      <c r="P974" s="5"/>
      <c r="Q974" s="10">
        <f>INT(Tabela1[[#This Row],[DATA]])</f>
        <v>46190</v>
      </c>
      <c r="R974" s="14" t="str">
        <f ca="1">IF(AND(Q974&gt;=TODAY()-WEEKDAY(TODAY(),2)+1,Q974&lt;TODAY()),"SIM","NÃO")</f>
        <v>NÃO</v>
      </c>
    </row>
    <row r="975" spans="1:18" hidden="1">
      <c r="A975" s="9" t="s">
        <v>605</v>
      </c>
      <c r="B975" t="s">
        <v>606</v>
      </c>
      <c r="C975">
        <v>300271865</v>
      </c>
      <c r="D975">
        <v>15215539</v>
      </c>
      <c r="E975" t="s">
        <v>29</v>
      </c>
      <c r="F975" s="9" t="s">
        <v>430</v>
      </c>
      <c r="G975">
        <v>280</v>
      </c>
      <c r="H975" t="s">
        <v>2724</v>
      </c>
      <c r="J975" s="3"/>
      <c r="K975" s="11">
        <v>46190.652615740742</v>
      </c>
      <c r="M975">
        <v>301</v>
      </c>
      <c r="N975" t="s">
        <v>867</v>
      </c>
      <c r="O975" s="5">
        <v>216132</v>
      </c>
      <c r="P975" s="5"/>
      <c r="Q975" s="10">
        <f>INT(Tabela1[[#This Row],[DATA]])</f>
        <v>46190</v>
      </c>
      <c r="R975" s="14" t="str">
        <f ca="1">IF(AND(Q975&gt;=TODAY()-WEEKDAY(TODAY(),2)+1,Q975&lt;TODAY()),"SIM","NÃO")</f>
        <v>NÃO</v>
      </c>
    </row>
    <row r="976" spans="1:18" hidden="1">
      <c r="A976" s="9" t="s">
        <v>605</v>
      </c>
      <c r="B976" t="s">
        <v>606</v>
      </c>
      <c r="C976">
        <v>300271865</v>
      </c>
      <c r="D976">
        <v>15215539</v>
      </c>
      <c r="E976" t="s">
        <v>29</v>
      </c>
      <c r="F976" s="9" t="s">
        <v>323</v>
      </c>
      <c r="G976">
        <v>69</v>
      </c>
      <c r="H976" t="s">
        <v>2725</v>
      </c>
      <c r="J976" s="3"/>
      <c r="K976" s="11">
        <v>46190.654050925928</v>
      </c>
      <c r="M976">
        <v>302</v>
      </c>
      <c r="N976" t="s">
        <v>867</v>
      </c>
      <c r="O976" s="5">
        <v>122097</v>
      </c>
      <c r="P976" s="5"/>
      <c r="Q976" s="10">
        <f>INT(Tabela1[[#This Row],[DATA]])</f>
        <v>46190</v>
      </c>
      <c r="R976" s="14" t="str">
        <f ca="1">IF(AND(Q976&gt;=TODAY()-WEEKDAY(TODAY(),2)+1,Q976&lt;TODAY()),"SIM","NÃO")</f>
        <v>NÃO</v>
      </c>
    </row>
    <row r="977" spans="1:18" hidden="1">
      <c r="A977" s="9" t="s">
        <v>605</v>
      </c>
      <c r="B977" t="s">
        <v>606</v>
      </c>
      <c r="C977">
        <v>300271865</v>
      </c>
      <c r="D977">
        <v>15215539</v>
      </c>
      <c r="E977" t="s">
        <v>29</v>
      </c>
      <c r="F977" s="9" t="s">
        <v>259</v>
      </c>
      <c r="G977">
        <v>6</v>
      </c>
      <c r="H977" t="s">
        <v>2172</v>
      </c>
      <c r="J977" s="3"/>
      <c r="K977" s="11">
        <v>46190.657106481478</v>
      </c>
      <c r="M977">
        <v>303</v>
      </c>
      <c r="N977" t="s">
        <v>867</v>
      </c>
      <c r="O977" s="5">
        <v>72036</v>
      </c>
      <c r="P977" s="5"/>
      <c r="Q977" s="10">
        <f>INT(Tabela1[[#This Row],[DATA]])</f>
        <v>46190</v>
      </c>
      <c r="R977" s="14" t="str">
        <f ca="1">IF(AND(Q977&gt;=TODAY()-WEEKDAY(TODAY(),2)+1,Q977&lt;TODAY()),"SIM","NÃO")</f>
        <v>NÃO</v>
      </c>
    </row>
    <row r="978" spans="1:18" hidden="1">
      <c r="A978" s="9" t="s">
        <v>2571</v>
      </c>
      <c r="B978" t="s">
        <v>798</v>
      </c>
      <c r="C978">
        <v>300268547</v>
      </c>
      <c r="D978">
        <v>15206637</v>
      </c>
      <c r="E978" t="s">
        <v>45</v>
      </c>
      <c r="F978" s="9" t="s">
        <v>38</v>
      </c>
      <c r="G978">
        <v>8</v>
      </c>
      <c r="H978" t="s">
        <v>2726</v>
      </c>
      <c r="J978" s="3" t="s">
        <v>2727</v>
      </c>
      <c r="K978" s="11">
        <v>46190.659930555557</v>
      </c>
      <c r="M978">
        <v>304</v>
      </c>
      <c r="N978" t="s">
        <v>867</v>
      </c>
      <c r="O978" s="5" t="s">
        <v>2728</v>
      </c>
      <c r="P978" s="5"/>
      <c r="Q978" s="10">
        <f>INT(Tabela1[[#This Row],[DATA]])</f>
        <v>46190</v>
      </c>
      <c r="R978" s="14" t="str">
        <f ca="1">IF(AND(Q978&gt;=TODAY()-WEEKDAY(TODAY(),2)+1,Q978&lt;TODAY()),"SIM","NÃO")</f>
        <v>NÃO</v>
      </c>
    </row>
    <row r="979" spans="1:18" hidden="1">
      <c r="A979" s="9" t="s">
        <v>497</v>
      </c>
      <c r="B979" t="s">
        <v>498</v>
      </c>
      <c r="C979">
        <v>300271130</v>
      </c>
      <c r="D979">
        <v>15128288</v>
      </c>
      <c r="E979" t="s">
        <v>29</v>
      </c>
      <c r="F979" s="9" t="s">
        <v>38</v>
      </c>
      <c r="G979">
        <v>11</v>
      </c>
      <c r="H979" t="s">
        <v>2238</v>
      </c>
      <c r="J979" s="3"/>
      <c r="K979" s="11">
        <v>46190.670439814814</v>
      </c>
      <c r="M979">
        <v>305</v>
      </c>
      <c r="N979" t="s">
        <v>867</v>
      </c>
      <c r="O979" s="5">
        <v>150</v>
      </c>
      <c r="P979" s="5"/>
      <c r="Q979" s="10">
        <f>INT(Tabela1[[#This Row],[DATA]])</f>
        <v>46190</v>
      </c>
      <c r="R979" s="14" t="str">
        <f ca="1">IF(AND(Q979&gt;=TODAY()-WEEKDAY(TODAY(),2)+1,Q979&lt;TODAY()),"SIM","NÃO")</f>
        <v>NÃO</v>
      </c>
    </row>
    <row r="980" spans="1:18" hidden="1">
      <c r="A980" s="9" t="s">
        <v>305</v>
      </c>
      <c r="B980" t="s">
        <v>306</v>
      </c>
      <c r="C980">
        <v>300271535</v>
      </c>
      <c r="D980">
        <v>16243161</v>
      </c>
      <c r="E980" t="s">
        <v>37</v>
      </c>
      <c r="F980" s="9" t="s">
        <v>177</v>
      </c>
      <c r="G980">
        <v>27</v>
      </c>
      <c r="H980" t="s">
        <v>2729</v>
      </c>
      <c r="J980" s="3" t="s">
        <v>2730</v>
      </c>
      <c r="K980" s="11">
        <v>46190.675879629627</v>
      </c>
      <c r="M980">
        <v>306</v>
      </c>
      <c r="N980" t="s">
        <v>867</v>
      </c>
      <c r="O980" s="5">
        <v>0</v>
      </c>
      <c r="P980" s="5"/>
      <c r="Q980" s="10">
        <f>INT(Tabela1[[#This Row],[DATA]])</f>
        <v>46190</v>
      </c>
      <c r="R980" s="14" t="str">
        <f ca="1">IF(AND(Q980&gt;=TODAY()-WEEKDAY(TODAY(),2)+1,Q980&lt;TODAY()),"SIM","NÃO")</f>
        <v>NÃO</v>
      </c>
    </row>
    <row r="981" spans="1:18" hidden="1">
      <c r="A981" s="9" t="s">
        <v>2649</v>
      </c>
      <c r="B981" t="s">
        <v>137</v>
      </c>
      <c r="C981">
        <v>300271517</v>
      </c>
      <c r="D981">
        <v>16217683</v>
      </c>
      <c r="E981" t="s">
        <v>37</v>
      </c>
      <c r="F981" s="9" t="s">
        <v>203</v>
      </c>
      <c r="G981">
        <v>1403</v>
      </c>
      <c r="H981" t="s">
        <v>2731</v>
      </c>
      <c r="J981" s="3" t="s">
        <v>2732</v>
      </c>
      <c r="K981" s="11">
        <v>46190.684004629627</v>
      </c>
      <c r="M981">
        <v>307</v>
      </c>
      <c r="N981" t="s">
        <v>878</v>
      </c>
      <c r="O981" s="5" t="s">
        <v>138</v>
      </c>
      <c r="P981" s="5"/>
      <c r="Q981" s="10">
        <f>INT(Tabela1[[#This Row],[DATA]])</f>
        <v>46190</v>
      </c>
      <c r="R981" s="14" t="str">
        <f ca="1">IF(AND(Q981&gt;=TODAY()-WEEKDAY(TODAY(),2)+1,Q981&lt;TODAY()),"SIM","NÃO")</f>
        <v>NÃO</v>
      </c>
    </row>
    <row r="982" spans="1:18" hidden="1">
      <c r="A982" s="9" t="s">
        <v>111</v>
      </c>
      <c r="B982" t="s">
        <v>112</v>
      </c>
      <c r="C982">
        <v>300252448</v>
      </c>
      <c r="D982">
        <v>16368150</v>
      </c>
      <c r="E982" t="s">
        <v>45</v>
      </c>
      <c r="F982" s="9" t="s">
        <v>525</v>
      </c>
      <c r="G982">
        <v>154</v>
      </c>
      <c r="H982" t="s">
        <v>2278</v>
      </c>
      <c r="J982" s="3"/>
      <c r="K982" s="11">
        <v>46190.685671296298</v>
      </c>
      <c r="M982">
        <v>308</v>
      </c>
      <c r="N982" t="s">
        <v>878</v>
      </c>
      <c r="O982" s="5">
        <v>0</v>
      </c>
      <c r="P982" s="5"/>
      <c r="Q982" s="10">
        <f>INT(Tabela1[[#This Row],[DATA]])</f>
        <v>46190</v>
      </c>
      <c r="R982" s="14" t="str">
        <f ca="1">IF(AND(Q982&gt;=TODAY()-WEEKDAY(TODAY(),2)+1,Q982&lt;TODAY()),"SIM","NÃO")</f>
        <v>NÃO</v>
      </c>
    </row>
    <row r="983" spans="1:18" hidden="1">
      <c r="A983" s="9" t="s">
        <v>249</v>
      </c>
      <c r="B983" t="s">
        <v>112</v>
      </c>
      <c r="C983">
        <v>300271110</v>
      </c>
      <c r="D983">
        <v>16243161</v>
      </c>
      <c r="E983" t="s">
        <v>37</v>
      </c>
      <c r="F983" s="9" t="s">
        <v>38</v>
      </c>
      <c r="G983">
        <v>3</v>
      </c>
      <c r="H983" t="s">
        <v>1831</v>
      </c>
      <c r="J983" s="3"/>
      <c r="K983" s="11">
        <v>46190.692604166667</v>
      </c>
      <c r="M983">
        <v>309</v>
      </c>
      <c r="N983" t="s">
        <v>867</v>
      </c>
      <c r="O983" s="5">
        <v>0</v>
      </c>
      <c r="P983" s="5"/>
      <c r="Q983" s="10">
        <f>INT(Tabela1[[#This Row],[DATA]])</f>
        <v>46190</v>
      </c>
      <c r="R983" s="14" t="str">
        <f ca="1">IF(AND(Q983&gt;=TODAY()-WEEKDAY(TODAY(),2)+1,Q983&lt;TODAY()),"SIM","NÃO")</f>
        <v>NÃO</v>
      </c>
    </row>
    <row r="984" spans="1:18" hidden="1">
      <c r="A984" s="9" t="s">
        <v>163</v>
      </c>
      <c r="B984" t="s">
        <v>164</v>
      </c>
      <c r="C984">
        <v>300271783</v>
      </c>
      <c r="D984">
        <v>14487004</v>
      </c>
      <c r="E984" t="s">
        <v>29</v>
      </c>
      <c r="F984" s="9" t="s">
        <v>291</v>
      </c>
      <c r="G984">
        <v>30</v>
      </c>
      <c r="H984" t="s">
        <v>2292</v>
      </c>
      <c r="J984" s="3" t="s">
        <v>2733</v>
      </c>
      <c r="K984" s="11">
        <v>46190.700381944444</v>
      </c>
      <c r="M984">
        <v>310</v>
      </c>
      <c r="N984" t="s">
        <v>867</v>
      </c>
      <c r="O984" s="5">
        <v>0</v>
      </c>
      <c r="P984" s="5"/>
      <c r="Q984" s="10">
        <f>INT(Tabela1[[#This Row],[DATA]])</f>
        <v>46190</v>
      </c>
      <c r="R984" s="14" t="str">
        <f ca="1">IF(AND(Q984&gt;=TODAY()-WEEKDAY(TODAY(),2)+1,Q984&lt;TODAY()),"SIM","NÃO")</f>
        <v>NÃO</v>
      </c>
    </row>
    <row r="985" spans="1:18" hidden="1">
      <c r="A985" s="9" t="s">
        <v>196</v>
      </c>
      <c r="B985" t="s">
        <v>1625</v>
      </c>
      <c r="C985">
        <v>300260651</v>
      </c>
      <c r="D985">
        <v>16448090</v>
      </c>
      <c r="E985" t="s">
        <v>37</v>
      </c>
      <c r="F985" s="9" t="s">
        <v>430</v>
      </c>
      <c r="G985">
        <v>1000</v>
      </c>
      <c r="H985" t="s">
        <v>1771</v>
      </c>
      <c r="J985" s="3" t="s">
        <v>2734</v>
      </c>
      <c r="K985" s="11">
        <v>46190.718148148146</v>
      </c>
      <c r="M985">
        <v>311</v>
      </c>
      <c r="N985" t="s">
        <v>867</v>
      </c>
      <c r="O985" s="5">
        <v>10000068573</v>
      </c>
      <c r="P985" s="5"/>
      <c r="Q985" s="10">
        <f>INT(Tabela1[[#This Row],[DATA]])</f>
        <v>46190</v>
      </c>
      <c r="R985" s="14" t="str">
        <f ca="1">IF(AND(Q985&gt;=TODAY()-WEEKDAY(TODAY(),2)+1,Q985&lt;TODAY()),"SIM","NÃO")</f>
        <v>NÃO</v>
      </c>
    </row>
    <row r="986" spans="1:18" hidden="1">
      <c r="A986" s="9" t="s">
        <v>185</v>
      </c>
      <c r="B986" t="s">
        <v>1625</v>
      </c>
      <c r="C986">
        <v>300260651</v>
      </c>
      <c r="D986">
        <v>16448090</v>
      </c>
      <c r="E986" t="s">
        <v>37</v>
      </c>
      <c r="F986" s="9" t="s">
        <v>38</v>
      </c>
      <c r="G986">
        <v>40</v>
      </c>
      <c r="H986" t="s">
        <v>2735</v>
      </c>
      <c r="J986" s="3"/>
      <c r="K986" s="11">
        <v>46190.723009259258</v>
      </c>
      <c r="M986">
        <v>312</v>
      </c>
      <c r="N986" t="s">
        <v>867</v>
      </c>
      <c r="O986" s="5">
        <v>0</v>
      </c>
      <c r="P986" s="5"/>
      <c r="Q986" s="10">
        <f>INT(Tabela1[[#This Row],[DATA]])</f>
        <v>46190</v>
      </c>
      <c r="R986" s="14" t="str">
        <f ca="1">IF(AND(Q986&gt;=TODAY()-WEEKDAY(TODAY(),2)+1,Q986&lt;TODAY()),"SIM","NÃO")</f>
        <v>NÃO</v>
      </c>
    </row>
    <row r="987" spans="1:18" hidden="1">
      <c r="A987" s="9" t="s">
        <v>201</v>
      </c>
      <c r="B987" t="s">
        <v>202</v>
      </c>
      <c r="C987">
        <v>300266640</v>
      </c>
      <c r="D987">
        <v>16520050</v>
      </c>
      <c r="E987" t="s">
        <v>37</v>
      </c>
      <c r="F987" s="9" t="s">
        <v>971</v>
      </c>
      <c r="G987" t="s">
        <v>2736</v>
      </c>
      <c r="H987" t="s">
        <v>2002</v>
      </c>
      <c r="J987" s="3" t="s">
        <v>2737</v>
      </c>
      <c r="K987" s="11">
        <v>46190.913634259261</v>
      </c>
      <c r="M987">
        <v>313</v>
      </c>
      <c r="N987" t="s">
        <v>878</v>
      </c>
      <c r="O987" s="5" t="s">
        <v>2738</v>
      </c>
      <c r="P987" s="5"/>
      <c r="Q987" s="10">
        <f>INT(Tabela1[[#This Row],[DATA]])</f>
        <v>46190</v>
      </c>
      <c r="R987" s="14" t="str">
        <f ca="1">IF(AND(Q987&gt;=TODAY()-WEEKDAY(TODAY(),2)+1,Q987&lt;TODAY()),"SIM","NÃO")</f>
        <v>NÃO</v>
      </c>
    </row>
    <row r="988" spans="1:18" hidden="1">
      <c r="A988" s="9" t="s">
        <v>43</v>
      </c>
      <c r="B988" t="s">
        <v>44</v>
      </c>
      <c r="C988">
        <v>300000000</v>
      </c>
      <c r="D988">
        <v>0</v>
      </c>
      <c r="E988" t="s">
        <v>45</v>
      </c>
      <c r="F988" s="9" t="s">
        <v>103</v>
      </c>
      <c r="G988">
        <v>100</v>
      </c>
      <c r="H988" t="s">
        <v>2739</v>
      </c>
      <c r="J988" s="3" t="s">
        <v>2740</v>
      </c>
      <c r="K988" s="11">
        <v>46191.30574074074</v>
      </c>
      <c r="M988">
        <v>314</v>
      </c>
      <c r="N988" t="s">
        <v>878</v>
      </c>
      <c r="O988" s="5">
        <v>0</v>
      </c>
      <c r="P988" s="5"/>
      <c r="Q988" s="10">
        <f>INT(Tabela1[[#This Row],[DATA]])</f>
        <v>46191</v>
      </c>
      <c r="R988" s="14" t="str">
        <f ca="1">IF(AND(Q988&gt;=TODAY()-WEEKDAY(TODAY(),2)+1,Q988&lt;TODAY()),"SIM","NÃO")</f>
        <v>NÃO</v>
      </c>
    </row>
    <row r="989" spans="1:18" hidden="1">
      <c r="A989" s="9" t="s">
        <v>287</v>
      </c>
      <c r="B989" t="s">
        <v>288</v>
      </c>
      <c r="C989">
        <v>300268651</v>
      </c>
      <c r="D989">
        <v>16520025</v>
      </c>
      <c r="E989" t="s">
        <v>37</v>
      </c>
      <c r="F989" s="9" t="s">
        <v>103</v>
      </c>
      <c r="G989">
        <v>1000</v>
      </c>
      <c r="H989" t="s">
        <v>2741</v>
      </c>
      <c r="J989" s="3"/>
      <c r="K989" s="11">
        <v>46191.311377314814</v>
      </c>
      <c r="M989">
        <v>315</v>
      </c>
      <c r="N989" t="s">
        <v>878</v>
      </c>
      <c r="O989" s="5">
        <v>0</v>
      </c>
      <c r="P989" s="5"/>
      <c r="Q989" s="10">
        <f>INT(Tabela1[[#This Row],[DATA]])</f>
        <v>46191</v>
      </c>
      <c r="R989" s="14" t="str">
        <f ca="1">IF(AND(Q989&gt;=TODAY()-WEEKDAY(TODAY(),2)+1,Q989&lt;TODAY()),"SIM","NÃO")</f>
        <v>NÃO</v>
      </c>
    </row>
    <row r="990" spans="1:18" hidden="1">
      <c r="A990" s="9" t="s">
        <v>2707</v>
      </c>
      <c r="B990" t="s">
        <v>181</v>
      </c>
      <c r="C990">
        <v>300271768</v>
      </c>
      <c r="D990">
        <v>16273303</v>
      </c>
      <c r="E990" t="s">
        <v>37</v>
      </c>
      <c r="F990" s="9" t="s">
        <v>132</v>
      </c>
      <c r="G990" t="s">
        <v>2742</v>
      </c>
      <c r="H990" t="s">
        <v>2743</v>
      </c>
      <c r="J990" s="3" t="s">
        <v>2744</v>
      </c>
      <c r="K990" s="11">
        <v>46191.326284722221</v>
      </c>
      <c r="M990">
        <v>316</v>
      </c>
      <c r="N990" t="s">
        <v>878</v>
      </c>
      <c r="O990" s="5">
        <v>0</v>
      </c>
      <c r="P990" s="5"/>
      <c r="Q990" s="10">
        <f>INT(Tabela1[[#This Row],[DATA]])</f>
        <v>46191</v>
      </c>
      <c r="R990" s="14" t="str">
        <f ca="1">IF(AND(Q990&gt;=TODAY()-WEEKDAY(TODAY(),2)+1,Q990&lt;TODAY()),"SIM","NÃO")</f>
        <v>NÃO</v>
      </c>
    </row>
    <row r="991" spans="1:18" hidden="1">
      <c r="A991" s="9" t="s">
        <v>2656</v>
      </c>
      <c r="B991" t="s">
        <v>119</v>
      </c>
      <c r="C991">
        <v>300267991</v>
      </c>
      <c r="D991">
        <v>16523741</v>
      </c>
      <c r="E991" t="s">
        <v>37</v>
      </c>
      <c r="F991" s="9" t="s">
        <v>113</v>
      </c>
      <c r="G991">
        <v>10</v>
      </c>
      <c r="H991" t="s">
        <v>2030</v>
      </c>
      <c r="J991" s="3" t="s">
        <v>2745</v>
      </c>
      <c r="K991" s="11">
        <v>46191.33011574074</v>
      </c>
      <c r="M991">
        <v>317</v>
      </c>
      <c r="N991" t="s">
        <v>878</v>
      </c>
      <c r="O991" s="5">
        <v>10000062498</v>
      </c>
      <c r="P991" s="5"/>
      <c r="Q991" s="10">
        <f>INT(Tabela1[[#This Row],[DATA]])</f>
        <v>46191</v>
      </c>
      <c r="R991" s="14" t="str">
        <f ca="1">IF(AND(Q991&gt;=TODAY()-WEEKDAY(TODAY(),2)+1,Q991&lt;TODAY()),"SIM","NÃO")</f>
        <v>NÃO</v>
      </c>
    </row>
    <row r="992" spans="1:18" hidden="1">
      <c r="A992" s="9" t="s">
        <v>2551</v>
      </c>
      <c r="B992" t="s">
        <v>274</v>
      </c>
      <c r="C992">
        <v>300266262</v>
      </c>
      <c r="D992">
        <v>16187415</v>
      </c>
      <c r="E992" t="s">
        <v>37</v>
      </c>
      <c r="F992" s="9" t="s">
        <v>216</v>
      </c>
      <c r="G992">
        <v>10</v>
      </c>
      <c r="H992" t="s">
        <v>2344</v>
      </c>
      <c r="J992" s="3"/>
      <c r="K992" s="11">
        <v>46191.333634259259</v>
      </c>
      <c r="M992">
        <v>318</v>
      </c>
      <c r="N992" t="s">
        <v>867</v>
      </c>
      <c r="O992" s="5">
        <v>0</v>
      </c>
      <c r="P992" s="5"/>
      <c r="Q992" s="10">
        <f>INT(Tabela1[[#This Row],[DATA]])</f>
        <v>46191</v>
      </c>
      <c r="R992" s="14" t="str">
        <f ca="1">IF(AND(Q992&gt;=TODAY()-WEEKDAY(TODAY(),2)+1,Q992&lt;TODAY()),"SIM","NÃO")</f>
        <v>NÃO</v>
      </c>
    </row>
    <row r="993" spans="1:18" hidden="1">
      <c r="A993" s="9" t="s">
        <v>2707</v>
      </c>
      <c r="B993" t="s">
        <v>181</v>
      </c>
      <c r="C993">
        <v>300268054</v>
      </c>
      <c r="D993">
        <v>16473604</v>
      </c>
      <c r="E993" t="s">
        <v>37</v>
      </c>
      <c r="F993" s="9" t="s">
        <v>216</v>
      </c>
      <c r="G993">
        <v>220</v>
      </c>
      <c r="H993" t="s">
        <v>2746</v>
      </c>
      <c r="J993" s="3" t="s">
        <v>2747</v>
      </c>
      <c r="K993" s="11">
        <v>46191.340636574074</v>
      </c>
      <c r="M993">
        <v>319</v>
      </c>
      <c r="N993" t="s">
        <v>867</v>
      </c>
      <c r="O993" s="5">
        <v>0</v>
      </c>
      <c r="P993" s="5"/>
      <c r="Q993" s="10">
        <f>INT(Tabela1[[#This Row],[DATA]])</f>
        <v>46191</v>
      </c>
      <c r="R993" s="14" t="str">
        <f ca="1">IF(AND(Q993&gt;=TODAY()-WEEKDAY(TODAY(),2)+1,Q993&lt;TODAY()),"SIM","NÃO")</f>
        <v>NÃO</v>
      </c>
    </row>
    <row r="994" spans="1:18" hidden="1">
      <c r="A994" s="9" t="s">
        <v>2748</v>
      </c>
      <c r="B994" t="s">
        <v>358</v>
      </c>
      <c r="C994">
        <v>300268656</v>
      </c>
      <c r="D994">
        <v>16474120</v>
      </c>
      <c r="E994" t="s">
        <v>37</v>
      </c>
      <c r="F994" s="9" t="s">
        <v>113</v>
      </c>
      <c r="G994" t="s">
        <v>2749</v>
      </c>
      <c r="H994" t="s">
        <v>2750</v>
      </c>
      <c r="J994" s="3"/>
      <c r="K994" s="11">
        <v>46191.345104166663</v>
      </c>
      <c r="M994">
        <v>320</v>
      </c>
      <c r="N994" t="s">
        <v>867</v>
      </c>
      <c r="O994" s="5">
        <v>650</v>
      </c>
      <c r="P994" s="5"/>
      <c r="Q994" s="10">
        <f>INT(Tabela1[[#This Row],[DATA]])</f>
        <v>46191</v>
      </c>
      <c r="R994" s="14" t="str">
        <f ca="1">IF(AND(Q994&gt;=TODAY()-WEEKDAY(TODAY(),2)+1,Q994&lt;TODAY()),"SIM","NÃO")</f>
        <v>NÃO</v>
      </c>
    </row>
    <row r="995" spans="1:18" hidden="1">
      <c r="A995" s="9" t="s">
        <v>2748</v>
      </c>
      <c r="B995" t="s">
        <v>358</v>
      </c>
      <c r="C995">
        <v>300268656</v>
      </c>
      <c r="D995">
        <v>16474120</v>
      </c>
      <c r="E995" t="s">
        <v>37</v>
      </c>
      <c r="F995" s="9" t="s">
        <v>90</v>
      </c>
      <c r="G995" t="s">
        <v>457</v>
      </c>
      <c r="H995" t="s">
        <v>2751</v>
      </c>
      <c r="J995" s="3" t="s">
        <v>2752</v>
      </c>
      <c r="K995" s="11">
        <v>46191.35</v>
      </c>
      <c r="M995">
        <v>321</v>
      </c>
      <c r="N995" t="s">
        <v>878</v>
      </c>
      <c r="O995" s="5">
        <v>0</v>
      </c>
      <c r="P995" s="5"/>
      <c r="Q995" s="10">
        <f>INT(Tabela1[[#This Row],[DATA]])</f>
        <v>46191</v>
      </c>
      <c r="R995" s="14" t="str">
        <f ca="1">IF(AND(Q995&gt;=TODAY()-WEEKDAY(TODAY(),2)+1,Q995&lt;TODAY()),"SIM","NÃO")</f>
        <v>NÃO</v>
      </c>
    </row>
    <row r="996" spans="1:18" hidden="1">
      <c r="A996" s="9" t="s">
        <v>2554</v>
      </c>
      <c r="B996" t="s">
        <v>150</v>
      </c>
      <c r="C996">
        <v>300271101</v>
      </c>
      <c r="D996">
        <v>16292987</v>
      </c>
      <c r="E996" t="s">
        <v>37</v>
      </c>
      <c r="F996" s="9" t="s">
        <v>132</v>
      </c>
      <c r="G996">
        <v>1</v>
      </c>
      <c r="H996" t="s">
        <v>655</v>
      </c>
      <c r="J996" s="3" t="s">
        <v>2753</v>
      </c>
      <c r="K996" s="11">
        <v>46191.373935185184</v>
      </c>
      <c r="M996">
        <v>322</v>
      </c>
      <c r="N996" t="s">
        <v>878</v>
      </c>
      <c r="O996" s="5">
        <v>1</v>
      </c>
      <c r="P996" s="5"/>
      <c r="Q996" s="10">
        <f>INT(Tabela1[[#This Row],[DATA]])</f>
        <v>46191</v>
      </c>
      <c r="R996" s="14" t="str">
        <f ca="1">IF(AND(Q996&gt;=TODAY()-WEEKDAY(TODAY(),2)+1,Q996&lt;TODAY()),"SIM","NÃO")</f>
        <v>NÃO</v>
      </c>
    </row>
    <row r="997" spans="1:18" hidden="1">
      <c r="A997" s="9" t="s">
        <v>2754</v>
      </c>
      <c r="B997" t="s">
        <v>822</v>
      </c>
      <c r="C997">
        <v>300267464</v>
      </c>
      <c r="D997">
        <v>15252434</v>
      </c>
      <c r="E997" t="s">
        <v>37</v>
      </c>
      <c r="F997" s="9" t="s">
        <v>203</v>
      </c>
      <c r="G997">
        <v>10</v>
      </c>
      <c r="H997" t="s">
        <v>2755</v>
      </c>
      <c r="J997" s="3"/>
      <c r="K997" s="11">
        <v>46191.389976851853</v>
      </c>
      <c r="M997">
        <v>323</v>
      </c>
      <c r="N997" t="s">
        <v>878</v>
      </c>
      <c r="O997" s="5">
        <v>0</v>
      </c>
      <c r="P997" s="5"/>
      <c r="Q997" s="10">
        <f>INT(Tabela1[[#This Row],[DATA]])</f>
        <v>46191</v>
      </c>
      <c r="R997" s="14" t="str">
        <f ca="1">IF(AND(Q997&gt;=TODAY()-WEEKDAY(TODAY(),2)+1,Q997&lt;TODAY()),"SIM","NÃO")</f>
        <v>NÃO</v>
      </c>
    </row>
    <row r="998" spans="1:18" hidden="1">
      <c r="A998" s="9" t="s">
        <v>233</v>
      </c>
      <c r="B998" t="s">
        <v>234</v>
      </c>
      <c r="C998">
        <v>300271854</v>
      </c>
      <c r="D998">
        <v>0</v>
      </c>
      <c r="E998" t="s">
        <v>37</v>
      </c>
      <c r="F998" s="9" t="s">
        <v>90</v>
      </c>
      <c r="G998">
        <v>0</v>
      </c>
      <c r="H998" t="s">
        <v>2517</v>
      </c>
      <c r="J998" s="3" t="s">
        <v>2756</v>
      </c>
      <c r="K998" s="11">
        <v>46191.404097222221</v>
      </c>
      <c r="M998">
        <v>324</v>
      </c>
      <c r="N998" t="s">
        <v>878</v>
      </c>
      <c r="O998" s="5">
        <v>0</v>
      </c>
      <c r="P998" s="5"/>
      <c r="Q998" s="10">
        <f>INT(Tabela1[[#This Row],[DATA]])</f>
        <v>46191</v>
      </c>
      <c r="R998" s="14" t="str">
        <f ca="1">IF(AND(Q998&gt;=TODAY()-WEEKDAY(TODAY(),2)+1,Q998&lt;TODAY()),"SIM","NÃO")</f>
        <v>NÃO</v>
      </c>
    </row>
    <row r="999" spans="1:18" hidden="1">
      <c r="A999" s="9" t="s">
        <v>111</v>
      </c>
      <c r="B999" t="s">
        <v>112</v>
      </c>
      <c r="C999">
        <v>300262150</v>
      </c>
      <c r="D999">
        <v>16318404</v>
      </c>
      <c r="E999" t="s">
        <v>37</v>
      </c>
      <c r="F999" s="9" t="s">
        <v>30</v>
      </c>
      <c r="G999">
        <v>4</v>
      </c>
      <c r="H999" t="s">
        <v>2172</v>
      </c>
      <c r="J999" s="3"/>
      <c r="K999" s="11">
        <v>46191.436226851853</v>
      </c>
      <c r="M999">
        <v>325</v>
      </c>
      <c r="N999" t="s">
        <v>867</v>
      </c>
      <c r="O999" s="5">
        <v>10000068898</v>
      </c>
      <c r="P999" s="5"/>
      <c r="Q999" s="10">
        <f>INT(Tabela1[[#This Row],[DATA]])</f>
        <v>46191</v>
      </c>
      <c r="R999" s="14" t="str">
        <f ca="1">IF(AND(Q999&gt;=TODAY()-WEEKDAY(TODAY(),2)+1,Q999&lt;TODAY()),"SIM","NÃO")</f>
        <v>NÃO</v>
      </c>
    </row>
    <row r="1000" spans="1:18" hidden="1">
      <c r="A1000" s="9" t="s">
        <v>2605</v>
      </c>
      <c r="B1000" t="s">
        <v>2606</v>
      </c>
      <c r="C1000">
        <v>300271801</v>
      </c>
      <c r="D1000">
        <v>16243277</v>
      </c>
      <c r="E1000" t="s">
        <v>37</v>
      </c>
      <c r="F1000" s="9" t="s">
        <v>323</v>
      </c>
      <c r="G1000">
        <v>756</v>
      </c>
      <c r="H1000" t="s">
        <v>2757</v>
      </c>
      <c r="J1000" s="3" t="s">
        <v>2758</v>
      </c>
      <c r="K1000" s="11">
        <v>46191.446747685186</v>
      </c>
      <c r="M1000">
        <v>326</v>
      </c>
      <c r="N1000" t="s">
        <v>878</v>
      </c>
      <c r="O1000" s="5">
        <v>0</v>
      </c>
      <c r="P1000" s="5"/>
      <c r="Q1000" s="10">
        <f>INT(Tabela1[[#This Row],[DATA]])</f>
        <v>46191</v>
      </c>
      <c r="R1000" s="14" t="str">
        <f ca="1">IF(AND(Q1000&gt;=TODAY()-WEEKDAY(TODAY(),2)+1,Q1000&lt;TODAY()),"SIM","NÃO")</f>
        <v>NÃO</v>
      </c>
    </row>
    <row r="1001" spans="1:18" hidden="1">
      <c r="A1001" s="9" t="s">
        <v>1096</v>
      </c>
      <c r="B1001" t="s">
        <v>1097</v>
      </c>
      <c r="C1001">
        <v>300272982</v>
      </c>
      <c r="D1001">
        <v>16473965</v>
      </c>
      <c r="E1001" t="s">
        <v>37</v>
      </c>
      <c r="F1001" s="9" t="s">
        <v>2598</v>
      </c>
      <c r="G1001">
        <v>15</v>
      </c>
      <c r="H1001" t="s">
        <v>2759</v>
      </c>
      <c r="J1001" s="3" t="s">
        <v>2760</v>
      </c>
      <c r="K1001" s="11">
        <v>46191.462129629632</v>
      </c>
      <c r="M1001">
        <v>327</v>
      </c>
      <c r="N1001" t="s">
        <v>878</v>
      </c>
      <c r="O1001" s="5">
        <v>0</v>
      </c>
      <c r="P1001" s="5"/>
      <c r="Q1001" s="10">
        <f>INT(Tabela1[[#This Row],[DATA]])</f>
        <v>46191</v>
      </c>
      <c r="R1001" s="14" t="str">
        <f ca="1">IF(AND(Q1001&gt;=TODAY()-WEEKDAY(TODAY(),2)+1,Q1001&lt;TODAY()),"SIM","NÃO")</f>
        <v>NÃO</v>
      </c>
    </row>
    <row r="1002" spans="1:18" hidden="1">
      <c r="A1002" s="9" t="s">
        <v>2659</v>
      </c>
      <c r="B1002" t="s">
        <v>677</v>
      </c>
      <c r="C1002">
        <v>300268613</v>
      </c>
      <c r="D1002">
        <v>16473825</v>
      </c>
      <c r="E1002" t="s">
        <v>37</v>
      </c>
      <c r="F1002" s="9" t="s">
        <v>125</v>
      </c>
      <c r="G1002" t="s">
        <v>2761</v>
      </c>
      <c r="H1002" t="s">
        <v>2762</v>
      </c>
      <c r="J1002" s="3" t="s">
        <v>2763</v>
      </c>
      <c r="K1002" s="11">
        <v>46191.480347222219</v>
      </c>
      <c r="M1002">
        <v>328</v>
      </c>
      <c r="N1002" t="s">
        <v>867</v>
      </c>
      <c r="O1002" s="5">
        <v>10000073235</v>
      </c>
      <c r="P1002" s="5"/>
      <c r="Q1002" s="10">
        <f>INT(Tabela1[[#This Row],[DATA]])</f>
        <v>46191</v>
      </c>
      <c r="R1002" s="14" t="str">
        <f ca="1">IF(AND(Q1002&gt;=TODAY()-WEEKDAY(TODAY(),2)+1,Q1002&lt;TODAY()),"SIM","NÃO")</f>
        <v>NÃO</v>
      </c>
    </row>
    <row r="1003" spans="1:18" hidden="1">
      <c r="A1003" s="9" t="s">
        <v>428</v>
      </c>
      <c r="B1003" t="s">
        <v>429</v>
      </c>
      <c r="C1003">
        <v>300263646</v>
      </c>
      <c r="D1003">
        <v>13044826</v>
      </c>
      <c r="E1003" t="s">
        <v>29</v>
      </c>
      <c r="F1003" s="9" t="s">
        <v>259</v>
      </c>
      <c r="G1003">
        <v>10</v>
      </c>
      <c r="H1003" t="s">
        <v>2073</v>
      </c>
      <c r="J1003" s="3"/>
      <c r="K1003" s="11">
        <v>46191.493043981478</v>
      </c>
      <c r="M1003">
        <v>329</v>
      </c>
      <c r="N1003" t="s">
        <v>867</v>
      </c>
      <c r="O1003" s="5" t="s">
        <v>2764</v>
      </c>
      <c r="P1003" s="5"/>
      <c r="Q1003" s="10">
        <f>INT(Tabela1[[#This Row],[DATA]])</f>
        <v>46191</v>
      </c>
      <c r="R1003" s="14" t="str">
        <f ca="1">IF(AND(Q1003&gt;=TODAY()-WEEKDAY(TODAY(),2)+1,Q1003&lt;TODAY()),"SIM","NÃO")</f>
        <v>NÃO</v>
      </c>
    </row>
    <row r="1004" spans="1:18" hidden="1">
      <c r="A1004" s="9" t="s">
        <v>428</v>
      </c>
      <c r="B1004" t="s">
        <v>429</v>
      </c>
      <c r="C1004">
        <v>300271781</v>
      </c>
      <c r="D1004">
        <v>13044826</v>
      </c>
      <c r="E1004" t="s">
        <v>29</v>
      </c>
      <c r="F1004" s="9" t="s">
        <v>259</v>
      </c>
      <c r="G1004">
        <v>10</v>
      </c>
      <c r="H1004" t="s">
        <v>2073</v>
      </c>
      <c r="J1004" s="3"/>
      <c r="K1004" s="11">
        <v>46191.494016203702</v>
      </c>
      <c r="M1004">
        <v>330</v>
      </c>
      <c r="N1004" t="s">
        <v>867</v>
      </c>
      <c r="O1004" s="5" t="s">
        <v>2764</v>
      </c>
      <c r="P1004" s="5"/>
      <c r="Q1004" s="10">
        <f>INT(Tabela1[[#This Row],[DATA]])</f>
        <v>46191</v>
      </c>
      <c r="R1004" s="14" t="str">
        <f ca="1">IF(AND(Q1004&gt;=TODAY()-WEEKDAY(TODAY(),2)+1,Q1004&lt;TODAY()),"SIM","NÃO")</f>
        <v>NÃO</v>
      </c>
    </row>
    <row r="1005" spans="1:18" hidden="1">
      <c r="A1005" s="9" t="s">
        <v>428</v>
      </c>
      <c r="B1005" t="s">
        <v>429</v>
      </c>
      <c r="C1005">
        <v>300271781</v>
      </c>
      <c r="D1005">
        <v>13044826</v>
      </c>
      <c r="E1005" t="s">
        <v>29</v>
      </c>
      <c r="F1005" s="9" t="s">
        <v>103</v>
      </c>
      <c r="G1005">
        <v>100</v>
      </c>
      <c r="H1005">
        <v>0</v>
      </c>
      <c r="J1005" s="3"/>
      <c r="K1005" s="11">
        <v>46191.494652777779</v>
      </c>
      <c r="M1005">
        <v>331</v>
      </c>
      <c r="N1005" t="s">
        <v>878</v>
      </c>
      <c r="O1005" s="5">
        <v>0</v>
      </c>
      <c r="P1005" s="5"/>
      <c r="Q1005" s="10">
        <f>INT(Tabela1[[#This Row],[DATA]])</f>
        <v>46191</v>
      </c>
      <c r="R1005" s="14" t="str">
        <f ca="1">IF(AND(Q1005&gt;=TODAY()-WEEKDAY(TODAY(),2)+1,Q1005&lt;TODAY()),"SIM","NÃO")</f>
        <v>NÃO</v>
      </c>
    </row>
    <row r="1006" spans="1:18" hidden="1">
      <c r="A1006" s="9" t="s">
        <v>2765</v>
      </c>
      <c r="B1006" t="s">
        <v>107</v>
      </c>
      <c r="C1006">
        <v>300269514</v>
      </c>
      <c r="D1006">
        <v>16481477</v>
      </c>
      <c r="E1006" t="s">
        <v>45</v>
      </c>
      <c r="F1006" s="9" t="s">
        <v>2556</v>
      </c>
      <c r="G1006">
        <v>5</v>
      </c>
      <c r="H1006" t="s">
        <v>2766</v>
      </c>
      <c r="J1006" s="3"/>
      <c r="K1006" s="11">
        <v>46191.554675925923</v>
      </c>
      <c r="M1006">
        <v>332</v>
      </c>
      <c r="N1006" t="s">
        <v>867</v>
      </c>
      <c r="O1006" s="5">
        <v>0</v>
      </c>
      <c r="P1006" s="5"/>
      <c r="Q1006" s="10">
        <f>INT(Tabela1[[#This Row],[DATA]])</f>
        <v>46191</v>
      </c>
      <c r="R1006" s="14" t="str">
        <f ca="1">IF(AND(Q1006&gt;=TODAY()-WEEKDAY(TODAY(),2)+1,Q1006&lt;TODAY()),"SIM","NÃO")</f>
        <v>NÃO</v>
      </c>
    </row>
    <row r="1007" spans="1:18" hidden="1">
      <c r="A1007" s="9" t="s">
        <v>2578</v>
      </c>
      <c r="B1007" t="s">
        <v>69</v>
      </c>
      <c r="C1007">
        <v>300271093</v>
      </c>
      <c r="D1007">
        <v>16292898</v>
      </c>
      <c r="E1007" t="s">
        <v>37</v>
      </c>
      <c r="F1007" s="9" t="s">
        <v>38</v>
      </c>
      <c r="G1007">
        <v>80</v>
      </c>
      <c r="H1007" t="s">
        <v>2767</v>
      </c>
      <c r="J1007" s="3" t="s">
        <v>2768</v>
      </c>
      <c r="K1007" s="11">
        <v>46191.584074074075</v>
      </c>
      <c r="M1007">
        <v>333</v>
      </c>
      <c r="N1007" t="s">
        <v>867</v>
      </c>
      <c r="O1007" s="5">
        <v>16292898</v>
      </c>
      <c r="P1007" s="5"/>
      <c r="Q1007" s="10">
        <f>INT(Tabela1[[#This Row],[DATA]])</f>
        <v>46191</v>
      </c>
      <c r="R1007" s="14" t="str">
        <f ca="1">IF(AND(Q1007&gt;=TODAY()-WEEKDAY(TODAY(),2)+1,Q1007&lt;TODAY()),"SIM","NÃO")</f>
        <v>NÃO</v>
      </c>
    </row>
    <row r="1008" spans="1:18" hidden="1">
      <c r="A1008" s="9" t="s">
        <v>2578</v>
      </c>
      <c r="B1008" t="s">
        <v>69</v>
      </c>
      <c r="C1008">
        <v>300269515</v>
      </c>
      <c r="D1008">
        <v>16481577</v>
      </c>
      <c r="E1008" t="s">
        <v>45</v>
      </c>
      <c r="F1008" s="9" t="s">
        <v>802</v>
      </c>
      <c r="G1008">
        <v>20</v>
      </c>
      <c r="H1008" t="s">
        <v>2769</v>
      </c>
      <c r="J1008" s="3" t="s">
        <v>2770</v>
      </c>
      <c r="K1008" s="11">
        <v>46191.585810185185</v>
      </c>
      <c r="M1008">
        <v>334</v>
      </c>
      <c r="N1008" t="s">
        <v>867</v>
      </c>
      <c r="O1008" s="5">
        <v>16481577</v>
      </c>
      <c r="P1008" s="5"/>
      <c r="Q1008" s="10">
        <f>INT(Tabela1[[#This Row],[DATA]])</f>
        <v>46191</v>
      </c>
      <c r="R1008" s="14" t="str">
        <f ca="1">IF(AND(Q1008&gt;=TODAY()-WEEKDAY(TODAY(),2)+1,Q1008&lt;TODAY()),"SIM","NÃO")</f>
        <v>NÃO</v>
      </c>
    </row>
    <row r="1009" spans="1:18" hidden="1">
      <c r="A1009" s="9" t="s">
        <v>2547</v>
      </c>
      <c r="B1009" t="s">
        <v>1582</v>
      </c>
      <c r="C1009">
        <v>300261174</v>
      </c>
      <c r="D1009">
        <v>1644811</v>
      </c>
      <c r="E1009" t="s">
        <v>45</v>
      </c>
      <c r="F1009" s="9" t="s">
        <v>151</v>
      </c>
      <c r="G1009">
        <v>5</v>
      </c>
      <c r="H1009" t="s">
        <v>2771</v>
      </c>
      <c r="J1009" s="3" t="s">
        <v>2771</v>
      </c>
      <c r="K1009" s="11">
        <v>46191.603958333333</v>
      </c>
      <c r="M1009">
        <v>335</v>
      </c>
      <c r="N1009" t="s">
        <v>867</v>
      </c>
      <c r="O1009" s="5">
        <v>0</v>
      </c>
      <c r="P1009" s="5"/>
      <c r="Q1009" s="10">
        <f>INT(Tabela1[[#This Row],[DATA]])</f>
        <v>46191</v>
      </c>
      <c r="R1009" s="14" t="str">
        <f ca="1">IF(AND(Q1009&gt;=TODAY()-WEEKDAY(TODAY(),2)+1,Q1009&lt;TODAY()),"SIM","NÃO")</f>
        <v>NÃO</v>
      </c>
    </row>
    <row r="1010" spans="1:18" hidden="1">
      <c r="A1010" s="9" t="s">
        <v>305</v>
      </c>
      <c r="B1010" t="s">
        <v>306</v>
      </c>
      <c r="C1010">
        <v>300271535</v>
      </c>
      <c r="D1010">
        <v>16243161</v>
      </c>
      <c r="E1010" t="s">
        <v>37</v>
      </c>
      <c r="F1010" s="9" t="s">
        <v>38</v>
      </c>
      <c r="G1010">
        <v>15</v>
      </c>
      <c r="H1010" t="s">
        <v>2772</v>
      </c>
      <c r="J1010" s="3" t="s">
        <v>2773</v>
      </c>
      <c r="K1010" s="11">
        <v>46191.607210648152</v>
      </c>
      <c r="M1010">
        <v>336</v>
      </c>
      <c r="N1010" t="s">
        <v>867</v>
      </c>
      <c r="O1010" s="5">
        <v>0</v>
      </c>
      <c r="P1010" s="5"/>
      <c r="Q1010" s="10">
        <f>INT(Tabela1[[#This Row],[DATA]])</f>
        <v>46191</v>
      </c>
      <c r="R1010" s="14" t="str">
        <f ca="1">IF(AND(Q1010&gt;=TODAY()-WEEKDAY(TODAY(),2)+1,Q1010&lt;TODAY()),"SIM","NÃO")</f>
        <v>NÃO</v>
      </c>
    </row>
    <row r="1011" spans="1:18" hidden="1">
      <c r="A1011" s="9" t="s">
        <v>2541</v>
      </c>
      <c r="B1011" t="s">
        <v>388</v>
      </c>
      <c r="C1011">
        <v>300269752</v>
      </c>
      <c r="D1011">
        <v>16244052</v>
      </c>
      <c r="E1011" t="s">
        <v>37</v>
      </c>
      <c r="F1011" s="9" t="s">
        <v>216</v>
      </c>
      <c r="G1011">
        <v>570</v>
      </c>
      <c r="H1011" t="s">
        <v>2313</v>
      </c>
      <c r="J1011" s="3"/>
      <c r="K1011" s="11">
        <v>46191.612175925926</v>
      </c>
      <c r="M1011">
        <v>337</v>
      </c>
      <c r="N1011" t="s">
        <v>878</v>
      </c>
      <c r="O1011" s="5">
        <v>0</v>
      </c>
      <c r="P1011" s="5"/>
      <c r="Q1011" s="10">
        <f>INT(Tabela1[[#This Row],[DATA]])</f>
        <v>46191</v>
      </c>
      <c r="R1011" s="14" t="str">
        <f ca="1">IF(AND(Q1011&gt;=TODAY()-WEEKDAY(TODAY(),2)+1,Q1011&lt;TODAY()),"SIM","NÃO")</f>
        <v>NÃO</v>
      </c>
    </row>
    <row r="1012" spans="1:18" hidden="1">
      <c r="A1012" s="9" t="s">
        <v>2541</v>
      </c>
      <c r="B1012" t="s">
        <v>388</v>
      </c>
      <c r="C1012">
        <v>300269752</v>
      </c>
      <c r="D1012">
        <v>16244052</v>
      </c>
      <c r="E1012" t="s">
        <v>37</v>
      </c>
      <c r="F1012" s="9" t="s">
        <v>329</v>
      </c>
      <c r="G1012">
        <v>570</v>
      </c>
      <c r="H1012" t="s">
        <v>2313</v>
      </c>
      <c r="J1012" s="3"/>
      <c r="K1012" s="11">
        <v>46191.613634259258</v>
      </c>
      <c r="M1012">
        <v>338</v>
      </c>
      <c r="N1012" t="s">
        <v>878</v>
      </c>
      <c r="O1012" s="5">
        <v>0</v>
      </c>
      <c r="P1012" s="5"/>
      <c r="Q1012" s="10">
        <f>INT(Tabela1[[#This Row],[DATA]])</f>
        <v>46191</v>
      </c>
      <c r="R1012" s="14" t="str">
        <f ca="1">IF(AND(Q1012&gt;=TODAY()-WEEKDAY(TODAY(),2)+1,Q1012&lt;TODAY()),"SIM","NÃO")</f>
        <v>NÃO</v>
      </c>
    </row>
    <row r="1013" spans="1:18" hidden="1">
      <c r="A1013" s="9" t="s">
        <v>163</v>
      </c>
      <c r="B1013" t="s">
        <v>164</v>
      </c>
      <c r="C1013">
        <v>300271783</v>
      </c>
      <c r="D1013">
        <v>14487004</v>
      </c>
      <c r="E1013" t="s">
        <v>45</v>
      </c>
      <c r="F1013" s="9" t="s">
        <v>291</v>
      </c>
      <c r="G1013">
        <v>110</v>
      </c>
      <c r="H1013" t="s">
        <v>2766</v>
      </c>
      <c r="J1013" s="3"/>
      <c r="K1013" s="11">
        <v>46191.628310185188</v>
      </c>
      <c r="M1013">
        <v>339</v>
      </c>
      <c r="N1013" t="s">
        <v>867</v>
      </c>
      <c r="O1013" s="5">
        <v>0</v>
      </c>
      <c r="P1013" s="5"/>
      <c r="Q1013" s="10">
        <f>INT(Tabela1[[#This Row],[DATA]])</f>
        <v>46191</v>
      </c>
      <c r="R1013" s="14" t="str">
        <f ca="1">IF(AND(Q1013&gt;=TODAY()-WEEKDAY(TODAY(),2)+1,Q1013&lt;TODAY()),"SIM","NÃO")</f>
        <v>NÃO</v>
      </c>
    </row>
    <row r="1014" spans="1:18" hidden="1">
      <c r="A1014" s="9" t="s">
        <v>2774</v>
      </c>
      <c r="B1014" t="s">
        <v>1910</v>
      </c>
      <c r="C1014">
        <v>300269792</v>
      </c>
      <c r="D1014">
        <v>16464320</v>
      </c>
      <c r="E1014" t="s">
        <v>37</v>
      </c>
      <c r="F1014" s="9" t="s">
        <v>221</v>
      </c>
      <c r="G1014">
        <v>630</v>
      </c>
      <c r="H1014" t="s">
        <v>2492</v>
      </c>
      <c r="J1014" s="3"/>
      <c r="K1014" s="11">
        <v>46191.632557870369</v>
      </c>
      <c r="M1014">
        <v>340</v>
      </c>
      <c r="N1014" t="s">
        <v>878</v>
      </c>
      <c r="O1014" s="5">
        <v>10000195771</v>
      </c>
      <c r="P1014" s="5"/>
      <c r="Q1014" s="10">
        <f>INT(Tabela1[[#This Row],[DATA]])</f>
        <v>46191</v>
      </c>
      <c r="R1014" s="14" t="str">
        <f ca="1">IF(AND(Q1014&gt;=TODAY()-WEEKDAY(TODAY(),2)+1,Q1014&lt;TODAY()),"SIM","NÃO")</f>
        <v>NÃO</v>
      </c>
    </row>
    <row r="1015" spans="1:18" hidden="1">
      <c r="A1015" s="9" t="s">
        <v>2610</v>
      </c>
      <c r="B1015" t="s">
        <v>74</v>
      </c>
      <c r="C1015">
        <v>300272191</v>
      </c>
      <c r="D1015">
        <v>16474368</v>
      </c>
      <c r="E1015" t="s">
        <v>45</v>
      </c>
      <c r="F1015" s="9" t="s">
        <v>2556</v>
      </c>
      <c r="G1015">
        <v>4</v>
      </c>
      <c r="H1015" t="s">
        <v>555</v>
      </c>
      <c r="J1015" s="3" t="s">
        <v>2124</v>
      </c>
      <c r="K1015" s="11">
        <v>46191.666932870372</v>
      </c>
      <c r="M1015">
        <v>341</v>
      </c>
      <c r="N1015" t="s">
        <v>867</v>
      </c>
      <c r="O1015" s="5">
        <v>0</v>
      </c>
      <c r="P1015" s="5"/>
      <c r="Q1015" s="10">
        <f>INT(Tabela1[[#This Row],[DATA]])</f>
        <v>46191</v>
      </c>
      <c r="R1015" s="14" t="str">
        <f ca="1">IF(AND(Q1015&gt;=TODAY()-WEEKDAY(TODAY(),2)+1,Q1015&lt;TODAY()),"SIM","NÃO")</f>
        <v>NÃO</v>
      </c>
    </row>
    <row r="1016" spans="1:18" hidden="1">
      <c r="A1016" s="9" t="s">
        <v>2541</v>
      </c>
      <c r="B1016" t="s">
        <v>388</v>
      </c>
      <c r="C1016">
        <v>300269319</v>
      </c>
      <c r="D1016">
        <v>16476298</v>
      </c>
      <c r="E1016" t="s">
        <v>37</v>
      </c>
      <c r="F1016" s="9" t="s">
        <v>323</v>
      </c>
      <c r="G1016">
        <v>39</v>
      </c>
      <c r="H1016" t="s">
        <v>2313</v>
      </c>
      <c r="J1016" s="3" t="s">
        <v>2690</v>
      </c>
      <c r="K1016" s="11">
        <v>46191.667905092596</v>
      </c>
      <c r="M1016">
        <v>342</v>
      </c>
      <c r="N1016" t="s">
        <v>867</v>
      </c>
      <c r="O1016" s="5">
        <v>0</v>
      </c>
      <c r="P1016" s="5"/>
      <c r="Q1016" s="10">
        <f>INT(Tabela1[[#This Row],[DATA]])</f>
        <v>46191</v>
      </c>
      <c r="R1016" s="14" t="str">
        <f ca="1">IF(AND(Q1016&gt;=TODAY()-WEEKDAY(TODAY(),2)+1,Q1016&lt;TODAY()),"SIM","NÃO")</f>
        <v>NÃO</v>
      </c>
    </row>
    <row r="1017" spans="1:18" hidden="1">
      <c r="A1017" s="9" t="s">
        <v>2541</v>
      </c>
      <c r="B1017" t="s">
        <v>388</v>
      </c>
      <c r="C1017">
        <v>300269319</v>
      </c>
      <c r="D1017">
        <v>16476298</v>
      </c>
      <c r="E1017" t="s">
        <v>37</v>
      </c>
      <c r="F1017" s="9" t="s">
        <v>323</v>
      </c>
      <c r="G1017">
        <v>45</v>
      </c>
      <c r="H1017" t="s">
        <v>2313</v>
      </c>
      <c r="J1017" s="3" t="s">
        <v>1013</v>
      </c>
      <c r="K1017" s="11">
        <v>46191.670312499999</v>
      </c>
      <c r="M1017">
        <v>343</v>
      </c>
      <c r="N1017" t="s">
        <v>867</v>
      </c>
      <c r="O1017" s="5">
        <v>0</v>
      </c>
      <c r="P1017" s="5"/>
      <c r="Q1017" s="10">
        <f>INT(Tabela1[[#This Row],[DATA]])</f>
        <v>46191</v>
      </c>
      <c r="R1017" s="14" t="str">
        <f ca="1">IF(AND(Q1017&gt;=TODAY()-WEEKDAY(TODAY(),2)+1,Q1017&lt;TODAY()),"SIM","NÃO")</f>
        <v>NÃO</v>
      </c>
    </row>
    <row r="1018" spans="1:18" hidden="1">
      <c r="A1018" s="9" t="s">
        <v>2775</v>
      </c>
      <c r="B1018" t="s">
        <v>512</v>
      </c>
      <c r="C1018">
        <v>300270704</v>
      </c>
      <c r="D1018">
        <v>16310225</v>
      </c>
      <c r="E1018" t="s">
        <v>37</v>
      </c>
      <c r="F1018" s="9" t="s">
        <v>2556</v>
      </c>
      <c r="G1018">
        <v>16</v>
      </c>
      <c r="H1018" t="s">
        <v>2776</v>
      </c>
      <c r="J1018" s="3" t="s">
        <v>2777</v>
      </c>
      <c r="K1018" s="11">
        <v>46191.68372685185</v>
      </c>
      <c r="M1018">
        <v>344</v>
      </c>
      <c r="N1018" t="s">
        <v>867</v>
      </c>
      <c r="O1018" s="5" t="s">
        <v>2778</v>
      </c>
      <c r="P1018" s="5"/>
      <c r="Q1018" s="10">
        <f>INT(Tabela1[[#This Row],[DATA]])</f>
        <v>46191</v>
      </c>
      <c r="R1018" s="14" t="str">
        <f ca="1">IF(AND(Q1018&gt;=TODAY()-WEEKDAY(TODAY(),2)+1,Q1018&lt;TODAY()),"SIM","NÃO")</f>
        <v>NÃO</v>
      </c>
    </row>
    <row r="1019" spans="1:18" hidden="1">
      <c r="A1019" s="9" t="s">
        <v>332</v>
      </c>
      <c r="B1019" t="s">
        <v>28</v>
      </c>
      <c r="C1019">
        <v>300267093</v>
      </c>
      <c r="D1019">
        <v>16251962</v>
      </c>
      <c r="E1019" t="s">
        <v>45</v>
      </c>
      <c r="F1019" s="9" t="s">
        <v>525</v>
      </c>
      <c r="G1019">
        <v>6</v>
      </c>
      <c r="H1019" t="s">
        <v>2300</v>
      </c>
      <c r="J1019" s="3"/>
      <c r="K1019" s="11">
        <v>46191.697696759256</v>
      </c>
      <c r="M1019">
        <v>345</v>
      </c>
      <c r="N1019" t="s">
        <v>867</v>
      </c>
      <c r="O1019" s="5">
        <v>0</v>
      </c>
      <c r="P1019" s="5"/>
      <c r="Q1019" s="10">
        <f>INT(Tabela1[[#This Row],[DATA]])</f>
        <v>46191</v>
      </c>
      <c r="R1019" s="14" t="str">
        <f ca="1">IF(AND(Q1019&gt;=TODAY()-WEEKDAY(TODAY(),2)+1,Q1019&lt;TODAY()),"SIM","NÃO")</f>
        <v>NÃO</v>
      </c>
    </row>
    <row r="1020" spans="1:18" hidden="1">
      <c r="A1020" s="9" t="s">
        <v>332</v>
      </c>
      <c r="B1020" t="s">
        <v>690</v>
      </c>
      <c r="C1020">
        <v>300267093</v>
      </c>
      <c r="D1020">
        <v>16251962</v>
      </c>
      <c r="E1020" t="s">
        <v>45</v>
      </c>
      <c r="F1020" s="9" t="s">
        <v>323</v>
      </c>
      <c r="G1020">
        <v>3</v>
      </c>
      <c r="H1020" t="s">
        <v>2300</v>
      </c>
      <c r="J1020" s="3"/>
      <c r="K1020" s="11">
        <v>46191.698576388888</v>
      </c>
      <c r="M1020">
        <v>346</v>
      </c>
      <c r="N1020" t="s">
        <v>867</v>
      </c>
      <c r="O1020" s="5">
        <v>0</v>
      </c>
      <c r="P1020" s="5"/>
      <c r="Q1020" s="10">
        <f>INT(Tabela1[[#This Row],[DATA]])</f>
        <v>46191</v>
      </c>
      <c r="R1020" s="14" t="str">
        <f ca="1">IF(AND(Q1020&gt;=TODAY()-WEEKDAY(TODAY(),2)+1,Q1020&lt;TODAY()),"SIM","NÃO")</f>
        <v>NÃO</v>
      </c>
    </row>
    <row r="1021" spans="1:18" hidden="1">
      <c r="A1021" s="9" t="s">
        <v>332</v>
      </c>
      <c r="B1021" t="s">
        <v>690</v>
      </c>
      <c r="C1021">
        <v>300267094</v>
      </c>
      <c r="D1021">
        <v>16251962</v>
      </c>
      <c r="E1021" t="s">
        <v>45</v>
      </c>
      <c r="F1021" s="9" t="s">
        <v>151</v>
      </c>
      <c r="G1021">
        <v>2</v>
      </c>
      <c r="H1021" t="s">
        <v>2300</v>
      </c>
      <c r="J1021" s="3"/>
      <c r="K1021" s="11">
        <v>46191.700532407405</v>
      </c>
      <c r="M1021">
        <v>347</v>
      </c>
      <c r="N1021" t="s">
        <v>867</v>
      </c>
      <c r="O1021" s="5">
        <v>0</v>
      </c>
      <c r="P1021" s="5"/>
      <c r="Q1021" s="10">
        <f>INT(Tabela1[[#This Row],[DATA]])</f>
        <v>46191</v>
      </c>
      <c r="R1021" s="14" t="str">
        <f ca="1">IF(AND(Q1021&gt;=TODAY()-WEEKDAY(TODAY(),2)+1,Q1021&lt;TODAY()),"SIM","NÃO")</f>
        <v>NÃO</v>
      </c>
    </row>
    <row r="1022" spans="1:18" hidden="1">
      <c r="A1022" s="9" t="s">
        <v>332</v>
      </c>
      <c r="B1022" t="s">
        <v>690</v>
      </c>
      <c r="C1022">
        <v>300269913</v>
      </c>
      <c r="D1022">
        <v>16251954</v>
      </c>
      <c r="E1022" t="s">
        <v>45</v>
      </c>
      <c r="F1022" s="9" t="s">
        <v>2556</v>
      </c>
      <c r="G1022">
        <v>1</v>
      </c>
      <c r="H1022" t="s">
        <v>2300</v>
      </c>
      <c r="J1022" s="3" t="s">
        <v>2124</v>
      </c>
      <c r="K1022" s="11">
        <v>46191.701655092591</v>
      </c>
      <c r="M1022">
        <v>348</v>
      </c>
      <c r="N1022" t="s">
        <v>867</v>
      </c>
      <c r="O1022" s="5">
        <v>0</v>
      </c>
      <c r="P1022" s="5"/>
      <c r="Q1022" s="10">
        <f>INT(Tabela1[[#This Row],[DATA]])</f>
        <v>46191</v>
      </c>
      <c r="R1022" s="14" t="str">
        <f ca="1">IF(AND(Q1022&gt;=TODAY()-WEEKDAY(TODAY(),2)+1,Q1022&lt;TODAY()),"SIM","NÃO")</f>
        <v>NÃO</v>
      </c>
    </row>
    <row r="1023" spans="1:18" hidden="1">
      <c r="A1023" s="9" t="s">
        <v>43</v>
      </c>
      <c r="B1023" t="s">
        <v>44</v>
      </c>
      <c r="C1023">
        <v>300262226</v>
      </c>
      <c r="D1023">
        <v>16473337</v>
      </c>
      <c r="E1023" t="s">
        <v>45</v>
      </c>
      <c r="F1023" s="9" t="s">
        <v>2779</v>
      </c>
      <c r="G1023">
        <v>60</v>
      </c>
      <c r="H1023" t="s">
        <v>2780</v>
      </c>
      <c r="J1023" s="3" t="s">
        <v>2781</v>
      </c>
      <c r="K1023" s="11">
        <v>46191.721759259257</v>
      </c>
      <c r="M1023">
        <v>349</v>
      </c>
      <c r="N1023" t="s">
        <v>867</v>
      </c>
      <c r="O1023" s="5" t="s">
        <v>2782</v>
      </c>
      <c r="P1023" s="5"/>
      <c r="Q1023" s="10">
        <f>INT(Tabela1[[#This Row],[DATA]])</f>
        <v>46191</v>
      </c>
      <c r="R1023" s="14" t="str">
        <f ca="1">IF(AND(Q1023&gt;=TODAY()-WEEKDAY(TODAY(),2)+1,Q1023&lt;TODAY()),"SIM","NÃO")</f>
        <v>NÃO</v>
      </c>
    </row>
    <row r="1024" spans="1:18" hidden="1">
      <c r="A1024" s="9" t="s">
        <v>914</v>
      </c>
      <c r="B1024" t="s">
        <v>2651</v>
      </c>
      <c r="C1024">
        <v>300268641</v>
      </c>
      <c r="D1024">
        <v>16520157</v>
      </c>
      <c r="E1024" t="s">
        <v>37</v>
      </c>
      <c r="F1024" s="9" t="s">
        <v>203</v>
      </c>
      <c r="G1024">
        <v>618</v>
      </c>
      <c r="H1024" t="s">
        <v>2783</v>
      </c>
      <c r="J1024" s="3" t="s">
        <v>2784</v>
      </c>
      <c r="K1024" s="11">
        <v>46191.722812499997</v>
      </c>
      <c r="M1024">
        <v>350</v>
      </c>
      <c r="N1024" t="s">
        <v>878</v>
      </c>
      <c r="O1024" s="5">
        <v>0</v>
      </c>
      <c r="P1024" s="5"/>
      <c r="Q1024" s="10">
        <f>INT(Tabela1[[#This Row],[DATA]])</f>
        <v>46191</v>
      </c>
      <c r="R1024" s="14" t="str">
        <f ca="1">IF(AND(Q1024&gt;=TODAY()-WEEKDAY(TODAY(),2)+1,Q1024&lt;TODAY()),"SIM","NÃO")</f>
        <v>NÃO</v>
      </c>
    </row>
    <row r="1025" spans="1:18" hidden="1">
      <c r="A1025" s="9" t="s">
        <v>2624</v>
      </c>
      <c r="B1025" t="s">
        <v>50</v>
      </c>
      <c r="C1025">
        <v>300271766</v>
      </c>
      <c r="D1025">
        <v>16273303</v>
      </c>
      <c r="E1025" t="s">
        <v>37</v>
      </c>
      <c r="F1025" s="9" t="s">
        <v>38</v>
      </c>
      <c r="G1025">
        <v>56</v>
      </c>
      <c r="H1025" t="s">
        <v>2785</v>
      </c>
      <c r="J1025" s="3" t="s">
        <v>2786</v>
      </c>
      <c r="K1025" s="11">
        <v>46191.737766203703</v>
      </c>
      <c r="M1025">
        <v>351</v>
      </c>
      <c r="N1025" t="s">
        <v>878</v>
      </c>
      <c r="O1025" s="5">
        <v>300271766</v>
      </c>
      <c r="P1025" s="5"/>
      <c r="Q1025" s="10">
        <f>INT(Tabela1[[#This Row],[DATA]])</f>
        <v>46191</v>
      </c>
      <c r="R1025" s="14" t="str">
        <f ca="1">IF(AND(Q1025&gt;=TODAY()-WEEKDAY(TODAY(),2)+1,Q1025&lt;TODAY()),"SIM","NÃO")</f>
        <v>NÃO</v>
      </c>
    </row>
    <row r="1026" spans="1:18" hidden="1">
      <c r="A1026" s="9" t="s">
        <v>2656</v>
      </c>
      <c r="B1026" t="s">
        <v>119</v>
      </c>
      <c r="C1026">
        <v>300272985</v>
      </c>
      <c r="D1026">
        <v>16473965</v>
      </c>
      <c r="E1026" t="s">
        <v>37</v>
      </c>
      <c r="F1026" s="9" t="s">
        <v>113</v>
      </c>
      <c r="G1026" t="s">
        <v>2787</v>
      </c>
      <c r="H1026" t="s">
        <v>1117</v>
      </c>
      <c r="J1026" s="3" t="s">
        <v>2788</v>
      </c>
      <c r="K1026" s="11">
        <v>46191.739861111113</v>
      </c>
      <c r="M1026">
        <v>352</v>
      </c>
      <c r="N1026" t="s">
        <v>867</v>
      </c>
      <c r="O1026" s="5">
        <v>10000062816</v>
      </c>
      <c r="P1026" s="5"/>
      <c r="Q1026" s="10">
        <f>INT(Tabela1[[#This Row],[DATA]])</f>
        <v>46191</v>
      </c>
      <c r="R1026" s="14" t="str">
        <f ca="1">IF(AND(Q1026&gt;=TODAY()-WEEKDAY(TODAY(),2)+1,Q1026&lt;TODAY()),"SIM","NÃO")</f>
        <v>NÃO</v>
      </c>
    </row>
    <row r="1027" spans="1:18" hidden="1">
      <c r="A1027" s="9" t="s">
        <v>2177</v>
      </c>
      <c r="B1027" t="s">
        <v>1073</v>
      </c>
      <c r="C1027">
        <v>300271812</v>
      </c>
      <c r="D1027">
        <v>16243200</v>
      </c>
      <c r="E1027" t="s">
        <v>37</v>
      </c>
      <c r="F1027" s="9" t="s">
        <v>2213</v>
      </c>
      <c r="G1027">
        <v>24</v>
      </c>
      <c r="H1027" t="s">
        <v>2789</v>
      </c>
      <c r="J1027" s="3" t="s">
        <v>2790</v>
      </c>
      <c r="K1027" s="11">
        <v>46191.742118055554</v>
      </c>
      <c r="M1027">
        <v>353</v>
      </c>
      <c r="N1027" t="s">
        <v>867</v>
      </c>
      <c r="O1027" s="5" t="s">
        <v>2791</v>
      </c>
      <c r="P1027" s="5"/>
      <c r="Q1027" s="10">
        <f>INT(Tabela1[[#This Row],[DATA]])</f>
        <v>46191</v>
      </c>
      <c r="R1027" s="14" t="str">
        <f ca="1">IF(AND(Q1027&gt;=TODAY()-WEEKDAY(TODAY(),2)+1,Q1027&lt;TODAY()),"SIM","NÃO")</f>
        <v>NÃO</v>
      </c>
    </row>
    <row r="1028" spans="1:18" hidden="1">
      <c r="A1028" s="9" t="s">
        <v>2656</v>
      </c>
      <c r="B1028" t="s">
        <v>119</v>
      </c>
      <c r="C1028">
        <v>300272977</v>
      </c>
      <c r="D1028">
        <v>16473965</v>
      </c>
      <c r="E1028" t="s">
        <v>37</v>
      </c>
      <c r="F1028" s="9" t="s">
        <v>113</v>
      </c>
      <c r="G1028" t="s">
        <v>2792</v>
      </c>
      <c r="H1028" t="s">
        <v>1112</v>
      </c>
      <c r="J1028" s="3" t="s">
        <v>2793</v>
      </c>
      <c r="K1028" s="11">
        <v>46191.744872685187</v>
      </c>
      <c r="M1028">
        <v>354</v>
      </c>
      <c r="N1028" t="s">
        <v>867</v>
      </c>
      <c r="O1028" s="5">
        <v>10000062816</v>
      </c>
      <c r="P1028" s="5"/>
      <c r="Q1028" s="10">
        <f>INT(Tabela1[[#This Row],[DATA]])</f>
        <v>46191</v>
      </c>
      <c r="R1028" s="14" t="str">
        <f ca="1">IF(AND(Q1028&gt;=TODAY()-WEEKDAY(TODAY(),2)+1,Q1028&lt;TODAY()),"SIM","NÃO")</f>
        <v>NÃO</v>
      </c>
    </row>
    <row r="1029" spans="1:18" hidden="1">
      <c r="A1029" s="9" t="s">
        <v>605</v>
      </c>
      <c r="B1029" t="s">
        <v>606</v>
      </c>
      <c r="C1029">
        <v>300271114</v>
      </c>
      <c r="D1029">
        <v>16292987</v>
      </c>
      <c r="E1029" t="s">
        <v>37</v>
      </c>
      <c r="F1029" s="9" t="s">
        <v>38</v>
      </c>
      <c r="G1029">
        <v>40</v>
      </c>
      <c r="H1029" t="s">
        <v>2645</v>
      </c>
      <c r="J1029" s="3" t="s">
        <v>1771</v>
      </c>
      <c r="K1029" s="11">
        <v>46191.747094907405</v>
      </c>
      <c r="M1029">
        <v>355</v>
      </c>
      <c r="N1029" t="s">
        <v>867</v>
      </c>
      <c r="O1029" s="5">
        <v>0</v>
      </c>
      <c r="P1029" s="5"/>
      <c r="Q1029" s="10">
        <f>INT(Tabela1[[#This Row],[DATA]])</f>
        <v>46191</v>
      </c>
      <c r="R1029" s="14" t="str">
        <f ca="1">IF(AND(Q1029&gt;=TODAY()-WEEKDAY(TODAY(),2)+1,Q1029&lt;TODAY()),"SIM","NÃO")</f>
        <v>NÃO</v>
      </c>
    </row>
    <row r="1030" spans="1:18" hidden="1">
      <c r="A1030" s="9" t="s">
        <v>253</v>
      </c>
      <c r="B1030" t="s">
        <v>254</v>
      </c>
      <c r="C1030">
        <v>300270319</v>
      </c>
      <c r="D1030">
        <v>16187741</v>
      </c>
      <c r="E1030" t="s">
        <v>37</v>
      </c>
      <c r="F1030" s="9" t="s">
        <v>151</v>
      </c>
      <c r="G1030">
        <v>6</v>
      </c>
      <c r="H1030" t="s">
        <v>2228</v>
      </c>
      <c r="J1030" s="3"/>
      <c r="K1030" s="11">
        <v>46191.79105324074</v>
      </c>
      <c r="M1030">
        <v>356</v>
      </c>
      <c r="N1030" t="s">
        <v>867</v>
      </c>
      <c r="O1030" s="5">
        <v>0</v>
      </c>
      <c r="P1030" s="5"/>
      <c r="Q1030" s="10">
        <f>INT(Tabela1[[#This Row],[DATA]])</f>
        <v>46191</v>
      </c>
      <c r="R1030" s="14" t="str">
        <f ca="1">IF(AND(Q1030&gt;=TODAY()-WEEKDAY(TODAY(),2)+1,Q1030&lt;TODAY()),"SIM","NÃO")</f>
        <v>NÃO</v>
      </c>
    </row>
    <row r="1031" spans="1:18" hidden="1">
      <c r="A1031" s="9" t="s">
        <v>111</v>
      </c>
      <c r="B1031" t="s">
        <v>112</v>
      </c>
      <c r="C1031">
        <v>300273026</v>
      </c>
      <c r="D1031">
        <v>16210216</v>
      </c>
      <c r="E1031" t="s">
        <v>20</v>
      </c>
      <c r="F1031" s="9" t="s">
        <v>543</v>
      </c>
      <c r="G1031">
        <v>160</v>
      </c>
      <c r="H1031" t="s">
        <v>1831</v>
      </c>
      <c r="J1031" s="3"/>
      <c r="K1031" s="11">
        <v>46192.309583333335</v>
      </c>
      <c r="M1031">
        <v>357</v>
      </c>
      <c r="N1031" t="s">
        <v>867</v>
      </c>
      <c r="O1031" s="5">
        <v>0</v>
      </c>
      <c r="P1031" s="5"/>
      <c r="Q1031" s="10">
        <f>INT(Tabela1[[#This Row],[DATA]])</f>
        <v>46192</v>
      </c>
      <c r="R1031" s="14" t="str">
        <f ca="1">IF(AND(Q1031&gt;=TODAY()-WEEKDAY(TODAY(),2)+1,Q1031&lt;TODAY()),"SIM","NÃO")</f>
        <v>NÃO</v>
      </c>
    </row>
    <row r="1032" spans="1:18" hidden="1">
      <c r="A1032" s="9" t="s">
        <v>79</v>
      </c>
      <c r="B1032" t="s">
        <v>80</v>
      </c>
      <c r="C1032">
        <v>300263205</v>
      </c>
      <c r="D1032">
        <v>15215539</v>
      </c>
      <c r="E1032" t="s">
        <v>29</v>
      </c>
      <c r="F1032" s="9" t="s">
        <v>38</v>
      </c>
      <c r="G1032" t="s">
        <v>2794</v>
      </c>
      <c r="H1032" t="s">
        <v>2795</v>
      </c>
      <c r="J1032" s="3"/>
      <c r="K1032" s="11">
        <v>46192.315949074073</v>
      </c>
      <c r="M1032">
        <v>358</v>
      </c>
      <c r="N1032" t="s">
        <v>867</v>
      </c>
      <c r="O1032" s="5">
        <v>0</v>
      </c>
      <c r="P1032" s="5"/>
      <c r="Q1032" s="10">
        <f>INT(Tabela1[[#This Row],[DATA]])</f>
        <v>46192</v>
      </c>
      <c r="R1032" s="14" t="str">
        <f ca="1">IF(AND(Q1032&gt;=TODAY()-WEEKDAY(TODAY(),2)+1,Q1032&lt;TODAY()),"SIM","NÃO")</f>
        <v>NÃO</v>
      </c>
    </row>
    <row r="1033" spans="1:18" hidden="1">
      <c r="A1033" s="9" t="s">
        <v>787</v>
      </c>
      <c r="B1033" t="s">
        <v>788</v>
      </c>
      <c r="C1033">
        <v>300272171</v>
      </c>
      <c r="D1033">
        <v>15764290</v>
      </c>
      <c r="E1033" t="s">
        <v>37</v>
      </c>
      <c r="F1033" s="9" t="s">
        <v>60</v>
      </c>
      <c r="G1033">
        <v>200</v>
      </c>
      <c r="H1033" t="s">
        <v>2284</v>
      </c>
      <c r="J1033" s="3" t="s">
        <v>2796</v>
      </c>
      <c r="K1033" s="11">
        <v>46192.346631944441</v>
      </c>
      <c r="M1033">
        <v>359</v>
      </c>
      <c r="N1033" t="s">
        <v>867</v>
      </c>
      <c r="O1033" s="5">
        <v>10000228847</v>
      </c>
      <c r="P1033" s="5"/>
      <c r="Q1033" s="10">
        <f>INT(Tabela1[[#This Row],[DATA]])</f>
        <v>46192</v>
      </c>
      <c r="R1033" s="14" t="str">
        <f ca="1">IF(AND(Q1033&gt;=TODAY()-WEEKDAY(TODAY(),2)+1,Q1033&lt;TODAY()),"SIM","NÃO")</f>
        <v>NÃO</v>
      </c>
    </row>
    <row r="1034" spans="1:18" hidden="1">
      <c r="A1034" s="9" t="s">
        <v>249</v>
      </c>
      <c r="B1034" t="s">
        <v>112</v>
      </c>
      <c r="C1034">
        <v>300272942</v>
      </c>
      <c r="D1034">
        <v>15774112</v>
      </c>
      <c r="E1034" t="s">
        <v>37</v>
      </c>
      <c r="F1034" s="9" t="s">
        <v>769</v>
      </c>
      <c r="G1034">
        <v>126</v>
      </c>
      <c r="H1034" t="s">
        <v>2172</v>
      </c>
      <c r="J1034" s="3" t="s">
        <v>2797</v>
      </c>
      <c r="K1034" s="11">
        <v>46192.357106481482</v>
      </c>
      <c r="M1034">
        <v>360</v>
      </c>
      <c r="N1034" t="s">
        <v>878</v>
      </c>
      <c r="O1034" s="5">
        <v>0</v>
      </c>
      <c r="P1034" s="5"/>
      <c r="Q1034" s="10">
        <f>INT(Tabela1[[#This Row],[DATA]])</f>
        <v>46192</v>
      </c>
      <c r="R1034" s="14" t="str">
        <f ca="1">IF(AND(Q1034&gt;=TODAY()-WEEKDAY(TODAY(),2)+1,Q1034&lt;TODAY()),"SIM","NÃO")</f>
        <v>NÃO</v>
      </c>
    </row>
    <row r="1035" spans="1:18" hidden="1">
      <c r="A1035" s="9" t="s">
        <v>249</v>
      </c>
      <c r="B1035" t="s">
        <v>112</v>
      </c>
      <c r="C1035">
        <v>300272942</v>
      </c>
      <c r="D1035">
        <v>15774112</v>
      </c>
      <c r="E1035" t="s">
        <v>37</v>
      </c>
      <c r="F1035" s="9" t="s">
        <v>769</v>
      </c>
      <c r="G1035">
        <v>126</v>
      </c>
      <c r="H1035" t="s">
        <v>2798</v>
      </c>
      <c r="J1035" s="3" t="s">
        <v>2799</v>
      </c>
      <c r="K1035" s="11">
        <v>46192.358171296299</v>
      </c>
      <c r="M1035">
        <v>361</v>
      </c>
      <c r="N1035" t="s">
        <v>878</v>
      </c>
      <c r="O1035" s="5">
        <v>0</v>
      </c>
      <c r="P1035" s="5"/>
      <c r="Q1035" s="10">
        <f>INT(Tabela1[[#This Row],[DATA]])</f>
        <v>46192</v>
      </c>
      <c r="R1035" s="14" t="str">
        <f ca="1">IF(AND(Q1035&gt;=TODAY()-WEEKDAY(TODAY(),2)+1,Q1035&lt;TODAY()),"SIM","NÃO")</f>
        <v>NÃO</v>
      </c>
    </row>
    <row r="1036" spans="1:18" hidden="1">
      <c r="A1036" s="9" t="s">
        <v>249</v>
      </c>
      <c r="B1036" t="s">
        <v>112</v>
      </c>
      <c r="C1036">
        <v>300272941</v>
      </c>
      <c r="D1036">
        <v>15774112</v>
      </c>
      <c r="E1036" t="s">
        <v>37</v>
      </c>
      <c r="F1036" s="9" t="s">
        <v>151</v>
      </c>
      <c r="G1036">
        <v>20</v>
      </c>
      <c r="H1036" t="s">
        <v>2800</v>
      </c>
      <c r="J1036" s="3"/>
      <c r="K1036" s="11">
        <v>46192.361168981479</v>
      </c>
      <c r="M1036">
        <v>362</v>
      </c>
      <c r="N1036" t="s">
        <v>867</v>
      </c>
      <c r="O1036" s="5">
        <v>0</v>
      </c>
      <c r="P1036" s="5"/>
      <c r="Q1036" s="10">
        <f>INT(Tabela1[[#This Row],[DATA]])</f>
        <v>46192</v>
      </c>
      <c r="R1036" s="14" t="str">
        <f ca="1">IF(AND(Q1036&gt;=TODAY()-WEEKDAY(TODAY(),2)+1,Q1036&lt;TODAY()),"SIM","NÃO")</f>
        <v>NÃO</v>
      </c>
    </row>
    <row r="1037" spans="1:18" hidden="1">
      <c r="A1037" t="s">
        <v>2549</v>
      </c>
      <c r="B1037" t="s">
        <v>19</v>
      </c>
      <c r="C1037">
        <v>300272636</v>
      </c>
      <c r="D1037">
        <v>16554400</v>
      </c>
      <c r="E1037" t="s">
        <v>20</v>
      </c>
      <c r="F1037" t="s">
        <v>2213</v>
      </c>
      <c r="G1037">
        <v>315</v>
      </c>
      <c r="H1037" t="s">
        <v>2801</v>
      </c>
      <c r="J1037" t="s">
        <v>2802</v>
      </c>
      <c r="K1037" s="11">
        <v>46192.382094907407</v>
      </c>
      <c r="M1037">
        <v>363</v>
      </c>
      <c r="N1037" t="s">
        <v>878</v>
      </c>
      <c r="O1037" t="s">
        <v>2802</v>
      </c>
      <c r="P1037" s="5"/>
      <c r="Q1037" s="10">
        <f>INT(Tabela1[[#This Row],[DATA]])</f>
        <v>46192</v>
      </c>
      <c r="R1037" s="14" t="str">
        <f ca="1">IF(AND(Q1037&gt;=TODAY()-WEEKDAY(TODAY(),2)+1,Q1037&lt;TODAY()),"SIM","NÃO")</f>
        <v>NÃO</v>
      </c>
    </row>
    <row r="1038" spans="1:18" hidden="1">
      <c r="A1038" t="s">
        <v>2549</v>
      </c>
      <c r="B1038" t="s">
        <v>19</v>
      </c>
      <c r="C1038">
        <v>300272636</v>
      </c>
      <c r="D1038">
        <v>16554400</v>
      </c>
      <c r="E1038" t="s">
        <v>20</v>
      </c>
      <c r="F1038" t="s">
        <v>2213</v>
      </c>
      <c r="G1038">
        <v>20</v>
      </c>
      <c r="H1038" t="s">
        <v>2803</v>
      </c>
      <c r="J1038" t="s">
        <v>2802</v>
      </c>
      <c r="K1038" s="11">
        <v>46192.383414351854</v>
      </c>
      <c r="M1038">
        <v>364</v>
      </c>
      <c r="N1038" t="s">
        <v>878</v>
      </c>
      <c r="O1038">
        <v>10000208017</v>
      </c>
      <c r="P1038" s="5"/>
      <c r="Q1038" s="10">
        <f>INT(Tabela1[[#This Row],[DATA]])</f>
        <v>46192</v>
      </c>
      <c r="R1038" s="14" t="str">
        <f ca="1">IF(AND(Q1038&gt;=TODAY()-WEEKDAY(TODAY(),2)+1,Q1038&lt;TODAY()),"SIM","NÃO")</f>
        <v>NÃO</v>
      </c>
    </row>
    <row r="1039" spans="1:18" hidden="1">
      <c r="A1039" t="s">
        <v>2549</v>
      </c>
      <c r="B1039" t="s">
        <v>19</v>
      </c>
      <c r="C1039">
        <v>300272636</v>
      </c>
      <c r="D1039">
        <v>16554400</v>
      </c>
      <c r="E1039" t="s">
        <v>20</v>
      </c>
      <c r="F1039" t="s">
        <v>2213</v>
      </c>
      <c r="G1039">
        <v>20</v>
      </c>
      <c r="H1039" t="s">
        <v>2803</v>
      </c>
      <c r="J1039" t="s">
        <v>2802</v>
      </c>
      <c r="K1039" s="11">
        <v>46192.384606481479</v>
      </c>
      <c r="M1039">
        <v>365</v>
      </c>
      <c r="N1039" t="s">
        <v>878</v>
      </c>
      <c r="O1039">
        <v>10000208015</v>
      </c>
      <c r="P1039" s="5"/>
      <c r="Q1039" s="10">
        <f>INT(Tabela1[[#This Row],[DATA]])</f>
        <v>46192</v>
      </c>
      <c r="R1039" s="14" t="str">
        <f ca="1">IF(AND(Q1039&gt;=TODAY()-WEEKDAY(TODAY(),2)+1,Q1039&lt;TODAY()),"SIM","NÃO")</f>
        <v>NÃO</v>
      </c>
    </row>
    <row r="1040" spans="1:18" hidden="1">
      <c r="A1040" t="s">
        <v>2549</v>
      </c>
      <c r="B1040" t="s">
        <v>19</v>
      </c>
      <c r="C1040">
        <v>300272636</v>
      </c>
      <c r="D1040">
        <v>16554400</v>
      </c>
      <c r="E1040" t="s">
        <v>20</v>
      </c>
      <c r="F1040" t="s">
        <v>2213</v>
      </c>
      <c r="G1040">
        <v>15</v>
      </c>
      <c r="H1040" t="s">
        <v>2803</v>
      </c>
      <c r="J1040" t="s">
        <v>2802</v>
      </c>
      <c r="K1040" s="11">
        <v>46192.385682870372</v>
      </c>
      <c r="M1040">
        <v>366</v>
      </c>
      <c r="N1040" t="s">
        <v>878</v>
      </c>
      <c r="O1040">
        <v>10000208014</v>
      </c>
      <c r="P1040" s="5"/>
      <c r="Q1040" s="10">
        <f>INT(Tabela1[[#This Row],[DATA]])</f>
        <v>46192</v>
      </c>
      <c r="R1040" s="14" t="str">
        <f ca="1">IF(AND(Q1040&gt;=TODAY()-WEEKDAY(TODAY(),2)+1,Q1040&lt;TODAY()),"SIM","NÃO")</f>
        <v>NÃO</v>
      </c>
    </row>
    <row r="1041" spans="1:18" hidden="1">
      <c r="A1041" t="s">
        <v>101</v>
      </c>
      <c r="B1041" t="s">
        <v>990</v>
      </c>
      <c r="C1041">
        <v>300272823</v>
      </c>
      <c r="D1041">
        <v>16187741</v>
      </c>
      <c r="E1041" t="s">
        <v>37</v>
      </c>
      <c r="F1041" t="s">
        <v>38</v>
      </c>
      <c r="G1041">
        <v>18</v>
      </c>
      <c r="H1041" t="s">
        <v>2804</v>
      </c>
      <c r="J1041" t="s">
        <v>2805</v>
      </c>
      <c r="K1041" s="11">
        <v>46192.390057870369</v>
      </c>
      <c r="M1041">
        <v>367</v>
      </c>
      <c r="N1041" t="s">
        <v>867</v>
      </c>
      <c r="O1041">
        <v>0</v>
      </c>
      <c r="P1041" s="5"/>
      <c r="Q1041" s="10">
        <f>INT(Tabela1[[#This Row],[DATA]])</f>
        <v>46192</v>
      </c>
      <c r="R1041" s="14" t="str">
        <f ca="1">IF(AND(Q1041&gt;=TODAY()-WEEKDAY(TODAY(),2)+1,Q1041&lt;TODAY()),"SIM","NÃO")</f>
        <v>NÃO</v>
      </c>
    </row>
    <row r="1042" spans="1:18" hidden="1">
      <c r="A1042" t="s">
        <v>253</v>
      </c>
      <c r="B1042" t="s">
        <v>254</v>
      </c>
      <c r="C1042">
        <v>300272626</v>
      </c>
      <c r="D1042">
        <v>14938570</v>
      </c>
      <c r="E1042" t="s">
        <v>45</v>
      </c>
      <c r="F1042" t="s">
        <v>38</v>
      </c>
      <c r="G1042">
        <v>50</v>
      </c>
      <c r="H1042" t="s">
        <v>2806</v>
      </c>
      <c r="J1042" t="s">
        <v>2807</v>
      </c>
      <c r="K1042" s="11">
        <v>46192.39435185185</v>
      </c>
      <c r="M1042">
        <v>368</v>
      </c>
      <c r="N1042" t="s">
        <v>867</v>
      </c>
      <c r="O1042">
        <v>0</v>
      </c>
      <c r="P1042" s="5"/>
      <c r="Q1042" s="10">
        <f>INT(Tabela1[[#This Row],[DATA]])</f>
        <v>46192</v>
      </c>
      <c r="R1042" s="14" t="str">
        <f ca="1">IF(AND(Q1042&gt;=TODAY()-WEEKDAY(TODAY(),2)+1,Q1042&lt;TODAY()),"SIM","NÃO")</f>
        <v>NÃO</v>
      </c>
    </row>
    <row r="1043" spans="1:18" hidden="1">
      <c r="A1043" t="s">
        <v>185</v>
      </c>
      <c r="B1043" t="s">
        <v>1625</v>
      </c>
      <c r="C1043">
        <v>300260651</v>
      </c>
      <c r="D1043">
        <v>16448090</v>
      </c>
      <c r="E1043" t="s">
        <v>37</v>
      </c>
      <c r="F1043" t="s">
        <v>430</v>
      </c>
      <c r="G1043">
        <v>400</v>
      </c>
      <c r="H1043" t="s">
        <v>1771</v>
      </c>
      <c r="J1043" t="s">
        <v>2808</v>
      </c>
      <c r="K1043" s="11">
        <v>46192.405555555553</v>
      </c>
      <c r="M1043">
        <v>369</v>
      </c>
      <c r="N1043" t="s">
        <v>867</v>
      </c>
      <c r="O1043">
        <v>10000068573</v>
      </c>
      <c r="P1043" s="5"/>
      <c r="Q1043" s="10">
        <f>INT(Tabela1[[#This Row],[DATA]])</f>
        <v>46192</v>
      </c>
      <c r="R1043" s="14" t="str">
        <f ca="1">IF(AND(Q1043&gt;=TODAY()-WEEKDAY(TODAY(),2)+1,Q1043&lt;TODAY()),"SIM","NÃO")</f>
        <v>NÃO</v>
      </c>
    </row>
    <row r="1044" spans="1:18" hidden="1">
      <c r="A1044" t="s">
        <v>2654</v>
      </c>
      <c r="B1044" t="s">
        <v>2655</v>
      </c>
      <c r="C1044">
        <v>300270700</v>
      </c>
      <c r="D1044">
        <v>16217942</v>
      </c>
      <c r="E1044" t="s">
        <v>37</v>
      </c>
      <c r="F1044" t="s">
        <v>103</v>
      </c>
      <c r="G1044">
        <v>1</v>
      </c>
      <c r="H1044" t="s">
        <v>2091</v>
      </c>
      <c r="J1044" t="s">
        <v>2809</v>
      </c>
      <c r="K1044" s="11">
        <v>46192.414780092593</v>
      </c>
      <c r="M1044">
        <v>370</v>
      </c>
      <c r="N1044" t="s">
        <v>878</v>
      </c>
      <c r="O1044">
        <v>0</v>
      </c>
      <c r="P1044" s="5"/>
      <c r="Q1044" s="10">
        <f>INT(Tabela1[[#This Row],[DATA]])</f>
        <v>46192</v>
      </c>
      <c r="R1044" s="14" t="str">
        <f ca="1">IF(AND(Q1044&gt;=TODAY()-WEEKDAY(TODAY(),2)+1,Q1044&lt;TODAY()),"SIM","NÃO")</f>
        <v>NÃO</v>
      </c>
    </row>
    <row r="1045" spans="1:18" hidden="1">
      <c r="A1045" t="s">
        <v>185</v>
      </c>
      <c r="B1045" t="s">
        <v>1625</v>
      </c>
      <c r="C1045">
        <v>300231420</v>
      </c>
      <c r="D1045">
        <v>16317840</v>
      </c>
      <c r="E1045" t="s">
        <v>37</v>
      </c>
      <c r="F1045" t="s">
        <v>430</v>
      </c>
      <c r="G1045">
        <v>400</v>
      </c>
      <c r="H1045" t="s">
        <v>1771</v>
      </c>
      <c r="K1045" s="11">
        <v>46192.414826388886</v>
      </c>
      <c r="M1045">
        <v>371</v>
      </c>
      <c r="N1045" t="s">
        <v>867</v>
      </c>
      <c r="O1045">
        <v>10000068569</v>
      </c>
      <c r="P1045" s="5"/>
      <c r="Q1045" s="10">
        <f>INT(Tabela1[[#This Row],[DATA]])</f>
        <v>46192</v>
      </c>
      <c r="R1045" s="14" t="str">
        <f ca="1">IF(AND(Q1045&gt;=TODAY()-WEEKDAY(TODAY(),2)+1,Q1045&lt;TODAY()),"SIM","NÃO")</f>
        <v>NÃO</v>
      </c>
    </row>
    <row r="1046" spans="1:18" hidden="1">
      <c r="A1046" t="s">
        <v>2603</v>
      </c>
      <c r="B1046" t="s">
        <v>929</v>
      </c>
      <c r="C1046">
        <v>300270728</v>
      </c>
      <c r="D1046">
        <v>16243145</v>
      </c>
      <c r="E1046" t="s">
        <v>37</v>
      </c>
      <c r="F1046" t="s">
        <v>2556</v>
      </c>
      <c r="G1046">
        <v>2</v>
      </c>
      <c r="H1046" t="s">
        <v>1335</v>
      </c>
      <c r="J1046" t="s">
        <v>2810</v>
      </c>
      <c r="K1046" s="11">
        <v>46192.421111111114</v>
      </c>
      <c r="M1046">
        <v>372</v>
      </c>
      <c r="N1046" t="s">
        <v>867</v>
      </c>
      <c r="O1046">
        <v>0</v>
      </c>
      <c r="P1046" s="5"/>
      <c r="Q1046" s="10">
        <f>INT(Tabela1[[#This Row],[DATA]])</f>
        <v>46192</v>
      </c>
      <c r="R1046" s="14" t="str">
        <f ca="1">IF(AND(Q1046&gt;=TODAY()-WEEKDAY(TODAY(),2)+1,Q1046&lt;TODAY()),"SIM","NÃO")</f>
        <v>NÃO</v>
      </c>
    </row>
    <row r="1047" spans="1:18" hidden="1">
      <c r="A1047" t="s">
        <v>1175</v>
      </c>
      <c r="B1047" t="s">
        <v>1176</v>
      </c>
      <c r="C1047">
        <v>300270370</v>
      </c>
      <c r="D1047">
        <v>16187741</v>
      </c>
      <c r="E1047" t="s">
        <v>37</v>
      </c>
      <c r="F1047" t="s">
        <v>216</v>
      </c>
      <c r="G1047">
        <v>150</v>
      </c>
      <c r="H1047" t="s">
        <v>1958</v>
      </c>
      <c r="J1047" t="s">
        <v>2811</v>
      </c>
      <c r="K1047" s="11">
        <v>46192.434050925927</v>
      </c>
      <c r="M1047">
        <v>373</v>
      </c>
      <c r="N1047" t="s">
        <v>867</v>
      </c>
      <c r="O1047" t="s">
        <v>2136</v>
      </c>
      <c r="P1047" s="5"/>
      <c r="Q1047" s="10">
        <f>INT(Tabela1[[#This Row],[DATA]])</f>
        <v>46192</v>
      </c>
      <c r="R1047" s="14" t="str">
        <f ca="1">IF(AND(Q1047&gt;=TODAY()-WEEKDAY(TODAY(),2)+1,Q1047&lt;TODAY()),"SIM","NÃO")</f>
        <v>NÃO</v>
      </c>
    </row>
    <row r="1048" spans="1:18" hidden="1">
      <c r="A1048" t="s">
        <v>2551</v>
      </c>
      <c r="B1048" t="s">
        <v>274</v>
      </c>
      <c r="C1048">
        <v>300272161</v>
      </c>
      <c r="D1048">
        <v>15128288</v>
      </c>
      <c r="E1048" t="s">
        <v>29</v>
      </c>
      <c r="F1048" t="s">
        <v>259</v>
      </c>
      <c r="G1048">
        <v>10</v>
      </c>
      <c r="H1048" t="s">
        <v>2812</v>
      </c>
      <c r="K1048" s="11">
        <v>46192.447245370371</v>
      </c>
      <c r="M1048">
        <v>374</v>
      </c>
      <c r="N1048" t="s">
        <v>867</v>
      </c>
      <c r="O1048" t="s">
        <v>2813</v>
      </c>
      <c r="P1048" s="5"/>
      <c r="Q1048" s="10">
        <f>INT(Tabela1[[#This Row],[DATA]])</f>
        <v>46192</v>
      </c>
      <c r="R1048" s="14" t="str">
        <f ca="1">IF(AND(Q1048&gt;=TODAY()-WEEKDAY(TODAY(),2)+1,Q1048&lt;TODAY()),"SIM","NÃO")</f>
        <v>NÃO</v>
      </c>
    </row>
    <row r="1049" spans="1:18" hidden="1">
      <c r="A1049" t="s">
        <v>2551</v>
      </c>
      <c r="B1049" t="s">
        <v>274</v>
      </c>
      <c r="C1049">
        <v>300272161</v>
      </c>
      <c r="D1049">
        <v>15128288</v>
      </c>
      <c r="E1049" t="s">
        <v>29</v>
      </c>
      <c r="F1049" t="s">
        <v>113</v>
      </c>
      <c r="G1049">
        <v>4</v>
      </c>
      <c r="H1049" t="s">
        <v>2814</v>
      </c>
      <c r="K1049" s="11">
        <v>46192.448923611111</v>
      </c>
      <c r="M1049">
        <v>375</v>
      </c>
      <c r="N1049" t="s">
        <v>867</v>
      </c>
      <c r="O1049" t="s">
        <v>2815</v>
      </c>
      <c r="P1049" s="5"/>
      <c r="Q1049" s="10">
        <f>INT(Tabela1[[#This Row],[DATA]])</f>
        <v>46192</v>
      </c>
      <c r="R1049" s="14" t="str">
        <f ca="1">IF(AND(Q1049&gt;=TODAY()-WEEKDAY(TODAY(),2)+1,Q1049&lt;TODAY()),"SIM","NÃO")</f>
        <v>NÃO</v>
      </c>
    </row>
    <row r="1050" spans="1:18" hidden="1">
      <c r="A1050" t="s">
        <v>2547</v>
      </c>
      <c r="B1050" t="s">
        <v>1582</v>
      </c>
      <c r="C1050">
        <v>300261175</v>
      </c>
      <c r="D1050">
        <v>16448111</v>
      </c>
      <c r="E1050" t="s">
        <v>45</v>
      </c>
      <c r="F1050" t="s">
        <v>151</v>
      </c>
      <c r="G1050">
        <v>5</v>
      </c>
      <c r="H1050" t="s">
        <v>2816</v>
      </c>
      <c r="J1050" t="s">
        <v>2816</v>
      </c>
      <c r="K1050" s="11">
        <v>46192.45003472222</v>
      </c>
      <c r="M1050">
        <v>376</v>
      </c>
      <c r="N1050" t="s">
        <v>867</v>
      </c>
      <c r="O1050">
        <v>0</v>
      </c>
      <c r="P1050" s="5"/>
      <c r="Q1050" s="10">
        <f>INT(Tabela1[[#This Row],[DATA]])</f>
        <v>46192</v>
      </c>
      <c r="R1050" s="14" t="str">
        <f ca="1">IF(AND(Q1050&gt;=TODAY()-WEEKDAY(TODAY(),2)+1,Q1050&lt;TODAY()),"SIM","NÃO")</f>
        <v>NÃO</v>
      </c>
    </row>
    <row r="1051" spans="1:18" hidden="1">
      <c r="A1051" t="s">
        <v>2551</v>
      </c>
      <c r="B1051" t="s">
        <v>274</v>
      </c>
      <c r="C1051">
        <v>300272159</v>
      </c>
      <c r="D1051">
        <v>15128288</v>
      </c>
      <c r="E1051" t="s">
        <v>29</v>
      </c>
      <c r="F1051" t="s">
        <v>259</v>
      </c>
      <c r="G1051">
        <v>10</v>
      </c>
      <c r="H1051" t="s">
        <v>2172</v>
      </c>
      <c r="K1051" s="11">
        <v>46192.450995370367</v>
      </c>
      <c r="M1051">
        <v>377</v>
      </c>
      <c r="N1051" t="s">
        <v>867</v>
      </c>
      <c r="O1051" t="s">
        <v>2817</v>
      </c>
      <c r="P1051" s="5"/>
      <c r="Q1051" s="10">
        <f>INT(Tabela1[[#This Row],[DATA]])</f>
        <v>46192</v>
      </c>
      <c r="R1051" s="14" t="str">
        <f ca="1">IF(AND(Q1051&gt;=TODAY()-WEEKDAY(TODAY(),2)+1,Q1051&lt;TODAY()),"SIM","NÃO")</f>
        <v>NÃO</v>
      </c>
    </row>
    <row r="1052" spans="1:18" hidden="1">
      <c r="A1052" t="s">
        <v>2551</v>
      </c>
      <c r="B1052" t="s">
        <v>274</v>
      </c>
      <c r="C1052">
        <v>300272160</v>
      </c>
      <c r="D1052">
        <v>15128288</v>
      </c>
      <c r="E1052" t="s">
        <v>29</v>
      </c>
      <c r="F1052" t="s">
        <v>259</v>
      </c>
      <c r="G1052">
        <v>11</v>
      </c>
      <c r="H1052" t="s">
        <v>2814</v>
      </c>
      <c r="K1052" s="11">
        <v>46192.452569444446</v>
      </c>
      <c r="M1052">
        <v>378</v>
      </c>
      <c r="N1052" t="s">
        <v>867</v>
      </c>
      <c r="O1052" t="s">
        <v>2818</v>
      </c>
      <c r="P1052" s="5"/>
      <c r="Q1052" s="10">
        <f>INT(Tabela1[[#This Row],[DATA]])</f>
        <v>46192</v>
      </c>
      <c r="R1052" s="14" t="str">
        <f ca="1">IF(AND(Q1052&gt;=TODAY()-WEEKDAY(TODAY(),2)+1,Q1052&lt;TODAY()),"SIM","NÃO")</f>
        <v>NÃO</v>
      </c>
    </row>
    <row r="1053" spans="1:18" hidden="1">
      <c r="A1053" t="s">
        <v>305</v>
      </c>
      <c r="B1053" t="s">
        <v>306</v>
      </c>
      <c r="C1053">
        <v>300263209</v>
      </c>
      <c r="D1053">
        <v>15215539</v>
      </c>
      <c r="E1053" t="s">
        <v>29</v>
      </c>
      <c r="F1053" t="s">
        <v>96</v>
      </c>
      <c r="G1053">
        <v>280</v>
      </c>
      <c r="H1053" t="s">
        <v>2795</v>
      </c>
      <c r="J1053" t="s">
        <v>2819</v>
      </c>
      <c r="K1053" s="11">
        <v>46192.453587962962</v>
      </c>
      <c r="M1053">
        <v>379</v>
      </c>
      <c r="N1053" t="s">
        <v>867</v>
      </c>
      <c r="O1053">
        <v>0</v>
      </c>
      <c r="P1053" s="5"/>
      <c r="Q1053" s="10">
        <f>INT(Tabela1[[#This Row],[DATA]])</f>
        <v>46192</v>
      </c>
      <c r="R1053" s="14" t="str">
        <f ca="1">IF(AND(Q1053&gt;=TODAY()-WEEKDAY(TODAY(),2)+1,Q1053&lt;TODAY()),"SIM","NÃO")</f>
        <v>NÃO</v>
      </c>
    </row>
    <row r="1054" spans="1:18" hidden="1">
      <c r="A1054" t="s">
        <v>185</v>
      </c>
      <c r="B1054" t="s">
        <v>1625</v>
      </c>
      <c r="C1054">
        <v>300271123</v>
      </c>
      <c r="D1054">
        <v>16497767</v>
      </c>
      <c r="E1054" t="s">
        <v>37</v>
      </c>
      <c r="F1054" t="s">
        <v>769</v>
      </c>
      <c r="G1054">
        <v>240</v>
      </c>
      <c r="H1054" t="s">
        <v>2137</v>
      </c>
      <c r="K1054" s="11">
        <v>46192.456307870372</v>
      </c>
      <c r="M1054">
        <v>380</v>
      </c>
      <c r="N1054" t="s">
        <v>867</v>
      </c>
      <c r="O1054">
        <v>0</v>
      </c>
      <c r="P1054" s="5"/>
      <c r="Q1054" s="10">
        <f>INT(Tabela1[[#This Row],[DATA]])</f>
        <v>46192</v>
      </c>
      <c r="R1054" s="14" t="str">
        <f ca="1">IF(AND(Q1054&gt;=TODAY()-WEEKDAY(TODAY(),2)+1,Q1054&lt;TODAY()),"SIM","NÃO")</f>
        <v>NÃO</v>
      </c>
    </row>
    <row r="1055" spans="1:18" hidden="1">
      <c r="A1055" t="s">
        <v>428</v>
      </c>
      <c r="B1055" t="s">
        <v>429</v>
      </c>
      <c r="C1055">
        <v>300263646</v>
      </c>
      <c r="D1055">
        <v>13044826</v>
      </c>
      <c r="E1055" t="s">
        <v>29</v>
      </c>
      <c r="F1055" t="s">
        <v>430</v>
      </c>
      <c r="G1055">
        <v>1924</v>
      </c>
      <c r="H1055" t="s">
        <v>2137</v>
      </c>
      <c r="K1055" s="11">
        <v>46192.46199074074</v>
      </c>
      <c r="M1055">
        <v>381</v>
      </c>
      <c r="N1055" t="s">
        <v>878</v>
      </c>
      <c r="O1055">
        <v>0</v>
      </c>
      <c r="P1055" s="5"/>
      <c r="Q1055" s="10">
        <f>INT(Tabela1[[#This Row],[DATA]])</f>
        <v>46192</v>
      </c>
      <c r="R1055" s="14" t="str">
        <f ca="1">IF(AND(Q1055&gt;=TODAY()-WEEKDAY(TODAY(),2)+1,Q1055&lt;TODAY()),"SIM","NÃO")</f>
        <v>NÃO</v>
      </c>
    </row>
    <row r="1056" spans="1:18" hidden="1">
      <c r="A1056" t="s">
        <v>2541</v>
      </c>
      <c r="B1056" t="s">
        <v>388</v>
      </c>
      <c r="C1056">
        <v>300269318</v>
      </c>
      <c r="D1056">
        <v>16476298</v>
      </c>
      <c r="E1056" t="s">
        <v>37</v>
      </c>
      <c r="F1056" t="s">
        <v>2556</v>
      </c>
      <c r="G1056">
        <v>6</v>
      </c>
      <c r="H1056" t="s">
        <v>2313</v>
      </c>
      <c r="J1056" t="s">
        <v>2124</v>
      </c>
      <c r="K1056" s="11">
        <v>46192.475393518522</v>
      </c>
      <c r="M1056">
        <v>382</v>
      </c>
      <c r="N1056" t="s">
        <v>867</v>
      </c>
      <c r="O1056">
        <v>0</v>
      </c>
      <c r="P1056" s="5"/>
      <c r="Q1056" s="10">
        <f>INT(Tabela1[[#This Row],[DATA]])</f>
        <v>46192</v>
      </c>
      <c r="R1056" s="14" t="str">
        <f ca="1">IF(AND(Q1056&gt;=TODAY()-WEEKDAY(TODAY(),2)+1,Q1056&lt;TODAY()),"SIM","NÃO")</f>
        <v>NÃO</v>
      </c>
    </row>
    <row r="1057" spans="1:18" hidden="1">
      <c r="A1057" t="s">
        <v>123</v>
      </c>
      <c r="B1057" t="s">
        <v>124</v>
      </c>
      <c r="C1057">
        <v>300265451</v>
      </c>
      <c r="D1057">
        <v>16484606</v>
      </c>
      <c r="E1057" t="s">
        <v>37</v>
      </c>
      <c r="F1057" t="s">
        <v>21</v>
      </c>
      <c r="G1057">
        <v>15</v>
      </c>
      <c r="H1057" t="s">
        <v>2820</v>
      </c>
      <c r="J1057" t="s">
        <v>2821</v>
      </c>
      <c r="K1057" s="11">
        <v>46192.525972222225</v>
      </c>
      <c r="M1057">
        <v>383</v>
      </c>
      <c r="N1057" t="s">
        <v>878</v>
      </c>
      <c r="O1057">
        <v>0</v>
      </c>
      <c r="P1057" s="5"/>
      <c r="Q1057" s="10">
        <f>INT(Tabela1[[#This Row],[DATA]])</f>
        <v>46192</v>
      </c>
      <c r="R1057" s="14" t="str">
        <f ca="1">IF(AND(Q1057&gt;=TODAY()-WEEKDAY(TODAY(),2)+1,Q1057&lt;TODAY()),"SIM","NÃO")</f>
        <v>NÃO</v>
      </c>
    </row>
    <row r="1058" spans="1:18" hidden="1">
      <c r="A1058" t="s">
        <v>1835</v>
      </c>
      <c r="B1058" t="s">
        <v>1836</v>
      </c>
      <c r="C1058">
        <v>300268061</v>
      </c>
      <c r="D1058">
        <v>16508181</v>
      </c>
      <c r="E1058" t="s">
        <v>37</v>
      </c>
      <c r="F1058" t="s">
        <v>60</v>
      </c>
      <c r="G1058">
        <v>45</v>
      </c>
      <c r="H1058" t="s">
        <v>2795</v>
      </c>
      <c r="J1058" t="s">
        <v>2822</v>
      </c>
      <c r="K1058" s="11">
        <v>46192.527974537035</v>
      </c>
      <c r="M1058">
        <v>384</v>
      </c>
      <c r="N1058" t="s">
        <v>878</v>
      </c>
      <c r="O1058">
        <v>10000228869</v>
      </c>
      <c r="P1058" s="5"/>
      <c r="Q1058" s="10">
        <f>INT(Tabela1[[#This Row],[DATA]])</f>
        <v>46192</v>
      </c>
      <c r="R1058" s="14" t="str">
        <f ca="1">IF(AND(Q1058&gt;=TODAY()-WEEKDAY(TODAY(),2)+1,Q1058&lt;TODAY()),"SIM","NÃO")</f>
        <v>NÃO</v>
      </c>
    </row>
    <row r="1059" spans="1:18" hidden="1">
      <c r="A1059" t="s">
        <v>143</v>
      </c>
      <c r="B1059" t="s">
        <v>144</v>
      </c>
      <c r="C1059">
        <v>300271909</v>
      </c>
      <c r="D1059">
        <v>16441214</v>
      </c>
      <c r="E1059" t="s">
        <v>37</v>
      </c>
      <c r="F1059" t="s">
        <v>1287</v>
      </c>
      <c r="G1059">
        <v>10</v>
      </c>
      <c r="H1059" t="s">
        <v>644</v>
      </c>
      <c r="K1059" s="11">
        <v>46192.552974537037</v>
      </c>
      <c r="M1059">
        <v>385</v>
      </c>
      <c r="N1059" t="s">
        <v>878</v>
      </c>
      <c r="O1059">
        <v>0</v>
      </c>
      <c r="P1059" s="5"/>
      <c r="Q1059" s="10">
        <f>INT(Tabela1[[#This Row],[DATA]])</f>
        <v>46192</v>
      </c>
      <c r="R1059" s="14" t="str">
        <f ca="1">IF(AND(Q1059&gt;=TODAY()-WEEKDAY(TODAY(),2)+1,Q1059&lt;TODAY()),"SIM","NÃO")</f>
        <v>NÃO</v>
      </c>
    </row>
    <row r="1060" spans="1:18" hidden="1">
      <c r="A1060" t="s">
        <v>313</v>
      </c>
      <c r="B1060" t="s">
        <v>314</v>
      </c>
      <c r="C1060">
        <v>300269899</v>
      </c>
      <c r="D1060">
        <v>16526422</v>
      </c>
      <c r="E1060" t="s">
        <v>45</v>
      </c>
      <c r="F1060" t="s">
        <v>187</v>
      </c>
      <c r="G1060">
        <v>500</v>
      </c>
      <c r="H1060" t="s">
        <v>2823</v>
      </c>
      <c r="J1060" t="s">
        <v>2824</v>
      </c>
      <c r="K1060" s="11">
        <v>46192.557430555556</v>
      </c>
      <c r="M1060">
        <v>386</v>
      </c>
      <c r="N1060" t="s">
        <v>867</v>
      </c>
      <c r="O1060">
        <v>0</v>
      </c>
      <c r="P1060" s="5"/>
      <c r="Q1060" s="10">
        <f>INT(Tabela1[[#This Row],[DATA]])</f>
        <v>46192</v>
      </c>
      <c r="R1060" s="14" t="str">
        <f ca="1">IF(AND(Q1060&gt;=TODAY()-WEEKDAY(TODAY(),2)+1,Q1060&lt;TODAY()),"SIM","NÃO")</f>
        <v>NÃO</v>
      </c>
    </row>
    <row r="1061" spans="1:18" hidden="1">
      <c r="A1061" t="s">
        <v>2825</v>
      </c>
      <c r="B1061" t="s">
        <v>344</v>
      </c>
      <c r="C1061">
        <v>300271820</v>
      </c>
      <c r="D1061">
        <v>16466071</v>
      </c>
      <c r="E1061" t="s">
        <v>37</v>
      </c>
      <c r="F1061" t="s">
        <v>132</v>
      </c>
      <c r="G1061">
        <v>0</v>
      </c>
      <c r="H1061" t="s">
        <v>1771</v>
      </c>
      <c r="K1061" s="11">
        <v>46192.567453703705</v>
      </c>
      <c r="M1061">
        <v>387</v>
      </c>
      <c r="N1061" t="s">
        <v>878</v>
      </c>
      <c r="O1061">
        <v>0</v>
      </c>
      <c r="P1061" s="5"/>
      <c r="Q1061" s="10">
        <f>INT(Tabela1[[#This Row],[DATA]])</f>
        <v>46192</v>
      </c>
      <c r="R1061" s="14" t="str">
        <f ca="1">IF(AND(Q1061&gt;=TODAY()-WEEKDAY(TODAY(),2)+1,Q1061&lt;TODAY()),"SIM","NÃO")</f>
        <v>NÃO</v>
      </c>
    </row>
    <row r="1062" spans="1:18" hidden="1">
      <c r="A1062" t="s">
        <v>2624</v>
      </c>
      <c r="B1062" t="s">
        <v>50</v>
      </c>
      <c r="C1062">
        <v>300268055</v>
      </c>
      <c r="D1062">
        <v>16473604</v>
      </c>
      <c r="E1062" t="s">
        <v>37</v>
      </c>
      <c r="F1062" t="s">
        <v>38</v>
      </c>
      <c r="G1062">
        <v>55</v>
      </c>
      <c r="H1062" t="s">
        <v>2826</v>
      </c>
      <c r="J1062" t="s">
        <v>2827</v>
      </c>
      <c r="K1062" s="11">
        <v>46192.579548611109</v>
      </c>
      <c r="M1062">
        <v>388</v>
      </c>
      <c r="N1062" t="s">
        <v>878</v>
      </c>
      <c r="O1062">
        <v>300268055</v>
      </c>
      <c r="P1062" s="5"/>
      <c r="Q1062" s="10">
        <f>INT(Tabela1[[#This Row],[DATA]])</f>
        <v>46192</v>
      </c>
      <c r="R1062" s="14" t="str">
        <f ca="1">IF(AND(Q1062&gt;=TODAY()-WEEKDAY(TODAY(),2)+1,Q1062&lt;TODAY()),"SIM","NÃO")</f>
        <v>NÃO</v>
      </c>
    </row>
    <row r="1063" spans="1:18" hidden="1">
      <c r="A1063" t="s">
        <v>2562</v>
      </c>
      <c r="B1063" t="s">
        <v>612</v>
      </c>
      <c r="C1063">
        <v>300271099</v>
      </c>
      <c r="D1063">
        <v>16292987</v>
      </c>
      <c r="E1063" t="s">
        <v>37</v>
      </c>
      <c r="F1063" t="s">
        <v>769</v>
      </c>
      <c r="G1063">
        <v>360</v>
      </c>
      <c r="H1063" t="s">
        <v>2828</v>
      </c>
      <c r="J1063" t="s">
        <v>2829</v>
      </c>
      <c r="K1063" s="11">
        <v>46192.588958333334</v>
      </c>
      <c r="M1063">
        <v>389</v>
      </c>
      <c r="N1063" t="s">
        <v>878</v>
      </c>
      <c r="O1063">
        <v>0</v>
      </c>
      <c r="P1063" s="5"/>
      <c r="Q1063" s="10">
        <f>INT(Tabela1[[#This Row],[DATA]])</f>
        <v>46192</v>
      </c>
      <c r="R1063" s="14" t="str">
        <f ca="1">IF(AND(Q1063&gt;=TODAY()-WEEKDAY(TODAY(),2)+1,Q1063&lt;TODAY()),"SIM","NÃO")</f>
        <v>NÃO</v>
      </c>
    </row>
    <row r="1064" spans="1:18" hidden="1">
      <c r="A1064" t="s">
        <v>2624</v>
      </c>
      <c r="B1064" t="s">
        <v>50</v>
      </c>
      <c r="C1064">
        <v>300268055</v>
      </c>
      <c r="D1064">
        <v>16473604</v>
      </c>
      <c r="E1064" t="s">
        <v>37</v>
      </c>
      <c r="F1064" t="s">
        <v>2213</v>
      </c>
      <c r="G1064">
        <v>55</v>
      </c>
      <c r="H1064" t="s">
        <v>2826</v>
      </c>
      <c r="J1064" t="s">
        <v>2830</v>
      </c>
      <c r="K1064" s="11">
        <v>46192.589270833334</v>
      </c>
      <c r="M1064">
        <v>390</v>
      </c>
      <c r="N1064" t="s">
        <v>878</v>
      </c>
      <c r="O1064">
        <v>10000214499</v>
      </c>
      <c r="P1064" s="5"/>
      <c r="Q1064" s="10">
        <f>INT(Tabela1[[#This Row],[DATA]])</f>
        <v>46192</v>
      </c>
      <c r="R1064" s="14" t="str">
        <f ca="1">IF(AND(Q1064&gt;=TODAY()-WEEKDAY(TODAY(),2)+1,Q1064&lt;TODAY()),"SIM","NÃO")</f>
        <v>NÃO</v>
      </c>
    </row>
    <row r="1065" spans="1:18" hidden="1">
      <c r="A1065" t="s">
        <v>2775</v>
      </c>
      <c r="B1065" t="s">
        <v>512</v>
      </c>
      <c r="C1065">
        <v>300270489</v>
      </c>
      <c r="D1065">
        <v>16017315</v>
      </c>
      <c r="E1065" t="s">
        <v>45</v>
      </c>
      <c r="F1065" t="s">
        <v>2598</v>
      </c>
      <c r="G1065">
        <v>300</v>
      </c>
      <c r="H1065" t="s">
        <v>2831</v>
      </c>
      <c r="J1065" t="s">
        <v>2832</v>
      </c>
      <c r="K1065" s="11">
        <v>46192.613518518519</v>
      </c>
      <c r="M1065">
        <v>391</v>
      </c>
      <c r="N1065" t="s">
        <v>867</v>
      </c>
      <c r="O1065" t="s">
        <v>2778</v>
      </c>
      <c r="P1065" s="5"/>
      <c r="Q1065" s="10">
        <f>INT(Tabela1[[#This Row],[DATA]])</f>
        <v>46192</v>
      </c>
      <c r="R1065" s="14" t="str">
        <f ca="1">IF(AND(Q1065&gt;=TODAY()-WEEKDAY(TODAY(),2)+1,Q1065&lt;TODAY()),"SIM","NÃO")</f>
        <v>NÃO</v>
      </c>
    </row>
    <row r="1066" spans="1:18" hidden="1">
      <c r="A1066" t="s">
        <v>2541</v>
      </c>
      <c r="B1066" t="s">
        <v>388</v>
      </c>
      <c r="C1066">
        <v>300269317</v>
      </c>
      <c r="D1066">
        <v>16476298</v>
      </c>
      <c r="E1066" t="s">
        <v>37</v>
      </c>
      <c r="F1066" t="s">
        <v>323</v>
      </c>
      <c r="G1066">
        <v>54</v>
      </c>
      <c r="H1066" t="s">
        <v>2313</v>
      </c>
      <c r="J1066" t="s">
        <v>1013</v>
      </c>
      <c r="K1066" s="11">
        <v>46192.61755787037</v>
      </c>
      <c r="M1066">
        <v>392</v>
      </c>
      <c r="N1066" t="s">
        <v>867</v>
      </c>
      <c r="O1066">
        <v>0</v>
      </c>
      <c r="P1066" s="5"/>
      <c r="Q1066" s="10">
        <f>INT(Tabela1[[#This Row],[DATA]])</f>
        <v>46192</v>
      </c>
      <c r="R1066" s="14" t="str">
        <f ca="1">IF(AND(Q1066&gt;=TODAY()-WEEKDAY(TODAY(),2)+1,Q1066&lt;TODAY()),"SIM","NÃO")</f>
        <v>NÃO</v>
      </c>
    </row>
    <row r="1067" spans="1:18" hidden="1">
      <c r="A1067" t="s">
        <v>2541</v>
      </c>
      <c r="B1067" t="s">
        <v>388</v>
      </c>
      <c r="C1067">
        <v>300269317</v>
      </c>
      <c r="D1067">
        <v>16476298</v>
      </c>
      <c r="E1067" t="s">
        <v>37</v>
      </c>
      <c r="F1067" t="s">
        <v>323</v>
      </c>
      <c r="G1067">
        <v>28</v>
      </c>
      <c r="H1067" t="s">
        <v>2313</v>
      </c>
      <c r="J1067" t="s">
        <v>2690</v>
      </c>
      <c r="K1067" s="11">
        <v>46192.624027777776</v>
      </c>
      <c r="M1067">
        <v>393</v>
      </c>
      <c r="N1067" t="s">
        <v>867</v>
      </c>
      <c r="O1067">
        <v>0</v>
      </c>
      <c r="P1067" s="5"/>
      <c r="Q1067" s="10">
        <f>INT(Tabela1[[#This Row],[DATA]])</f>
        <v>46192</v>
      </c>
      <c r="R1067" s="14" t="str">
        <f ca="1">IF(AND(Q1067&gt;=TODAY()-WEEKDAY(TODAY(),2)+1,Q1067&lt;TODAY()),"SIM","NÃO")</f>
        <v>NÃO</v>
      </c>
    </row>
    <row r="1068" spans="1:18" hidden="1">
      <c r="A1068" t="s">
        <v>2551</v>
      </c>
      <c r="B1068" t="s">
        <v>274</v>
      </c>
      <c r="C1068">
        <v>300271749</v>
      </c>
      <c r="D1068">
        <v>16436075</v>
      </c>
      <c r="E1068" t="s">
        <v>37</v>
      </c>
      <c r="F1068" t="s">
        <v>2833</v>
      </c>
      <c r="G1068" t="s">
        <v>2834</v>
      </c>
      <c r="H1068" t="s">
        <v>2835</v>
      </c>
      <c r="J1068" t="s">
        <v>2836</v>
      </c>
      <c r="K1068" s="11">
        <v>46192.652615740742</v>
      </c>
      <c r="M1068">
        <v>394</v>
      </c>
      <c r="N1068" t="s">
        <v>867</v>
      </c>
      <c r="O1068">
        <v>0</v>
      </c>
      <c r="P1068" s="5"/>
      <c r="Q1068" s="10">
        <f>INT(Tabela1[[#This Row],[DATA]])</f>
        <v>46192</v>
      </c>
      <c r="R1068" s="14" t="str">
        <f ca="1">IF(AND(Q1068&gt;=TODAY()-WEEKDAY(TODAY(),2)+1,Q1068&lt;TODAY()),"SIM","NÃO")</f>
        <v>NÃO</v>
      </c>
    </row>
    <row r="1069" spans="1:18" hidden="1">
      <c r="A1069" t="s">
        <v>253</v>
      </c>
      <c r="B1069" t="s">
        <v>254</v>
      </c>
      <c r="C1069">
        <v>300272626</v>
      </c>
      <c r="D1069">
        <v>14938570</v>
      </c>
      <c r="E1069" t="s">
        <v>45</v>
      </c>
      <c r="F1069" t="s">
        <v>151</v>
      </c>
      <c r="G1069">
        <v>7</v>
      </c>
      <c r="H1069" t="s">
        <v>582</v>
      </c>
      <c r="K1069" s="11">
        <v>46192.660115740742</v>
      </c>
      <c r="M1069">
        <v>395</v>
      </c>
      <c r="N1069" t="s">
        <v>867</v>
      </c>
      <c r="O1069">
        <v>0</v>
      </c>
      <c r="P1069" s="5"/>
      <c r="Q1069" s="10">
        <f>INT(Tabela1[[#This Row],[DATA]])</f>
        <v>46192</v>
      </c>
      <c r="R1069" s="14" t="str">
        <f ca="1">IF(AND(Q1069&gt;=TODAY()-WEEKDAY(TODAY(),2)+1,Q1069&lt;TODAY()),"SIM","NÃO")</f>
        <v>NÃO</v>
      </c>
    </row>
    <row r="1070" spans="1:18" hidden="1">
      <c r="A1070" t="s">
        <v>2713</v>
      </c>
      <c r="B1070" t="s">
        <v>55</v>
      </c>
      <c r="C1070">
        <v>300267544</v>
      </c>
      <c r="D1070">
        <v>16226895</v>
      </c>
      <c r="E1070" t="s">
        <v>45</v>
      </c>
      <c r="F1070" t="s">
        <v>64</v>
      </c>
      <c r="G1070">
        <v>20</v>
      </c>
      <c r="H1070" t="s">
        <v>1966</v>
      </c>
      <c r="K1070" s="11">
        <v>46192.665185185186</v>
      </c>
      <c r="M1070">
        <v>396</v>
      </c>
      <c r="N1070" t="s">
        <v>867</v>
      </c>
      <c r="O1070" t="s">
        <v>2068</v>
      </c>
      <c r="P1070" s="5"/>
      <c r="Q1070" s="10">
        <f>INT(Tabela1[[#This Row],[DATA]])</f>
        <v>46192</v>
      </c>
      <c r="R1070" s="14" t="str">
        <f ca="1">IF(AND(Q1070&gt;=TODAY()-WEEKDAY(TODAY(),2)+1,Q1070&lt;TODAY()),"SIM","NÃO")</f>
        <v>NÃO</v>
      </c>
    </row>
    <row r="1071" spans="1:18" hidden="1">
      <c r="A1071" t="s">
        <v>2837</v>
      </c>
      <c r="B1071" t="s">
        <v>226</v>
      </c>
      <c r="C1071">
        <v>300267461</v>
      </c>
      <c r="D1071">
        <v>15773442</v>
      </c>
      <c r="E1071" t="s">
        <v>37</v>
      </c>
      <c r="F1071" t="s">
        <v>2213</v>
      </c>
      <c r="G1071" t="s">
        <v>2838</v>
      </c>
      <c r="H1071" t="s">
        <v>2839</v>
      </c>
      <c r="J1071" t="s">
        <v>2840</v>
      </c>
      <c r="K1071" s="11">
        <v>46192.669606481482</v>
      </c>
      <c r="M1071">
        <v>397</v>
      </c>
      <c r="N1071" t="s">
        <v>878</v>
      </c>
      <c r="O1071">
        <v>0</v>
      </c>
      <c r="P1071" s="5"/>
      <c r="Q1071" s="10">
        <f>INT(Tabela1[[#This Row],[DATA]])</f>
        <v>46192</v>
      </c>
      <c r="R1071" s="14" t="str">
        <f ca="1">IF(AND(Q1071&gt;=TODAY()-WEEKDAY(TODAY(),2)+1,Q1071&lt;TODAY()),"SIM","NÃO")</f>
        <v>NÃO</v>
      </c>
    </row>
    <row r="1072" spans="1:18" hidden="1">
      <c r="A1072" t="s">
        <v>1154</v>
      </c>
      <c r="B1072" t="s">
        <v>1155</v>
      </c>
      <c r="C1072">
        <v>300271482</v>
      </c>
      <c r="D1072">
        <v>16380096</v>
      </c>
      <c r="E1072" t="s">
        <v>37</v>
      </c>
      <c r="F1072" t="s">
        <v>177</v>
      </c>
      <c r="G1072">
        <v>752</v>
      </c>
      <c r="H1072" t="s">
        <v>2841</v>
      </c>
      <c r="J1072" t="s">
        <v>2842</v>
      </c>
      <c r="K1072" s="11">
        <v>46192.68072916667</v>
      </c>
      <c r="M1072">
        <v>398</v>
      </c>
      <c r="N1072" t="s">
        <v>867</v>
      </c>
      <c r="O1072">
        <v>10000241459</v>
      </c>
      <c r="P1072" s="5"/>
      <c r="Q1072" s="10">
        <f>INT(Tabela1[[#This Row],[DATA]])</f>
        <v>46192</v>
      </c>
      <c r="R1072" s="14" t="str">
        <f ca="1">IF(AND(Q1072&gt;=TODAY()-WEEKDAY(TODAY(),2)+1,Q1072&lt;TODAY()),"SIM","NÃO")</f>
        <v>NÃO</v>
      </c>
    </row>
    <row r="1073" spans="1:18" hidden="1">
      <c r="A1073" t="s">
        <v>605</v>
      </c>
      <c r="B1073" t="s">
        <v>606</v>
      </c>
      <c r="C1073">
        <v>300271114</v>
      </c>
      <c r="D1073">
        <v>16292987</v>
      </c>
      <c r="E1073" t="s">
        <v>37</v>
      </c>
      <c r="F1073" t="s">
        <v>60</v>
      </c>
      <c r="G1073">
        <v>100</v>
      </c>
      <c r="H1073" t="s">
        <v>1112</v>
      </c>
      <c r="K1073" s="11">
        <v>46192.752754629626</v>
      </c>
      <c r="M1073">
        <v>399</v>
      </c>
      <c r="N1073" t="s">
        <v>867</v>
      </c>
      <c r="O1073">
        <v>214530</v>
      </c>
      <c r="P1073" s="5"/>
      <c r="Q1073" s="10">
        <f>INT(Tabela1[[#This Row],[DATA]])</f>
        <v>46192</v>
      </c>
      <c r="R1073" s="14" t="str">
        <f ca="1">IF(AND(Q1073&gt;=TODAY()-WEEKDAY(TODAY(),2)+1,Q1073&lt;TODAY()),"SIM","NÃO")</f>
        <v>NÃO</v>
      </c>
    </row>
    <row r="1074" spans="1:18" hidden="1">
      <c r="A1074" t="s">
        <v>249</v>
      </c>
      <c r="B1074" t="s">
        <v>112</v>
      </c>
      <c r="C1074">
        <v>300272941</v>
      </c>
      <c r="D1074">
        <v>15774112</v>
      </c>
      <c r="E1074" t="s">
        <v>37</v>
      </c>
      <c r="F1074" t="s">
        <v>2556</v>
      </c>
      <c r="G1074">
        <v>4</v>
      </c>
      <c r="H1074" t="s">
        <v>2843</v>
      </c>
      <c r="K1074" s="11">
        <v>46192.761793981481</v>
      </c>
      <c r="M1074">
        <v>400</v>
      </c>
      <c r="N1074" t="s">
        <v>867</v>
      </c>
      <c r="O1074">
        <v>0</v>
      </c>
      <c r="P1074" s="5"/>
      <c r="Q1074" s="10">
        <f>INT(Tabela1[[#This Row],[DATA]])</f>
        <v>46192</v>
      </c>
      <c r="R1074" s="14" t="str">
        <f ca="1">IF(AND(Q1074&gt;=TODAY()-WEEKDAY(TODAY(),2)+1,Q1074&lt;TODAY()),"SIM","NÃO")</f>
        <v>NÃO</v>
      </c>
    </row>
    <row r="1075" spans="1:18" hidden="1">
      <c r="A1075" t="s">
        <v>249</v>
      </c>
      <c r="B1075" t="s">
        <v>112</v>
      </c>
      <c r="C1075">
        <v>300271868</v>
      </c>
      <c r="D1075">
        <v>16222954</v>
      </c>
      <c r="E1075" t="s">
        <v>45</v>
      </c>
      <c r="F1075" t="s">
        <v>543</v>
      </c>
      <c r="G1075">
        <v>84</v>
      </c>
      <c r="H1075" t="s">
        <v>2843</v>
      </c>
      <c r="K1075" s="11">
        <v>46192.762673611112</v>
      </c>
      <c r="M1075">
        <v>401</v>
      </c>
      <c r="N1075" t="s">
        <v>867</v>
      </c>
      <c r="O1075">
        <v>0</v>
      </c>
      <c r="P1075" s="5"/>
      <c r="Q1075" s="10">
        <f>INT(Tabela1[[#This Row],[DATA]])</f>
        <v>46192</v>
      </c>
      <c r="R1075" s="14" t="str">
        <f ca="1">IF(AND(Q1075&gt;=TODAY()-WEEKDAY(TODAY(),2)+1,Q1075&lt;TODAY()),"SIM","NÃO")</f>
        <v>NÃO</v>
      </c>
    </row>
    <row r="1076" spans="1:18" hidden="1">
      <c r="A1076" t="s">
        <v>111</v>
      </c>
      <c r="B1076" t="s">
        <v>112</v>
      </c>
      <c r="C1076">
        <v>300271868</v>
      </c>
      <c r="D1076">
        <v>16222954</v>
      </c>
      <c r="E1076" t="s">
        <v>45</v>
      </c>
      <c r="F1076" t="s">
        <v>2598</v>
      </c>
      <c r="G1076">
        <v>300</v>
      </c>
      <c r="H1076" t="s">
        <v>2172</v>
      </c>
      <c r="J1076" t="s">
        <v>2844</v>
      </c>
      <c r="K1076" s="11">
        <v>46192.766655092593</v>
      </c>
      <c r="M1076">
        <v>402</v>
      </c>
      <c r="N1076" t="s">
        <v>867</v>
      </c>
      <c r="O1076">
        <v>0</v>
      </c>
      <c r="P1076" s="5"/>
      <c r="Q1076" s="10">
        <f>INT(Tabela1[[#This Row],[DATA]])</f>
        <v>46192</v>
      </c>
      <c r="R1076" s="14" t="str">
        <f ca="1">IF(AND(Q1076&gt;=TODAY()-WEEKDAY(TODAY(),2)+1,Q1076&lt;TODAY()),"SIM","NÃO")</f>
        <v>NÃO</v>
      </c>
    </row>
    <row r="1077" spans="1:18" hidden="1">
      <c r="A1077" t="s">
        <v>2775</v>
      </c>
      <c r="B1077" t="s">
        <v>512</v>
      </c>
      <c r="C1077">
        <v>300263684</v>
      </c>
      <c r="D1077">
        <v>16474090</v>
      </c>
      <c r="E1077" t="s">
        <v>37</v>
      </c>
      <c r="F1077" t="s">
        <v>417</v>
      </c>
      <c r="G1077">
        <v>240</v>
      </c>
      <c r="H1077" t="s">
        <v>2845</v>
      </c>
      <c r="J1077" t="s">
        <v>2846</v>
      </c>
      <c r="K1077" s="11">
        <v>46192.800891203704</v>
      </c>
      <c r="M1077">
        <v>403</v>
      </c>
      <c r="N1077" t="s">
        <v>867</v>
      </c>
      <c r="O1077" t="s">
        <v>2778</v>
      </c>
      <c r="P1077" s="5"/>
      <c r="Q1077" s="10">
        <f>INT(Tabela1[[#This Row],[DATA]])</f>
        <v>46192</v>
      </c>
      <c r="R1077" s="14" t="str">
        <f ca="1">IF(AND(Q1077&gt;=TODAY()-WEEKDAY(TODAY(),2)+1,Q1077&lt;TODAY()),"SIM","NÃO")</f>
        <v>NÃO</v>
      </c>
    </row>
    <row r="1078" spans="1:18" hidden="1">
      <c r="A1078" t="s">
        <v>2775</v>
      </c>
      <c r="B1078" t="s">
        <v>512</v>
      </c>
      <c r="C1078">
        <v>300263684</v>
      </c>
      <c r="D1078">
        <v>16474090</v>
      </c>
      <c r="E1078" t="s">
        <v>37</v>
      </c>
      <c r="F1078" t="s">
        <v>323</v>
      </c>
      <c r="G1078">
        <v>120</v>
      </c>
      <c r="H1078" t="s">
        <v>2847</v>
      </c>
      <c r="J1078" t="s">
        <v>2848</v>
      </c>
      <c r="K1078" s="11">
        <v>46192.806747685187</v>
      </c>
      <c r="M1078">
        <v>404</v>
      </c>
      <c r="N1078" t="s">
        <v>867</v>
      </c>
      <c r="O1078" t="s">
        <v>2778</v>
      </c>
      <c r="P1078" s="5"/>
      <c r="Q1078" s="10">
        <f>INT(Tabela1[[#This Row],[DATA]])</f>
        <v>46192</v>
      </c>
      <c r="R1078" s="14" t="str">
        <f ca="1">IF(AND(Q1078&gt;=TODAY()-WEEKDAY(TODAY(),2)+1,Q1078&lt;TODAY()),"SIM","NÃO")</f>
        <v>NÃO</v>
      </c>
    </row>
    <row r="1079" spans="1:18" hidden="1">
      <c r="A1079" t="s">
        <v>201</v>
      </c>
      <c r="B1079" t="s">
        <v>202</v>
      </c>
      <c r="C1079">
        <v>300266640</v>
      </c>
      <c r="D1079">
        <v>16520050</v>
      </c>
      <c r="E1079" t="s">
        <v>37</v>
      </c>
      <c r="F1079" t="s">
        <v>90</v>
      </c>
      <c r="G1079">
        <v>5</v>
      </c>
      <c r="H1079" t="s">
        <v>13</v>
      </c>
      <c r="J1079" t="s">
        <v>13</v>
      </c>
      <c r="K1079" s="11">
        <v>46193.715462962966</v>
      </c>
      <c r="M1079">
        <v>405</v>
      </c>
      <c r="N1079" t="s">
        <v>878</v>
      </c>
      <c r="O1079">
        <v>1</v>
      </c>
      <c r="P1079" s="5"/>
      <c r="Q1079" s="10">
        <f>INT(Tabela1[[#This Row],[DATA]])</f>
        <v>46193</v>
      </c>
      <c r="R1079" s="14" t="str">
        <f ca="1">IF(AND(Q1079&gt;=TODAY()-WEEKDAY(TODAY(),2)+1,Q1079&lt;TODAY()),"SIM","NÃO")</f>
        <v>NÃO</v>
      </c>
    </row>
    <row r="1080" spans="1:18" hidden="1">
      <c r="A1080" t="s">
        <v>201</v>
      </c>
      <c r="B1080" t="s">
        <v>202</v>
      </c>
      <c r="C1080">
        <v>300266640</v>
      </c>
      <c r="D1080">
        <v>16520050</v>
      </c>
      <c r="E1080" t="s">
        <v>37</v>
      </c>
      <c r="F1080" t="s">
        <v>132</v>
      </c>
      <c r="G1080">
        <v>1</v>
      </c>
      <c r="H1080">
        <v>1</v>
      </c>
      <c r="J1080" t="s">
        <v>13</v>
      </c>
      <c r="K1080" s="11">
        <v>46193.716782407406</v>
      </c>
      <c r="M1080">
        <v>406</v>
      </c>
      <c r="N1080" t="s">
        <v>878</v>
      </c>
      <c r="O1080">
        <v>1</v>
      </c>
      <c r="P1080" s="5"/>
      <c r="Q1080" s="10">
        <f>INT(Tabela1[[#This Row],[DATA]])</f>
        <v>46193</v>
      </c>
      <c r="R1080" s="14" t="str">
        <f ca="1">IF(AND(Q1080&gt;=TODAY()-WEEKDAY(TODAY(),2)+1,Q1080&lt;TODAY()),"SIM","NÃO")</f>
        <v>NÃO</v>
      </c>
    </row>
    <row r="1081" spans="1:18" hidden="1">
      <c r="A1081" t="s">
        <v>685</v>
      </c>
      <c r="B1081" t="s">
        <v>686</v>
      </c>
      <c r="C1081">
        <v>300271819</v>
      </c>
      <c r="D1081">
        <v>16221214</v>
      </c>
      <c r="E1081" t="s">
        <v>37</v>
      </c>
      <c r="F1081" t="s">
        <v>2556</v>
      </c>
      <c r="G1081">
        <v>15</v>
      </c>
      <c r="H1081" t="s">
        <v>2073</v>
      </c>
      <c r="K1081" s="11">
        <v>46195.304155092592</v>
      </c>
      <c r="M1081">
        <v>407</v>
      </c>
      <c r="N1081" t="s">
        <v>867</v>
      </c>
      <c r="O1081" t="s">
        <v>138</v>
      </c>
      <c r="P1081" s="5"/>
      <c r="Q1081" s="10">
        <f>INT(Tabela1[[#This Row],[DATA]])</f>
        <v>46195</v>
      </c>
      <c r="R1081" s="14" t="str">
        <f ca="1">IF(AND(Q1081&gt;=TODAY()-WEEKDAY(TODAY(),2)+1,Q1081&lt;TODAY()),"SIM","NÃO")</f>
        <v>NÃO</v>
      </c>
    </row>
    <row r="1082" spans="1:18" hidden="1">
      <c r="A1082" t="s">
        <v>2702</v>
      </c>
      <c r="B1082" t="s">
        <v>482</v>
      </c>
      <c r="C1082">
        <v>300273776</v>
      </c>
      <c r="D1082">
        <v>16051491</v>
      </c>
      <c r="E1082" t="s">
        <v>37</v>
      </c>
      <c r="F1082" t="s">
        <v>132</v>
      </c>
      <c r="G1082">
        <v>1</v>
      </c>
      <c r="H1082" t="s">
        <v>2849</v>
      </c>
      <c r="J1082" t="s">
        <v>2850</v>
      </c>
      <c r="K1082" s="11">
        <v>46195.305879629632</v>
      </c>
      <c r="M1082">
        <v>408</v>
      </c>
      <c r="N1082" t="s">
        <v>867</v>
      </c>
      <c r="O1082">
        <v>0</v>
      </c>
      <c r="P1082" s="5"/>
      <c r="Q1082" s="10">
        <f>INT(Tabela1[[#This Row],[DATA]])</f>
        <v>46195</v>
      </c>
      <c r="R1082" s="14" t="str">
        <f ca="1">IF(AND(Q1082&gt;=TODAY()-WEEKDAY(TODAY(),2)+1,Q1082&lt;TODAY()),"SIM","NÃO")</f>
        <v>NÃO</v>
      </c>
    </row>
    <row r="1083" spans="1:18" hidden="1">
      <c r="A1083" t="s">
        <v>313</v>
      </c>
      <c r="B1083" t="s">
        <v>314</v>
      </c>
      <c r="C1083">
        <v>300274355</v>
      </c>
      <c r="D1083">
        <v>15898008</v>
      </c>
      <c r="E1083" t="s">
        <v>45</v>
      </c>
      <c r="F1083" t="s">
        <v>1287</v>
      </c>
      <c r="G1083" t="s">
        <v>2851</v>
      </c>
      <c r="H1083" t="s">
        <v>2852</v>
      </c>
      <c r="J1083" t="s">
        <v>2852</v>
      </c>
      <c r="K1083" s="11">
        <v>46195.308240740742</v>
      </c>
      <c r="M1083">
        <v>409</v>
      </c>
      <c r="N1083" t="s">
        <v>867</v>
      </c>
      <c r="O1083">
        <v>0</v>
      </c>
      <c r="P1083" s="5"/>
      <c r="Q1083" s="10">
        <f>INT(Tabela1[[#This Row],[DATA]])</f>
        <v>46195</v>
      </c>
      <c r="R1083" s="14" t="str">
        <f ca="1">IF(AND(Q1083&gt;=TODAY()-WEEKDAY(TODAY(),2)+1,Q1083&lt;TODAY()),"SIM","NÃO")</f>
        <v>NÃO</v>
      </c>
    </row>
    <row r="1084" spans="1:18" hidden="1">
      <c r="A1084" t="s">
        <v>2547</v>
      </c>
      <c r="B1084" t="s">
        <v>1582</v>
      </c>
      <c r="C1084">
        <v>300262745</v>
      </c>
      <c r="D1084">
        <v>16448111</v>
      </c>
      <c r="E1084" t="s">
        <v>45</v>
      </c>
      <c r="F1084" t="s">
        <v>151</v>
      </c>
      <c r="G1084">
        <v>5</v>
      </c>
      <c r="H1084" t="s">
        <v>2853</v>
      </c>
      <c r="J1084" t="s">
        <v>2853</v>
      </c>
      <c r="K1084" s="11">
        <v>46195.313043981485</v>
      </c>
      <c r="M1084">
        <v>410</v>
      </c>
      <c r="N1084" t="s">
        <v>867</v>
      </c>
      <c r="O1084">
        <v>0</v>
      </c>
      <c r="P1084" s="5"/>
      <c r="Q1084" s="10">
        <f>INT(Tabela1[[#This Row],[DATA]])</f>
        <v>46195</v>
      </c>
      <c r="R1084" s="14" t="str">
        <f ca="1">IF(AND(Q1084&gt;=TODAY()-WEEKDAY(TODAY(),2)+1,Q1084&lt;TODAY()),"SIM","NÃO")</f>
        <v>NÃO</v>
      </c>
    </row>
    <row r="1085" spans="1:18" hidden="1">
      <c r="A1085" t="s">
        <v>2547</v>
      </c>
      <c r="B1085" t="s">
        <v>1582</v>
      </c>
      <c r="C1085">
        <v>300272276</v>
      </c>
      <c r="D1085">
        <v>16487494</v>
      </c>
      <c r="E1085" t="s">
        <v>20</v>
      </c>
      <c r="F1085" t="s">
        <v>151</v>
      </c>
      <c r="G1085">
        <v>4</v>
      </c>
      <c r="H1085" t="s">
        <v>2854</v>
      </c>
      <c r="J1085" t="s">
        <v>2854</v>
      </c>
      <c r="K1085" s="11">
        <v>46195.317777777775</v>
      </c>
      <c r="M1085">
        <v>411</v>
      </c>
      <c r="N1085" t="s">
        <v>867</v>
      </c>
      <c r="O1085">
        <v>0</v>
      </c>
      <c r="P1085" s="5"/>
      <c r="Q1085" s="10">
        <f>INT(Tabela1[[#This Row],[DATA]])</f>
        <v>46195</v>
      </c>
      <c r="R1085" s="14" t="str">
        <f ca="1">IF(AND(Q1085&gt;=TODAY()-WEEKDAY(TODAY(),2)+1,Q1085&lt;TODAY()),"SIM","NÃO")</f>
        <v>NÃO</v>
      </c>
    </row>
    <row r="1086" spans="1:18" hidden="1">
      <c r="A1086" t="s">
        <v>2547</v>
      </c>
      <c r="B1086" t="s">
        <v>1582</v>
      </c>
      <c r="C1086">
        <v>300262591</v>
      </c>
      <c r="D1086">
        <v>16448138</v>
      </c>
      <c r="E1086" t="s">
        <v>45</v>
      </c>
      <c r="F1086" t="s">
        <v>151</v>
      </c>
      <c r="G1086">
        <v>3</v>
      </c>
      <c r="H1086" t="s">
        <v>2855</v>
      </c>
      <c r="J1086" t="s">
        <v>2855</v>
      </c>
      <c r="K1086" s="11">
        <v>46195.322916666664</v>
      </c>
      <c r="M1086">
        <v>412</v>
      </c>
      <c r="N1086" t="s">
        <v>867</v>
      </c>
      <c r="O1086">
        <v>0</v>
      </c>
      <c r="P1086" s="5"/>
      <c r="Q1086" s="10">
        <f>INT(Tabela1[[#This Row],[DATA]])</f>
        <v>46195</v>
      </c>
      <c r="R1086" s="14" t="str">
        <f ca="1">IF(AND(Q1086&gt;=TODAY()-WEEKDAY(TODAY(),2)+1,Q1086&lt;TODAY()),"SIM","NÃO")</f>
        <v>NÃO</v>
      </c>
    </row>
    <row r="1087" spans="1:18" hidden="1">
      <c r="A1087" t="s">
        <v>2547</v>
      </c>
      <c r="B1087" t="s">
        <v>1582</v>
      </c>
      <c r="C1087">
        <v>300262590</v>
      </c>
      <c r="D1087">
        <v>16548138</v>
      </c>
      <c r="E1087" t="s">
        <v>45</v>
      </c>
      <c r="F1087" t="s">
        <v>151</v>
      </c>
      <c r="G1087">
        <v>5</v>
      </c>
      <c r="H1087" t="s">
        <v>2856</v>
      </c>
      <c r="J1087" t="s">
        <v>2856</v>
      </c>
      <c r="K1087" s="11">
        <v>46195.329317129632</v>
      </c>
      <c r="M1087">
        <v>413</v>
      </c>
      <c r="N1087" t="s">
        <v>867</v>
      </c>
      <c r="O1087">
        <v>0</v>
      </c>
      <c r="P1087" s="5"/>
      <c r="Q1087" s="10">
        <f>INT(Tabela1[[#This Row],[DATA]])</f>
        <v>46195</v>
      </c>
      <c r="R1087" s="14" t="str">
        <f ca="1">IF(AND(Q1087&gt;=TODAY()-WEEKDAY(TODAY(),2)+1,Q1087&lt;TODAY()),"SIM","NÃO")</f>
        <v>NÃO</v>
      </c>
    </row>
    <row r="1088" spans="1:18" hidden="1">
      <c r="A1088" t="s">
        <v>489</v>
      </c>
      <c r="B1088" t="s">
        <v>490</v>
      </c>
      <c r="C1088">
        <v>300268644</v>
      </c>
      <c r="D1088">
        <v>16520157</v>
      </c>
      <c r="E1088" t="s">
        <v>37</v>
      </c>
      <c r="F1088" t="s">
        <v>90</v>
      </c>
      <c r="G1088">
        <v>1360</v>
      </c>
      <c r="H1088" t="s">
        <v>2857</v>
      </c>
      <c r="J1088" t="s">
        <v>2858</v>
      </c>
      <c r="K1088" s="11">
        <v>46195.330474537041</v>
      </c>
      <c r="M1088">
        <v>414</v>
      </c>
      <c r="N1088" t="s">
        <v>878</v>
      </c>
      <c r="O1088">
        <v>0</v>
      </c>
      <c r="P1088" s="5"/>
      <c r="Q1088" s="10">
        <f>INT(Tabela1[[#This Row],[DATA]])</f>
        <v>46195</v>
      </c>
      <c r="R1088" s="14" t="str">
        <f ca="1">IF(AND(Q1088&gt;=TODAY()-WEEKDAY(TODAY(),2)+1,Q1088&lt;TODAY()),"SIM","NÃO")</f>
        <v>NÃO</v>
      </c>
    </row>
    <row r="1089" spans="1:18" hidden="1">
      <c r="A1089" t="s">
        <v>233</v>
      </c>
      <c r="B1089" t="s">
        <v>234</v>
      </c>
      <c r="C1089">
        <v>300271854</v>
      </c>
      <c r="D1089">
        <v>15773469</v>
      </c>
      <c r="E1089" t="s">
        <v>37</v>
      </c>
      <c r="F1089" t="s">
        <v>151</v>
      </c>
      <c r="G1089">
        <v>1205</v>
      </c>
      <c r="H1089" t="s">
        <v>2859</v>
      </c>
      <c r="J1089" t="s">
        <v>2860</v>
      </c>
      <c r="K1089" s="11">
        <v>46195.3437962963</v>
      </c>
      <c r="M1089">
        <v>415</v>
      </c>
      <c r="N1089" t="s">
        <v>867</v>
      </c>
      <c r="O1089">
        <v>0</v>
      </c>
      <c r="P1089" s="5"/>
      <c r="Q1089" s="10">
        <f>INT(Tabela1[[#This Row],[DATA]])</f>
        <v>46195</v>
      </c>
      <c r="R1089" s="14" t="str">
        <f ca="1">IF(AND(Q1089&gt;=TODAY()-WEEKDAY(TODAY(),2)+1,Q1089&lt;TODAY()),"SIM","NÃO")</f>
        <v>NÃO</v>
      </c>
    </row>
    <row r="1090" spans="1:18" hidden="1">
      <c r="A1090" t="s">
        <v>1110</v>
      </c>
      <c r="B1090" t="s">
        <v>1111</v>
      </c>
      <c r="C1090">
        <v>300271745</v>
      </c>
      <c r="D1090">
        <v>16051491</v>
      </c>
      <c r="E1090" t="s">
        <v>37</v>
      </c>
      <c r="F1090" t="s">
        <v>103</v>
      </c>
      <c r="G1090">
        <v>200</v>
      </c>
      <c r="H1090" t="s">
        <v>655</v>
      </c>
      <c r="J1090" t="s">
        <v>655</v>
      </c>
      <c r="K1090" s="11">
        <v>46195.366041666668</v>
      </c>
      <c r="M1090">
        <v>416</v>
      </c>
      <c r="N1090" t="s">
        <v>878</v>
      </c>
      <c r="O1090">
        <v>0</v>
      </c>
      <c r="P1090" s="5"/>
      <c r="Q1090" s="10">
        <f>INT(Tabela1[[#This Row],[DATA]])</f>
        <v>46195</v>
      </c>
      <c r="R1090" s="14" t="str">
        <f ca="1">IF(AND(Q1090&gt;=TODAY()-WEEKDAY(TODAY(),2)+1,Q1090&lt;TODAY()),"SIM","NÃO")</f>
        <v>NÃO</v>
      </c>
    </row>
    <row r="1091" spans="1:18" hidden="1">
      <c r="A1091" t="s">
        <v>1110</v>
      </c>
      <c r="B1091" t="s">
        <v>1111</v>
      </c>
      <c r="C1091">
        <v>300271745</v>
      </c>
      <c r="D1091">
        <v>16051491</v>
      </c>
      <c r="E1091" t="s">
        <v>37</v>
      </c>
      <c r="F1091" t="s">
        <v>90</v>
      </c>
      <c r="G1091">
        <v>20</v>
      </c>
      <c r="H1091" t="s">
        <v>655</v>
      </c>
      <c r="J1091" t="s">
        <v>655</v>
      </c>
      <c r="K1091" s="11">
        <v>46195.368657407409</v>
      </c>
      <c r="M1091">
        <v>417</v>
      </c>
      <c r="N1091" t="s">
        <v>878</v>
      </c>
      <c r="O1091">
        <v>0</v>
      </c>
      <c r="P1091" s="5"/>
      <c r="Q1091" s="10">
        <f>INT(Tabela1[[#This Row],[DATA]])</f>
        <v>46195</v>
      </c>
      <c r="R1091" s="14" t="str">
        <f ca="1">IF(AND(Q1091&gt;=TODAY()-WEEKDAY(TODAY(),2)+1,Q1091&lt;TODAY()),"SIM","NÃO")</f>
        <v>NÃO</v>
      </c>
    </row>
    <row r="1092" spans="1:18" hidden="1">
      <c r="A1092" t="s">
        <v>2551</v>
      </c>
      <c r="B1092" t="s">
        <v>274</v>
      </c>
      <c r="C1092">
        <v>300274882</v>
      </c>
      <c r="D1092">
        <v>15859096</v>
      </c>
      <c r="E1092" t="s">
        <v>37</v>
      </c>
      <c r="F1092" t="s">
        <v>2213</v>
      </c>
      <c r="G1092">
        <v>120</v>
      </c>
      <c r="H1092" t="s">
        <v>2861</v>
      </c>
      <c r="K1092" s="11">
        <v>46195.370879629627</v>
      </c>
      <c r="M1092">
        <v>418</v>
      </c>
      <c r="N1092" t="s">
        <v>867</v>
      </c>
      <c r="O1092">
        <v>1000000673555</v>
      </c>
      <c r="P1092" s="5"/>
      <c r="Q1092" s="10">
        <f>INT(Tabela1[[#This Row],[DATA]])</f>
        <v>46195</v>
      </c>
      <c r="R1092" s="14" t="str">
        <f ca="1">IF(AND(Q1092&gt;=TODAY()-WEEKDAY(TODAY(),2)+1,Q1092&lt;TODAY()),"SIM","NÃO")</f>
        <v>NÃO</v>
      </c>
    </row>
    <row r="1093" spans="1:18" hidden="1">
      <c r="A1093" t="s">
        <v>1175</v>
      </c>
      <c r="B1093" t="s">
        <v>1176</v>
      </c>
      <c r="C1093">
        <v>300272968</v>
      </c>
      <c r="D1093">
        <v>15711854</v>
      </c>
      <c r="E1093" t="s">
        <v>37</v>
      </c>
      <c r="F1093" t="s">
        <v>216</v>
      </c>
      <c r="G1093">
        <v>260</v>
      </c>
      <c r="H1093" t="s">
        <v>2862</v>
      </c>
      <c r="J1093" t="s">
        <v>2863</v>
      </c>
      <c r="K1093" s="11">
        <v>46195.392048611109</v>
      </c>
      <c r="M1093">
        <v>419</v>
      </c>
      <c r="N1093" t="s">
        <v>867</v>
      </c>
      <c r="O1093" t="s">
        <v>2246</v>
      </c>
      <c r="P1093" s="5"/>
      <c r="Q1093" s="10">
        <f>INT(Tabela1[[#This Row],[DATA]])</f>
        <v>46195</v>
      </c>
      <c r="R1093" s="14" t="str">
        <f ca="1">IF(AND(Q1093&gt;=TODAY()-WEEKDAY(TODAY(),2)+1,Q1093&lt;TODAY()),"SIM","NÃO")</f>
        <v>NÃO</v>
      </c>
    </row>
    <row r="1094" spans="1:18" hidden="1">
      <c r="A1094" t="s">
        <v>2565</v>
      </c>
      <c r="B1094" t="s">
        <v>95</v>
      </c>
      <c r="C1094">
        <v>300272458</v>
      </c>
      <c r="D1094">
        <v>16222326</v>
      </c>
      <c r="E1094" t="s">
        <v>45</v>
      </c>
      <c r="F1094" t="s">
        <v>513</v>
      </c>
      <c r="G1094">
        <v>1.466</v>
      </c>
      <c r="H1094" t="s">
        <v>2864</v>
      </c>
      <c r="J1094" t="s">
        <v>2864</v>
      </c>
      <c r="K1094" s="11">
        <v>46195.404988425929</v>
      </c>
      <c r="M1094">
        <v>420</v>
      </c>
      <c r="N1094" t="s">
        <v>878</v>
      </c>
      <c r="O1094" t="s">
        <v>848</v>
      </c>
      <c r="P1094" s="5"/>
      <c r="Q1094" s="10">
        <f>INT(Tabela1[[#This Row],[DATA]])</f>
        <v>46195</v>
      </c>
      <c r="R1094" s="14" t="str">
        <f ca="1">IF(AND(Q1094&gt;=TODAY()-WEEKDAY(TODAY(),2)+1,Q1094&lt;TODAY()),"SIM","NÃO")</f>
        <v>NÃO</v>
      </c>
    </row>
    <row r="1095" spans="1:18" hidden="1">
      <c r="A1095" t="s">
        <v>2754</v>
      </c>
      <c r="B1095" t="s">
        <v>822</v>
      </c>
      <c r="C1095">
        <v>300267464</v>
      </c>
      <c r="D1095">
        <v>15252434</v>
      </c>
      <c r="E1095" t="s">
        <v>37</v>
      </c>
      <c r="F1095" t="s">
        <v>2556</v>
      </c>
      <c r="G1095">
        <v>5</v>
      </c>
      <c r="H1095" t="s">
        <v>2865</v>
      </c>
      <c r="K1095" s="11">
        <v>46195.42391203704</v>
      </c>
      <c r="M1095">
        <v>421</v>
      </c>
      <c r="N1095" t="s">
        <v>867</v>
      </c>
      <c r="O1095">
        <v>0</v>
      </c>
      <c r="P1095" s="5"/>
      <c r="Q1095" s="10">
        <f>INT(Tabela1[[#This Row],[DATA]])</f>
        <v>46195</v>
      </c>
      <c r="R1095" s="14" t="str">
        <f ca="1">IF(AND(Q1095&gt;=TODAY()-WEEKDAY(TODAY(),2)+1,Q1095&lt;TODAY()),"SIM","NÃO")</f>
        <v>NÃO</v>
      </c>
    </row>
    <row r="1096" spans="1:18" hidden="1">
      <c r="A1096" t="s">
        <v>1096</v>
      </c>
      <c r="B1096" t="s">
        <v>1097</v>
      </c>
      <c r="C1096">
        <v>300272982</v>
      </c>
      <c r="D1096">
        <v>16473965</v>
      </c>
      <c r="E1096" t="s">
        <v>37</v>
      </c>
      <c r="F1096" t="s">
        <v>2598</v>
      </c>
      <c r="G1096">
        <v>15</v>
      </c>
      <c r="H1096" t="s">
        <v>2709</v>
      </c>
      <c r="J1096" t="s">
        <v>2759</v>
      </c>
      <c r="K1096" s="11">
        <v>46195.432824074072</v>
      </c>
      <c r="M1096">
        <v>422</v>
      </c>
      <c r="N1096" t="s">
        <v>878</v>
      </c>
      <c r="O1096">
        <v>0</v>
      </c>
      <c r="P1096" s="5"/>
      <c r="Q1096" s="10">
        <f>INT(Tabela1[[#This Row],[DATA]])</f>
        <v>46195</v>
      </c>
      <c r="R1096" s="14" t="str">
        <f ca="1">IF(AND(Q1096&gt;=TODAY()-WEEKDAY(TODAY(),2)+1,Q1096&lt;TODAY()),"SIM","NÃO")</f>
        <v>NÃO</v>
      </c>
    </row>
    <row r="1097" spans="1:18" hidden="1">
      <c r="A1097" t="s">
        <v>2565</v>
      </c>
      <c r="B1097" t="s">
        <v>95</v>
      </c>
      <c r="C1097">
        <v>300000000</v>
      </c>
      <c r="D1097">
        <v>1</v>
      </c>
      <c r="E1097" t="s">
        <v>45</v>
      </c>
      <c r="F1097" t="s">
        <v>103</v>
      </c>
      <c r="G1097">
        <v>1</v>
      </c>
      <c r="H1097" t="s">
        <v>547</v>
      </c>
      <c r="J1097" t="s">
        <v>2866</v>
      </c>
      <c r="K1097" s="11">
        <v>46195.438831018517</v>
      </c>
      <c r="M1097">
        <v>423</v>
      </c>
      <c r="N1097" t="s">
        <v>878</v>
      </c>
      <c r="O1097">
        <v>1</v>
      </c>
      <c r="P1097" s="5"/>
      <c r="Q1097" s="10">
        <f>INT(Tabela1[[#This Row],[DATA]])</f>
        <v>46195</v>
      </c>
      <c r="R1097" s="14" t="str">
        <f ca="1">IF(AND(Q1097&gt;=TODAY()-WEEKDAY(TODAY(),2)+1,Q1097&lt;TODAY()),"SIM","NÃO")</f>
        <v>NÃO</v>
      </c>
    </row>
    <row r="1098" spans="1:18" hidden="1">
      <c r="A1098" t="s">
        <v>2578</v>
      </c>
      <c r="B1098" t="s">
        <v>69</v>
      </c>
      <c r="C1098">
        <v>300269517</v>
      </c>
      <c r="D1098">
        <v>16481577</v>
      </c>
      <c r="E1098" t="s">
        <v>45</v>
      </c>
      <c r="F1098" t="s">
        <v>64</v>
      </c>
      <c r="G1098">
        <v>1938</v>
      </c>
      <c r="H1098" t="s">
        <v>2867</v>
      </c>
      <c r="J1098" t="s">
        <v>2868</v>
      </c>
      <c r="K1098" s="11">
        <v>46195.440081018518</v>
      </c>
      <c r="M1098">
        <v>424</v>
      </c>
      <c r="N1098" t="s">
        <v>878</v>
      </c>
      <c r="O1098" t="s">
        <v>2068</v>
      </c>
      <c r="P1098" s="5"/>
      <c r="Q1098" s="10">
        <f>INT(Tabela1[[#This Row],[DATA]])</f>
        <v>46195</v>
      </c>
      <c r="R1098" s="14" t="str">
        <f ca="1">IF(AND(Q1098&gt;=TODAY()-WEEKDAY(TODAY(),2)+1,Q1098&lt;TODAY()),"SIM","NÃO")</f>
        <v>NÃO</v>
      </c>
    </row>
    <row r="1099" spans="1:18" hidden="1">
      <c r="A1099" t="s">
        <v>2765</v>
      </c>
      <c r="B1099" t="s">
        <v>107</v>
      </c>
      <c r="C1099">
        <v>300270874</v>
      </c>
      <c r="D1099">
        <v>16426010</v>
      </c>
      <c r="E1099" t="s">
        <v>45</v>
      </c>
      <c r="F1099" t="s">
        <v>103</v>
      </c>
      <c r="G1099">
        <v>1.3340000000000001</v>
      </c>
      <c r="H1099" t="s">
        <v>2869</v>
      </c>
      <c r="J1099" t="s">
        <v>2870</v>
      </c>
      <c r="K1099" s="11">
        <v>46195.451527777775</v>
      </c>
      <c r="M1099">
        <v>425</v>
      </c>
      <c r="N1099" t="s">
        <v>878</v>
      </c>
      <c r="O1099">
        <v>0</v>
      </c>
      <c r="P1099" s="5"/>
      <c r="Q1099" s="10">
        <f>INT(Tabela1[[#This Row],[DATA]])</f>
        <v>46195</v>
      </c>
      <c r="R1099" s="14" t="str">
        <f ca="1">IF(AND(Q1099&gt;=TODAY()-WEEKDAY(TODAY(),2)+1,Q1099&lt;TODAY()),"SIM","NÃO")</f>
        <v>NÃO</v>
      </c>
    </row>
    <row r="1100" spans="1:18" hidden="1">
      <c r="A1100" t="s">
        <v>2765</v>
      </c>
      <c r="B1100" t="s">
        <v>2871</v>
      </c>
      <c r="C1100">
        <v>300269514</v>
      </c>
      <c r="D1100">
        <v>16481577</v>
      </c>
      <c r="E1100" t="s">
        <v>45</v>
      </c>
      <c r="F1100" t="s">
        <v>103</v>
      </c>
      <c r="G1100">
        <v>2.6520000000000001</v>
      </c>
      <c r="H1100" t="s">
        <v>2872</v>
      </c>
      <c r="J1100" t="s">
        <v>2873</v>
      </c>
      <c r="K1100" s="11">
        <v>46195.45244212963</v>
      </c>
      <c r="M1100">
        <v>426</v>
      </c>
      <c r="N1100" t="s">
        <v>878</v>
      </c>
      <c r="O1100">
        <v>0</v>
      </c>
      <c r="P1100" s="5"/>
      <c r="Q1100" s="10">
        <f>INT(Tabela1[[#This Row],[DATA]])</f>
        <v>46195</v>
      </c>
      <c r="R1100" s="14" t="str">
        <f ca="1">IF(AND(Q1100&gt;=TODAY()-WEEKDAY(TODAY(),2)+1,Q1100&lt;TODAY()),"SIM","NÃO")</f>
        <v>NÃO</v>
      </c>
    </row>
    <row r="1101" spans="1:18" hidden="1">
      <c r="A1101" t="s">
        <v>163</v>
      </c>
      <c r="B1101" t="s">
        <v>164</v>
      </c>
      <c r="C1101">
        <v>300272166</v>
      </c>
      <c r="D1101">
        <v>15128288</v>
      </c>
      <c r="E1101" t="s">
        <v>29</v>
      </c>
      <c r="F1101" t="s">
        <v>103</v>
      </c>
      <c r="G1101">
        <v>853</v>
      </c>
      <c r="H1101" t="s">
        <v>2874</v>
      </c>
      <c r="J1101" t="s">
        <v>2873</v>
      </c>
      <c r="K1101" s="11">
        <v>46195.453275462962</v>
      </c>
      <c r="M1101">
        <v>427</v>
      </c>
      <c r="N1101" t="s">
        <v>878</v>
      </c>
      <c r="O1101">
        <v>0</v>
      </c>
      <c r="P1101" s="5"/>
      <c r="Q1101" s="10">
        <f>INT(Tabela1[[#This Row],[DATA]])</f>
        <v>46195</v>
      </c>
      <c r="R1101" s="14" t="str">
        <f ca="1">IF(AND(Q1101&gt;=TODAY()-WEEKDAY(TODAY(),2)+1,Q1101&lt;TODAY()),"SIM","NÃO")</f>
        <v>NÃO</v>
      </c>
    </row>
    <row r="1102" spans="1:18" hidden="1">
      <c r="A1102" t="s">
        <v>163</v>
      </c>
      <c r="B1102" t="s">
        <v>164</v>
      </c>
      <c r="C1102">
        <v>300271268</v>
      </c>
      <c r="D1102">
        <v>16114159</v>
      </c>
      <c r="E1102" t="s">
        <v>37</v>
      </c>
      <c r="F1102" t="s">
        <v>103</v>
      </c>
      <c r="G1102">
        <v>1479</v>
      </c>
      <c r="H1102" t="s">
        <v>2875</v>
      </c>
      <c r="J1102" t="s">
        <v>2876</v>
      </c>
      <c r="K1102" s="11">
        <v>46195.454062500001</v>
      </c>
      <c r="M1102">
        <v>428</v>
      </c>
      <c r="N1102" t="s">
        <v>878</v>
      </c>
      <c r="O1102">
        <v>0</v>
      </c>
      <c r="P1102" s="5"/>
      <c r="Q1102" s="10">
        <f>INT(Tabela1[[#This Row],[DATA]])</f>
        <v>46195</v>
      </c>
      <c r="R1102" s="14" t="str">
        <f ca="1">IF(AND(Q1102&gt;=TODAY()-WEEKDAY(TODAY(),2)+1,Q1102&lt;TODAY()),"SIM","NÃO")</f>
        <v>NÃO</v>
      </c>
    </row>
    <row r="1103" spans="1:18" hidden="1">
      <c r="A1103" t="s">
        <v>685</v>
      </c>
      <c r="B1103" t="s">
        <v>686</v>
      </c>
      <c r="C1103">
        <v>300271819</v>
      </c>
      <c r="D1103">
        <v>16221214</v>
      </c>
      <c r="E1103" t="s">
        <v>37</v>
      </c>
      <c r="F1103" t="s">
        <v>2556</v>
      </c>
      <c r="G1103">
        <v>15</v>
      </c>
      <c r="H1103" t="s">
        <v>2073</v>
      </c>
      <c r="K1103" s="11">
        <v>46195.465104166666</v>
      </c>
      <c r="M1103">
        <v>429</v>
      </c>
      <c r="N1103" t="s">
        <v>867</v>
      </c>
      <c r="O1103" t="s">
        <v>138</v>
      </c>
      <c r="P1103" s="5"/>
      <c r="Q1103" s="10">
        <f>INT(Tabela1[[#This Row],[DATA]])</f>
        <v>46195</v>
      </c>
      <c r="R1103" s="14" t="str">
        <f ca="1">IF(AND(Q1103&gt;=TODAY()-WEEKDAY(TODAY(),2)+1,Q1103&lt;TODAY()),"SIM","NÃO")</f>
        <v>NÃO</v>
      </c>
    </row>
    <row r="1104" spans="1:18" hidden="1">
      <c r="A1104" t="s">
        <v>685</v>
      </c>
      <c r="B1104" t="s">
        <v>686</v>
      </c>
      <c r="C1104">
        <v>300272176</v>
      </c>
      <c r="D1104">
        <v>16319249</v>
      </c>
      <c r="E1104" t="s">
        <v>37</v>
      </c>
      <c r="F1104" t="s">
        <v>2556</v>
      </c>
      <c r="G1104">
        <v>10</v>
      </c>
      <c r="H1104" t="s">
        <v>1771</v>
      </c>
      <c r="K1104" s="11">
        <v>46195.47011574074</v>
      </c>
      <c r="M1104">
        <v>430</v>
      </c>
      <c r="N1104" t="s">
        <v>867</v>
      </c>
      <c r="O1104" t="s">
        <v>138</v>
      </c>
      <c r="P1104" s="5"/>
      <c r="Q1104" s="10">
        <f>INT(Tabela1[[#This Row],[DATA]])</f>
        <v>46195</v>
      </c>
      <c r="R1104" s="14" t="str">
        <f ca="1">IF(AND(Q1104&gt;=TODAY()-WEEKDAY(TODAY(),2)+1,Q1104&lt;TODAY()),"SIM","NÃO")</f>
        <v>NÃO</v>
      </c>
    </row>
    <row r="1105" spans="1:18" hidden="1">
      <c r="A1105" t="s">
        <v>2551</v>
      </c>
      <c r="B1105" t="s">
        <v>274</v>
      </c>
      <c r="C1105">
        <v>300271749</v>
      </c>
      <c r="D1105">
        <v>16436075</v>
      </c>
      <c r="E1105" t="s">
        <v>37</v>
      </c>
      <c r="F1105" t="s">
        <v>216</v>
      </c>
      <c r="G1105">
        <v>65</v>
      </c>
      <c r="H1105" t="s">
        <v>2877</v>
      </c>
      <c r="K1105" s="11">
        <v>46195.479490740741</v>
      </c>
      <c r="M1105">
        <v>431</v>
      </c>
      <c r="N1105" t="s">
        <v>878</v>
      </c>
      <c r="O1105">
        <v>0</v>
      </c>
      <c r="P1105" s="5"/>
      <c r="Q1105" s="10">
        <f>INT(Tabela1[[#This Row],[DATA]])</f>
        <v>46195</v>
      </c>
      <c r="R1105" s="14" t="str">
        <f ca="1">IF(AND(Q1105&gt;=TODAY()-WEEKDAY(TODAY(),2)+1,Q1105&lt;TODAY()),"SIM","NÃO")</f>
        <v>NÃO</v>
      </c>
    </row>
    <row r="1106" spans="1:18" hidden="1">
      <c r="A1106" t="s">
        <v>79</v>
      </c>
      <c r="B1106" t="s">
        <v>80</v>
      </c>
      <c r="C1106">
        <v>300271137</v>
      </c>
      <c r="D1106">
        <v>15215539</v>
      </c>
      <c r="E1106" t="s">
        <v>29</v>
      </c>
      <c r="F1106" t="s">
        <v>513</v>
      </c>
      <c r="G1106" t="s">
        <v>2878</v>
      </c>
      <c r="H1106" t="s">
        <v>2879</v>
      </c>
      <c r="K1106" s="11">
        <v>46195.521747685183</v>
      </c>
      <c r="M1106">
        <v>432</v>
      </c>
      <c r="N1106" t="s">
        <v>867</v>
      </c>
      <c r="O1106">
        <v>0</v>
      </c>
      <c r="P1106" s="5"/>
      <c r="Q1106" s="10">
        <f>INT(Tabela1[[#This Row],[DATA]])</f>
        <v>46195</v>
      </c>
      <c r="R1106" s="14" t="str">
        <f ca="1">IF(AND(Q1106&gt;=TODAY()-WEEKDAY(TODAY(),2)+1,Q1106&lt;TODAY()),"SIM","NÃO")</f>
        <v>NÃO</v>
      </c>
    </row>
    <row r="1107" spans="1:18" hidden="1">
      <c r="A1107" t="s">
        <v>163</v>
      </c>
      <c r="B1107" t="s">
        <v>164</v>
      </c>
      <c r="C1107">
        <v>300271818</v>
      </c>
      <c r="D1107">
        <v>16285417</v>
      </c>
      <c r="E1107" t="s">
        <v>45</v>
      </c>
      <c r="F1107" t="s">
        <v>221</v>
      </c>
      <c r="G1107">
        <v>552</v>
      </c>
      <c r="H1107" t="s">
        <v>2880</v>
      </c>
      <c r="J1107" t="s">
        <v>2881</v>
      </c>
      <c r="K1107" s="11">
        <v>46195.536608796298</v>
      </c>
      <c r="M1107">
        <v>433</v>
      </c>
      <c r="N1107" t="s">
        <v>878</v>
      </c>
      <c r="O1107">
        <v>195771</v>
      </c>
      <c r="P1107" s="5"/>
      <c r="Q1107" s="10">
        <f>INT(Tabela1[[#This Row],[DATA]])</f>
        <v>46195</v>
      </c>
      <c r="R1107" s="14" t="str">
        <f ca="1">IF(AND(Q1107&gt;=TODAY()-WEEKDAY(TODAY(),2)+1,Q1107&lt;TODAY()),"SIM","NÃO")</f>
        <v>NÃO</v>
      </c>
    </row>
    <row r="1108" spans="1:18" hidden="1">
      <c r="A1108" t="s">
        <v>2610</v>
      </c>
      <c r="B1108" t="s">
        <v>74</v>
      </c>
      <c r="C1108">
        <v>300273027</v>
      </c>
      <c r="D1108">
        <v>16510216</v>
      </c>
      <c r="E1108" t="s">
        <v>20</v>
      </c>
      <c r="F1108" t="s">
        <v>113</v>
      </c>
      <c r="G1108">
        <v>10</v>
      </c>
      <c r="H1108" t="s">
        <v>2882</v>
      </c>
      <c r="K1108" s="11">
        <v>46195.553842592592</v>
      </c>
      <c r="M1108">
        <v>434</v>
      </c>
      <c r="N1108" t="s">
        <v>867</v>
      </c>
      <c r="O1108">
        <v>0</v>
      </c>
      <c r="P1108" s="5"/>
      <c r="Q1108" s="10">
        <f>INT(Tabela1[[#This Row],[DATA]])</f>
        <v>46195</v>
      </c>
      <c r="R1108" s="14" t="str">
        <f ca="1">IF(AND(Q1108&gt;=TODAY()-WEEKDAY(TODAY(),2)+1,Q1108&lt;TODAY()),"SIM","NÃO")</f>
        <v>NÃO</v>
      </c>
    </row>
    <row r="1109" spans="1:18" hidden="1">
      <c r="A1109" t="s">
        <v>2610</v>
      </c>
      <c r="B1109" t="s">
        <v>74</v>
      </c>
      <c r="C1109">
        <v>300273024</v>
      </c>
      <c r="D1109">
        <v>16510216</v>
      </c>
      <c r="E1109" t="s">
        <v>20</v>
      </c>
      <c r="F1109" t="s">
        <v>430</v>
      </c>
      <c r="G1109">
        <v>70</v>
      </c>
      <c r="H1109" t="s">
        <v>2091</v>
      </c>
      <c r="K1109" s="11">
        <v>46195.555289351854</v>
      </c>
      <c r="M1109">
        <v>435</v>
      </c>
      <c r="N1109" t="s">
        <v>867</v>
      </c>
      <c r="O1109">
        <v>1000019143</v>
      </c>
      <c r="P1109" s="5"/>
      <c r="Q1109" s="10">
        <f>INT(Tabela1[[#This Row],[DATA]])</f>
        <v>46195</v>
      </c>
      <c r="R1109" s="14" t="str">
        <f ca="1">IF(AND(Q1109&gt;=TODAY()-WEEKDAY(TODAY(),2)+1,Q1109&lt;TODAY()),"SIM","NÃO")</f>
        <v>NÃO</v>
      </c>
    </row>
    <row r="1110" spans="1:18" hidden="1">
      <c r="A1110" t="s">
        <v>2551</v>
      </c>
      <c r="B1110" t="s">
        <v>274</v>
      </c>
      <c r="C1110">
        <v>300271749</v>
      </c>
      <c r="D1110">
        <v>16436075</v>
      </c>
      <c r="E1110" t="s">
        <v>37</v>
      </c>
      <c r="F1110" t="s">
        <v>216</v>
      </c>
      <c r="G1110">
        <v>55</v>
      </c>
      <c r="H1110" t="s">
        <v>2883</v>
      </c>
      <c r="K1110" s="11">
        <v>46195.598437499997</v>
      </c>
      <c r="M1110">
        <v>436</v>
      </c>
      <c r="N1110" t="s">
        <v>867</v>
      </c>
      <c r="O1110">
        <v>0</v>
      </c>
      <c r="P1110" s="5"/>
      <c r="Q1110" s="10">
        <f>INT(Tabela1[[#This Row],[DATA]])</f>
        <v>46195</v>
      </c>
      <c r="R1110" s="14" t="str">
        <f ca="1">IF(AND(Q1110&gt;=TODAY()-WEEKDAY(TODAY(),2)+1,Q1110&lt;TODAY()),"SIM","NÃO")</f>
        <v>NÃO</v>
      </c>
    </row>
    <row r="1111" spans="1:18" hidden="1">
      <c r="A1111" t="s">
        <v>605</v>
      </c>
      <c r="B1111" t="s">
        <v>606</v>
      </c>
      <c r="C1111">
        <v>300271558</v>
      </c>
      <c r="D1111">
        <v>16466098</v>
      </c>
      <c r="E1111" t="s">
        <v>37</v>
      </c>
      <c r="F1111" t="s">
        <v>2556</v>
      </c>
      <c r="G1111">
        <v>30</v>
      </c>
      <c r="H1111" t="s">
        <v>1771</v>
      </c>
      <c r="J1111" t="s">
        <v>579</v>
      </c>
      <c r="K1111" s="11">
        <v>46195.608703703707</v>
      </c>
      <c r="M1111">
        <v>437</v>
      </c>
      <c r="N1111" t="s">
        <v>867</v>
      </c>
      <c r="O1111">
        <v>0</v>
      </c>
      <c r="P1111" s="5"/>
      <c r="Q1111" s="10">
        <f>INT(Tabela1[[#This Row],[DATA]])</f>
        <v>46195</v>
      </c>
      <c r="R1111" s="14" t="str">
        <f ca="1">IF(AND(Q1111&gt;=TODAY()-WEEKDAY(TODAY(),2)+1,Q1111&lt;TODAY()),"SIM","NÃO")</f>
        <v>NÃO</v>
      </c>
    </row>
    <row r="1112" spans="1:18" hidden="1">
      <c r="A1112" t="s">
        <v>305</v>
      </c>
      <c r="B1112" t="s">
        <v>306</v>
      </c>
      <c r="C1112">
        <v>300265094</v>
      </c>
      <c r="D1112">
        <v>15128288</v>
      </c>
      <c r="E1112" t="s">
        <v>29</v>
      </c>
      <c r="F1112" t="s">
        <v>430</v>
      </c>
      <c r="G1112">
        <v>690</v>
      </c>
      <c r="H1112" t="s">
        <v>2884</v>
      </c>
      <c r="J1112" t="s">
        <v>2885</v>
      </c>
      <c r="K1112" s="11">
        <v>46195.612719907411</v>
      </c>
      <c r="M1112">
        <v>438</v>
      </c>
      <c r="N1112" t="s">
        <v>867</v>
      </c>
      <c r="O1112">
        <v>0</v>
      </c>
      <c r="P1112" s="5"/>
      <c r="Q1112" s="10">
        <f>INT(Tabela1[[#This Row],[DATA]])</f>
        <v>46195</v>
      </c>
      <c r="R1112" s="14" t="str">
        <f ca="1">IF(AND(Q1112&gt;=TODAY()-WEEKDAY(TODAY(),2)+1,Q1112&lt;TODAY()),"SIM","NÃO")</f>
        <v>NÃO</v>
      </c>
    </row>
    <row r="1113" spans="1:18" hidden="1">
      <c r="A1113" t="s">
        <v>253</v>
      </c>
      <c r="B1113" t="s">
        <v>2886</v>
      </c>
      <c r="C1113">
        <v>300272959</v>
      </c>
      <c r="D1113">
        <v>15699293</v>
      </c>
      <c r="E1113" t="s">
        <v>37</v>
      </c>
      <c r="F1113" t="s">
        <v>651</v>
      </c>
      <c r="G1113">
        <v>384</v>
      </c>
      <c r="H1113" t="s">
        <v>2887</v>
      </c>
      <c r="J1113" t="s">
        <v>2888</v>
      </c>
      <c r="K1113" s="11">
        <v>46195.628460648149</v>
      </c>
      <c r="M1113">
        <v>439</v>
      </c>
      <c r="N1113" t="s">
        <v>867</v>
      </c>
      <c r="O1113">
        <v>0</v>
      </c>
      <c r="P1113" s="5"/>
      <c r="Q1113" s="10">
        <f>INT(Tabela1[[#This Row],[DATA]])</f>
        <v>46195</v>
      </c>
      <c r="R1113" s="14" t="str">
        <f ca="1">IF(AND(Q1113&gt;=TODAY()-WEEKDAY(TODAY(),2)+1,Q1113&lt;TODAY()),"SIM","NÃO")</f>
        <v>NÃO</v>
      </c>
    </row>
    <row r="1114" spans="1:18" hidden="1">
      <c r="A1114" t="s">
        <v>163</v>
      </c>
      <c r="B1114" t="s">
        <v>164</v>
      </c>
      <c r="C1114">
        <v>300271186</v>
      </c>
      <c r="D1114">
        <v>16426010</v>
      </c>
      <c r="E1114" t="s">
        <v>45</v>
      </c>
      <c r="F1114" t="s">
        <v>38</v>
      </c>
      <c r="G1114">
        <v>13</v>
      </c>
      <c r="H1114" t="s">
        <v>2766</v>
      </c>
      <c r="J1114" t="s">
        <v>2889</v>
      </c>
      <c r="K1114" s="11">
        <v>46195.628935185188</v>
      </c>
      <c r="M1114">
        <v>440</v>
      </c>
      <c r="N1114" t="s">
        <v>867</v>
      </c>
      <c r="O1114">
        <v>0</v>
      </c>
      <c r="P1114" s="5"/>
      <c r="Q1114" s="10">
        <f>INT(Tabela1[[#This Row],[DATA]])</f>
        <v>46195</v>
      </c>
      <c r="R1114" s="14" t="str">
        <f ca="1">IF(AND(Q1114&gt;=TODAY()-WEEKDAY(TODAY(),2)+1,Q1114&lt;TODAY()),"SIM","NÃO")</f>
        <v>NÃO</v>
      </c>
    </row>
    <row r="1115" spans="1:18" hidden="1">
      <c r="A1115" t="s">
        <v>253</v>
      </c>
      <c r="B1115" t="s">
        <v>254</v>
      </c>
      <c r="C1115">
        <v>300272630</v>
      </c>
      <c r="D1115">
        <v>14938570</v>
      </c>
      <c r="E1115" t="s">
        <v>45</v>
      </c>
      <c r="F1115" t="s">
        <v>96</v>
      </c>
      <c r="G1115">
        <v>50</v>
      </c>
      <c r="H1115" t="s">
        <v>2890</v>
      </c>
      <c r="K1115" s="11">
        <v>46195.634131944447</v>
      </c>
      <c r="M1115">
        <v>441</v>
      </c>
      <c r="N1115" t="s">
        <v>867</v>
      </c>
      <c r="O1115">
        <v>0</v>
      </c>
      <c r="P1115" s="5"/>
      <c r="Q1115" s="10">
        <f>INT(Tabela1[[#This Row],[DATA]])</f>
        <v>46195</v>
      </c>
      <c r="R1115" s="14" t="str">
        <f ca="1">IF(AND(Q1115&gt;=TODAY()-WEEKDAY(TODAY(),2)+1,Q1115&lt;TODAY()),"SIM","NÃO")</f>
        <v>NÃO</v>
      </c>
    </row>
    <row r="1116" spans="1:18" hidden="1">
      <c r="A1116" t="s">
        <v>2775</v>
      </c>
      <c r="B1116" t="s">
        <v>512</v>
      </c>
      <c r="C1116">
        <v>300263684</v>
      </c>
      <c r="D1116">
        <v>16474090</v>
      </c>
      <c r="E1116" t="s">
        <v>37</v>
      </c>
      <c r="F1116" t="s">
        <v>2580</v>
      </c>
      <c r="G1116">
        <v>100</v>
      </c>
      <c r="H1116" t="s">
        <v>2891</v>
      </c>
      <c r="J1116" t="s">
        <v>2846</v>
      </c>
      <c r="K1116" s="11">
        <v>46195.644606481481</v>
      </c>
      <c r="M1116">
        <v>442</v>
      </c>
      <c r="N1116" t="s">
        <v>867</v>
      </c>
      <c r="O1116" t="s">
        <v>2664</v>
      </c>
      <c r="P1116" s="5"/>
      <c r="Q1116" s="10">
        <f>INT(Tabela1[[#This Row],[DATA]])</f>
        <v>46195</v>
      </c>
      <c r="R1116" s="14" t="str">
        <f ca="1">IF(AND(Q1116&gt;=TODAY()-WEEKDAY(TODAY(),2)+1,Q1116&lt;TODAY()),"SIM","NÃO")</f>
        <v>NÃO</v>
      </c>
    </row>
    <row r="1117" spans="1:18" hidden="1">
      <c r="A1117" t="s">
        <v>2541</v>
      </c>
      <c r="B1117" t="s">
        <v>388</v>
      </c>
      <c r="C1117">
        <v>300270777</v>
      </c>
      <c r="D1117">
        <v>16448421</v>
      </c>
      <c r="E1117" t="s">
        <v>37</v>
      </c>
      <c r="F1117" t="s">
        <v>2556</v>
      </c>
      <c r="G1117">
        <v>3</v>
      </c>
      <c r="H1117" t="s">
        <v>2313</v>
      </c>
      <c r="J1117" t="s">
        <v>2124</v>
      </c>
      <c r="K1117" s="11">
        <v>46195.67150462963</v>
      </c>
      <c r="M1117">
        <v>443</v>
      </c>
      <c r="N1117" t="s">
        <v>867</v>
      </c>
      <c r="O1117">
        <v>0</v>
      </c>
      <c r="P1117" s="5"/>
      <c r="Q1117" s="10">
        <f>INT(Tabela1[[#This Row],[DATA]])</f>
        <v>46195</v>
      </c>
      <c r="R1117" s="14" t="str">
        <f ca="1">IF(AND(Q1117&gt;=TODAY()-WEEKDAY(TODAY(),2)+1,Q1117&lt;TODAY()),"SIM","NÃO")</f>
        <v>NÃO</v>
      </c>
    </row>
    <row r="1118" spans="1:18" hidden="1">
      <c r="A1118" t="s">
        <v>2541</v>
      </c>
      <c r="B1118" t="s">
        <v>388</v>
      </c>
      <c r="C1118">
        <v>300270309</v>
      </c>
      <c r="D1118">
        <v>16445015</v>
      </c>
      <c r="E1118" t="s">
        <v>37</v>
      </c>
      <c r="F1118" t="s">
        <v>2556</v>
      </c>
      <c r="G1118">
        <v>2</v>
      </c>
      <c r="H1118" t="s">
        <v>2313</v>
      </c>
      <c r="J1118" t="s">
        <v>2124</v>
      </c>
      <c r="K1118" s="11">
        <v>46195.672789351855</v>
      </c>
      <c r="M1118">
        <v>444</v>
      </c>
      <c r="N1118" t="s">
        <v>867</v>
      </c>
      <c r="O1118">
        <v>0</v>
      </c>
      <c r="P1118" s="5"/>
      <c r="Q1118" s="10">
        <f>INT(Tabela1[[#This Row],[DATA]])</f>
        <v>46195</v>
      </c>
      <c r="R1118" s="14" t="str">
        <f ca="1">IF(AND(Q1118&gt;=TODAY()-WEEKDAY(TODAY(),2)+1,Q1118&lt;TODAY()),"SIM","NÃO")</f>
        <v>NÃO</v>
      </c>
    </row>
    <row r="1119" spans="1:18" hidden="1">
      <c r="A1119" t="s">
        <v>2702</v>
      </c>
      <c r="B1119" t="s">
        <v>482</v>
      </c>
      <c r="C1119">
        <v>300271858</v>
      </c>
      <c r="D1119">
        <v>15773469</v>
      </c>
      <c r="E1119" t="s">
        <v>37</v>
      </c>
      <c r="F1119" t="s">
        <v>2556</v>
      </c>
      <c r="G1119">
        <v>6</v>
      </c>
      <c r="H1119" t="s">
        <v>2892</v>
      </c>
      <c r="J1119" t="s">
        <v>2893</v>
      </c>
      <c r="K1119" s="11">
        <v>46195.692615740743</v>
      </c>
      <c r="M1119">
        <v>445</v>
      </c>
      <c r="N1119" t="s">
        <v>867</v>
      </c>
      <c r="O1119">
        <v>214516</v>
      </c>
      <c r="P1119" s="5"/>
      <c r="Q1119" s="10">
        <f>INT(Tabela1[[#This Row],[DATA]])</f>
        <v>46195</v>
      </c>
      <c r="R1119" s="14" t="str">
        <f ca="1">IF(AND(Q1119&gt;=TODAY()-WEEKDAY(TODAY(),2)+1,Q1119&lt;TODAY()),"SIM","NÃO")</f>
        <v>NÃO</v>
      </c>
    </row>
    <row r="1120" spans="1:18" hidden="1">
      <c r="A1120" t="s">
        <v>2656</v>
      </c>
      <c r="B1120" t="s">
        <v>119</v>
      </c>
      <c r="C1120">
        <v>300267991</v>
      </c>
      <c r="D1120">
        <v>16523741</v>
      </c>
      <c r="E1120" t="s">
        <v>37</v>
      </c>
      <c r="F1120" t="s">
        <v>971</v>
      </c>
      <c r="G1120" t="s">
        <v>2894</v>
      </c>
      <c r="H1120" t="s">
        <v>2895</v>
      </c>
      <c r="J1120" t="s">
        <v>2896</v>
      </c>
      <c r="K1120" s="11">
        <v>46195.706111111111</v>
      </c>
      <c r="M1120">
        <v>446</v>
      </c>
      <c r="N1120" t="s">
        <v>867</v>
      </c>
      <c r="O1120">
        <v>0</v>
      </c>
      <c r="P1120" s="5"/>
      <c r="Q1120" s="10">
        <f>INT(Tabela1[[#This Row],[DATA]])</f>
        <v>46195</v>
      </c>
      <c r="R1120" s="14" t="str">
        <f ca="1">IF(AND(Q1120&gt;=TODAY()-WEEKDAY(TODAY(),2)+1,Q1120&lt;TODAY()),"SIM","NÃO")</f>
        <v>NÃO</v>
      </c>
    </row>
    <row r="1121" spans="1:18" hidden="1">
      <c r="A1121" t="s">
        <v>143</v>
      </c>
      <c r="B1121" t="s">
        <v>144</v>
      </c>
      <c r="C1121">
        <v>300271680</v>
      </c>
      <c r="D1121">
        <v>16222326</v>
      </c>
      <c r="E1121" t="s">
        <v>45</v>
      </c>
      <c r="F1121" t="s">
        <v>1287</v>
      </c>
      <c r="G1121">
        <v>1000</v>
      </c>
      <c r="H1121" t="s">
        <v>644</v>
      </c>
      <c r="K1121" s="11">
        <v>46195.731145833335</v>
      </c>
      <c r="M1121">
        <v>447</v>
      </c>
      <c r="N1121" t="s">
        <v>878</v>
      </c>
      <c r="O1121">
        <v>0</v>
      </c>
      <c r="P1121" s="5"/>
      <c r="Q1121" s="10">
        <f>INT(Tabela1[[#This Row],[DATA]])</f>
        <v>46195</v>
      </c>
      <c r="R1121" s="14" t="str">
        <f ca="1">IF(AND(Q1121&gt;=TODAY()-WEEKDAY(TODAY(),2)+1,Q1121&lt;TODAY()),"SIM","NÃO")</f>
        <v>NÃO</v>
      </c>
    </row>
    <row r="1122" spans="1:18" hidden="1">
      <c r="A1122" t="s">
        <v>185</v>
      </c>
      <c r="B1122" t="s">
        <v>1625</v>
      </c>
      <c r="C1122">
        <v>300271123</v>
      </c>
      <c r="D1122">
        <v>16497767</v>
      </c>
      <c r="E1122" t="s">
        <v>37</v>
      </c>
      <c r="F1122" t="s">
        <v>177</v>
      </c>
      <c r="G1122">
        <v>89</v>
      </c>
      <c r="H1122" t="s">
        <v>1771</v>
      </c>
      <c r="K1122" s="11">
        <v>46195.734351851854</v>
      </c>
      <c r="M1122">
        <v>448</v>
      </c>
      <c r="N1122" t="s">
        <v>867</v>
      </c>
      <c r="O1122" t="s">
        <v>2897</v>
      </c>
      <c r="P1122" s="5"/>
      <c r="Q1122" s="10">
        <f>INT(Tabela1[[#This Row],[DATA]])</f>
        <v>46195</v>
      </c>
      <c r="R1122" s="14" t="str">
        <f ca="1">IF(AND(Q1122&gt;=TODAY()-WEEKDAY(TODAY(),2)+1,Q1122&lt;TODAY()),"SIM","NÃO")</f>
        <v>NÃO</v>
      </c>
    </row>
    <row r="1123" spans="1:18" hidden="1">
      <c r="A1123" t="s">
        <v>541</v>
      </c>
      <c r="B1123" t="s">
        <v>542</v>
      </c>
      <c r="C1123">
        <v>300000000</v>
      </c>
      <c r="D1123">
        <v>30000000</v>
      </c>
      <c r="E1123" t="s">
        <v>45</v>
      </c>
      <c r="F1123" t="s">
        <v>1287</v>
      </c>
      <c r="G1123">
        <v>15</v>
      </c>
      <c r="H1123" t="s">
        <v>2898</v>
      </c>
      <c r="J1123" t="s">
        <v>2899</v>
      </c>
      <c r="K1123" s="11">
        <v>46195.734479166669</v>
      </c>
      <c r="M1123">
        <v>449</v>
      </c>
      <c r="N1123" t="s">
        <v>878</v>
      </c>
      <c r="O1123">
        <v>0</v>
      </c>
      <c r="P1123" s="5"/>
      <c r="Q1123" s="10">
        <f>INT(Tabela1[[#This Row],[DATA]])</f>
        <v>46195</v>
      </c>
      <c r="R1123" s="14" t="str">
        <f ca="1">IF(AND(Q1123&gt;=TODAY()-WEEKDAY(TODAY(),2)+1,Q1123&lt;TODAY()),"SIM","NÃO")</f>
        <v>NÃO</v>
      </c>
    </row>
    <row r="1124" spans="1:18" hidden="1">
      <c r="A1124" t="s">
        <v>123</v>
      </c>
      <c r="B1124" t="s">
        <v>124</v>
      </c>
      <c r="C1124">
        <v>300269314</v>
      </c>
      <c r="D1124">
        <v>16470834</v>
      </c>
      <c r="E1124" t="s">
        <v>37</v>
      </c>
      <c r="F1124" t="s">
        <v>315</v>
      </c>
      <c r="G1124">
        <v>15</v>
      </c>
      <c r="H1124" t="s">
        <v>2900</v>
      </c>
      <c r="J1124" t="s">
        <v>2901</v>
      </c>
      <c r="K1124" s="11">
        <v>46196.304583333331</v>
      </c>
      <c r="M1124">
        <v>450</v>
      </c>
      <c r="N1124" t="s">
        <v>878</v>
      </c>
      <c r="O1124" t="s">
        <v>2902</v>
      </c>
      <c r="P1124" s="5"/>
      <c r="Q1124" s="10">
        <f>INT(Tabela1[[#This Row],[DATA]])</f>
        <v>46196</v>
      </c>
      <c r="R1124" s="14" t="str">
        <f ca="1">IF(AND(Q1124&gt;=TODAY()-WEEKDAY(TODAY(),2)+1,Q1124&lt;TODAY()),"SIM","NÃO")</f>
        <v>NÃO</v>
      </c>
    </row>
    <row r="1125" spans="1:18" hidden="1">
      <c r="A1125" t="s">
        <v>2903</v>
      </c>
      <c r="B1125" t="s">
        <v>846</v>
      </c>
      <c r="C1125">
        <v>300274230</v>
      </c>
      <c r="D1125">
        <v>16217403</v>
      </c>
      <c r="E1125" t="s">
        <v>37</v>
      </c>
      <c r="F1125" t="s">
        <v>90</v>
      </c>
      <c r="G1125">
        <v>1050</v>
      </c>
      <c r="H1125" t="s">
        <v>2904</v>
      </c>
      <c r="K1125" s="11">
        <v>46196.32540509259</v>
      </c>
      <c r="M1125">
        <v>451</v>
      </c>
      <c r="N1125" t="s">
        <v>878</v>
      </c>
      <c r="O1125" t="s">
        <v>848</v>
      </c>
      <c r="P1125" s="5"/>
      <c r="Q1125" s="10">
        <f>INT(Tabela1[[#This Row],[DATA]])</f>
        <v>46196</v>
      </c>
      <c r="R1125" s="14" t="str">
        <f ca="1">IF(AND(Q1125&gt;=TODAY()-WEEKDAY(TODAY(),2)+1,Q1125&lt;TODAY()),"SIM","NÃO")</f>
        <v>NÃO</v>
      </c>
    </row>
    <row r="1126" spans="1:18" hidden="1">
      <c r="A1126" t="s">
        <v>2905</v>
      </c>
      <c r="B1126" t="s">
        <v>2906</v>
      </c>
      <c r="C1126">
        <v>300271828</v>
      </c>
      <c r="D1126">
        <v>15773469</v>
      </c>
      <c r="E1126" t="s">
        <v>37</v>
      </c>
      <c r="F1126" t="s">
        <v>2556</v>
      </c>
      <c r="G1126">
        <v>35</v>
      </c>
      <c r="H1126" t="s">
        <v>2907</v>
      </c>
      <c r="J1126" t="s">
        <v>2908</v>
      </c>
      <c r="K1126" s="11">
        <v>46196.326701388891</v>
      </c>
      <c r="M1126">
        <v>452</v>
      </c>
      <c r="N1126" t="s">
        <v>867</v>
      </c>
      <c r="O1126">
        <v>1</v>
      </c>
      <c r="P1126" s="5"/>
      <c r="Q1126" s="10">
        <f>INT(Tabela1[[#This Row],[DATA]])</f>
        <v>46196</v>
      </c>
      <c r="R1126" s="14" t="str">
        <f ca="1">IF(AND(Q1126&gt;=TODAY()-WEEKDAY(TODAY(),2)+1,Q1126&lt;TODAY()),"SIM","NÃO")</f>
        <v>NÃO</v>
      </c>
    </row>
    <row r="1127" spans="1:18" hidden="1">
      <c r="A1127" t="s">
        <v>163</v>
      </c>
      <c r="B1127" t="s">
        <v>164</v>
      </c>
      <c r="C1127">
        <v>300269514</v>
      </c>
      <c r="D1127">
        <v>16481577</v>
      </c>
      <c r="E1127" t="s">
        <v>45</v>
      </c>
      <c r="F1127" t="s">
        <v>64</v>
      </c>
      <c r="G1127">
        <v>140</v>
      </c>
      <c r="H1127" t="s">
        <v>2766</v>
      </c>
      <c r="J1127" t="s">
        <v>2766</v>
      </c>
      <c r="K1127" s="11">
        <v>46196.340636574074</v>
      </c>
      <c r="M1127">
        <v>453</v>
      </c>
      <c r="N1127" t="s">
        <v>867</v>
      </c>
      <c r="O1127">
        <v>0</v>
      </c>
      <c r="P1127" s="5"/>
      <c r="Q1127" s="10">
        <f>INT(Tabela1[[#This Row],[DATA]])</f>
        <v>46196</v>
      </c>
      <c r="R1127" s="14" t="str">
        <f ca="1">IF(AND(Q1127&gt;=TODAY()-WEEKDAY(TODAY(),2)+1,Q1127&lt;TODAY()),"SIM","NÃO")</f>
        <v>NÃO</v>
      </c>
    </row>
    <row r="1128" spans="1:18" hidden="1">
      <c r="A1128" t="s">
        <v>185</v>
      </c>
      <c r="B1128" t="s">
        <v>1625</v>
      </c>
      <c r="C1128">
        <v>300268611</v>
      </c>
      <c r="D1128">
        <v>16473825</v>
      </c>
      <c r="E1128" t="s">
        <v>37</v>
      </c>
      <c r="F1128" t="s">
        <v>2556</v>
      </c>
      <c r="G1128">
        <v>6</v>
      </c>
      <c r="H1128" t="s">
        <v>2137</v>
      </c>
      <c r="K1128" s="11">
        <v>46196.341006944444</v>
      </c>
      <c r="M1128">
        <v>454</v>
      </c>
      <c r="N1128" t="s">
        <v>867</v>
      </c>
      <c r="O1128">
        <v>0</v>
      </c>
      <c r="P1128" s="5"/>
      <c r="Q1128" s="10">
        <f>INT(Tabela1[[#This Row],[DATA]])</f>
        <v>46196</v>
      </c>
      <c r="R1128" s="14" t="str">
        <f ca="1">IF(AND(Q1128&gt;=TODAY()-WEEKDAY(TODAY(),2)+1,Q1128&lt;TODAY()),"SIM","NÃO")</f>
        <v>NÃO</v>
      </c>
    </row>
    <row r="1129" spans="1:18" hidden="1">
      <c r="A1129" t="s">
        <v>163</v>
      </c>
      <c r="B1129" t="s">
        <v>164</v>
      </c>
      <c r="C1129">
        <v>300272166</v>
      </c>
      <c r="D1129">
        <v>15128288</v>
      </c>
      <c r="E1129" t="s">
        <v>29</v>
      </c>
      <c r="F1129" t="s">
        <v>430</v>
      </c>
      <c r="G1129">
        <v>50</v>
      </c>
      <c r="H1129" t="s">
        <v>2292</v>
      </c>
      <c r="J1129" t="s">
        <v>2909</v>
      </c>
      <c r="K1129" s="11">
        <v>46196.341770833336</v>
      </c>
      <c r="M1129">
        <v>455</v>
      </c>
      <c r="N1129" t="s">
        <v>867</v>
      </c>
      <c r="O1129">
        <v>0</v>
      </c>
      <c r="P1129" s="5"/>
      <c r="Q1129" s="10">
        <f>INT(Tabela1[[#This Row],[DATA]])</f>
        <v>46196</v>
      </c>
      <c r="R1129" s="14" t="str">
        <f ca="1">IF(AND(Q1129&gt;=TODAY()-WEEKDAY(TODAY(),2)+1,Q1129&lt;TODAY()),"SIM","NÃO")</f>
        <v>NÃO</v>
      </c>
    </row>
    <row r="1130" spans="1:18" hidden="1">
      <c r="A1130" t="s">
        <v>2610</v>
      </c>
      <c r="B1130" t="s">
        <v>74</v>
      </c>
      <c r="C1130">
        <v>300272639</v>
      </c>
      <c r="D1130">
        <v>16547934</v>
      </c>
      <c r="E1130" t="s">
        <v>20</v>
      </c>
      <c r="F1130" t="s">
        <v>430</v>
      </c>
      <c r="G1130">
        <v>150</v>
      </c>
      <c r="H1130" t="s">
        <v>82</v>
      </c>
      <c r="K1130" s="11">
        <v>46196.347488425927</v>
      </c>
      <c r="M1130">
        <v>456</v>
      </c>
      <c r="N1130" t="s">
        <v>867</v>
      </c>
      <c r="O1130">
        <v>10000183110</v>
      </c>
      <c r="P1130" s="5"/>
      <c r="Q1130" s="10">
        <f>INT(Tabela1[[#This Row],[DATA]])</f>
        <v>46196</v>
      </c>
      <c r="R1130" s="14" t="str">
        <f ca="1">IF(AND(Q1130&gt;=TODAY()-WEEKDAY(TODAY(),2)+1,Q1130&lt;TODAY()),"SIM","NÃO")</f>
        <v>NÃO</v>
      </c>
    </row>
    <row r="1131" spans="1:18" hidden="1">
      <c r="A1131" t="s">
        <v>787</v>
      </c>
      <c r="B1131" t="s">
        <v>788</v>
      </c>
      <c r="C1131">
        <v>300000000</v>
      </c>
      <c r="D1131">
        <v>1000000</v>
      </c>
      <c r="E1131" t="s">
        <v>37</v>
      </c>
      <c r="F1131" t="s">
        <v>90</v>
      </c>
      <c r="G1131">
        <v>10</v>
      </c>
      <c r="H1131" t="s">
        <v>1831</v>
      </c>
      <c r="J1131" t="s">
        <v>2910</v>
      </c>
      <c r="K1131" s="11">
        <v>46196.353831018518</v>
      </c>
      <c r="M1131">
        <v>457</v>
      </c>
      <c r="N1131" t="s">
        <v>878</v>
      </c>
      <c r="O1131">
        <v>0</v>
      </c>
      <c r="P1131" s="5"/>
      <c r="Q1131" s="10">
        <f>INT(Tabela1[[#This Row],[DATA]])</f>
        <v>46196</v>
      </c>
      <c r="R1131" s="14" t="str">
        <f ca="1">IF(AND(Q1131&gt;=TODAY()-WEEKDAY(TODAY(),2)+1,Q1131&lt;TODAY()),"SIM","NÃO")</f>
        <v>NÃO</v>
      </c>
    </row>
    <row r="1132" spans="1:18" hidden="1">
      <c r="A1132" t="s">
        <v>2911</v>
      </c>
      <c r="B1132" t="s">
        <v>2912</v>
      </c>
      <c r="C1132">
        <v>300267520</v>
      </c>
      <c r="D1132">
        <v>16223780</v>
      </c>
      <c r="E1132" t="s">
        <v>45</v>
      </c>
      <c r="F1132" t="s">
        <v>151</v>
      </c>
      <c r="G1132">
        <v>114</v>
      </c>
      <c r="H1132" t="s">
        <v>2913</v>
      </c>
      <c r="J1132">
        <v>14563</v>
      </c>
      <c r="K1132" s="11">
        <v>46196.361643518518</v>
      </c>
      <c r="M1132">
        <v>458</v>
      </c>
      <c r="N1132" t="s">
        <v>867</v>
      </c>
      <c r="O1132">
        <v>14563</v>
      </c>
      <c r="P1132" s="5"/>
      <c r="Q1132" s="10">
        <f>INT(Tabela1[[#This Row],[DATA]])</f>
        <v>46196</v>
      </c>
      <c r="R1132" s="14" t="str">
        <f ca="1">IF(AND(Q1132&gt;=TODAY()-WEEKDAY(TODAY(),2)+1,Q1132&lt;TODAY()),"SIM","NÃO")</f>
        <v>NÃO</v>
      </c>
    </row>
    <row r="1133" spans="1:18" hidden="1">
      <c r="A1133" t="s">
        <v>2774</v>
      </c>
      <c r="B1133" t="s">
        <v>1910</v>
      </c>
      <c r="C1133">
        <v>300270735</v>
      </c>
      <c r="D1133">
        <v>16243919</v>
      </c>
      <c r="E1133" t="s">
        <v>37</v>
      </c>
      <c r="F1133" t="s">
        <v>113</v>
      </c>
      <c r="G1133">
        <v>1</v>
      </c>
      <c r="H1133" t="s">
        <v>2914</v>
      </c>
      <c r="K1133" s="11">
        <v>46196.362951388888</v>
      </c>
      <c r="M1133">
        <v>459</v>
      </c>
      <c r="N1133" t="s">
        <v>878</v>
      </c>
      <c r="O1133" t="s">
        <v>2915</v>
      </c>
      <c r="P1133" s="5"/>
      <c r="Q1133" s="10">
        <f>INT(Tabela1[[#This Row],[DATA]])</f>
        <v>46196</v>
      </c>
      <c r="R1133" s="14" t="str">
        <f ca="1">IF(AND(Q1133&gt;=TODAY()-WEEKDAY(TODAY(),2)+1,Q1133&lt;TODAY()),"SIM","NÃO")</f>
        <v>NÃO</v>
      </c>
    </row>
    <row r="1134" spans="1:18" hidden="1">
      <c r="A1134" t="s">
        <v>2911</v>
      </c>
      <c r="B1134" t="s">
        <v>2912</v>
      </c>
      <c r="C1134">
        <v>300267520</v>
      </c>
      <c r="D1134">
        <v>16223780</v>
      </c>
      <c r="E1134" t="s">
        <v>45</v>
      </c>
      <c r="F1134" t="s">
        <v>151</v>
      </c>
      <c r="G1134">
        <v>114</v>
      </c>
      <c r="H1134" t="s">
        <v>2916</v>
      </c>
      <c r="K1134" s="11">
        <v>46196.363981481481</v>
      </c>
      <c r="M1134">
        <v>460</v>
      </c>
      <c r="N1134" t="s">
        <v>867</v>
      </c>
      <c r="O1134">
        <v>14563</v>
      </c>
      <c r="P1134" s="5"/>
      <c r="Q1134" s="10">
        <f>INT(Tabela1[[#This Row],[DATA]])</f>
        <v>46196</v>
      </c>
      <c r="R1134" s="14" t="str">
        <f ca="1">IF(AND(Q1134&gt;=TODAY()-WEEKDAY(TODAY(),2)+1,Q1134&lt;TODAY()),"SIM","NÃO")</f>
        <v>NÃO</v>
      </c>
    </row>
    <row r="1135" spans="1:18" hidden="1">
      <c r="A1135" t="s">
        <v>253</v>
      </c>
      <c r="B1135" t="s">
        <v>254</v>
      </c>
      <c r="C1135">
        <v>300272630</v>
      </c>
      <c r="D1135">
        <v>14938570</v>
      </c>
      <c r="E1135" t="s">
        <v>45</v>
      </c>
      <c r="F1135" t="s">
        <v>151</v>
      </c>
      <c r="G1135">
        <v>4</v>
      </c>
      <c r="H1135" t="s">
        <v>582</v>
      </c>
      <c r="K1135" s="11">
        <v>46196.366620370369</v>
      </c>
      <c r="M1135">
        <v>461</v>
      </c>
      <c r="N1135" t="s">
        <v>867</v>
      </c>
      <c r="O1135">
        <v>0</v>
      </c>
      <c r="P1135" s="5"/>
      <c r="Q1135" s="10">
        <f>INT(Tabela1[[#This Row],[DATA]])</f>
        <v>46196</v>
      </c>
      <c r="R1135" s="14" t="str">
        <f ca="1">IF(AND(Q1135&gt;=TODAY()-WEEKDAY(TODAY(),2)+1,Q1135&lt;TODAY()),"SIM","NÃO")</f>
        <v>NÃO</v>
      </c>
    </row>
    <row r="1136" spans="1:18" hidden="1">
      <c r="A1136" t="s">
        <v>2754</v>
      </c>
      <c r="B1136" t="s">
        <v>822</v>
      </c>
      <c r="C1136">
        <v>300267464</v>
      </c>
      <c r="D1136">
        <v>15252434</v>
      </c>
      <c r="E1136" t="s">
        <v>37</v>
      </c>
      <c r="F1136" t="s">
        <v>2556</v>
      </c>
      <c r="G1136">
        <v>2</v>
      </c>
      <c r="H1136" t="s">
        <v>2843</v>
      </c>
      <c r="J1136" t="s">
        <v>1269</v>
      </c>
      <c r="K1136" s="11">
        <v>46196.390266203707</v>
      </c>
      <c r="M1136">
        <v>462</v>
      </c>
      <c r="N1136" t="s">
        <v>867</v>
      </c>
      <c r="O1136">
        <v>0</v>
      </c>
      <c r="P1136" s="5"/>
      <c r="Q1136" s="10">
        <f>INT(Tabela1[[#This Row],[DATA]])</f>
        <v>46196</v>
      </c>
      <c r="R1136" s="14" t="str">
        <f ca="1">IF(AND(Q1136&gt;=TODAY()-WEEKDAY(TODAY(),2)+1,Q1136&lt;TODAY()),"SIM","NÃO")</f>
        <v>NÃO</v>
      </c>
    </row>
    <row r="1137" spans="1:18" hidden="1">
      <c r="A1137" t="s">
        <v>2551</v>
      </c>
      <c r="B1137" t="s">
        <v>274</v>
      </c>
      <c r="C1137">
        <v>300271213</v>
      </c>
      <c r="D1137">
        <v>13044826</v>
      </c>
      <c r="E1137" t="s">
        <v>29</v>
      </c>
      <c r="F1137" t="s">
        <v>259</v>
      </c>
      <c r="G1137">
        <v>8</v>
      </c>
      <c r="H1137" t="s">
        <v>2917</v>
      </c>
      <c r="K1137" s="11">
        <v>46196.391006944446</v>
      </c>
      <c r="L1137">
        <v>300271213</v>
      </c>
      <c r="M1137">
        <v>463</v>
      </c>
      <c r="N1137" t="s">
        <v>867</v>
      </c>
      <c r="O1137">
        <v>0</v>
      </c>
      <c r="P1137" s="5"/>
      <c r="Q1137" s="10">
        <f>INT(Tabela1[[#This Row],[DATA]])</f>
        <v>46196</v>
      </c>
      <c r="R1137" s="14" t="str">
        <f ca="1">IF(AND(Q1137&gt;=TODAY()-WEEKDAY(TODAY(),2)+1,Q1137&lt;TODAY()),"SIM","NÃO")</f>
        <v>NÃO</v>
      </c>
    </row>
    <row r="1138" spans="1:18" hidden="1">
      <c r="A1138" t="s">
        <v>305</v>
      </c>
      <c r="B1138" t="s">
        <v>306</v>
      </c>
      <c r="C1138">
        <v>300265091</v>
      </c>
      <c r="D1138">
        <v>15128288</v>
      </c>
      <c r="E1138" t="s">
        <v>29</v>
      </c>
      <c r="F1138" t="s">
        <v>430</v>
      </c>
      <c r="G1138">
        <v>2900</v>
      </c>
      <c r="H1138" t="s">
        <v>2884</v>
      </c>
      <c r="J1138" t="s">
        <v>2918</v>
      </c>
      <c r="K1138" s="11">
        <v>46196.39340277778</v>
      </c>
      <c r="M1138">
        <v>464</v>
      </c>
      <c r="N1138" t="s">
        <v>867</v>
      </c>
      <c r="O1138">
        <v>0</v>
      </c>
      <c r="P1138" s="5"/>
      <c r="Q1138" s="10">
        <f>INT(Tabela1[[#This Row],[DATA]])</f>
        <v>46196</v>
      </c>
      <c r="R1138" s="14" t="str">
        <f ca="1">IF(AND(Q1138&gt;=TODAY()-WEEKDAY(TODAY(),2)+1,Q1138&lt;TODAY()),"SIM","NÃO")</f>
        <v>NÃO</v>
      </c>
    </row>
    <row r="1139" spans="1:18" hidden="1">
      <c r="A1139" t="s">
        <v>163</v>
      </c>
      <c r="B1139" t="s">
        <v>164</v>
      </c>
      <c r="C1139">
        <v>300245142</v>
      </c>
      <c r="D1139">
        <v>16285417</v>
      </c>
      <c r="E1139" t="s">
        <v>37</v>
      </c>
      <c r="F1139" t="s">
        <v>221</v>
      </c>
      <c r="G1139">
        <v>980</v>
      </c>
      <c r="H1139" t="s">
        <v>2919</v>
      </c>
      <c r="J1139" t="s">
        <v>2920</v>
      </c>
      <c r="K1139" s="11">
        <v>46196.400868055556</v>
      </c>
      <c r="M1139">
        <v>465</v>
      </c>
      <c r="N1139" t="s">
        <v>878</v>
      </c>
      <c r="O1139">
        <v>10000195771</v>
      </c>
      <c r="P1139" s="5"/>
      <c r="Q1139" s="10">
        <f>INT(Tabela1[[#This Row],[DATA]])</f>
        <v>46196</v>
      </c>
      <c r="R1139" s="14" t="str">
        <f ca="1">IF(AND(Q1139&gt;=TODAY()-WEEKDAY(TODAY(),2)+1,Q1139&lt;TODAY()),"SIM","NÃO")</f>
        <v>NÃO</v>
      </c>
    </row>
    <row r="1140" spans="1:18" hidden="1">
      <c r="A1140" t="s">
        <v>163</v>
      </c>
      <c r="B1140" t="s">
        <v>164</v>
      </c>
      <c r="C1140">
        <v>300245142</v>
      </c>
      <c r="D1140">
        <v>16285417</v>
      </c>
      <c r="E1140" t="s">
        <v>37</v>
      </c>
      <c r="F1140" t="s">
        <v>216</v>
      </c>
      <c r="G1140">
        <v>989</v>
      </c>
      <c r="H1140" t="s">
        <v>2921</v>
      </c>
      <c r="J1140" t="s">
        <v>2922</v>
      </c>
      <c r="K1140" s="11">
        <v>46196.402222222219</v>
      </c>
      <c r="M1140">
        <v>466</v>
      </c>
      <c r="N1140" t="s">
        <v>878</v>
      </c>
      <c r="O1140">
        <v>0</v>
      </c>
      <c r="P1140" s="5"/>
      <c r="Q1140" s="10">
        <f>INT(Tabela1[[#This Row],[DATA]])</f>
        <v>46196</v>
      </c>
      <c r="R1140" s="14" t="str">
        <f ca="1">IF(AND(Q1140&gt;=TODAY()-WEEKDAY(TODAY(),2)+1,Q1140&lt;TODAY()),"SIM","NÃO")</f>
        <v>NÃO</v>
      </c>
    </row>
    <row r="1141" spans="1:18" hidden="1">
      <c r="A1141" t="s">
        <v>2650</v>
      </c>
      <c r="B1141" t="s">
        <v>137</v>
      </c>
      <c r="C1141">
        <v>300269501</v>
      </c>
      <c r="D1141">
        <v>16462947</v>
      </c>
      <c r="E1141" t="s">
        <v>45</v>
      </c>
      <c r="F1141" t="s">
        <v>64</v>
      </c>
      <c r="G1141">
        <v>90</v>
      </c>
      <c r="H1141" t="s">
        <v>2557</v>
      </c>
      <c r="K1141" s="11">
        <v>46196.479884259257</v>
      </c>
      <c r="M1141">
        <v>467</v>
      </c>
      <c r="N1141" t="s">
        <v>867</v>
      </c>
      <c r="O1141" t="s">
        <v>138</v>
      </c>
      <c r="P1141" s="5"/>
      <c r="Q1141" s="10">
        <f>INT(Tabela1[[#This Row],[DATA]])</f>
        <v>46196</v>
      </c>
      <c r="R1141" s="14" t="str">
        <f ca="1">IF(AND(Q1141&gt;=TODAY()-WEEKDAY(TODAY(),2)+1,Q1141&lt;TODAY()),"SIM","NÃO")</f>
        <v>NÃO</v>
      </c>
    </row>
    <row r="1142" spans="1:18" hidden="1">
      <c r="A1142" t="s">
        <v>2551</v>
      </c>
      <c r="B1142" t="s">
        <v>274</v>
      </c>
      <c r="C1142">
        <v>300274885</v>
      </c>
      <c r="D1142">
        <v>15859096</v>
      </c>
      <c r="E1142" t="s">
        <v>37</v>
      </c>
      <c r="F1142" t="s">
        <v>38</v>
      </c>
      <c r="G1142">
        <v>35</v>
      </c>
      <c r="H1142" t="s">
        <v>2917</v>
      </c>
      <c r="K1142" s="11">
        <v>46196.575740740744</v>
      </c>
      <c r="M1142">
        <v>468</v>
      </c>
      <c r="N1142" t="s">
        <v>867</v>
      </c>
      <c r="O1142">
        <v>0</v>
      </c>
      <c r="P1142" s="5"/>
      <c r="Q1142" s="10">
        <f>INT(Tabela1[[#This Row],[DATA]])</f>
        <v>46196</v>
      </c>
      <c r="R1142" s="14" t="str">
        <f ca="1">IF(AND(Q1142&gt;=TODAY()-WEEKDAY(TODAY(),2)+1,Q1142&lt;TODAY()),"SIM","NÃO")</f>
        <v>NÃO</v>
      </c>
    </row>
    <row r="1143" spans="1:18" hidden="1">
      <c r="A1143" t="s">
        <v>2551</v>
      </c>
      <c r="B1143" t="s">
        <v>274</v>
      </c>
      <c r="C1143">
        <v>300274882</v>
      </c>
      <c r="D1143">
        <v>15859096</v>
      </c>
      <c r="E1143" t="s">
        <v>37</v>
      </c>
      <c r="F1143" t="s">
        <v>38</v>
      </c>
      <c r="G1143">
        <v>35</v>
      </c>
      <c r="H1143" t="s">
        <v>2923</v>
      </c>
      <c r="K1143" s="11">
        <v>46196.577118055553</v>
      </c>
      <c r="M1143">
        <v>469</v>
      </c>
      <c r="N1143" t="s">
        <v>867</v>
      </c>
      <c r="O1143">
        <v>0</v>
      </c>
      <c r="P1143" s="5"/>
      <c r="Q1143" s="10">
        <f>INT(Tabela1[[#This Row],[DATA]])</f>
        <v>46196</v>
      </c>
      <c r="R1143" s="14" t="str">
        <f ca="1">IF(AND(Q1143&gt;=TODAY()-WEEKDAY(TODAY(),2)+1,Q1143&lt;TODAY()),"SIM","NÃO")</f>
        <v>NÃO</v>
      </c>
    </row>
    <row r="1144" spans="1:18" hidden="1">
      <c r="A1144" t="s">
        <v>163</v>
      </c>
      <c r="B1144" t="s">
        <v>164</v>
      </c>
      <c r="C1144">
        <v>300271268</v>
      </c>
      <c r="D1144">
        <v>16114159</v>
      </c>
      <c r="E1144" t="s">
        <v>37</v>
      </c>
      <c r="F1144" t="s">
        <v>221</v>
      </c>
      <c r="G1144">
        <v>458</v>
      </c>
      <c r="H1144" t="s">
        <v>2924</v>
      </c>
      <c r="J1144" t="s">
        <v>2925</v>
      </c>
      <c r="K1144" s="11">
        <v>46196.597511574073</v>
      </c>
      <c r="M1144">
        <v>470</v>
      </c>
      <c r="N1144" t="s">
        <v>867</v>
      </c>
      <c r="O1144">
        <v>10000195771</v>
      </c>
      <c r="P1144" s="5"/>
      <c r="Q1144" s="10">
        <f>INT(Tabela1[[#This Row],[DATA]])</f>
        <v>46196</v>
      </c>
      <c r="R1144" s="14" t="str">
        <f ca="1">IF(AND(Q1144&gt;=TODAY()-WEEKDAY(TODAY(),2)+1,Q1144&lt;TODAY()),"SIM","NÃO")</f>
        <v>NÃO</v>
      </c>
    </row>
    <row r="1145" spans="1:18" hidden="1">
      <c r="A1145" t="s">
        <v>313</v>
      </c>
      <c r="B1145" t="s">
        <v>314</v>
      </c>
      <c r="C1145">
        <v>300274355</v>
      </c>
      <c r="D1145">
        <v>15898008</v>
      </c>
      <c r="E1145" t="s">
        <v>45</v>
      </c>
      <c r="F1145" t="s">
        <v>2580</v>
      </c>
      <c r="G1145">
        <v>1350</v>
      </c>
      <c r="H1145" t="s">
        <v>2926</v>
      </c>
      <c r="J1145" t="s">
        <v>2927</v>
      </c>
      <c r="K1145" s="11">
        <v>46196.598668981482</v>
      </c>
      <c r="M1145">
        <v>471</v>
      </c>
      <c r="N1145" t="s">
        <v>878</v>
      </c>
      <c r="O1145">
        <v>0</v>
      </c>
      <c r="P1145" s="5"/>
      <c r="Q1145" s="10">
        <f>INT(Tabela1[[#This Row],[DATA]])</f>
        <v>46196</v>
      </c>
      <c r="R1145" s="14" t="str">
        <f ca="1">IF(AND(Q1145&gt;=TODAY()-WEEKDAY(TODAY(),2)+1,Q1145&lt;TODAY()),"SIM","NÃO")</f>
        <v>NÃO</v>
      </c>
    </row>
    <row r="1146" spans="1:18" hidden="1">
      <c r="A1146" t="s">
        <v>2775</v>
      </c>
      <c r="B1146" t="s">
        <v>512</v>
      </c>
      <c r="C1146">
        <v>300270485</v>
      </c>
      <c r="D1146">
        <v>16017315</v>
      </c>
      <c r="E1146" t="s">
        <v>45</v>
      </c>
      <c r="F1146" t="s">
        <v>2598</v>
      </c>
      <c r="G1146">
        <v>300</v>
      </c>
      <c r="H1146" t="s">
        <v>2928</v>
      </c>
      <c r="J1146" t="s">
        <v>2929</v>
      </c>
      <c r="K1146" s="11">
        <v>46196.610810185186</v>
      </c>
      <c r="M1146">
        <v>472</v>
      </c>
      <c r="N1146" t="s">
        <v>867</v>
      </c>
      <c r="O1146" t="s">
        <v>2778</v>
      </c>
      <c r="P1146" s="5"/>
      <c r="Q1146" s="10">
        <f>INT(Tabela1[[#This Row],[DATA]])</f>
        <v>46196</v>
      </c>
      <c r="R1146" s="14" t="str">
        <f ca="1">IF(AND(Q1146&gt;=TODAY()-WEEKDAY(TODAY(),2)+1,Q1146&lt;TODAY()),"SIM","NÃO")</f>
        <v>NÃO</v>
      </c>
    </row>
    <row r="1147" spans="1:18" hidden="1">
      <c r="A1147" t="s">
        <v>2765</v>
      </c>
      <c r="B1147" t="s">
        <v>107</v>
      </c>
      <c r="C1147">
        <v>300269514</v>
      </c>
      <c r="D1147">
        <v>16481577</v>
      </c>
      <c r="E1147" t="s">
        <v>45</v>
      </c>
      <c r="F1147" t="s">
        <v>64</v>
      </c>
      <c r="G1147">
        <v>260</v>
      </c>
      <c r="H1147" t="s">
        <v>2292</v>
      </c>
      <c r="J1147" t="s">
        <v>2930</v>
      </c>
      <c r="K1147" s="11">
        <v>46196.61378472222</v>
      </c>
      <c r="M1147">
        <v>473</v>
      </c>
      <c r="N1147" t="s">
        <v>867</v>
      </c>
      <c r="O1147">
        <v>0</v>
      </c>
      <c r="P1147" s="5"/>
      <c r="Q1147" s="10">
        <f>INT(Tabela1[[#This Row],[DATA]])</f>
        <v>46196</v>
      </c>
      <c r="R1147" s="14" t="str">
        <f ca="1">IF(AND(Q1147&gt;=TODAY()-WEEKDAY(TODAY(),2)+1,Q1147&lt;TODAY()),"SIM","NÃO")</f>
        <v>NÃO</v>
      </c>
    </row>
    <row r="1148" spans="1:18" hidden="1">
      <c r="A1148" t="s">
        <v>2765</v>
      </c>
      <c r="B1148" t="s">
        <v>107</v>
      </c>
      <c r="C1148">
        <v>300272179</v>
      </c>
      <c r="D1148">
        <v>16474368</v>
      </c>
      <c r="E1148" t="s">
        <v>45</v>
      </c>
      <c r="F1148" t="s">
        <v>38</v>
      </c>
      <c r="G1148">
        <v>320</v>
      </c>
      <c r="H1148" t="s">
        <v>2880</v>
      </c>
      <c r="J1148" t="s">
        <v>2880</v>
      </c>
      <c r="K1148" s="11">
        <v>46196.615428240744</v>
      </c>
      <c r="M1148">
        <v>474</v>
      </c>
      <c r="N1148" t="s">
        <v>878</v>
      </c>
      <c r="O1148">
        <v>0</v>
      </c>
      <c r="P1148" s="5"/>
      <c r="Q1148" s="10">
        <f>INT(Tabela1[[#This Row],[DATA]])</f>
        <v>46196</v>
      </c>
      <c r="R1148" s="14" t="str">
        <f ca="1">IF(AND(Q1148&gt;=TODAY()-WEEKDAY(TODAY(),2)+1,Q1148&lt;TODAY()),"SIM","NÃO")</f>
        <v>NÃO</v>
      </c>
    </row>
    <row r="1149" spans="1:18" hidden="1">
      <c r="A1149" t="s">
        <v>305</v>
      </c>
      <c r="B1149" t="s">
        <v>306</v>
      </c>
      <c r="C1149">
        <v>300271535</v>
      </c>
      <c r="D1149">
        <v>16243161</v>
      </c>
      <c r="E1149" t="s">
        <v>37</v>
      </c>
      <c r="F1149" t="s">
        <v>60</v>
      </c>
      <c r="G1149">
        <v>5</v>
      </c>
      <c r="H1149" t="s">
        <v>2931</v>
      </c>
      <c r="J1149" t="s">
        <v>2932</v>
      </c>
      <c r="K1149" s="11">
        <v>46196.629050925927</v>
      </c>
      <c r="M1149">
        <v>475</v>
      </c>
      <c r="N1149" t="s">
        <v>867</v>
      </c>
      <c r="O1149">
        <v>0</v>
      </c>
      <c r="P1149" s="5"/>
      <c r="Q1149" s="10">
        <f>INT(Tabela1[[#This Row],[DATA]])</f>
        <v>46196</v>
      </c>
      <c r="R1149" s="14" t="str">
        <f ca="1">IF(AND(Q1149&gt;=TODAY()-WEEKDAY(TODAY(),2)+1,Q1149&lt;TODAY()),"SIM","NÃO")</f>
        <v>NÃO</v>
      </c>
    </row>
    <row r="1150" spans="1:18" hidden="1">
      <c r="A1150" t="s">
        <v>2650</v>
      </c>
      <c r="B1150" t="s">
        <v>137</v>
      </c>
      <c r="C1150">
        <v>300268615</v>
      </c>
      <c r="D1150">
        <v>16473825</v>
      </c>
      <c r="E1150" t="s">
        <v>37</v>
      </c>
      <c r="F1150" t="s">
        <v>2556</v>
      </c>
      <c r="G1150">
        <v>10</v>
      </c>
      <c r="H1150" t="s">
        <v>2073</v>
      </c>
      <c r="K1150" s="11">
        <v>46196.629606481481</v>
      </c>
      <c r="M1150">
        <v>476</v>
      </c>
      <c r="N1150" t="s">
        <v>867</v>
      </c>
      <c r="O1150" t="s">
        <v>138</v>
      </c>
      <c r="P1150" s="5"/>
      <c r="Q1150" s="10">
        <f>INT(Tabela1[[#This Row],[DATA]])</f>
        <v>46196</v>
      </c>
      <c r="R1150" s="14" t="str">
        <f ca="1">IF(AND(Q1150&gt;=TODAY()-WEEKDAY(TODAY(),2)+1,Q1150&lt;TODAY()),"SIM","NÃO")</f>
        <v>NÃO</v>
      </c>
    </row>
    <row r="1151" spans="1:18" hidden="1">
      <c r="A1151" t="s">
        <v>101</v>
      </c>
      <c r="B1151" t="s">
        <v>990</v>
      </c>
      <c r="C1151">
        <v>300271747</v>
      </c>
      <c r="D1151">
        <v>15699811</v>
      </c>
      <c r="E1151" t="s">
        <v>37</v>
      </c>
      <c r="F1151" t="s">
        <v>38</v>
      </c>
      <c r="G1151">
        <v>6</v>
      </c>
      <c r="H1151" t="s">
        <v>2933</v>
      </c>
      <c r="J1151" t="s">
        <v>2934</v>
      </c>
      <c r="K1151" s="11">
        <v>46196.637106481481</v>
      </c>
      <c r="M1151">
        <v>477</v>
      </c>
      <c r="N1151" t="s">
        <v>867</v>
      </c>
      <c r="O1151">
        <v>0</v>
      </c>
      <c r="P1151" s="5"/>
      <c r="Q1151" s="10">
        <f>INT(Tabela1[[#This Row],[DATA]])</f>
        <v>46196</v>
      </c>
      <c r="R1151" s="14" t="str">
        <f ca="1">IF(AND(Q1151&gt;=TODAY()-WEEKDAY(TODAY(),2)+1,Q1151&lt;TODAY()),"SIM","NÃO")</f>
        <v>NÃO</v>
      </c>
    </row>
    <row r="1152" spans="1:18" hidden="1">
      <c r="A1152" t="s">
        <v>2541</v>
      </c>
      <c r="B1152" t="s">
        <v>388</v>
      </c>
      <c r="C1152">
        <v>300269752</v>
      </c>
      <c r="D1152">
        <v>16244052</v>
      </c>
      <c r="E1152" t="s">
        <v>37</v>
      </c>
      <c r="F1152" t="s">
        <v>216</v>
      </c>
      <c r="G1152">
        <v>272</v>
      </c>
      <c r="H1152" t="s">
        <v>2313</v>
      </c>
      <c r="J1152" t="s">
        <v>2935</v>
      </c>
      <c r="K1152" s="11">
        <v>46196.670995370368</v>
      </c>
      <c r="M1152">
        <v>478</v>
      </c>
      <c r="N1152" t="s">
        <v>867</v>
      </c>
      <c r="O1152">
        <v>0</v>
      </c>
      <c r="P1152" s="5"/>
      <c r="Q1152" s="10">
        <f>INT(Tabela1[[#This Row],[DATA]])</f>
        <v>46196</v>
      </c>
      <c r="R1152" s="14" t="str">
        <f ca="1">IF(AND(Q1152&gt;=TODAY()-WEEKDAY(TODAY(),2)+1,Q1152&lt;TODAY()),"SIM","NÃO")</f>
        <v>NÃO</v>
      </c>
    </row>
    <row r="1153" spans="1:18" hidden="1">
      <c r="A1153" t="s">
        <v>2578</v>
      </c>
      <c r="B1153" t="s">
        <v>69</v>
      </c>
      <c r="C1153">
        <v>300261467</v>
      </c>
      <c r="D1153">
        <v>15420000</v>
      </c>
      <c r="E1153" t="s">
        <v>37</v>
      </c>
      <c r="F1153" t="s">
        <v>216</v>
      </c>
      <c r="G1153">
        <v>500</v>
      </c>
      <c r="H1153" t="s">
        <v>2936</v>
      </c>
      <c r="K1153" s="11">
        <v>46196.671875</v>
      </c>
      <c r="M1153">
        <v>479</v>
      </c>
      <c r="N1153" t="s">
        <v>867</v>
      </c>
      <c r="O1153">
        <v>15420000</v>
      </c>
      <c r="P1153" s="5"/>
      <c r="Q1153" s="10">
        <f>INT(Tabela1[[#This Row],[DATA]])</f>
        <v>46196</v>
      </c>
      <c r="R1153" s="14" t="str">
        <f ca="1">IF(AND(Q1153&gt;=TODAY()-WEEKDAY(TODAY(),2)+1,Q1153&lt;TODAY()),"SIM","NÃO")</f>
        <v>NÃO</v>
      </c>
    </row>
    <row r="1154" spans="1:18" hidden="1">
      <c r="A1154" t="s">
        <v>2578</v>
      </c>
      <c r="B1154" t="s">
        <v>69</v>
      </c>
      <c r="C1154">
        <v>300261467</v>
      </c>
      <c r="D1154">
        <v>15420000</v>
      </c>
      <c r="E1154" t="s">
        <v>37</v>
      </c>
      <c r="F1154" t="s">
        <v>203</v>
      </c>
      <c r="G1154">
        <v>500</v>
      </c>
      <c r="H1154" t="s">
        <v>2936</v>
      </c>
      <c r="K1154" s="11">
        <v>46196.673113425924</v>
      </c>
      <c r="M1154">
        <v>480</v>
      </c>
      <c r="N1154" t="s">
        <v>867</v>
      </c>
      <c r="O1154">
        <v>15420000</v>
      </c>
      <c r="P1154" s="5"/>
      <c r="Q1154" s="10">
        <f>INT(Tabela1[[#This Row],[DATA]])</f>
        <v>46196</v>
      </c>
      <c r="R1154" s="14" t="str">
        <f ca="1">IF(AND(Q1154&gt;=TODAY()-WEEKDAY(TODAY(),2)+1,Q1154&lt;TODAY()),"SIM","NÃO")</f>
        <v>NÃO</v>
      </c>
    </row>
    <row r="1155" spans="1:18" hidden="1">
      <c r="A1155" t="s">
        <v>2551</v>
      </c>
      <c r="B1155" t="s">
        <v>274</v>
      </c>
      <c r="C1155">
        <v>300273702</v>
      </c>
      <c r="D1155">
        <v>16215176</v>
      </c>
      <c r="E1155" t="s">
        <v>37</v>
      </c>
      <c r="F1155" t="s">
        <v>38</v>
      </c>
      <c r="G1155">
        <v>30</v>
      </c>
      <c r="H1155" t="s">
        <v>555</v>
      </c>
      <c r="K1155" s="11">
        <v>46196.679224537038</v>
      </c>
      <c r="M1155">
        <v>481</v>
      </c>
      <c r="N1155" t="s">
        <v>867</v>
      </c>
      <c r="O1155">
        <v>0</v>
      </c>
      <c r="P1155" s="5"/>
      <c r="Q1155" s="10">
        <f>INT(Tabela1[[#This Row],[DATA]])</f>
        <v>46196</v>
      </c>
      <c r="R1155" s="14" t="str">
        <f ca="1">IF(AND(Q1155&gt;=TODAY()-WEEKDAY(TODAY(),2)+1,Q1155&lt;TODAY()),"SIM","NÃO")</f>
        <v>NÃO</v>
      </c>
    </row>
    <row r="1156" spans="1:18" hidden="1">
      <c r="A1156" t="s">
        <v>2903</v>
      </c>
      <c r="B1156" t="s">
        <v>846</v>
      </c>
      <c r="C1156">
        <v>300272969</v>
      </c>
      <c r="D1156">
        <v>15711854</v>
      </c>
      <c r="E1156" t="s">
        <v>37</v>
      </c>
      <c r="F1156" t="s">
        <v>216</v>
      </c>
      <c r="G1156">
        <v>25</v>
      </c>
      <c r="H1156" t="s">
        <v>2937</v>
      </c>
      <c r="K1156" s="11">
        <v>46196.680925925924</v>
      </c>
      <c r="M1156">
        <v>482</v>
      </c>
      <c r="N1156" t="s">
        <v>867</v>
      </c>
      <c r="O1156" t="s">
        <v>848</v>
      </c>
      <c r="P1156" s="5"/>
      <c r="Q1156" s="10">
        <f>INT(Tabela1[[#This Row],[DATA]])</f>
        <v>46196</v>
      </c>
      <c r="R1156" s="14" t="str">
        <f ca="1">IF(AND(Q1156&gt;=TODAY()-WEEKDAY(TODAY(),2)+1,Q1156&lt;TODAY()),"SIM","NÃO")</f>
        <v>NÃO</v>
      </c>
    </row>
    <row r="1157" spans="1:18" hidden="1">
      <c r="A1157" t="s">
        <v>2551</v>
      </c>
      <c r="B1157" t="s">
        <v>274</v>
      </c>
      <c r="C1157">
        <v>300273703</v>
      </c>
      <c r="D1157">
        <v>16215176</v>
      </c>
      <c r="E1157" t="s">
        <v>37</v>
      </c>
      <c r="F1157" t="s">
        <v>38</v>
      </c>
      <c r="G1157">
        <v>30</v>
      </c>
      <c r="H1157" t="s">
        <v>555</v>
      </c>
      <c r="K1157" s="11">
        <v>46196.680949074071</v>
      </c>
      <c r="M1157">
        <v>483</v>
      </c>
      <c r="N1157" t="s">
        <v>867</v>
      </c>
      <c r="O1157">
        <v>0</v>
      </c>
      <c r="P1157" s="5"/>
      <c r="Q1157" s="10">
        <f>INT(Tabela1[[#This Row],[DATA]])</f>
        <v>46196</v>
      </c>
      <c r="R1157" s="14" t="str">
        <f ca="1">IF(AND(Q1157&gt;=TODAY()-WEEKDAY(TODAY(),2)+1,Q1157&lt;TODAY()),"SIM","NÃO")</f>
        <v>NÃO</v>
      </c>
    </row>
    <row r="1158" spans="1:18" hidden="1">
      <c r="A1158" t="s">
        <v>1154</v>
      </c>
      <c r="B1158" t="s">
        <v>1155</v>
      </c>
      <c r="C1158">
        <v>300274642</v>
      </c>
      <c r="D1158">
        <v>16423798</v>
      </c>
      <c r="E1158" t="s">
        <v>37</v>
      </c>
      <c r="F1158" t="s">
        <v>90</v>
      </c>
      <c r="G1158">
        <v>1162</v>
      </c>
      <c r="H1158" t="s">
        <v>2938</v>
      </c>
      <c r="J1158" t="s">
        <v>2939</v>
      </c>
      <c r="K1158" s="11">
        <v>46196.683379629627</v>
      </c>
      <c r="M1158">
        <v>484</v>
      </c>
      <c r="N1158" t="s">
        <v>878</v>
      </c>
      <c r="O1158">
        <v>0</v>
      </c>
      <c r="P1158" s="5"/>
      <c r="Q1158" s="10">
        <f>INT(Tabela1[[#This Row],[DATA]])</f>
        <v>46196</v>
      </c>
      <c r="R1158" s="14" t="str">
        <f ca="1">IF(AND(Q1158&gt;=TODAY()-WEEKDAY(TODAY(),2)+1,Q1158&lt;TODAY()),"SIM","NÃO")</f>
        <v>NÃO</v>
      </c>
    </row>
    <row r="1159" spans="1:18" hidden="1">
      <c r="A1159" t="s">
        <v>1154</v>
      </c>
      <c r="B1159" t="s">
        <v>1155</v>
      </c>
      <c r="C1159">
        <v>300274642</v>
      </c>
      <c r="D1159">
        <v>16423798</v>
      </c>
      <c r="E1159" t="s">
        <v>37</v>
      </c>
      <c r="F1159" t="s">
        <v>38</v>
      </c>
      <c r="G1159">
        <v>40</v>
      </c>
      <c r="H1159" t="s">
        <v>1831</v>
      </c>
      <c r="J1159" t="s">
        <v>2940</v>
      </c>
      <c r="K1159" s="11">
        <v>46196.685694444444</v>
      </c>
      <c r="M1159">
        <v>485</v>
      </c>
      <c r="N1159" t="s">
        <v>867</v>
      </c>
      <c r="O1159">
        <v>0</v>
      </c>
      <c r="P1159" s="5"/>
      <c r="Q1159" s="10">
        <f>INT(Tabela1[[#This Row],[DATA]])</f>
        <v>46196</v>
      </c>
      <c r="R1159" s="14" t="str">
        <f ca="1">IF(AND(Q1159&gt;=TODAY()-WEEKDAY(TODAY(),2)+1,Q1159&lt;TODAY()),"SIM","NÃO")</f>
        <v>NÃO</v>
      </c>
    </row>
    <row r="1160" spans="1:18" hidden="1">
      <c r="A1160" t="s">
        <v>2578</v>
      </c>
      <c r="B1160" t="s">
        <v>69</v>
      </c>
      <c r="C1160">
        <v>300261560</v>
      </c>
      <c r="D1160">
        <v>16481577</v>
      </c>
      <c r="E1160" t="s">
        <v>45</v>
      </c>
      <c r="F1160" t="s">
        <v>802</v>
      </c>
      <c r="G1160">
        <v>70</v>
      </c>
      <c r="H1160" t="s">
        <v>2941</v>
      </c>
      <c r="K1160" s="11">
        <v>46196.687754629631</v>
      </c>
      <c r="M1160">
        <v>486</v>
      </c>
      <c r="N1160" t="s">
        <v>867</v>
      </c>
      <c r="O1160">
        <v>16481577</v>
      </c>
      <c r="P1160" s="5"/>
      <c r="Q1160" s="10">
        <f>INT(Tabela1[[#This Row],[DATA]])</f>
        <v>46196</v>
      </c>
      <c r="R1160" s="14" t="str">
        <f ca="1">IF(AND(Q1160&gt;=TODAY()-WEEKDAY(TODAY(),2)+1,Q1160&lt;TODAY()),"SIM","NÃO")</f>
        <v>NÃO</v>
      </c>
    </row>
    <row r="1161" spans="1:18" hidden="1">
      <c r="A1161" t="s">
        <v>253</v>
      </c>
      <c r="B1161" t="s">
        <v>254</v>
      </c>
      <c r="C1161">
        <v>300272959</v>
      </c>
      <c r="D1161">
        <v>15699293</v>
      </c>
      <c r="E1161" t="s">
        <v>37</v>
      </c>
      <c r="F1161" t="s">
        <v>113</v>
      </c>
      <c r="G1161">
        <v>10</v>
      </c>
      <c r="H1161" t="s">
        <v>2942</v>
      </c>
      <c r="J1161" t="s">
        <v>2943</v>
      </c>
      <c r="K1161" s="11">
        <v>46196.704560185186</v>
      </c>
      <c r="M1161">
        <v>487</v>
      </c>
      <c r="N1161" t="s">
        <v>867</v>
      </c>
      <c r="O1161">
        <v>10000063214</v>
      </c>
      <c r="P1161" s="5"/>
      <c r="Q1161" s="10">
        <f>INT(Tabela1[[#This Row],[DATA]])</f>
        <v>46196</v>
      </c>
      <c r="R1161" s="14" t="str">
        <f ca="1">IF(AND(Q1161&gt;=TODAY()-WEEKDAY(TODAY(),2)+1,Q1161&lt;TODAY()),"SIM","NÃO")</f>
        <v>NÃO</v>
      </c>
    </row>
    <row r="1162" spans="1:18" hidden="1">
      <c r="A1162" t="s">
        <v>541</v>
      </c>
      <c r="B1162" t="s">
        <v>542</v>
      </c>
      <c r="C1162">
        <v>300273028</v>
      </c>
      <c r="D1162">
        <v>15467783</v>
      </c>
      <c r="E1162" t="s">
        <v>45</v>
      </c>
      <c r="F1162" t="s">
        <v>543</v>
      </c>
      <c r="G1162">
        <v>90</v>
      </c>
      <c r="H1162" t="s">
        <v>2219</v>
      </c>
      <c r="J1162" t="s">
        <v>2219</v>
      </c>
      <c r="K1162" s="11">
        <v>46196.711435185185</v>
      </c>
      <c r="M1162">
        <v>488</v>
      </c>
      <c r="N1162" t="s">
        <v>867</v>
      </c>
      <c r="O1162">
        <v>0</v>
      </c>
      <c r="P1162" s="5"/>
      <c r="Q1162" s="10">
        <f>INT(Tabela1[[#This Row],[DATA]])</f>
        <v>46196</v>
      </c>
      <c r="R1162" s="14" t="str">
        <f ca="1">IF(AND(Q1162&gt;=TODAY()-WEEKDAY(TODAY(),2)+1,Q1162&lt;TODAY()),"SIM","NÃO")</f>
        <v>NÃO</v>
      </c>
    </row>
    <row r="1163" spans="1:18" hidden="1">
      <c r="A1163" t="s">
        <v>489</v>
      </c>
      <c r="B1163" t="s">
        <v>490</v>
      </c>
      <c r="C1163">
        <v>300271097</v>
      </c>
      <c r="D1163">
        <v>16292987</v>
      </c>
      <c r="E1163" t="s">
        <v>37</v>
      </c>
      <c r="F1163" t="s">
        <v>177</v>
      </c>
      <c r="G1163">
        <v>98</v>
      </c>
      <c r="H1163" t="s">
        <v>2944</v>
      </c>
      <c r="J1163" t="s">
        <v>2945</v>
      </c>
      <c r="K1163" s="11">
        <v>46196.713321759256</v>
      </c>
      <c r="M1163">
        <v>489</v>
      </c>
      <c r="N1163" t="s">
        <v>867</v>
      </c>
      <c r="O1163">
        <v>10000065698</v>
      </c>
      <c r="P1163" s="5"/>
      <c r="Q1163" s="10">
        <f>INT(Tabela1[[#This Row],[DATA]])</f>
        <v>46196</v>
      </c>
      <c r="R1163" s="14" t="str">
        <f ca="1">IF(AND(Q1163&gt;=TODAY()-WEEKDAY(TODAY(),2)+1,Q1163&lt;TODAY()),"SIM","NÃO")</f>
        <v>NÃO</v>
      </c>
    </row>
    <row r="1164" spans="1:18" hidden="1">
      <c r="A1164" t="s">
        <v>489</v>
      </c>
      <c r="B1164" t="s">
        <v>490</v>
      </c>
      <c r="C1164">
        <v>300271483</v>
      </c>
      <c r="D1164">
        <v>16380096</v>
      </c>
      <c r="E1164" t="s">
        <v>37</v>
      </c>
      <c r="F1164" t="s">
        <v>132</v>
      </c>
      <c r="G1164">
        <v>1178</v>
      </c>
      <c r="H1164" t="s">
        <v>2946</v>
      </c>
      <c r="J1164" t="s">
        <v>2947</v>
      </c>
      <c r="K1164" s="11">
        <v>46196.717418981483</v>
      </c>
      <c r="M1164">
        <v>490</v>
      </c>
      <c r="N1164" t="s">
        <v>878</v>
      </c>
      <c r="O1164">
        <v>0</v>
      </c>
      <c r="P1164" s="5"/>
      <c r="Q1164" s="10">
        <f>INT(Tabela1[[#This Row],[DATA]])</f>
        <v>46196</v>
      </c>
      <c r="R1164" s="14" t="str">
        <f ca="1">IF(AND(Q1164&gt;=TODAY()-WEEKDAY(TODAY(),2)+1,Q1164&lt;TODAY()),"SIM","NÃO")</f>
        <v>NÃO</v>
      </c>
    </row>
    <row r="1165" spans="1:18" hidden="1">
      <c r="A1165" t="s">
        <v>2650</v>
      </c>
      <c r="B1165" t="s">
        <v>137</v>
      </c>
      <c r="C1165">
        <v>300270776</v>
      </c>
      <c r="D1165">
        <v>16212886</v>
      </c>
      <c r="E1165" t="s">
        <v>37</v>
      </c>
      <c r="F1165" t="s">
        <v>1522</v>
      </c>
      <c r="G1165">
        <v>80</v>
      </c>
      <c r="H1165" t="s">
        <v>2948</v>
      </c>
      <c r="K1165" s="11">
        <v>46196.761076388888</v>
      </c>
      <c r="M1165">
        <v>491</v>
      </c>
      <c r="N1165" t="s">
        <v>867</v>
      </c>
      <c r="O1165" t="s">
        <v>138</v>
      </c>
      <c r="P1165" s="5"/>
      <c r="Q1165" s="10">
        <f>INT(Tabela1[[#This Row],[DATA]])</f>
        <v>46196</v>
      </c>
      <c r="R1165" s="14" t="str">
        <f ca="1">IF(AND(Q1165&gt;=TODAY()-WEEKDAY(TODAY(),2)+1,Q1165&lt;TODAY()),"SIM","NÃO")</f>
        <v>NÃO</v>
      </c>
    </row>
    <row r="1166" spans="1:18" hidden="1">
      <c r="A1166" t="s">
        <v>2650</v>
      </c>
      <c r="B1166" t="s">
        <v>137</v>
      </c>
      <c r="C1166">
        <v>300270776</v>
      </c>
      <c r="D1166">
        <v>16212886</v>
      </c>
      <c r="E1166" t="s">
        <v>37</v>
      </c>
      <c r="F1166" t="s">
        <v>216</v>
      </c>
      <c r="G1166">
        <v>80</v>
      </c>
      <c r="H1166" t="s">
        <v>2948</v>
      </c>
      <c r="K1166" s="11">
        <v>46196.762002314812</v>
      </c>
      <c r="M1166">
        <v>492</v>
      </c>
      <c r="N1166" t="s">
        <v>867</v>
      </c>
      <c r="O1166" t="s">
        <v>138</v>
      </c>
      <c r="P1166" s="5"/>
      <c r="Q1166" s="10">
        <f>INT(Tabela1[[#This Row],[DATA]])</f>
        <v>46196</v>
      </c>
      <c r="R1166" s="14" t="str">
        <f ca="1">IF(AND(Q1166&gt;=TODAY()-WEEKDAY(TODAY(),2)+1,Q1166&lt;TODAY()),"SIM","NÃO")</f>
        <v>NÃO</v>
      </c>
    </row>
    <row r="1167" spans="1:18" hidden="1">
      <c r="A1167" t="s">
        <v>2650</v>
      </c>
      <c r="B1167" t="s">
        <v>137</v>
      </c>
      <c r="C1167">
        <v>300248462</v>
      </c>
      <c r="D1167">
        <v>16323491</v>
      </c>
      <c r="E1167" t="s">
        <v>45</v>
      </c>
      <c r="F1167" t="s">
        <v>2598</v>
      </c>
      <c r="G1167">
        <v>390</v>
      </c>
      <c r="H1167" t="s">
        <v>2073</v>
      </c>
      <c r="K1167" s="11">
        <v>46196.763194444444</v>
      </c>
      <c r="M1167">
        <v>493</v>
      </c>
      <c r="N1167" t="s">
        <v>867</v>
      </c>
      <c r="O1167" t="s">
        <v>138</v>
      </c>
      <c r="P1167" s="5"/>
      <c r="Q1167" s="10">
        <f>INT(Tabela1[[#This Row],[DATA]])</f>
        <v>46196</v>
      </c>
      <c r="R1167" s="14" t="str">
        <f ca="1">IF(AND(Q1167&gt;=TODAY()-WEEKDAY(TODAY(),2)+1,Q1167&lt;TODAY()),"SIM","NÃO")</f>
        <v>NÃO</v>
      </c>
    </row>
    <row r="1168" spans="1:18" hidden="1">
      <c r="A1168" t="s">
        <v>2578</v>
      </c>
      <c r="B1168" t="s">
        <v>69</v>
      </c>
      <c r="C1168">
        <v>300267541</v>
      </c>
      <c r="D1168">
        <v>16491246</v>
      </c>
      <c r="E1168" t="s">
        <v>45</v>
      </c>
      <c r="F1168" t="s">
        <v>1275</v>
      </c>
      <c r="G1168">
        <v>50</v>
      </c>
      <c r="H1168" t="s">
        <v>2949</v>
      </c>
      <c r="K1168" s="11">
        <v>46197.325173611112</v>
      </c>
      <c r="M1168">
        <v>494</v>
      </c>
      <c r="N1168" t="s">
        <v>867</v>
      </c>
      <c r="O1168">
        <v>16491246</v>
      </c>
      <c r="P1168" s="5"/>
      <c r="Q1168" s="10">
        <f>INT(Tabela1[[#This Row],[DATA]])</f>
        <v>46197</v>
      </c>
      <c r="R1168" s="14" t="str">
        <f ca="1">IF(AND(Q1168&gt;=TODAY()-WEEKDAY(TODAY(),2)+1,Q1168&lt;TODAY()),"SIM","NÃO")</f>
        <v>NÃO</v>
      </c>
    </row>
    <row r="1169" spans="1:18" hidden="1">
      <c r="A1169" t="s">
        <v>2578</v>
      </c>
      <c r="B1169" t="s">
        <v>69</v>
      </c>
      <c r="C1169">
        <v>300274899</v>
      </c>
      <c r="D1169">
        <v>16273311</v>
      </c>
      <c r="E1169" t="s">
        <v>37</v>
      </c>
      <c r="F1169" t="s">
        <v>2213</v>
      </c>
      <c r="G1169">
        <v>629</v>
      </c>
      <c r="H1169" t="s">
        <v>2950</v>
      </c>
      <c r="J1169" t="s">
        <v>2951</v>
      </c>
      <c r="K1169" s="11">
        <v>46197.34479166667</v>
      </c>
      <c r="M1169">
        <v>495</v>
      </c>
      <c r="N1169" t="s">
        <v>867</v>
      </c>
      <c r="O1169" t="s">
        <v>2952</v>
      </c>
      <c r="P1169" s="5"/>
      <c r="Q1169" s="10">
        <f>INT(Tabela1[[#This Row],[DATA]])</f>
        <v>46197</v>
      </c>
      <c r="R1169" s="14" t="str">
        <f ca="1">IF(AND(Q1169&gt;=TODAY()-WEEKDAY(TODAY(),2)+1,Q1169&lt;TODAY()),"SIM","NÃO")</f>
        <v>NÃO</v>
      </c>
    </row>
    <row r="1170" spans="1:18" hidden="1">
      <c r="A1170" t="s">
        <v>2551</v>
      </c>
      <c r="B1170" t="s">
        <v>274</v>
      </c>
      <c r="C1170">
        <v>300272159</v>
      </c>
      <c r="D1170">
        <v>15128288</v>
      </c>
      <c r="E1170" t="s">
        <v>29</v>
      </c>
      <c r="F1170" t="s">
        <v>145</v>
      </c>
      <c r="G1170">
        <v>2</v>
      </c>
      <c r="H1170" t="s">
        <v>2953</v>
      </c>
      <c r="J1170" t="s">
        <v>2954</v>
      </c>
      <c r="K1170" s="11">
        <v>46197.348819444444</v>
      </c>
      <c r="M1170">
        <v>496</v>
      </c>
      <c r="N1170" t="s">
        <v>878</v>
      </c>
      <c r="O1170">
        <v>0</v>
      </c>
      <c r="P1170" s="5"/>
      <c r="Q1170" s="10">
        <f>INT(Tabela1[[#This Row],[DATA]])</f>
        <v>46197</v>
      </c>
      <c r="R1170" s="14" t="str">
        <f ca="1">IF(AND(Q1170&gt;=TODAY()-WEEKDAY(TODAY(),2)+1,Q1170&lt;TODAY()),"SIM","NÃO")</f>
        <v>NÃO</v>
      </c>
    </row>
    <row r="1171" spans="1:18" hidden="1">
      <c r="A1171" t="s">
        <v>899</v>
      </c>
      <c r="B1171" t="s">
        <v>900</v>
      </c>
      <c r="C1171">
        <v>300271107</v>
      </c>
      <c r="D1171">
        <v>16508920</v>
      </c>
      <c r="E1171" t="s">
        <v>37</v>
      </c>
      <c r="F1171" t="s">
        <v>113</v>
      </c>
      <c r="G1171" t="s">
        <v>2955</v>
      </c>
      <c r="H1171" t="s">
        <v>2559</v>
      </c>
      <c r="J1171" t="s">
        <v>2956</v>
      </c>
      <c r="K1171" s="11">
        <v>46197.38480324074</v>
      </c>
      <c r="M1171">
        <v>497</v>
      </c>
      <c r="N1171" t="s">
        <v>867</v>
      </c>
      <c r="O1171" t="s">
        <v>2957</v>
      </c>
      <c r="P1171" s="5"/>
      <c r="Q1171" s="10">
        <f>INT(Tabela1[[#This Row],[DATA]])</f>
        <v>46197</v>
      </c>
      <c r="R1171" s="14" t="str">
        <f ca="1">IF(AND(Q1171&gt;=TODAY()-WEEKDAY(TODAY(),2)+1,Q1171&lt;TODAY()),"SIM","NÃO")</f>
        <v>NÃO</v>
      </c>
    </row>
    <row r="1172" spans="1:18" hidden="1">
      <c r="A1172" t="s">
        <v>899</v>
      </c>
      <c r="B1172" t="s">
        <v>900</v>
      </c>
      <c r="C1172">
        <v>300271107</v>
      </c>
      <c r="D1172">
        <v>16508920</v>
      </c>
      <c r="E1172" t="s">
        <v>37</v>
      </c>
      <c r="F1172" t="s">
        <v>90</v>
      </c>
      <c r="G1172">
        <v>10</v>
      </c>
      <c r="H1172" t="s">
        <v>655</v>
      </c>
      <c r="J1172" t="s">
        <v>902</v>
      </c>
      <c r="K1172" s="11">
        <v>46197.387546296297</v>
      </c>
      <c r="M1172">
        <v>498</v>
      </c>
      <c r="N1172" t="s">
        <v>867</v>
      </c>
      <c r="O1172">
        <v>0</v>
      </c>
      <c r="P1172" s="5"/>
      <c r="Q1172" s="10">
        <f>INT(Tabela1[[#This Row],[DATA]])</f>
        <v>46197</v>
      </c>
      <c r="R1172" s="14" t="str">
        <f ca="1">IF(AND(Q1172&gt;=TODAY()-WEEKDAY(TODAY(),2)+1,Q1172&lt;TODAY()),"SIM","NÃO")</f>
        <v>NÃO</v>
      </c>
    </row>
    <row r="1173" spans="1:18" hidden="1">
      <c r="A1173" t="s">
        <v>2541</v>
      </c>
      <c r="B1173" t="s">
        <v>388</v>
      </c>
      <c r="C1173">
        <v>300274657</v>
      </c>
      <c r="D1173">
        <v>16218990</v>
      </c>
      <c r="E1173" t="s">
        <v>37</v>
      </c>
      <c r="F1173" t="s">
        <v>221</v>
      </c>
      <c r="G1173">
        <v>1085</v>
      </c>
      <c r="H1173" t="s">
        <v>2313</v>
      </c>
      <c r="J1173" t="s">
        <v>2958</v>
      </c>
      <c r="K1173" s="11">
        <v>46197.394201388888</v>
      </c>
      <c r="M1173">
        <v>499</v>
      </c>
      <c r="N1173" t="s">
        <v>878</v>
      </c>
      <c r="O1173">
        <v>0</v>
      </c>
      <c r="P1173" s="5"/>
      <c r="Q1173" s="10">
        <f>INT(Tabela1[[#This Row],[DATA]])</f>
        <v>46197</v>
      </c>
      <c r="R1173" s="14" t="str">
        <f ca="1">IF(AND(Q1173&gt;=TODAY()-WEEKDAY(TODAY(),2)+1,Q1173&lt;TODAY()),"SIM","NÃO")</f>
        <v>NÃO</v>
      </c>
    </row>
    <row r="1174" spans="1:18" hidden="1">
      <c r="A1174" t="s">
        <v>143</v>
      </c>
      <c r="B1174" t="s">
        <v>144</v>
      </c>
      <c r="C1174">
        <v>300270964</v>
      </c>
      <c r="D1174">
        <v>16346408</v>
      </c>
      <c r="E1174" t="s">
        <v>45</v>
      </c>
      <c r="F1174" t="s">
        <v>38</v>
      </c>
      <c r="G1174">
        <v>591</v>
      </c>
      <c r="H1174" t="s">
        <v>2959</v>
      </c>
      <c r="J1174" t="s">
        <v>2960</v>
      </c>
      <c r="K1174" s="11">
        <v>46197.411226851851</v>
      </c>
      <c r="M1174">
        <v>500</v>
      </c>
      <c r="N1174" t="s">
        <v>878</v>
      </c>
      <c r="O1174">
        <v>0</v>
      </c>
      <c r="P1174" s="5"/>
      <c r="Q1174" s="10">
        <f>INT(Tabela1[[#This Row],[DATA]])</f>
        <v>46197</v>
      </c>
      <c r="R1174" s="14" t="str">
        <f ca="1">IF(AND(Q1174&gt;=TODAY()-WEEKDAY(TODAY(),2)+1,Q1174&lt;TODAY()),"SIM","NÃO")</f>
        <v>NÃO</v>
      </c>
    </row>
    <row r="1175" spans="1:18" hidden="1">
      <c r="A1175" t="s">
        <v>2547</v>
      </c>
      <c r="B1175" t="s">
        <v>1582</v>
      </c>
      <c r="C1175">
        <v>300269509</v>
      </c>
      <c r="D1175">
        <v>16229479</v>
      </c>
      <c r="E1175" t="s">
        <v>45</v>
      </c>
      <c r="F1175" t="s">
        <v>145</v>
      </c>
      <c r="G1175">
        <v>2</v>
      </c>
      <c r="H1175" t="s">
        <v>2961</v>
      </c>
      <c r="J1175" t="s">
        <v>2961</v>
      </c>
      <c r="K1175" s="11">
        <v>46197.420543981483</v>
      </c>
      <c r="M1175">
        <v>501</v>
      </c>
      <c r="N1175" t="s">
        <v>878</v>
      </c>
      <c r="O1175">
        <v>0</v>
      </c>
      <c r="P1175" s="5"/>
      <c r="Q1175" s="10">
        <f>INT(Tabela1[[#This Row],[DATA]])</f>
        <v>46197</v>
      </c>
      <c r="R1175" s="14" t="str">
        <f ca="1">IF(AND(Q1175&gt;=TODAY()-WEEKDAY(TODAY(),2)+1,Q1175&lt;TODAY()),"SIM","NÃO")</f>
        <v>NÃO</v>
      </c>
    </row>
    <row r="1176" spans="1:18" hidden="1">
      <c r="A1176" t="s">
        <v>123</v>
      </c>
      <c r="B1176" t="s">
        <v>124</v>
      </c>
      <c r="C1176">
        <v>300275038</v>
      </c>
      <c r="D1176">
        <v>16489985</v>
      </c>
      <c r="E1176" t="s">
        <v>37</v>
      </c>
      <c r="F1176" t="s">
        <v>38</v>
      </c>
      <c r="G1176">
        <v>12</v>
      </c>
      <c r="H1176" t="s">
        <v>2621</v>
      </c>
      <c r="J1176" t="s">
        <v>2621</v>
      </c>
      <c r="K1176" s="11">
        <v>46197.431712962964</v>
      </c>
      <c r="M1176">
        <v>502</v>
      </c>
      <c r="N1176" t="s">
        <v>867</v>
      </c>
      <c r="O1176" t="s">
        <v>2962</v>
      </c>
      <c r="P1176" s="5"/>
      <c r="Q1176" s="10">
        <f>INT(Tabela1[[#This Row],[DATA]])</f>
        <v>46197</v>
      </c>
      <c r="R1176" s="14" t="str">
        <f ca="1">IF(AND(Q1176&gt;=TODAY()-WEEKDAY(TODAY(),2)+1,Q1176&lt;TODAY()),"SIM","NÃO")</f>
        <v>NÃO</v>
      </c>
    </row>
    <row r="1177" spans="1:18" hidden="1">
      <c r="A1177" t="s">
        <v>541</v>
      </c>
      <c r="B1177" t="s">
        <v>542</v>
      </c>
      <c r="C1177">
        <v>300274418</v>
      </c>
      <c r="D1177">
        <v>16441656</v>
      </c>
      <c r="E1177" t="s">
        <v>45</v>
      </c>
      <c r="F1177" t="s">
        <v>96</v>
      </c>
      <c r="G1177">
        <v>17</v>
      </c>
      <c r="H1177" t="s">
        <v>2219</v>
      </c>
      <c r="J1177" t="s">
        <v>2219</v>
      </c>
      <c r="K1177" s="11">
        <v>46197.438506944447</v>
      </c>
      <c r="M1177">
        <v>503</v>
      </c>
      <c r="N1177" t="s">
        <v>867</v>
      </c>
      <c r="O1177">
        <v>0</v>
      </c>
      <c r="P1177" s="5"/>
      <c r="Q1177" s="10">
        <f>INT(Tabela1[[#This Row],[DATA]])</f>
        <v>46197</v>
      </c>
      <c r="R1177" s="14" t="str">
        <f ca="1">IF(AND(Q1177&gt;=TODAY()-WEEKDAY(TODAY(),2)+1,Q1177&lt;TODAY()),"SIM","NÃO")</f>
        <v>NÃO</v>
      </c>
    </row>
    <row r="1178" spans="1:18" hidden="1">
      <c r="A1178" t="s">
        <v>2541</v>
      </c>
      <c r="B1178" t="s">
        <v>388</v>
      </c>
      <c r="C1178">
        <v>300270777</v>
      </c>
      <c r="D1178">
        <v>16448421</v>
      </c>
      <c r="E1178" t="s">
        <v>37</v>
      </c>
      <c r="F1178" t="s">
        <v>38</v>
      </c>
      <c r="G1178">
        <v>3</v>
      </c>
      <c r="H1178" t="s">
        <v>2313</v>
      </c>
      <c r="K1178" s="11">
        <v>46197.443287037036</v>
      </c>
      <c r="M1178">
        <v>504</v>
      </c>
      <c r="N1178" t="s">
        <v>867</v>
      </c>
      <c r="O1178">
        <v>0</v>
      </c>
      <c r="P1178" s="5"/>
      <c r="Q1178" s="10">
        <f>INT(Tabela1[[#This Row],[DATA]])</f>
        <v>46197</v>
      </c>
      <c r="R1178" s="14" t="str">
        <f ca="1">IF(AND(Q1178&gt;=TODAY()-WEEKDAY(TODAY(),2)+1,Q1178&lt;TODAY()),"SIM","NÃO")</f>
        <v>NÃO</v>
      </c>
    </row>
    <row r="1179" spans="1:18" hidden="1">
      <c r="A1179" t="s">
        <v>2903</v>
      </c>
      <c r="B1179" t="s">
        <v>846</v>
      </c>
      <c r="C1179">
        <v>300274214</v>
      </c>
      <c r="D1179">
        <v>16295064</v>
      </c>
      <c r="E1179" t="s">
        <v>37</v>
      </c>
      <c r="F1179" t="s">
        <v>216</v>
      </c>
      <c r="G1179">
        <v>25</v>
      </c>
      <c r="H1179" t="s">
        <v>2963</v>
      </c>
      <c r="K1179" s="11">
        <v>46197.453472222223</v>
      </c>
      <c r="M1179">
        <v>505</v>
      </c>
      <c r="N1179" t="s">
        <v>867</v>
      </c>
      <c r="O1179" t="s">
        <v>848</v>
      </c>
      <c r="P1179" s="5"/>
      <c r="Q1179" s="10">
        <f>INT(Tabela1[[#This Row],[DATA]])</f>
        <v>46197</v>
      </c>
      <c r="R1179" s="14" t="str">
        <f ca="1">IF(AND(Q1179&gt;=TODAY()-WEEKDAY(TODAY(),2)+1,Q1179&lt;TODAY()),"SIM","NÃO")</f>
        <v>NÃO</v>
      </c>
    </row>
    <row r="1180" spans="1:18" hidden="1">
      <c r="A1180" t="s">
        <v>43</v>
      </c>
      <c r="B1180" t="s">
        <v>44</v>
      </c>
      <c r="C1180">
        <v>300000000</v>
      </c>
      <c r="D1180">
        <v>300000000</v>
      </c>
      <c r="E1180" t="s">
        <v>45</v>
      </c>
      <c r="F1180" t="s">
        <v>145</v>
      </c>
      <c r="G1180">
        <v>20</v>
      </c>
      <c r="H1180" t="s">
        <v>2964</v>
      </c>
      <c r="J1180" t="s">
        <v>2964</v>
      </c>
      <c r="K1180" s="11">
        <v>46197.462824074071</v>
      </c>
      <c r="M1180">
        <v>506</v>
      </c>
      <c r="N1180" t="s">
        <v>878</v>
      </c>
      <c r="O1180" t="s">
        <v>2965</v>
      </c>
      <c r="P1180" s="5"/>
      <c r="Q1180" s="10">
        <f>INT(Tabela1[[#This Row],[DATA]])</f>
        <v>46197</v>
      </c>
      <c r="R1180" s="14" t="str">
        <f ca="1">IF(AND(Q1180&gt;=TODAY()-WEEKDAY(TODAY(),2)+1,Q1180&lt;TODAY()),"SIM","NÃO")</f>
        <v>NÃO</v>
      </c>
    </row>
    <row r="1181" spans="1:18" hidden="1">
      <c r="A1181" t="s">
        <v>2605</v>
      </c>
      <c r="B1181" t="s">
        <v>2606</v>
      </c>
      <c r="C1181">
        <v>300273726</v>
      </c>
      <c r="D1181">
        <v>16447565</v>
      </c>
      <c r="E1181" t="s">
        <v>37</v>
      </c>
      <c r="F1181" t="s">
        <v>113</v>
      </c>
      <c r="G1181">
        <v>0</v>
      </c>
      <c r="H1181" t="s">
        <v>2966</v>
      </c>
      <c r="J1181" t="s">
        <v>2966</v>
      </c>
      <c r="K1181" s="11">
        <v>46197.467106481483</v>
      </c>
      <c r="M1181">
        <v>507</v>
      </c>
      <c r="N1181" t="s">
        <v>878</v>
      </c>
      <c r="O1181">
        <v>0</v>
      </c>
      <c r="P1181" s="5"/>
      <c r="Q1181" s="10">
        <f>INT(Tabela1[[#This Row],[DATA]])</f>
        <v>46197</v>
      </c>
      <c r="R1181" s="14" t="str">
        <f ca="1">IF(AND(Q1181&gt;=TODAY()-WEEKDAY(TODAY(),2)+1,Q1181&lt;TODAY()),"SIM","NÃO")</f>
        <v>NÃO</v>
      </c>
    </row>
    <row r="1182" spans="1:18" hidden="1">
      <c r="A1182" t="s">
        <v>2967</v>
      </c>
      <c r="B1182" t="s">
        <v>2968</v>
      </c>
      <c r="C1182">
        <v>300271106</v>
      </c>
      <c r="D1182">
        <v>16519710</v>
      </c>
      <c r="E1182" t="s">
        <v>37</v>
      </c>
      <c r="F1182" t="s">
        <v>769</v>
      </c>
      <c r="G1182" t="s">
        <v>2969</v>
      </c>
      <c r="H1182" t="s">
        <v>2970</v>
      </c>
      <c r="K1182" s="11">
        <v>46197.475324074076</v>
      </c>
      <c r="M1182">
        <v>508</v>
      </c>
      <c r="N1182" t="s">
        <v>878</v>
      </c>
      <c r="O1182">
        <v>243945</v>
      </c>
      <c r="P1182" s="5"/>
      <c r="Q1182" s="10">
        <f>INT(Tabela1[[#This Row],[DATA]])</f>
        <v>46197</v>
      </c>
      <c r="R1182" s="14" t="str">
        <f ca="1">IF(AND(Q1182&gt;=TODAY()-WEEKDAY(TODAY(),2)+1,Q1182&lt;TODAY()),"SIM","NÃO")</f>
        <v>NÃO</v>
      </c>
    </row>
    <row r="1183" spans="1:18" hidden="1">
      <c r="A1183" t="s">
        <v>101</v>
      </c>
      <c r="B1183" t="s">
        <v>990</v>
      </c>
      <c r="C1183">
        <v>300272529</v>
      </c>
      <c r="D1183">
        <v>16212860</v>
      </c>
      <c r="E1183" t="s">
        <v>37</v>
      </c>
      <c r="F1183" t="s">
        <v>38</v>
      </c>
      <c r="G1183">
        <v>19</v>
      </c>
      <c r="H1183" t="s">
        <v>2971</v>
      </c>
      <c r="J1183" t="s">
        <v>2972</v>
      </c>
      <c r="K1183" s="11">
        <v>46197.548541666663</v>
      </c>
      <c r="M1183">
        <v>509</v>
      </c>
      <c r="N1183" t="s">
        <v>867</v>
      </c>
      <c r="O1183">
        <v>0</v>
      </c>
      <c r="P1183" s="5"/>
      <c r="Q1183" s="10">
        <f>INT(Tabela1[[#This Row],[DATA]])</f>
        <v>46197</v>
      </c>
      <c r="R1183" s="14" t="str">
        <f ca="1">IF(AND(Q1183&gt;=TODAY()-WEEKDAY(TODAY(),2)+1,Q1183&lt;TODAY()),"SIM","NÃO")</f>
        <v>NÃO</v>
      </c>
    </row>
    <row r="1184" spans="1:18" hidden="1">
      <c r="A1184" t="s">
        <v>2610</v>
      </c>
      <c r="B1184" t="s">
        <v>74</v>
      </c>
      <c r="C1184">
        <v>300272639</v>
      </c>
      <c r="D1184">
        <v>16547934</v>
      </c>
      <c r="E1184" t="s">
        <v>20</v>
      </c>
      <c r="F1184" t="s">
        <v>2644</v>
      </c>
      <c r="G1184" t="s">
        <v>2973</v>
      </c>
      <c r="H1184" t="s">
        <v>2974</v>
      </c>
      <c r="K1184" s="11">
        <v>46197.552083333336</v>
      </c>
      <c r="M1184">
        <v>510</v>
      </c>
      <c r="N1184" t="s">
        <v>867</v>
      </c>
      <c r="O1184">
        <v>0</v>
      </c>
      <c r="P1184" s="5"/>
      <c r="Q1184" s="10">
        <f>INT(Tabela1[[#This Row],[DATA]])</f>
        <v>46197</v>
      </c>
      <c r="R1184" s="14" t="str">
        <f ca="1">IF(AND(Q1184&gt;=TODAY()-WEEKDAY(TODAY(),2)+1,Q1184&lt;TODAY()),"SIM","NÃO")</f>
        <v>NÃO</v>
      </c>
    </row>
    <row r="1185" spans="1:18" hidden="1">
      <c r="A1185" t="s">
        <v>2775</v>
      </c>
      <c r="B1185" t="s">
        <v>512</v>
      </c>
      <c r="C1185">
        <v>300263684</v>
      </c>
      <c r="D1185">
        <v>16474090</v>
      </c>
      <c r="E1185" t="s">
        <v>37</v>
      </c>
      <c r="F1185" t="s">
        <v>38</v>
      </c>
      <c r="G1185">
        <v>100</v>
      </c>
      <c r="H1185" t="s">
        <v>2975</v>
      </c>
      <c r="J1185" t="s">
        <v>2976</v>
      </c>
      <c r="K1185" s="11">
        <v>46197.569293981483</v>
      </c>
      <c r="M1185">
        <v>511</v>
      </c>
      <c r="N1185" t="s">
        <v>867</v>
      </c>
      <c r="O1185" t="s">
        <v>2977</v>
      </c>
      <c r="P1185" s="5"/>
      <c r="Q1185" s="10">
        <f>INT(Tabela1[[#This Row],[DATA]])</f>
        <v>46197</v>
      </c>
      <c r="R1185" s="14" t="str">
        <f ca="1">IF(AND(Q1185&gt;=TODAY()-WEEKDAY(TODAY(),2)+1,Q1185&lt;TODAY()),"SIM","NÃO")</f>
        <v>NÃO</v>
      </c>
    </row>
    <row r="1186" spans="1:18" hidden="1">
      <c r="A1186" t="s">
        <v>2578</v>
      </c>
      <c r="B1186" t="s">
        <v>69</v>
      </c>
      <c r="C1186">
        <v>300271507</v>
      </c>
      <c r="D1186">
        <v>16217845</v>
      </c>
      <c r="E1186" t="s">
        <v>37</v>
      </c>
      <c r="F1186" t="s">
        <v>802</v>
      </c>
      <c r="G1186">
        <v>108</v>
      </c>
      <c r="H1186" t="s">
        <v>2978</v>
      </c>
      <c r="K1186" s="11">
        <v>46197.580509259256</v>
      </c>
      <c r="M1186">
        <v>512</v>
      </c>
      <c r="N1186" t="s">
        <v>867</v>
      </c>
      <c r="O1186">
        <v>16217845</v>
      </c>
      <c r="P1186" s="5"/>
      <c r="Q1186" s="10">
        <f>INT(Tabela1[[#This Row],[DATA]])</f>
        <v>46197</v>
      </c>
      <c r="R1186" s="14" t="str">
        <f ca="1">IF(AND(Q1186&gt;=TODAY()-WEEKDAY(TODAY(),2)+1,Q1186&lt;TODAY()),"SIM","NÃO")</f>
        <v>NÃO</v>
      </c>
    </row>
    <row r="1187" spans="1:18" hidden="1">
      <c r="A1187" t="s">
        <v>2578</v>
      </c>
      <c r="B1187" t="s">
        <v>69</v>
      </c>
      <c r="C1187">
        <v>300271507</v>
      </c>
      <c r="D1187">
        <v>16217845</v>
      </c>
      <c r="E1187" t="s">
        <v>37</v>
      </c>
      <c r="F1187" t="s">
        <v>417</v>
      </c>
      <c r="G1187">
        <v>54</v>
      </c>
      <c r="H1187" t="s">
        <v>2979</v>
      </c>
      <c r="K1187" s="11">
        <v>46197.581446759257</v>
      </c>
      <c r="M1187">
        <v>513</v>
      </c>
      <c r="N1187" t="s">
        <v>867</v>
      </c>
      <c r="O1187">
        <v>16217845</v>
      </c>
      <c r="P1187" s="5"/>
      <c r="Q1187" s="10">
        <f>INT(Tabela1[[#This Row],[DATA]])</f>
        <v>46197</v>
      </c>
      <c r="R1187" s="14" t="str">
        <f ca="1">IF(AND(Q1187&gt;=TODAY()-WEEKDAY(TODAY(),2)+1,Q1187&lt;TODAY()),"SIM","NÃO")</f>
        <v>NÃO</v>
      </c>
    </row>
    <row r="1188" spans="1:18" hidden="1">
      <c r="A1188" t="s">
        <v>2578</v>
      </c>
      <c r="B1188" t="s">
        <v>2980</v>
      </c>
      <c r="C1188">
        <v>300271507</v>
      </c>
      <c r="D1188">
        <v>16217845</v>
      </c>
      <c r="E1188" t="s">
        <v>37</v>
      </c>
      <c r="F1188" t="s">
        <v>216</v>
      </c>
      <c r="G1188">
        <v>54</v>
      </c>
      <c r="H1188" t="s">
        <v>2979</v>
      </c>
      <c r="K1188" s="11">
        <v>46197.582199074073</v>
      </c>
      <c r="M1188">
        <v>514</v>
      </c>
      <c r="N1188" t="s">
        <v>867</v>
      </c>
      <c r="O1188">
        <v>16217845</v>
      </c>
      <c r="P1188" s="5"/>
      <c r="Q1188" s="10">
        <f>INT(Tabela1[[#This Row],[DATA]])</f>
        <v>46197</v>
      </c>
      <c r="R1188" s="14" t="str">
        <f ca="1">IF(AND(Q1188&gt;=TODAY()-WEEKDAY(TODAY(),2)+1,Q1188&lt;TODAY()),"SIM","NÃO")</f>
        <v>NÃO</v>
      </c>
    </row>
    <row r="1189" spans="1:18" hidden="1">
      <c r="A1189" t="s">
        <v>2578</v>
      </c>
      <c r="B1189" t="s">
        <v>69</v>
      </c>
      <c r="C1189">
        <v>300271507</v>
      </c>
      <c r="D1189">
        <v>16217845</v>
      </c>
      <c r="E1189" t="s">
        <v>37</v>
      </c>
      <c r="F1189" t="s">
        <v>203</v>
      </c>
      <c r="G1189">
        <v>54</v>
      </c>
      <c r="H1189" t="s">
        <v>2979</v>
      </c>
      <c r="K1189" s="11">
        <v>46197.582928240743</v>
      </c>
      <c r="M1189">
        <v>515</v>
      </c>
      <c r="N1189" t="s">
        <v>867</v>
      </c>
      <c r="O1189">
        <v>16217845</v>
      </c>
      <c r="P1189" s="5"/>
      <c r="Q1189" s="10">
        <f>INT(Tabela1[[#This Row],[DATA]])</f>
        <v>46197</v>
      </c>
      <c r="R1189" s="14" t="str">
        <f ca="1">IF(AND(Q1189&gt;=TODAY()-WEEKDAY(TODAY(),2)+1,Q1189&lt;TODAY()),"SIM","NÃO")</f>
        <v>NÃO</v>
      </c>
    </row>
    <row r="1190" spans="1:18" hidden="1">
      <c r="A1190" t="s">
        <v>2578</v>
      </c>
      <c r="B1190" t="s">
        <v>69</v>
      </c>
      <c r="C1190">
        <v>300271507</v>
      </c>
      <c r="D1190">
        <v>16217845</v>
      </c>
      <c r="E1190" t="s">
        <v>37</v>
      </c>
      <c r="F1190" t="s">
        <v>1205</v>
      </c>
      <c r="G1190">
        <v>54</v>
      </c>
      <c r="H1190" t="s">
        <v>2979</v>
      </c>
      <c r="K1190" s="11">
        <v>46197.584039351852</v>
      </c>
      <c r="M1190">
        <v>516</v>
      </c>
      <c r="N1190" t="s">
        <v>867</v>
      </c>
      <c r="O1190">
        <v>16217845</v>
      </c>
      <c r="P1190" s="5"/>
      <c r="Q1190" s="10">
        <f>INT(Tabela1[[#This Row],[DATA]])</f>
        <v>46197</v>
      </c>
      <c r="R1190" s="14" t="str">
        <f ca="1">IF(AND(Q1190&gt;=TODAY()-WEEKDAY(TODAY(),2)+1,Q1190&lt;TODAY()),"SIM","NÃO")</f>
        <v>NÃO</v>
      </c>
    </row>
    <row r="1191" spans="1:18" hidden="1">
      <c r="A1191" t="s">
        <v>2578</v>
      </c>
      <c r="B1191" t="s">
        <v>69</v>
      </c>
      <c r="C1191">
        <v>300271507</v>
      </c>
      <c r="D1191">
        <v>16217845</v>
      </c>
      <c r="E1191" t="s">
        <v>37</v>
      </c>
      <c r="F1191" t="s">
        <v>38</v>
      </c>
      <c r="G1191">
        <v>54</v>
      </c>
      <c r="H1191" t="s">
        <v>2979</v>
      </c>
      <c r="K1191" s="11">
        <v>46197.585011574076</v>
      </c>
      <c r="M1191">
        <v>517</v>
      </c>
      <c r="N1191" t="s">
        <v>867</v>
      </c>
      <c r="O1191">
        <v>16217845</v>
      </c>
      <c r="P1191" s="5"/>
      <c r="Q1191" s="10">
        <f>INT(Tabela1[[#This Row],[DATA]])</f>
        <v>46197</v>
      </c>
      <c r="R1191" s="14" t="str">
        <f ca="1">IF(AND(Q1191&gt;=TODAY()-WEEKDAY(TODAY(),2)+1,Q1191&lt;TODAY()),"SIM","NÃO")</f>
        <v>NÃO</v>
      </c>
    </row>
    <row r="1192" spans="1:18" hidden="1">
      <c r="A1192" t="s">
        <v>2707</v>
      </c>
      <c r="B1192" t="s">
        <v>181</v>
      </c>
      <c r="C1192">
        <v>300268698</v>
      </c>
      <c r="D1192">
        <v>16474058</v>
      </c>
      <c r="E1192" t="s">
        <v>37</v>
      </c>
      <c r="F1192" t="s">
        <v>90</v>
      </c>
      <c r="G1192">
        <v>10</v>
      </c>
      <c r="H1192" t="s">
        <v>2981</v>
      </c>
      <c r="J1192" t="s">
        <v>2982</v>
      </c>
      <c r="K1192" s="11">
        <v>46197.586018518516</v>
      </c>
      <c r="M1192">
        <v>518</v>
      </c>
      <c r="N1192" t="s">
        <v>878</v>
      </c>
      <c r="O1192">
        <v>0</v>
      </c>
      <c r="P1192" s="5"/>
      <c r="Q1192" s="10">
        <f>INT(Tabela1[[#This Row],[DATA]])</f>
        <v>46197</v>
      </c>
      <c r="R1192" s="14" t="str">
        <f ca="1">IF(AND(Q1192&gt;=TODAY()-WEEKDAY(TODAY(),2)+1,Q1192&lt;TODAY()),"SIM","NÃO")</f>
        <v>NÃO</v>
      </c>
    </row>
    <row r="1193" spans="1:18" hidden="1">
      <c r="A1193" t="s">
        <v>2578</v>
      </c>
      <c r="B1193" t="s">
        <v>69</v>
      </c>
      <c r="C1193">
        <v>300271507</v>
      </c>
      <c r="D1193">
        <v>16217845</v>
      </c>
      <c r="E1193" t="s">
        <v>37</v>
      </c>
      <c r="F1193" t="s">
        <v>971</v>
      </c>
      <c r="G1193">
        <v>54</v>
      </c>
      <c r="H1193" t="s">
        <v>2979</v>
      </c>
      <c r="K1193" s="11">
        <v>46197.586064814815</v>
      </c>
      <c r="M1193">
        <v>519</v>
      </c>
      <c r="N1193" t="s">
        <v>867</v>
      </c>
      <c r="O1193">
        <v>16217845</v>
      </c>
      <c r="P1193" s="5"/>
      <c r="Q1193" s="10">
        <f>INT(Tabela1[[#This Row],[DATA]])</f>
        <v>46197</v>
      </c>
      <c r="R1193" s="14" t="str">
        <f ca="1">IF(AND(Q1193&gt;=TODAY()-WEEKDAY(TODAY(),2)+1,Q1193&lt;TODAY()),"SIM","NÃO")</f>
        <v>NÃO</v>
      </c>
    </row>
    <row r="1194" spans="1:18" hidden="1">
      <c r="A1194" t="s">
        <v>2578</v>
      </c>
      <c r="B1194" t="s">
        <v>69</v>
      </c>
      <c r="C1194">
        <v>300271507</v>
      </c>
      <c r="D1194">
        <v>16217845</v>
      </c>
      <c r="E1194" t="s">
        <v>37</v>
      </c>
      <c r="F1194" t="s">
        <v>1275</v>
      </c>
      <c r="G1194">
        <v>54</v>
      </c>
      <c r="H1194" t="s">
        <v>2979</v>
      </c>
      <c r="K1194" s="11">
        <v>46197.586921296293</v>
      </c>
      <c r="M1194">
        <v>520</v>
      </c>
      <c r="N1194" t="s">
        <v>867</v>
      </c>
      <c r="O1194">
        <v>16217845</v>
      </c>
      <c r="P1194" s="5"/>
      <c r="Q1194" s="10">
        <f>INT(Tabela1[[#This Row],[DATA]])</f>
        <v>46197</v>
      </c>
      <c r="R1194" s="14" t="str">
        <f ca="1">IF(AND(Q1194&gt;=TODAY()-WEEKDAY(TODAY(),2)+1,Q1194&lt;TODAY()),"SIM","NÃO")</f>
        <v>NÃO</v>
      </c>
    </row>
    <row r="1195" spans="1:18" hidden="1">
      <c r="A1195" t="s">
        <v>2578</v>
      </c>
      <c r="B1195" t="s">
        <v>69</v>
      </c>
      <c r="C1195">
        <v>300271507</v>
      </c>
      <c r="D1195">
        <v>16217845</v>
      </c>
      <c r="E1195" t="s">
        <v>37</v>
      </c>
      <c r="F1195" t="s">
        <v>1564</v>
      </c>
      <c r="G1195">
        <v>54</v>
      </c>
      <c r="H1195" t="s">
        <v>2979</v>
      </c>
      <c r="K1195" s="11">
        <v>46197.587835648148</v>
      </c>
      <c r="M1195">
        <v>521</v>
      </c>
      <c r="N1195" t="s">
        <v>867</v>
      </c>
      <c r="O1195">
        <v>16217845</v>
      </c>
      <c r="P1195" s="5"/>
      <c r="Q1195" s="10">
        <f>INT(Tabela1[[#This Row],[DATA]])</f>
        <v>46197</v>
      </c>
      <c r="R1195" s="14" t="str">
        <f ca="1">IF(AND(Q1195&gt;=TODAY()-WEEKDAY(TODAY(),2)+1,Q1195&lt;TODAY()),"SIM","NÃO")</f>
        <v>NÃO</v>
      </c>
    </row>
    <row r="1196" spans="1:18" hidden="1">
      <c r="A1196" t="s">
        <v>2578</v>
      </c>
      <c r="B1196" t="s">
        <v>69</v>
      </c>
      <c r="C1196">
        <v>300271507</v>
      </c>
      <c r="D1196">
        <v>16217845</v>
      </c>
      <c r="E1196" t="s">
        <v>37</v>
      </c>
      <c r="F1196" t="s">
        <v>369</v>
      </c>
      <c r="G1196">
        <v>54</v>
      </c>
      <c r="H1196" t="s">
        <v>2979</v>
      </c>
      <c r="K1196" s="11">
        <v>46197.588449074072</v>
      </c>
      <c r="M1196">
        <v>522</v>
      </c>
      <c r="N1196" t="s">
        <v>867</v>
      </c>
      <c r="O1196">
        <v>16217845</v>
      </c>
      <c r="P1196" s="5"/>
      <c r="Q1196" s="10">
        <f>INT(Tabela1[[#This Row],[DATA]])</f>
        <v>46197</v>
      </c>
      <c r="R1196" s="14" t="str">
        <f ca="1">IF(AND(Q1196&gt;=TODAY()-WEEKDAY(TODAY(),2)+1,Q1196&lt;TODAY()),"SIM","NÃO")</f>
        <v>NÃO</v>
      </c>
    </row>
    <row r="1197" spans="1:18" hidden="1">
      <c r="A1197" t="s">
        <v>2578</v>
      </c>
      <c r="B1197" t="s">
        <v>69</v>
      </c>
      <c r="C1197">
        <v>300271507</v>
      </c>
      <c r="D1197">
        <v>16217845</v>
      </c>
      <c r="E1197" t="s">
        <v>37</v>
      </c>
      <c r="F1197" t="s">
        <v>2213</v>
      </c>
      <c r="G1197">
        <v>55</v>
      </c>
      <c r="H1197" t="s">
        <v>2979</v>
      </c>
      <c r="K1197" s="11">
        <v>46197.599988425929</v>
      </c>
      <c r="M1197">
        <v>523</v>
      </c>
      <c r="N1197" t="s">
        <v>867</v>
      </c>
      <c r="O1197" t="s">
        <v>2983</v>
      </c>
      <c r="P1197" s="5"/>
      <c r="Q1197" s="10">
        <f>INT(Tabela1[[#This Row],[DATA]])</f>
        <v>46197</v>
      </c>
      <c r="R1197" s="14" t="str">
        <f ca="1">IF(AND(Q1197&gt;=TODAY()-WEEKDAY(TODAY(),2)+1,Q1197&lt;TODAY()),"SIM","NÃO")</f>
        <v>NÃO</v>
      </c>
    </row>
    <row r="1198" spans="1:18" hidden="1">
      <c r="A1198" t="s">
        <v>2610</v>
      </c>
      <c r="B1198" t="s">
        <v>74</v>
      </c>
      <c r="C1198">
        <v>300273663</v>
      </c>
      <c r="D1198">
        <v>15396746</v>
      </c>
      <c r="E1198" t="s">
        <v>45</v>
      </c>
      <c r="F1198" t="s">
        <v>64</v>
      </c>
      <c r="G1198">
        <v>270</v>
      </c>
      <c r="H1198" t="s">
        <v>555</v>
      </c>
      <c r="K1198" s="11">
        <v>46197.610474537039</v>
      </c>
      <c r="M1198">
        <v>524</v>
      </c>
      <c r="N1198" t="s">
        <v>867</v>
      </c>
      <c r="O1198">
        <v>0</v>
      </c>
      <c r="P1198" s="5"/>
      <c r="Q1198" s="10">
        <f>INT(Tabela1[[#This Row],[DATA]])</f>
        <v>46197</v>
      </c>
      <c r="R1198" s="14" t="str">
        <f ca="1">IF(AND(Q1198&gt;=TODAY()-WEEKDAY(TODAY(),2)+1,Q1198&lt;TODAY()),"SIM","NÃO")</f>
        <v>NÃO</v>
      </c>
    </row>
    <row r="1199" spans="1:18" hidden="1">
      <c r="A1199" t="s">
        <v>2650</v>
      </c>
      <c r="B1199" t="s">
        <v>137</v>
      </c>
      <c r="C1199">
        <v>300000000</v>
      </c>
      <c r="D1199">
        <v>0</v>
      </c>
      <c r="E1199" t="s">
        <v>37</v>
      </c>
      <c r="F1199" t="s">
        <v>132</v>
      </c>
      <c r="G1199">
        <v>1</v>
      </c>
      <c r="H1199" t="s">
        <v>13</v>
      </c>
      <c r="K1199" s="11">
        <v>46197.6174537037</v>
      </c>
      <c r="M1199">
        <v>525</v>
      </c>
      <c r="N1199" t="s">
        <v>878</v>
      </c>
      <c r="O1199">
        <v>0</v>
      </c>
      <c r="P1199" s="5"/>
      <c r="Q1199" s="10">
        <f>INT(Tabela1[[#This Row],[DATA]])</f>
        <v>46197</v>
      </c>
      <c r="R1199" s="14" t="str">
        <f ca="1">IF(AND(Q1199&gt;=TODAY()-WEEKDAY(TODAY(),2)+1,Q1199&lt;TODAY()),"SIM","NÃO")</f>
        <v>NÃO</v>
      </c>
    </row>
    <row r="1200" spans="1:18" hidden="1">
      <c r="A1200" t="s">
        <v>305</v>
      </c>
      <c r="B1200" t="s">
        <v>306</v>
      </c>
      <c r="C1200">
        <v>300272979</v>
      </c>
      <c r="D1200">
        <v>16473965</v>
      </c>
      <c r="E1200" t="s">
        <v>37</v>
      </c>
      <c r="F1200" t="s">
        <v>177</v>
      </c>
      <c r="G1200">
        <v>10</v>
      </c>
      <c r="H1200" t="s">
        <v>2984</v>
      </c>
      <c r="J1200" t="s">
        <v>2985</v>
      </c>
      <c r="K1200" s="11">
        <v>46197.682824074072</v>
      </c>
      <c r="M1200">
        <v>526</v>
      </c>
      <c r="N1200" t="s">
        <v>867</v>
      </c>
      <c r="O1200">
        <v>10000065169</v>
      </c>
      <c r="P1200" s="5"/>
      <c r="Q1200" s="10">
        <f>INT(Tabela1[[#This Row],[DATA]])</f>
        <v>46197</v>
      </c>
      <c r="R1200" s="14" t="str">
        <f ca="1">IF(AND(Q1200&gt;=TODAY()-WEEKDAY(TODAY(),2)+1,Q1200&lt;TODAY()),"SIM","NÃO")</f>
        <v>NÃO</v>
      </c>
    </row>
    <row r="1201" spans="1:18" hidden="1">
      <c r="A1201" t="s">
        <v>2578</v>
      </c>
      <c r="B1201" t="s">
        <v>69</v>
      </c>
      <c r="C1201">
        <v>300267542</v>
      </c>
      <c r="D1201">
        <v>16491246</v>
      </c>
      <c r="E1201" t="s">
        <v>45</v>
      </c>
      <c r="F1201" t="s">
        <v>64</v>
      </c>
      <c r="G1201">
        <v>200</v>
      </c>
      <c r="H1201" t="s">
        <v>2986</v>
      </c>
      <c r="K1201" s="11">
        <v>46197.696655092594</v>
      </c>
      <c r="M1201">
        <v>527</v>
      </c>
      <c r="N1201" t="s">
        <v>867</v>
      </c>
      <c r="O1201">
        <v>16941246</v>
      </c>
      <c r="P1201" s="5"/>
      <c r="Q1201" s="10">
        <f>INT(Tabela1[[#This Row],[DATA]])</f>
        <v>46197</v>
      </c>
      <c r="R1201" s="14" t="str">
        <f ca="1">IF(AND(Q1201&gt;=TODAY()-WEEKDAY(TODAY(),2)+1,Q1201&lt;TODAY()),"SIM","NÃO")</f>
        <v>NÃO</v>
      </c>
    </row>
    <row r="1202" spans="1:18" hidden="1">
      <c r="A1202" t="s">
        <v>2562</v>
      </c>
      <c r="B1202" t="s">
        <v>612</v>
      </c>
      <c r="C1202">
        <v>300271513</v>
      </c>
      <c r="D1202">
        <v>16482204</v>
      </c>
      <c r="E1202" t="s">
        <v>37</v>
      </c>
      <c r="F1202" t="s">
        <v>417</v>
      </c>
      <c r="G1202">
        <v>76</v>
      </c>
      <c r="H1202" t="s">
        <v>1418</v>
      </c>
      <c r="J1202" t="s">
        <v>2987</v>
      </c>
      <c r="K1202" s="11">
        <v>46197.735474537039</v>
      </c>
      <c r="M1202">
        <v>528</v>
      </c>
      <c r="N1202" t="s">
        <v>878</v>
      </c>
      <c r="O1202">
        <v>0</v>
      </c>
      <c r="P1202" s="5"/>
      <c r="Q1202" s="10">
        <f>INT(Tabela1[[#This Row],[DATA]])</f>
        <v>46197</v>
      </c>
      <c r="R1202" s="14" t="str">
        <f ca="1">IF(AND(Q1202&gt;=TODAY()-WEEKDAY(TODAY(),2)+1,Q1202&lt;TODAY()),"SIM","NÃO")</f>
        <v>NÃO</v>
      </c>
    </row>
    <row r="1203" spans="1:18" hidden="1">
      <c r="A1203" t="s">
        <v>2837</v>
      </c>
      <c r="B1203" t="s">
        <v>226</v>
      </c>
      <c r="C1203">
        <v>300267461</v>
      </c>
      <c r="D1203">
        <v>15773442</v>
      </c>
      <c r="E1203" t="s">
        <v>37</v>
      </c>
      <c r="F1203" t="s">
        <v>2213</v>
      </c>
      <c r="G1203">
        <v>1230</v>
      </c>
      <c r="H1203" t="s">
        <v>2988</v>
      </c>
      <c r="J1203" t="s">
        <v>2989</v>
      </c>
      <c r="K1203" s="11">
        <v>46198.305196759262</v>
      </c>
      <c r="M1203">
        <v>529</v>
      </c>
      <c r="N1203" t="s">
        <v>878</v>
      </c>
      <c r="O1203">
        <v>0</v>
      </c>
      <c r="P1203" s="5"/>
      <c r="Q1203" s="10">
        <f>INT(Tabela1[[#This Row],[DATA]])</f>
        <v>46198</v>
      </c>
      <c r="R1203" s="14" t="str">
        <f ca="1">IF(AND(Q1203&gt;=TODAY()-WEEKDAY(TODAY(),2)+1,Q1203&lt;TODAY()),"SIM","NÃO")</f>
        <v>NÃO</v>
      </c>
    </row>
    <row r="1204" spans="1:18" hidden="1">
      <c r="A1204" t="s">
        <v>2551</v>
      </c>
      <c r="B1204" t="s">
        <v>274</v>
      </c>
      <c r="C1204">
        <v>300274886</v>
      </c>
      <c r="D1204">
        <v>15859096</v>
      </c>
      <c r="E1204" t="s">
        <v>37</v>
      </c>
      <c r="F1204" t="s">
        <v>38</v>
      </c>
      <c r="G1204">
        <v>35</v>
      </c>
      <c r="H1204" t="s">
        <v>555</v>
      </c>
      <c r="K1204" s="11">
        <v>46198.315648148149</v>
      </c>
      <c r="M1204">
        <v>530</v>
      </c>
      <c r="N1204" t="s">
        <v>867</v>
      </c>
      <c r="O1204">
        <v>0</v>
      </c>
      <c r="P1204" s="5"/>
      <c r="Q1204" s="10">
        <f>INT(Tabela1[[#This Row],[DATA]])</f>
        <v>46198</v>
      </c>
      <c r="R1204" s="14" t="str">
        <f ca="1">IF(AND(Q1204&gt;=TODAY()-WEEKDAY(TODAY(),2)+1,Q1204&lt;TODAY()),"SIM","NÃO")</f>
        <v>NÃO</v>
      </c>
    </row>
    <row r="1205" spans="1:18" hidden="1">
      <c r="A1205" t="s">
        <v>2551</v>
      </c>
      <c r="B1205" t="s">
        <v>274</v>
      </c>
      <c r="C1205">
        <v>300274886</v>
      </c>
      <c r="D1205">
        <v>15859096</v>
      </c>
      <c r="E1205" t="s">
        <v>37</v>
      </c>
      <c r="F1205" t="s">
        <v>2580</v>
      </c>
      <c r="G1205">
        <v>20</v>
      </c>
      <c r="H1205" t="s">
        <v>555</v>
      </c>
      <c r="K1205" s="11">
        <v>46198.319548611114</v>
      </c>
      <c r="M1205">
        <v>531</v>
      </c>
      <c r="N1205" t="s">
        <v>867</v>
      </c>
      <c r="O1205">
        <v>10000212591</v>
      </c>
      <c r="P1205" s="5"/>
      <c r="Q1205" s="10">
        <f>INT(Tabela1[[#This Row],[DATA]])</f>
        <v>46198</v>
      </c>
      <c r="R1205" s="14" t="str">
        <f ca="1">IF(AND(Q1205&gt;=TODAY()-WEEKDAY(TODAY(),2)+1,Q1205&lt;TODAY()),"SIM","NÃO")</f>
        <v>NÃO</v>
      </c>
    </row>
    <row r="1206" spans="1:18" hidden="1">
      <c r="A1206" t="s">
        <v>493</v>
      </c>
      <c r="B1206" t="s">
        <v>686</v>
      </c>
      <c r="C1206">
        <v>300270315</v>
      </c>
      <c r="D1206">
        <v>16473965</v>
      </c>
      <c r="E1206" t="s">
        <v>37</v>
      </c>
      <c r="F1206" t="s">
        <v>151</v>
      </c>
      <c r="G1206">
        <v>456</v>
      </c>
      <c r="H1206" t="s">
        <v>2137</v>
      </c>
      <c r="K1206" s="11">
        <v>46198.357106481482</v>
      </c>
      <c r="M1206">
        <v>532</v>
      </c>
      <c r="N1206" t="s">
        <v>867</v>
      </c>
      <c r="O1206" t="s">
        <v>138</v>
      </c>
      <c r="P1206" s="5"/>
      <c r="Q1206" s="10">
        <f>INT(Tabela1[[#This Row],[DATA]])</f>
        <v>46198</v>
      </c>
      <c r="R1206" s="14" t="str">
        <f ca="1">IF(AND(Q1206&gt;=TODAY()-WEEKDAY(TODAY(),2)+1,Q1206&lt;TODAY()),"SIM","NÃO")</f>
        <v>NÃO</v>
      </c>
    </row>
    <row r="1207" spans="1:18" hidden="1">
      <c r="A1207" t="s">
        <v>2649</v>
      </c>
      <c r="B1207" t="s">
        <v>137</v>
      </c>
      <c r="C1207">
        <v>300272242</v>
      </c>
      <c r="D1207">
        <v>16218299</v>
      </c>
      <c r="E1207" t="s">
        <v>37</v>
      </c>
      <c r="F1207" t="s">
        <v>221</v>
      </c>
      <c r="G1207">
        <v>500</v>
      </c>
      <c r="H1207" t="s">
        <v>2318</v>
      </c>
      <c r="K1207" s="11">
        <v>46198.377083333333</v>
      </c>
      <c r="M1207">
        <v>533</v>
      </c>
      <c r="N1207" t="s">
        <v>867</v>
      </c>
      <c r="O1207" t="s">
        <v>138</v>
      </c>
      <c r="P1207" s="5"/>
      <c r="Q1207" s="10">
        <f>INT(Tabela1[[#This Row],[DATA]])</f>
        <v>46198</v>
      </c>
      <c r="R1207" s="14" t="str">
        <f ca="1">IF(AND(Q1207&gt;=TODAY()-WEEKDAY(TODAY(),2)+1,Q1207&lt;TODAY()),"SIM","NÃO")</f>
        <v>NÃO</v>
      </c>
    </row>
    <row r="1208" spans="1:18" hidden="1">
      <c r="A1208" t="s">
        <v>253</v>
      </c>
      <c r="B1208" t="s">
        <v>254</v>
      </c>
      <c r="C1208">
        <v>300274226</v>
      </c>
      <c r="D1208">
        <v>16219449</v>
      </c>
      <c r="E1208" t="s">
        <v>37</v>
      </c>
      <c r="F1208" t="s">
        <v>113</v>
      </c>
      <c r="G1208">
        <v>10</v>
      </c>
      <c r="H1208" t="s">
        <v>582</v>
      </c>
      <c r="J1208" t="s">
        <v>2990</v>
      </c>
      <c r="K1208" s="11">
        <v>46198.387418981481</v>
      </c>
      <c r="M1208">
        <v>534</v>
      </c>
      <c r="N1208" t="s">
        <v>867</v>
      </c>
      <c r="O1208">
        <v>10000063032</v>
      </c>
      <c r="P1208" s="5"/>
      <c r="Q1208" s="10">
        <f>INT(Tabela1[[#This Row],[DATA]])</f>
        <v>46198</v>
      </c>
      <c r="R1208" s="14" t="str">
        <f ca="1">IF(AND(Q1208&gt;=TODAY()-WEEKDAY(TODAY(),2)+1,Q1208&lt;TODAY()),"SIM","NÃO")</f>
        <v>NÃO</v>
      </c>
    </row>
    <row r="1209" spans="1:18" hidden="1">
      <c r="A1209" t="s">
        <v>2991</v>
      </c>
      <c r="B1209" t="s">
        <v>534</v>
      </c>
      <c r="C1209">
        <v>300274643</v>
      </c>
      <c r="D1209">
        <v>16488393</v>
      </c>
      <c r="E1209" t="s">
        <v>37</v>
      </c>
      <c r="F1209" t="s">
        <v>113</v>
      </c>
      <c r="G1209">
        <v>50000</v>
      </c>
      <c r="H1209" t="s">
        <v>2992</v>
      </c>
      <c r="J1209" t="s">
        <v>2993</v>
      </c>
      <c r="K1209" s="11">
        <v>46198.389861111114</v>
      </c>
      <c r="M1209">
        <v>535</v>
      </c>
      <c r="N1209" t="s">
        <v>867</v>
      </c>
      <c r="O1209">
        <v>10000063032</v>
      </c>
      <c r="P1209" s="5"/>
      <c r="Q1209" s="10">
        <f>INT(Tabela1[[#This Row],[DATA]])</f>
        <v>46198</v>
      </c>
      <c r="R1209" s="14" t="str">
        <f ca="1">IF(AND(Q1209&gt;=TODAY()-WEEKDAY(TODAY(),2)+1,Q1209&lt;TODAY()),"SIM","NÃO")</f>
        <v>NÃO</v>
      </c>
    </row>
    <row r="1210" spans="1:18" hidden="1">
      <c r="A1210" t="s">
        <v>185</v>
      </c>
      <c r="B1210" t="s">
        <v>1625</v>
      </c>
      <c r="C1210">
        <v>300271751</v>
      </c>
      <c r="D1210">
        <v>16488229</v>
      </c>
      <c r="E1210" t="s">
        <v>37</v>
      </c>
      <c r="F1210" t="s">
        <v>113</v>
      </c>
      <c r="G1210">
        <v>10</v>
      </c>
      <c r="H1210" t="s">
        <v>2994</v>
      </c>
      <c r="K1210" s="11">
        <v>46198.39329861111</v>
      </c>
      <c r="M1210">
        <v>536</v>
      </c>
      <c r="N1210" t="s">
        <v>867</v>
      </c>
      <c r="O1210" t="s">
        <v>2995</v>
      </c>
      <c r="P1210" s="5"/>
      <c r="Q1210" s="10">
        <f>INT(Tabela1[[#This Row],[DATA]])</f>
        <v>46198</v>
      </c>
      <c r="R1210" s="14" t="str">
        <f ca="1">IF(AND(Q1210&gt;=TODAY()-WEEKDAY(TODAY(),2)+1,Q1210&lt;TODAY()),"SIM","NÃO")</f>
        <v>NÃO</v>
      </c>
    </row>
    <row r="1211" spans="1:18" hidden="1">
      <c r="A1211" t="s">
        <v>1175</v>
      </c>
      <c r="B1211" t="s">
        <v>1176</v>
      </c>
      <c r="C1211">
        <v>300270370</v>
      </c>
      <c r="D1211">
        <v>16187741</v>
      </c>
      <c r="E1211" t="s">
        <v>37</v>
      </c>
      <c r="F1211" t="s">
        <v>216</v>
      </c>
      <c r="G1211">
        <v>150</v>
      </c>
      <c r="H1211" t="s">
        <v>2996</v>
      </c>
      <c r="J1211" t="s">
        <v>2997</v>
      </c>
      <c r="K1211" s="11">
        <v>46198.396469907406</v>
      </c>
      <c r="M1211">
        <v>537</v>
      </c>
      <c r="N1211" t="s">
        <v>867</v>
      </c>
      <c r="O1211" t="s">
        <v>2136</v>
      </c>
      <c r="P1211" s="5"/>
      <c r="Q1211" s="10">
        <f>INT(Tabela1[[#This Row],[DATA]])</f>
        <v>46198</v>
      </c>
      <c r="R1211" s="14" t="str">
        <f ca="1">IF(AND(Q1211&gt;=TODAY()-WEEKDAY(TODAY(),2)+1,Q1211&lt;TODAY()),"SIM","NÃO")</f>
        <v>NÃO</v>
      </c>
    </row>
    <row r="1212" spans="1:18" hidden="1">
      <c r="A1212" t="s">
        <v>2998</v>
      </c>
      <c r="B1212" t="s">
        <v>383</v>
      </c>
      <c r="C1212">
        <v>300271823</v>
      </c>
      <c r="D1212">
        <v>16075951</v>
      </c>
      <c r="E1212" t="s">
        <v>37</v>
      </c>
      <c r="F1212" t="s">
        <v>132</v>
      </c>
      <c r="G1212">
        <v>1</v>
      </c>
      <c r="H1212" t="s">
        <v>2999</v>
      </c>
      <c r="J1212" t="s">
        <v>3000</v>
      </c>
      <c r="K1212" s="11">
        <v>46198.412592592591</v>
      </c>
      <c r="M1212">
        <v>538</v>
      </c>
      <c r="N1212" t="s">
        <v>867</v>
      </c>
      <c r="O1212">
        <v>1</v>
      </c>
      <c r="P1212" s="5"/>
      <c r="Q1212" s="10">
        <f>INT(Tabela1[[#This Row],[DATA]])</f>
        <v>46198</v>
      </c>
      <c r="R1212" s="14" t="str">
        <f ca="1">IF(AND(Q1212&gt;=TODAY()-WEEKDAY(TODAY(),2)+1,Q1212&lt;TODAY()),"SIM","NÃO")</f>
        <v>NÃO</v>
      </c>
    </row>
    <row r="1213" spans="1:18" hidden="1">
      <c r="A1213" t="s">
        <v>2649</v>
      </c>
      <c r="B1213" t="s">
        <v>137</v>
      </c>
      <c r="C1213">
        <v>300272602</v>
      </c>
      <c r="D1213">
        <v>16333675</v>
      </c>
      <c r="E1213" t="s">
        <v>45</v>
      </c>
      <c r="F1213" t="s">
        <v>64</v>
      </c>
      <c r="G1213">
        <v>1200</v>
      </c>
      <c r="H1213" t="s">
        <v>3001</v>
      </c>
      <c r="K1213" s="11">
        <v>46198.418414351851</v>
      </c>
      <c r="M1213">
        <v>539</v>
      </c>
      <c r="N1213" t="s">
        <v>878</v>
      </c>
      <c r="O1213" t="s">
        <v>138</v>
      </c>
      <c r="P1213" s="5"/>
      <c r="Q1213" s="10">
        <f>INT(Tabela1[[#This Row],[DATA]])</f>
        <v>46198</v>
      </c>
      <c r="R1213" s="14" t="str">
        <f ca="1">IF(AND(Q1213&gt;=TODAY()-WEEKDAY(TODAY(),2)+1,Q1213&lt;TODAY()),"SIM","NÃO")</f>
        <v>NÃO</v>
      </c>
    </row>
    <row r="1214" spans="1:18" hidden="1">
      <c r="A1214" t="s">
        <v>2649</v>
      </c>
      <c r="B1214" t="s">
        <v>137</v>
      </c>
      <c r="C1214">
        <v>300272602</v>
      </c>
      <c r="D1214">
        <v>16333675</v>
      </c>
      <c r="E1214" t="s">
        <v>45</v>
      </c>
      <c r="F1214" t="s">
        <v>125</v>
      </c>
      <c r="G1214">
        <v>1200</v>
      </c>
      <c r="H1214" t="s">
        <v>2137</v>
      </c>
      <c r="K1214" s="11">
        <v>46198.428518518522</v>
      </c>
      <c r="M1214">
        <v>540</v>
      </c>
      <c r="N1214" t="s">
        <v>878</v>
      </c>
      <c r="O1214" t="s">
        <v>138</v>
      </c>
      <c r="P1214" s="5"/>
      <c r="Q1214" s="10">
        <f>INT(Tabela1[[#This Row],[DATA]])</f>
        <v>46198</v>
      </c>
      <c r="R1214" s="14" t="str">
        <f ca="1">IF(AND(Q1214&gt;=TODAY()-WEEKDAY(TODAY(),2)+1,Q1214&lt;TODAY()),"SIM","NÃO")</f>
        <v>NÃO</v>
      </c>
    </row>
    <row r="1215" spans="1:18" hidden="1">
      <c r="A1215" t="s">
        <v>305</v>
      </c>
      <c r="B1215" t="s">
        <v>306</v>
      </c>
      <c r="C1215">
        <v>300273271</v>
      </c>
      <c r="D1215">
        <v>16520050</v>
      </c>
      <c r="E1215" t="s">
        <v>37</v>
      </c>
      <c r="F1215" t="s">
        <v>177</v>
      </c>
      <c r="G1215" t="s">
        <v>3002</v>
      </c>
      <c r="H1215" t="s">
        <v>307</v>
      </c>
      <c r="J1215" t="s">
        <v>3003</v>
      </c>
      <c r="K1215" s="11">
        <v>46198.522199074076</v>
      </c>
      <c r="M1215">
        <v>541</v>
      </c>
      <c r="N1215" t="s">
        <v>867</v>
      </c>
      <c r="O1215">
        <v>100000241456</v>
      </c>
      <c r="P1215" s="5"/>
      <c r="Q1215" s="10">
        <f>INT(Tabela1[[#This Row],[DATA]])</f>
        <v>46198</v>
      </c>
      <c r="R1215" s="14" t="str">
        <f ca="1">IF(AND(Q1215&gt;=TODAY()-WEEKDAY(TODAY(),2)+1,Q1215&lt;TODAY()),"SIM","NÃO")</f>
        <v>NÃO</v>
      </c>
    </row>
    <row r="1216" spans="1:18" hidden="1">
      <c r="A1216" t="s">
        <v>163</v>
      </c>
      <c r="B1216" t="s">
        <v>164</v>
      </c>
      <c r="C1216">
        <v>300271268</v>
      </c>
      <c r="D1216">
        <v>16114159</v>
      </c>
      <c r="E1216" t="s">
        <v>37</v>
      </c>
      <c r="F1216" t="s">
        <v>132</v>
      </c>
      <c r="G1216">
        <v>1479</v>
      </c>
      <c r="H1216" t="s">
        <v>3004</v>
      </c>
      <c r="J1216" t="s">
        <v>3005</v>
      </c>
      <c r="K1216" s="11">
        <v>46198.539641203701</v>
      </c>
      <c r="M1216">
        <v>542</v>
      </c>
      <c r="N1216" t="s">
        <v>878</v>
      </c>
      <c r="O1216">
        <v>0</v>
      </c>
      <c r="P1216" s="5"/>
      <c r="Q1216" s="10">
        <f>INT(Tabela1[[#This Row],[DATA]])</f>
        <v>46198</v>
      </c>
      <c r="R1216" s="14" t="str">
        <f ca="1">IF(AND(Q1216&gt;=TODAY()-WEEKDAY(TODAY(),2)+1,Q1216&lt;TODAY()),"SIM","NÃO")</f>
        <v>NÃO</v>
      </c>
    </row>
    <row r="1217" spans="1:18" hidden="1">
      <c r="A1217" t="s">
        <v>3006</v>
      </c>
      <c r="B1217" t="s">
        <v>3007</v>
      </c>
      <c r="C1217">
        <v>300273324</v>
      </c>
      <c r="D1217">
        <v>16523741</v>
      </c>
      <c r="E1217" t="s">
        <v>37</v>
      </c>
      <c r="F1217" t="s">
        <v>90</v>
      </c>
      <c r="G1217">
        <v>9000</v>
      </c>
      <c r="H1217" t="s">
        <v>764</v>
      </c>
      <c r="J1217" t="s">
        <v>3008</v>
      </c>
      <c r="K1217" s="11">
        <v>46198.553067129629</v>
      </c>
      <c r="M1217">
        <v>543</v>
      </c>
      <c r="N1217" t="s">
        <v>878</v>
      </c>
      <c r="O1217">
        <v>0</v>
      </c>
      <c r="P1217" s="5"/>
      <c r="Q1217" s="10">
        <f>INT(Tabela1[[#This Row],[DATA]])</f>
        <v>46198</v>
      </c>
      <c r="R1217" s="14" t="str">
        <f ca="1">IF(AND(Q1217&gt;=TODAY()-WEEKDAY(TODAY(),2)+1,Q1217&lt;TODAY()),"SIM","NÃO")</f>
        <v>NÃO</v>
      </c>
    </row>
    <row r="1218" spans="1:18" hidden="1">
      <c r="A1218" t="s">
        <v>163</v>
      </c>
      <c r="B1218" t="s">
        <v>164</v>
      </c>
      <c r="C1218">
        <v>300272584</v>
      </c>
      <c r="D1218">
        <v>16243730</v>
      </c>
      <c r="E1218" t="s">
        <v>37</v>
      </c>
      <c r="F1218" t="s">
        <v>177</v>
      </c>
      <c r="G1218">
        <v>5</v>
      </c>
      <c r="H1218" t="s">
        <v>3004</v>
      </c>
      <c r="J1218" t="s">
        <v>3009</v>
      </c>
      <c r="K1218" s="11">
        <v>46198.594421296293</v>
      </c>
      <c r="M1218">
        <v>544</v>
      </c>
      <c r="N1218" t="s">
        <v>867</v>
      </c>
      <c r="O1218">
        <v>10000211582</v>
      </c>
      <c r="P1218" s="5"/>
      <c r="Q1218" s="10">
        <f>INT(Tabela1[[#This Row],[DATA]])</f>
        <v>46198</v>
      </c>
      <c r="R1218" s="14" t="str">
        <f ca="1">IF(AND(Q1218&gt;=TODAY()-WEEKDAY(TODAY(),2)+1,Q1218&lt;TODAY()),"SIM","NÃO")</f>
        <v>NÃO</v>
      </c>
    </row>
    <row r="1219" spans="1:18" hidden="1">
      <c r="A1219" t="s">
        <v>163</v>
      </c>
      <c r="B1219" t="s">
        <v>164</v>
      </c>
      <c r="C1219">
        <v>300272584</v>
      </c>
      <c r="D1219">
        <v>16243730</v>
      </c>
      <c r="E1219" t="s">
        <v>37</v>
      </c>
      <c r="F1219" t="s">
        <v>60</v>
      </c>
      <c r="G1219">
        <v>10</v>
      </c>
      <c r="H1219" t="s">
        <v>2292</v>
      </c>
      <c r="K1219" s="11">
        <v>46198.596203703702</v>
      </c>
      <c r="M1219">
        <v>545</v>
      </c>
      <c r="N1219" t="s">
        <v>867</v>
      </c>
      <c r="O1219">
        <v>10000248118</v>
      </c>
      <c r="P1219" s="5"/>
      <c r="Q1219" s="10">
        <f>INT(Tabela1[[#This Row],[DATA]])</f>
        <v>46198</v>
      </c>
      <c r="R1219" s="14" t="str">
        <f ca="1">IF(AND(Q1219&gt;=TODAY()-WEEKDAY(TODAY(),2)+1,Q1219&lt;TODAY()),"SIM","NÃO")</f>
        <v>NÃO</v>
      </c>
    </row>
    <row r="1220" spans="1:18" hidden="1">
      <c r="A1220" t="s">
        <v>163</v>
      </c>
      <c r="B1220" t="s">
        <v>164</v>
      </c>
      <c r="C1220">
        <v>300273781</v>
      </c>
      <c r="D1220">
        <v>15359492</v>
      </c>
      <c r="E1220" t="s">
        <v>29</v>
      </c>
      <c r="F1220" t="s">
        <v>96</v>
      </c>
      <c r="G1220">
        <v>55</v>
      </c>
      <c r="H1220" t="s">
        <v>2292</v>
      </c>
      <c r="J1220" t="s">
        <v>3010</v>
      </c>
      <c r="K1220" s="11">
        <v>46198.599166666667</v>
      </c>
      <c r="M1220">
        <v>546</v>
      </c>
      <c r="N1220" t="s">
        <v>867</v>
      </c>
      <c r="O1220">
        <v>0</v>
      </c>
      <c r="P1220" s="5"/>
      <c r="Q1220" s="10">
        <f>INT(Tabela1[[#This Row],[DATA]])</f>
        <v>46198</v>
      </c>
      <c r="R1220" s="14" t="str">
        <f ca="1">IF(AND(Q1220&gt;=TODAY()-WEEKDAY(TODAY(),2)+1,Q1220&lt;TODAY()),"SIM","NÃO")</f>
        <v>NÃO</v>
      </c>
    </row>
    <row r="1221" spans="1:18" hidden="1">
      <c r="A1221" t="s">
        <v>2650</v>
      </c>
      <c r="B1221" t="s">
        <v>137</v>
      </c>
      <c r="C1221">
        <v>300271816</v>
      </c>
      <c r="D1221">
        <v>16243200</v>
      </c>
      <c r="E1221" t="s">
        <v>37</v>
      </c>
      <c r="F1221" t="s">
        <v>329</v>
      </c>
      <c r="G1221">
        <v>561</v>
      </c>
      <c r="H1221" t="s">
        <v>2137</v>
      </c>
      <c r="K1221" s="11">
        <v>46198.600046296298</v>
      </c>
      <c r="M1221">
        <v>547</v>
      </c>
      <c r="N1221" t="s">
        <v>878</v>
      </c>
      <c r="O1221" t="s">
        <v>138</v>
      </c>
      <c r="P1221" s="5"/>
      <c r="Q1221" s="10">
        <f>INT(Tabela1[[#This Row],[DATA]])</f>
        <v>46198</v>
      </c>
      <c r="R1221" s="14" t="str">
        <f ca="1">IF(AND(Q1221&gt;=TODAY()-WEEKDAY(TODAY(),2)+1,Q1221&lt;TODAY()),"SIM","NÃO")</f>
        <v>NÃO</v>
      </c>
    </row>
    <row r="1222" spans="1:18" hidden="1">
      <c r="A1222" t="s">
        <v>43</v>
      </c>
      <c r="B1222" t="s">
        <v>44</v>
      </c>
      <c r="C1222">
        <v>300273654</v>
      </c>
      <c r="D1222">
        <v>16472667</v>
      </c>
      <c r="E1222" t="s">
        <v>45</v>
      </c>
      <c r="F1222" t="s">
        <v>543</v>
      </c>
      <c r="G1222">
        <v>100</v>
      </c>
      <c r="H1222" t="s">
        <v>3011</v>
      </c>
      <c r="J1222" t="s">
        <v>3012</v>
      </c>
      <c r="K1222" s="11">
        <v>46198.600324074076</v>
      </c>
      <c r="M1222">
        <v>548</v>
      </c>
      <c r="N1222" t="s">
        <v>878</v>
      </c>
      <c r="O1222" t="s">
        <v>2782</v>
      </c>
      <c r="P1222" s="5"/>
      <c r="Q1222" s="10">
        <f>INT(Tabela1[[#This Row],[DATA]])</f>
        <v>46198</v>
      </c>
      <c r="R1222" s="14" t="str">
        <f ca="1">IF(AND(Q1222&gt;=TODAY()-WEEKDAY(TODAY(),2)+1,Q1222&lt;TODAY()),"SIM","NÃO")</f>
        <v>NÃO</v>
      </c>
    </row>
    <row r="1223" spans="1:18" hidden="1">
      <c r="A1223" t="s">
        <v>2650</v>
      </c>
      <c r="B1223" t="s">
        <v>137</v>
      </c>
      <c r="C1223">
        <v>300271817</v>
      </c>
      <c r="D1223">
        <v>16243200</v>
      </c>
      <c r="E1223" t="s">
        <v>37</v>
      </c>
      <c r="F1223" t="s">
        <v>329</v>
      </c>
      <c r="G1223">
        <v>585</v>
      </c>
      <c r="H1223" t="s">
        <v>2137</v>
      </c>
      <c r="K1223" s="11">
        <v>46198.60083333333</v>
      </c>
      <c r="M1223">
        <v>549</v>
      </c>
      <c r="N1223" t="s">
        <v>878</v>
      </c>
      <c r="O1223" t="s">
        <v>138</v>
      </c>
      <c r="P1223" s="5"/>
      <c r="Q1223" s="10">
        <f>INT(Tabela1[[#This Row],[DATA]])</f>
        <v>46198</v>
      </c>
      <c r="R1223" s="14" t="str">
        <f ca="1">IF(AND(Q1223&gt;=TODAY()-WEEKDAY(TODAY(),2)+1,Q1223&lt;TODAY()),"SIM","NÃO")</f>
        <v>NÃO</v>
      </c>
    </row>
    <row r="1224" spans="1:18" hidden="1">
      <c r="A1224" t="s">
        <v>2967</v>
      </c>
      <c r="B1224" t="s">
        <v>2968</v>
      </c>
      <c r="C1224">
        <v>300275453</v>
      </c>
      <c r="D1224">
        <v>16518730</v>
      </c>
      <c r="E1224" t="s">
        <v>37</v>
      </c>
      <c r="F1224" t="s">
        <v>177</v>
      </c>
      <c r="G1224">
        <v>60</v>
      </c>
      <c r="H1224" t="s">
        <v>3013</v>
      </c>
      <c r="K1224" s="11">
        <v>46198.632696759261</v>
      </c>
      <c r="M1224">
        <v>550</v>
      </c>
      <c r="N1224" t="s">
        <v>867</v>
      </c>
      <c r="O1224">
        <v>241455</v>
      </c>
      <c r="P1224" s="5"/>
      <c r="Q1224" s="10">
        <f>INT(Tabela1[[#This Row],[DATA]])</f>
        <v>46198</v>
      </c>
      <c r="R1224" s="14" t="str">
        <f ca="1">IF(AND(Q1224&gt;=TODAY()-WEEKDAY(TODAY(),2)+1,Q1224&lt;TODAY()),"SIM","NÃO")</f>
        <v>NÃO</v>
      </c>
    </row>
    <row r="1225" spans="1:18" hidden="1">
      <c r="A1225" t="s">
        <v>2707</v>
      </c>
      <c r="B1225" t="s">
        <v>181</v>
      </c>
      <c r="C1225">
        <v>300264848</v>
      </c>
      <c r="D1225">
        <v>15773400</v>
      </c>
      <c r="E1225" t="s">
        <v>37</v>
      </c>
      <c r="F1225" t="s">
        <v>103</v>
      </c>
      <c r="G1225">
        <v>100</v>
      </c>
      <c r="H1225" t="s">
        <v>3014</v>
      </c>
      <c r="J1225" t="s">
        <v>3015</v>
      </c>
      <c r="K1225" s="11">
        <v>46198.665555555555</v>
      </c>
      <c r="M1225">
        <v>551</v>
      </c>
      <c r="N1225" t="s">
        <v>878</v>
      </c>
      <c r="O1225">
        <v>0</v>
      </c>
      <c r="P1225" s="5"/>
      <c r="Q1225" s="10">
        <f>INT(Tabela1[[#This Row],[DATA]])</f>
        <v>46198</v>
      </c>
      <c r="R1225" s="14" t="str">
        <f ca="1">IF(AND(Q1225&gt;=TODAY()-WEEKDAY(TODAY(),2)+1,Q1225&lt;TODAY()),"SIM","NÃO")</f>
        <v>NÃO</v>
      </c>
    </row>
    <row r="1226" spans="1:18" hidden="1">
      <c r="A1226" t="s">
        <v>163</v>
      </c>
      <c r="B1226" t="s">
        <v>164</v>
      </c>
      <c r="C1226">
        <v>300269896</v>
      </c>
      <c r="D1226">
        <v>16461665</v>
      </c>
      <c r="E1226" t="s">
        <v>45</v>
      </c>
      <c r="F1226" t="s">
        <v>64</v>
      </c>
      <c r="G1226">
        <v>1104</v>
      </c>
      <c r="H1226" t="s">
        <v>3016</v>
      </c>
      <c r="J1226" t="s">
        <v>3017</v>
      </c>
      <c r="K1226" s="11">
        <v>46198.673020833332</v>
      </c>
      <c r="M1226">
        <v>552</v>
      </c>
      <c r="N1226" t="s">
        <v>878</v>
      </c>
      <c r="O1226">
        <v>0</v>
      </c>
      <c r="P1226" s="5"/>
      <c r="Q1226" s="10">
        <f>INT(Tabela1[[#This Row],[DATA]])</f>
        <v>46198</v>
      </c>
      <c r="R1226" s="14" t="str">
        <f ca="1">IF(AND(Q1226&gt;=TODAY()-WEEKDAY(TODAY(),2)+1,Q1226&lt;TODAY()),"SIM","NÃO")</f>
        <v>NÃO</v>
      </c>
    </row>
    <row r="1227" spans="1:18" hidden="1">
      <c r="A1227" t="s">
        <v>163</v>
      </c>
      <c r="B1227" t="s">
        <v>164</v>
      </c>
      <c r="C1227">
        <v>300271538</v>
      </c>
      <c r="D1227">
        <v>16430301</v>
      </c>
      <c r="E1227" t="s">
        <v>37</v>
      </c>
      <c r="F1227" t="s">
        <v>38</v>
      </c>
      <c r="G1227">
        <v>13</v>
      </c>
      <c r="H1227" t="s">
        <v>2292</v>
      </c>
      <c r="J1227" t="s">
        <v>3018</v>
      </c>
      <c r="K1227" s="11">
        <v>46198.674502314818</v>
      </c>
      <c r="M1227">
        <v>553</v>
      </c>
      <c r="N1227" t="s">
        <v>867</v>
      </c>
      <c r="O1227">
        <v>0</v>
      </c>
      <c r="P1227" s="5"/>
      <c r="Q1227" s="10">
        <f>INT(Tabela1[[#This Row],[DATA]])</f>
        <v>46198</v>
      </c>
      <c r="R1227" s="14" t="str">
        <f ca="1">IF(AND(Q1227&gt;=TODAY()-WEEKDAY(TODAY(),2)+1,Q1227&lt;TODAY()),"SIM","NÃO")</f>
        <v>NÃO</v>
      </c>
    </row>
    <row r="1228" spans="1:18" hidden="1">
      <c r="A1228" t="s">
        <v>101</v>
      </c>
      <c r="B1228" t="s">
        <v>990</v>
      </c>
      <c r="C1228">
        <v>300271508</v>
      </c>
      <c r="D1228">
        <v>16508971</v>
      </c>
      <c r="E1228" t="s">
        <v>37</v>
      </c>
      <c r="F1228" t="s">
        <v>177</v>
      </c>
      <c r="G1228">
        <v>162</v>
      </c>
      <c r="H1228" t="s">
        <v>3019</v>
      </c>
      <c r="J1228" t="s">
        <v>3020</v>
      </c>
      <c r="K1228" s="11">
        <v>46198.676620370374</v>
      </c>
      <c r="M1228">
        <v>554</v>
      </c>
      <c r="N1228" t="s">
        <v>867</v>
      </c>
      <c r="O1228" t="s">
        <v>3021</v>
      </c>
      <c r="P1228" s="5"/>
      <c r="Q1228" s="10">
        <f>INT(Tabela1[[#This Row],[DATA]])</f>
        <v>46198</v>
      </c>
      <c r="R1228" s="14" t="str">
        <f ca="1">IF(AND(Q1228&gt;=TODAY()-WEEKDAY(TODAY(),2)+1,Q1228&lt;TODAY()),"SIM","NÃO")</f>
        <v>NÃO</v>
      </c>
    </row>
    <row r="1229" spans="1:18" hidden="1">
      <c r="A1229" t="s">
        <v>914</v>
      </c>
      <c r="B1229" t="s">
        <v>2651</v>
      </c>
      <c r="C1229">
        <v>300269324</v>
      </c>
      <c r="D1229">
        <v>16520157</v>
      </c>
      <c r="E1229" t="s">
        <v>37</v>
      </c>
      <c r="F1229" t="s">
        <v>103</v>
      </c>
      <c r="G1229">
        <v>100</v>
      </c>
      <c r="H1229" t="s">
        <v>13</v>
      </c>
      <c r="J1229" t="s">
        <v>2132</v>
      </c>
      <c r="K1229" s="11">
        <v>46198.686168981483</v>
      </c>
      <c r="M1229">
        <v>555</v>
      </c>
      <c r="N1229" t="s">
        <v>878</v>
      </c>
      <c r="O1229">
        <v>0</v>
      </c>
      <c r="P1229" s="5"/>
      <c r="Q1229" s="10">
        <f>INT(Tabela1[[#This Row],[DATA]])</f>
        <v>46198</v>
      </c>
      <c r="R1229" s="14" t="str">
        <f ca="1">IF(AND(Q1229&gt;=TODAY()-WEEKDAY(TODAY(),2)+1,Q1229&lt;TODAY()),"SIM","NÃO")</f>
        <v>NÃO</v>
      </c>
    </row>
    <row r="1230" spans="1:18" hidden="1">
      <c r="A1230" t="s">
        <v>2551</v>
      </c>
      <c r="B1230" t="s">
        <v>274</v>
      </c>
      <c r="C1230">
        <v>300275007</v>
      </c>
      <c r="D1230">
        <v>16294882</v>
      </c>
      <c r="E1230" t="s">
        <v>37</v>
      </c>
      <c r="F1230" t="s">
        <v>38</v>
      </c>
      <c r="G1230">
        <v>25</v>
      </c>
      <c r="H1230" t="s">
        <v>555</v>
      </c>
      <c r="K1230" s="11">
        <v>46198.699374999997</v>
      </c>
      <c r="M1230">
        <v>556</v>
      </c>
      <c r="N1230" t="s">
        <v>867</v>
      </c>
      <c r="O1230">
        <v>0</v>
      </c>
      <c r="P1230" s="5"/>
      <c r="Q1230" s="10">
        <f>INT(Tabela1[[#This Row],[DATA]])</f>
        <v>46198</v>
      </c>
      <c r="R1230" s="14" t="str">
        <f ca="1">IF(AND(Q1230&gt;=TODAY()-WEEKDAY(TODAY(),2)+1,Q1230&lt;TODAY()),"SIM","NÃO")</f>
        <v>NÃO</v>
      </c>
    </row>
    <row r="1231" spans="1:18" hidden="1">
      <c r="A1231" t="s">
        <v>3022</v>
      </c>
      <c r="B1231" t="s">
        <v>3023</v>
      </c>
      <c r="C1231">
        <v>300268232</v>
      </c>
      <c r="D1231">
        <v>16499638</v>
      </c>
      <c r="E1231" t="s">
        <v>45</v>
      </c>
      <c r="F1231" t="s">
        <v>113</v>
      </c>
      <c r="G1231" t="s">
        <v>3024</v>
      </c>
      <c r="H1231" t="s">
        <v>1992</v>
      </c>
      <c r="K1231" s="11">
        <v>46198.710474537038</v>
      </c>
      <c r="M1231">
        <v>557</v>
      </c>
      <c r="N1231" t="s">
        <v>867</v>
      </c>
      <c r="O1231" t="s">
        <v>3025</v>
      </c>
      <c r="P1231" s="5"/>
      <c r="Q1231" s="10">
        <f>INT(Tabela1[[#This Row],[DATA]])</f>
        <v>46198</v>
      </c>
      <c r="R1231" s="14" t="str">
        <f ca="1">IF(AND(Q1231&gt;=TODAY()-WEEKDAY(TODAY(),2)+1,Q1231&lt;TODAY()),"SIM","NÃO")</f>
        <v>NÃO</v>
      </c>
    </row>
    <row r="1232" spans="1:18" hidden="1">
      <c r="A1232" t="s">
        <v>191</v>
      </c>
      <c r="B1232" t="s">
        <v>192</v>
      </c>
      <c r="C1232">
        <v>300272164</v>
      </c>
      <c r="D1232">
        <v>15128288</v>
      </c>
      <c r="E1232" t="s">
        <v>29</v>
      </c>
      <c r="F1232" t="s">
        <v>291</v>
      </c>
      <c r="G1232">
        <v>200</v>
      </c>
      <c r="H1232" t="s">
        <v>3026</v>
      </c>
      <c r="K1232" s="11">
        <v>46198.76840277778</v>
      </c>
      <c r="M1232">
        <v>558</v>
      </c>
      <c r="N1232" t="s">
        <v>867</v>
      </c>
      <c r="O1232">
        <v>0</v>
      </c>
      <c r="P1232" s="5"/>
      <c r="Q1232" s="10">
        <f>INT(Tabela1[[#This Row],[DATA]])</f>
        <v>46198</v>
      </c>
      <c r="R1232" s="14" t="str">
        <f ca="1">IF(AND(Q1232&gt;=TODAY()-WEEKDAY(TODAY(),2)+1,Q1232&lt;TODAY()),"SIM","NÃO")</f>
        <v>NÃO</v>
      </c>
    </row>
    <row r="1233" spans="1:18" hidden="1">
      <c r="A1233" t="s">
        <v>191</v>
      </c>
      <c r="B1233" t="s">
        <v>192</v>
      </c>
      <c r="C1233">
        <v>300272164</v>
      </c>
      <c r="D1233">
        <v>15128288</v>
      </c>
      <c r="E1233" t="s">
        <v>29</v>
      </c>
      <c r="F1233" t="s">
        <v>96</v>
      </c>
      <c r="G1233">
        <v>100</v>
      </c>
      <c r="H1233" t="s">
        <v>3026</v>
      </c>
      <c r="K1233" s="11">
        <v>46198.769560185188</v>
      </c>
      <c r="M1233">
        <v>559</v>
      </c>
      <c r="N1233" t="s">
        <v>867</v>
      </c>
      <c r="O1233">
        <v>0</v>
      </c>
      <c r="P1233" s="5"/>
      <c r="Q1233" s="10">
        <f>INT(Tabela1[[#This Row],[DATA]])</f>
        <v>46198</v>
      </c>
      <c r="R1233" s="14" t="str">
        <f ca="1">IF(AND(Q1233&gt;=TODAY()-WEEKDAY(TODAY(),2)+1,Q1233&lt;TODAY()),"SIM","NÃO")</f>
        <v>NÃO</v>
      </c>
    </row>
    <row r="1234" spans="1:18" hidden="1">
      <c r="A1234" t="s">
        <v>191</v>
      </c>
      <c r="B1234" t="s">
        <v>192</v>
      </c>
      <c r="C1234">
        <v>300272164</v>
      </c>
      <c r="D1234">
        <v>15128288</v>
      </c>
      <c r="E1234" t="s">
        <v>29</v>
      </c>
      <c r="F1234" t="s">
        <v>2598</v>
      </c>
      <c r="G1234">
        <v>200</v>
      </c>
      <c r="H1234" t="s">
        <v>3026</v>
      </c>
      <c r="K1234" s="11">
        <v>46198.770474537036</v>
      </c>
      <c r="M1234">
        <v>560</v>
      </c>
      <c r="N1234" t="s">
        <v>867</v>
      </c>
      <c r="O1234">
        <v>0</v>
      </c>
      <c r="P1234" s="5"/>
      <c r="Q1234" s="10">
        <f>INT(Tabela1[[#This Row],[DATA]])</f>
        <v>46198</v>
      </c>
      <c r="R1234" s="14" t="str">
        <f ca="1">IF(AND(Q1234&gt;=TODAY()-WEEKDAY(TODAY(),2)+1,Q1234&lt;TODAY()),"SIM","NÃO")</f>
        <v>NÃO</v>
      </c>
    </row>
    <row r="1235" spans="1:18" hidden="1">
      <c r="A1235" t="s">
        <v>201</v>
      </c>
      <c r="B1235" t="s">
        <v>202</v>
      </c>
      <c r="C1235">
        <v>300270257</v>
      </c>
      <c r="D1235">
        <v>16508882</v>
      </c>
      <c r="E1235" t="s">
        <v>37</v>
      </c>
      <c r="F1235" t="s">
        <v>2644</v>
      </c>
      <c r="G1235" t="s">
        <v>3027</v>
      </c>
      <c r="H1235" t="s">
        <v>3028</v>
      </c>
      <c r="J1235" t="s">
        <v>3027</v>
      </c>
      <c r="K1235" s="11">
        <v>46198.899722222224</v>
      </c>
      <c r="M1235">
        <v>561</v>
      </c>
      <c r="N1235" t="s">
        <v>878</v>
      </c>
      <c r="O1235">
        <v>10000211617</v>
      </c>
      <c r="P1235" s="5"/>
      <c r="Q1235" s="10">
        <f>INT(Tabela1[[#This Row],[DATA]])</f>
        <v>46198</v>
      </c>
      <c r="R1235" s="14" t="str">
        <f ca="1">IF(AND(Q1235&gt;=TODAY()-WEEKDAY(TODAY(),2)+1,Q1235&lt;TODAY()),"SIM","NÃO")</f>
        <v>NÃO</v>
      </c>
    </row>
    <row r="1236" spans="1:18" hidden="1">
      <c r="A1236" t="s">
        <v>2541</v>
      </c>
      <c r="B1236" t="s">
        <v>388</v>
      </c>
      <c r="C1236">
        <v>300273723</v>
      </c>
      <c r="D1236">
        <v>16243005</v>
      </c>
      <c r="E1236" t="s">
        <v>37</v>
      </c>
      <c r="F1236" t="s">
        <v>38</v>
      </c>
      <c r="G1236">
        <v>137</v>
      </c>
      <c r="H1236" t="s">
        <v>2313</v>
      </c>
      <c r="K1236" s="11">
        <v>46199.306863425925</v>
      </c>
      <c r="M1236">
        <v>562</v>
      </c>
      <c r="N1236" t="s">
        <v>867</v>
      </c>
      <c r="O1236">
        <v>0</v>
      </c>
      <c r="P1236" s="5"/>
      <c r="Q1236" s="10">
        <f>INT(Tabela1[[#This Row],[DATA]])</f>
        <v>46199</v>
      </c>
      <c r="R1236" s="14" t="str">
        <f ca="1">IF(AND(Q1236&gt;=TODAY()-WEEKDAY(TODAY(),2)+1,Q1236&lt;TODAY()),"SIM","NÃO")</f>
        <v>NÃO</v>
      </c>
    </row>
    <row r="1237" spans="1:18" hidden="1">
      <c r="A1237" t="s">
        <v>2551</v>
      </c>
      <c r="B1237" t="s">
        <v>274</v>
      </c>
      <c r="C1237">
        <v>300275005</v>
      </c>
      <c r="D1237">
        <v>16294882</v>
      </c>
      <c r="E1237" t="s">
        <v>37</v>
      </c>
      <c r="F1237" t="s">
        <v>38</v>
      </c>
      <c r="G1237">
        <v>25</v>
      </c>
      <c r="H1237" t="s">
        <v>2344</v>
      </c>
      <c r="K1237" s="11">
        <v>46199.310231481482</v>
      </c>
      <c r="M1237">
        <v>563</v>
      </c>
      <c r="N1237" t="s">
        <v>867</v>
      </c>
      <c r="O1237">
        <v>0</v>
      </c>
      <c r="P1237" s="5"/>
      <c r="Q1237" s="10">
        <f>INT(Tabela1[[#This Row],[DATA]])</f>
        <v>46199</v>
      </c>
      <c r="R1237" s="14" t="str">
        <f ca="1">IF(AND(Q1237&gt;=TODAY()-WEEKDAY(TODAY(),2)+1,Q1237&lt;TODAY()),"SIM","NÃO")</f>
        <v>NÃO</v>
      </c>
    </row>
    <row r="1238" spans="1:18" hidden="1">
      <c r="A1238" t="s">
        <v>1110</v>
      </c>
      <c r="B1238" t="s">
        <v>1111</v>
      </c>
      <c r="C1238">
        <v>300271745</v>
      </c>
      <c r="D1238">
        <v>16051491</v>
      </c>
      <c r="E1238" t="s">
        <v>37</v>
      </c>
      <c r="F1238" t="s">
        <v>38</v>
      </c>
      <c r="G1238">
        <v>50</v>
      </c>
      <c r="H1238" t="s">
        <v>1112</v>
      </c>
      <c r="J1238" t="s">
        <v>3029</v>
      </c>
      <c r="K1238" s="11">
        <v>46199.327962962961</v>
      </c>
      <c r="M1238">
        <v>564</v>
      </c>
      <c r="N1238" t="s">
        <v>867</v>
      </c>
      <c r="O1238">
        <v>0</v>
      </c>
      <c r="P1238" s="5"/>
      <c r="Q1238" s="10">
        <f>INT(Tabela1[[#This Row],[DATA]])</f>
        <v>46199</v>
      </c>
      <c r="R1238" s="14" t="str">
        <f ca="1">IF(AND(Q1238&gt;=TODAY()-WEEKDAY(TODAY(),2)+1,Q1238&lt;TODAY()),"SIM","NÃO")</f>
        <v>NÃO</v>
      </c>
    </row>
    <row r="1239" spans="1:18" hidden="1">
      <c r="A1239" t="s">
        <v>2177</v>
      </c>
      <c r="B1239" t="s">
        <v>1073</v>
      </c>
      <c r="C1239">
        <v>300273328</v>
      </c>
      <c r="D1239">
        <v>16523741</v>
      </c>
      <c r="E1239" t="s">
        <v>37</v>
      </c>
      <c r="F1239" t="s">
        <v>90</v>
      </c>
      <c r="G1239" t="s">
        <v>3030</v>
      </c>
      <c r="H1239" t="s">
        <v>3031</v>
      </c>
      <c r="J1239" t="s">
        <v>3032</v>
      </c>
      <c r="K1239" s="11">
        <v>46199.352511574078</v>
      </c>
      <c r="M1239">
        <v>565</v>
      </c>
      <c r="N1239" t="s">
        <v>878</v>
      </c>
      <c r="O1239">
        <v>0</v>
      </c>
      <c r="P1239" s="5"/>
      <c r="Q1239" s="10">
        <f>INT(Tabela1[[#This Row],[DATA]])</f>
        <v>46199</v>
      </c>
      <c r="R1239" s="14" t="str">
        <f ca="1">IF(AND(Q1239&gt;=TODAY()-WEEKDAY(TODAY(),2)+1,Q1239&lt;TODAY()),"SIM","NÃO")</f>
        <v>NÃO</v>
      </c>
    </row>
    <row r="1240" spans="1:18" hidden="1">
      <c r="A1240" t="s">
        <v>2578</v>
      </c>
      <c r="B1240" t="s">
        <v>69</v>
      </c>
      <c r="C1240">
        <v>300274899</v>
      </c>
      <c r="D1240">
        <v>16273311</v>
      </c>
      <c r="E1240" t="s">
        <v>37</v>
      </c>
      <c r="F1240" t="s">
        <v>151</v>
      </c>
      <c r="G1240">
        <v>20</v>
      </c>
      <c r="H1240" t="s">
        <v>579</v>
      </c>
      <c r="J1240" t="s">
        <v>3033</v>
      </c>
      <c r="K1240" s="11">
        <v>46199.353634259256</v>
      </c>
      <c r="M1240">
        <v>566</v>
      </c>
      <c r="N1240" t="s">
        <v>867</v>
      </c>
      <c r="O1240">
        <v>16273311</v>
      </c>
      <c r="P1240" s="5"/>
      <c r="Q1240" s="10">
        <f>INT(Tabela1[[#This Row],[DATA]])</f>
        <v>46199</v>
      </c>
      <c r="R1240" s="14" t="str">
        <f ca="1">IF(AND(Q1240&gt;=TODAY()-WEEKDAY(TODAY(),2)+1,Q1240&lt;TODAY()),"SIM","NÃO")</f>
        <v>NÃO</v>
      </c>
    </row>
    <row r="1241" spans="1:18" hidden="1">
      <c r="A1241" t="s">
        <v>2578</v>
      </c>
      <c r="B1241" t="s">
        <v>69</v>
      </c>
      <c r="C1241">
        <v>300274899</v>
      </c>
      <c r="D1241">
        <v>16273311</v>
      </c>
      <c r="E1241" t="s">
        <v>37</v>
      </c>
      <c r="F1241" t="s">
        <v>417</v>
      </c>
      <c r="G1241" t="s">
        <v>3034</v>
      </c>
      <c r="H1241" t="s">
        <v>579</v>
      </c>
      <c r="J1241" t="s">
        <v>3035</v>
      </c>
      <c r="K1241" s="11">
        <v>46199.354930555557</v>
      </c>
      <c r="M1241">
        <v>567</v>
      </c>
      <c r="N1241" t="s">
        <v>867</v>
      </c>
      <c r="O1241">
        <v>16273311</v>
      </c>
      <c r="P1241" s="5"/>
      <c r="Q1241" s="10">
        <f>INT(Tabela1[[#This Row],[DATA]])</f>
        <v>46199</v>
      </c>
      <c r="R1241" s="14" t="str">
        <f ca="1">IF(AND(Q1241&gt;=TODAY()-WEEKDAY(TODAY(),2)+1,Q1241&lt;TODAY()),"SIM","NÃO")</f>
        <v>NÃO</v>
      </c>
    </row>
    <row r="1242" spans="1:18" hidden="1">
      <c r="A1242" t="s">
        <v>3022</v>
      </c>
      <c r="B1242" t="s">
        <v>3023</v>
      </c>
      <c r="C1242">
        <v>300267559</v>
      </c>
      <c r="D1242">
        <v>12416746</v>
      </c>
      <c r="E1242" t="s">
        <v>45</v>
      </c>
      <c r="F1242" t="s">
        <v>38</v>
      </c>
      <c r="G1242">
        <v>344</v>
      </c>
      <c r="H1242" t="s">
        <v>3036</v>
      </c>
      <c r="K1242" s="11">
        <v>46199.368368055555</v>
      </c>
      <c r="M1242">
        <v>568</v>
      </c>
      <c r="N1242" t="s">
        <v>867</v>
      </c>
      <c r="O1242" t="s">
        <v>3037</v>
      </c>
      <c r="P1242" s="5"/>
      <c r="Q1242" s="10">
        <f>INT(Tabela1[[#This Row],[DATA]])</f>
        <v>46199</v>
      </c>
      <c r="R1242" s="14" t="str">
        <f ca="1">IF(AND(Q1242&gt;=TODAY()-WEEKDAY(TODAY(),2)+1,Q1242&lt;TODAY()),"SIM","NÃO")</f>
        <v>NÃO</v>
      </c>
    </row>
    <row r="1243" spans="1:18" hidden="1">
      <c r="A1243" t="s">
        <v>253</v>
      </c>
      <c r="B1243" t="s">
        <v>254</v>
      </c>
      <c r="C1243">
        <v>300272959</v>
      </c>
      <c r="D1243">
        <v>15699293</v>
      </c>
      <c r="E1243" t="s">
        <v>37</v>
      </c>
      <c r="F1243" t="s">
        <v>802</v>
      </c>
      <c r="G1243">
        <v>7</v>
      </c>
      <c r="H1243" t="s">
        <v>2942</v>
      </c>
      <c r="K1243" s="11">
        <v>46199.377835648149</v>
      </c>
      <c r="M1243">
        <v>569</v>
      </c>
      <c r="N1243" t="s">
        <v>867</v>
      </c>
      <c r="O1243">
        <v>0</v>
      </c>
      <c r="P1243" s="5"/>
      <c r="Q1243" s="10">
        <f>INT(Tabela1[[#This Row],[DATA]])</f>
        <v>46199</v>
      </c>
      <c r="R1243" s="14" t="str">
        <f ca="1">IF(AND(Q1243&gt;=TODAY()-WEEKDAY(TODAY(),2)+1,Q1243&lt;TODAY()),"SIM","NÃO")</f>
        <v>NÃO</v>
      </c>
    </row>
    <row r="1244" spans="1:18" hidden="1">
      <c r="A1244" t="s">
        <v>101</v>
      </c>
      <c r="B1244" t="s">
        <v>990</v>
      </c>
      <c r="C1244">
        <v>300274225</v>
      </c>
      <c r="D1244">
        <v>16217390</v>
      </c>
      <c r="E1244" t="s">
        <v>37</v>
      </c>
      <c r="F1244" t="s">
        <v>216</v>
      </c>
      <c r="G1244">
        <v>24</v>
      </c>
      <c r="H1244" t="s">
        <v>3038</v>
      </c>
      <c r="J1244" t="s">
        <v>3039</v>
      </c>
      <c r="K1244" s="11">
        <v>46199.401585648149</v>
      </c>
      <c r="M1244">
        <v>570</v>
      </c>
      <c r="N1244" t="s">
        <v>867</v>
      </c>
      <c r="O1244">
        <v>0</v>
      </c>
      <c r="P1244" s="5"/>
      <c r="Q1244" s="10">
        <f>INT(Tabela1[[#This Row],[DATA]])</f>
        <v>46199</v>
      </c>
      <c r="R1244" s="14" t="str">
        <f ca="1">IF(AND(Q1244&gt;=TODAY()-WEEKDAY(TODAY(),2)+1,Q1244&lt;TODAY()),"SIM","NÃO")</f>
        <v>NÃO</v>
      </c>
    </row>
    <row r="1245" spans="1:18" hidden="1">
      <c r="A1245" t="s">
        <v>163</v>
      </c>
      <c r="B1245" t="s">
        <v>164</v>
      </c>
      <c r="C1245">
        <v>300269895</v>
      </c>
      <c r="D1245">
        <v>16461665</v>
      </c>
      <c r="E1245" t="s">
        <v>45</v>
      </c>
      <c r="F1245" t="s">
        <v>38</v>
      </c>
      <c r="G1245">
        <v>5</v>
      </c>
      <c r="H1245" t="s">
        <v>3004</v>
      </c>
      <c r="K1245" s="11">
        <v>46199.419594907406</v>
      </c>
      <c r="M1245">
        <v>571</v>
      </c>
      <c r="N1245" t="s">
        <v>867</v>
      </c>
      <c r="O1245">
        <v>0</v>
      </c>
      <c r="P1245" s="5"/>
      <c r="Q1245" s="10">
        <f>INT(Tabela1[[#This Row],[DATA]])</f>
        <v>46199</v>
      </c>
      <c r="R1245" s="14" t="str">
        <f ca="1">IF(AND(Q1245&gt;=TODAY()-WEEKDAY(TODAY(),2)+1,Q1245&lt;TODAY()),"SIM","NÃO")</f>
        <v>NÃO</v>
      </c>
    </row>
    <row r="1246" spans="1:18" hidden="1">
      <c r="A1246" t="s">
        <v>3022</v>
      </c>
      <c r="B1246" t="s">
        <v>3023</v>
      </c>
      <c r="C1246">
        <v>300267559</v>
      </c>
      <c r="D1246">
        <v>12416746</v>
      </c>
      <c r="E1246" t="s">
        <v>45</v>
      </c>
      <c r="F1246" t="s">
        <v>125</v>
      </c>
      <c r="G1246" t="s">
        <v>3040</v>
      </c>
      <c r="H1246" t="s">
        <v>3041</v>
      </c>
      <c r="K1246" s="11">
        <v>46199.428877314815</v>
      </c>
      <c r="M1246">
        <v>572</v>
      </c>
      <c r="N1246" t="s">
        <v>867</v>
      </c>
      <c r="O1246" t="s">
        <v>3042</v>
      </c>
      <c r="P1246" s="5"/>
      <c r="Q1246" s="10">
        <f>INT(Tabela1[[#This Row],[DATA]])</f>
        <v>46199</v>
      </c>
      <c r="R1246" s="14" t="str">
        <f ca="1">IF(AND(Q1246&gt;=TODAY()-WEEKDAY(TODAY(),2)+1,Q1246&lt;TODAY()),"SIM","NÃO")</f>
        <v>NÃO</v>
      </c>
    </row>
    <row r="1247" spans="1:18" hidden="1">
      <c r="A1247" t="s">
        <v>3022</v>
      </c>
      <c r="B1247" t="s">
        <v>3023</v>
      </c>
      <c r="C1247">
        <v>300267559</v>
      </c>
      <c r="D1247">
        <v>12416746</v>
      </c>
      <c r="E1247" t="s">
        <v>45</v>
      </c>
      <c r="F1247" t="s">
        <v>38</v>
      </c>
      <c r="G1247">
        <v>344</v>
      </c>
      <c r="H1247" t="s">
        <v>3043</v>
      </c>
      <c r="K1247" s="11">
        <v>46199.431631944448</v>
      </c>
      <c r="M1247">
        <v>573</v>
      </c>
      <c r="N1247" t="s">
        <v>867</v>
      </c>
      <c r="O1247" t="s">
        <v>3044</v>
      </c>
      <c r="P1247" s="5"/>
      <c r="Q1247" s="10">
        <f>INT(Tabela1[[#This Row],[DATA]])</f>
        <v>46199</v>
      </c>
      <c r="R1247" s="14" t="str">
        <f ca="1">IF(AND(Q1247&gt;=TODAY()-WEEKDAY(TODAY(),2)+1,Q1247&lt;TODAY()),"SIM","NÃO")</f>
        <v>NÃO</v>
      </c>
    </row>
    <row r="1248" spans="1:18" hidden="1">
      <c r="A1248" t="s">
        <v>2754</v>
      </c>
      <c r="B1248" t="s">
        <v>822</v>
      </c>
      <c r="C1248">
        <v>300275850</v>
      </c>
      <c r="D1248">
        <v>15773434</v>
      </c>
      <c r="E1248" t="s">
        <v>37</v>
      </c>
      <c r="F1248" t="s">
        <v>38</v>
      </c>
      <c r="G1248">
        <v>90</v>
      </c>
      <c r="H1248" t="s">
        <v>3045</v>
      </c>
      <c r="K1248" s="11">
        <v>46199.432951388888</v>
      </c>
      <c r="M1248">
        <v>574</v>
      </c>
      <c r="N1248" t="s">
        <v>867</v>
      </c>
      <c r="O1248">
        <v>0</v>
      </c>
      <c r="P1248" s="5"/>
      <c r="Q1248" s="10">
        <f>INT(Tabela1[[#This Row],[DATA]])</f>
        <v>46199</v>
      </c>
      <c r="R1248" s="14" t="str">
        <f ca="1">IF(AND(Q1248&gt;=TODAY()-WEEKDAY(TODAY(),2)+1,Q1248&lt;TODAY()),"SIM","NÃO")</f>
        <v>NÃO</v>
      </c>
    </row>
    <row r="1249" spans="1:18" hidden="1">
      <c r="A1249" t="s">
        <v>3022</v>
      </c>
      <c r="B1249" t="s">
        <v>3023</v>
      </c>
      <c r="C1249">
        <v>300267559</v>
      </c>
      <c r="D1249">
        <v>12416746</v>
      </c>
      <c r="E1249" t="s">
        <v>45</v>
      </c>
      <c r="F1249" t="s">
        <v>64</v>
      </c>
      <c r="G1249">
        <v>344</v>
      </c>
      <c r="H1249" t="s">
        <v>3046</v>
      </c>
      <c r="K1249" s="11">
        <v>46199.433287037034</v>
      </c>
      <c r="M1249">
        <v>575</v>
      </c>
      <c r="N1249" t="s">
        <v>867</v>
      </c>
      <c r="O1249" t="s">
        <v>3047</v>
      </c>
      <c r="P1249" s="5"/>
      <c r="Q1249" s="10">
        <f>INT(Tabela1[[#This Row],[DATA]])</f>
        <v>46199</v>
      </c>
      <c r="R1249" s="14" t="str">
        <f ca="1">IF(AND(Q1249&gt;=TODAY()-WEEKDAY(TODAY(),2)+1,Q1249&lt;TODAY()),"SIM","NÃO")</f>
        <v>NÃO</v>
      </c>
    </row>
    <row r="1250" spans="1:18" hidden="1">
      <c r="A1250" t="s">
        <v>3022</v>
      </c>
      <c r="B1250" t="s">
        <v>3023</v>
      </c>
      <c r="C1250">
        <v>300267559</v>
      </c>
      <c r="D1250">
        <v>12416746</v>
      </c>
      <c r="E1250" t="s">
        <v>45</v>
      </c>
      <c r="F1250" t="s">
        <v>96</v>
      </c>
      <c r="G1250">
        <v>344</v>
      </c>
      <c r="H1250" t="s">
        <v>3048</v>
      </c>
      <c r="K1250" s="11">
        <v>46199.438981481479</v>
      </c>
      <c r="M1250">
        <v>576</v>
      </c>
      <c r="N1250" t="s">
        <v>867</v>
      </c>
      <c r="O1250" t="s">
        <v>2250</v>
      </c>
      <c r="P1250" s="5"/>
      <c r="Q1250" s="10">
        <f>INT(Tabela1[[#This Row],[DATA]])</f>
        <v>46199</v>
      </c>
      <c r="R1250" s="14" t="str">
        <f ca="1">IF(AND(Q1250&gt;=TODAY()-WEEKDAY(TODAY(),2)+1,Q1250&lt;TODAY()),"SIM","NÃO")</f>
        <v>NÃO</v>
      </c>
    </row>
    <row r="1251" spans="1:18" hidden="1">
      <c r="A1251" t="s">
        <v>2998</v>
      </c>
      <c r="B1251" t="s">
        <v>383</v>
      </c>
      <c r="C1251">
        <v>300271823</v>
      </c>
      <c r="D1251">
        <v>16075951</v>
      </c>
      <c r="E1251" t="s">
        <v>37</v>
      </c>
      <c r="F1251" t="s">
        <v>38</v>
      </c>
      <c r="G1251">
        <v>10</v>
      </c>
      <c r="H1251" t="s">
        <v>3049</v>
      </c>
      <c r="J1251" t="s">
        <v>3050</v>
      </c>
      <c r="K1251" s="11">
        <v>46199.518275462964</v>
      </c>
      <c r="M1251">
        <v>577</v>
      </c>
      <c r="N1251" t="s">
        <v>867</v>
      </c>
      <c r="O1251" t="s">
        <v>3051</v>
      </c>
      <c r="P1251" s="5"/>
      <c r="Q1251" s="10">
        <f>INT(Tabela1[[#This Row],[DATA]])</f>
        <v>46199</v>
      </c>
      <c r="R1251" s="14" t="str">
        <f ca="1">IF(AND(Q1251&gt;=TODAY()-WEEKDAY(TODAY(),2)+1,Q1251&lt;TODAY()),"SIM","NÃO")</f>
        <v>NÃO</v>
      </c>
    </row>
    <row r="1252" spans="1:18" hidden="1">
      <c r="A1252" t="s">
        <v>163</v>
      </c>
      <c r="B1252" t="s">
        <v>164</v>
      </c>
      <c r="C1252">
        <v>300272165</v>
      </c>
      <c r="D1252">
        <v>15128288</v>
      </c>
      <c r="E1252" t="s">
        <v>29</v>
      </c>
      <c r="F1252" t="s">
        <v>64</v>
      </c>
      <c r="G1252">
        <v>243</v>
      </c>
      <c r="H1252" t="s">
        <v>2880</v>
      </c>
      <c r="K1252" s="11">
        <v>46199.588078703702</v>
      </c>
      <c r="M1252">
        <v>578</v>
      </c>
      <c r="N1252" t="s">
        <v>878</v>
      </c>
      <c r="O1252">
        <v>0</v>
      </c>
      <c r="P1252" s="5"/>
      <c r="Q1252" s="10">
        <f>INT(Tabela1[[#This Row],[DATA]])</f>
        <v>46199</v>
      </c>
      <c r="R1252" s="14" t="str">
        <f ca="1">IF(AND(Q1252&gt;=TODAY()-WEEKDAY(TODAY(),2)+1,Q1252&lt;TODAY()),"SIM","NÃO")</f>
        <v>NÃO</v>
      </c>
    </row>
    <row r="1253" spans="1:18" hidden="1">
      <c r="A1253" t="s">
        <v>787</v>
      </c>
      <c r="B1253" t="s">
        <v>788</v>
      </c>
      <c r="C1253">
        <v>300276280</v>
      </c>
      <c r="D1253">
        <v>15863387</v>
      </c>
      <c r="E1253" t="s">
        <v>37</v>
      </c>
      <c r="F1253" t="s">
        <v>113</v>
      </c>
      <c r="G1253">
        <v>50000</v>
      </c>
      <c r="H1253" t="s">
        <v>1831</v>
      </c>
      <c r="J1253" t="s">
        <v>3052</v>
      </c>
      <c r="K1253" s="11">
        <v>46199.619155092594</v>
      </c>
      <c r="M1253">
        <v>579</v>
      </c>
      <c r="N1253" t="s">
        <v>878</v>
      </c>
      <c r="O1253">
        <v>10000062854</v>
      </c>
      <c r="P1253" s="5"/>
      <c r="Q1253" s="10">
        <f>INT(Tabela1[[#This Row],[DATA]])</f>
        <v>46199</v>
      </c>
      <c r="R1253" s="14" t="str">
        <f ca="1">IF(AND(Q1253&gt;=TODAY()-WEEKDAY(TODAY(),2)+1,Q1253&lt;TODAY()),"SIM","NÃO")</f>
        <v>NÃO</v>
      </c>
    </row>
    <row r="1254" spans="1:18" hidden="1">
      <c r="A1254" t="s">
        <v>787</v>
      </c>
      <c r="B1254" t="s">
        <v>788</v>
      </c>
      <c r="C1254">
        <v>300276280</v>
      </c>
      <c r="D1254">
        <v>15863387</v>
      </c>
      <c r="E1254" t="s">
        <v>37</v>
      </c>
      <c r="F1254" t="s">
        <v>177</v>
      </c>
      <c r="G1254">
        <v>17</v>
      </c>
      <c r="H1254" t="s">
        <v>1966</v>
      </c>
      <c r="J1254" t="s">
        <v>3053</v>
      </c>
      <c r="K1254" s="11">
        <v>46199.623124999998</v>
      </c>
      <c r="M1254">
        <v>580</v>
      </c>
      <c r="N1254" t="s">
        <v>867</v>
      </c>
      <c r="O1254" t="s">
        <v>3054</v>
      </c>
      <c r="P1254" s="5"/>
      <c r="Q1254" s="10">
        <f>INT(Tabela1[[#This Row],[DATA]])</f>
        <v>46199</v>
      </c>
      <c r="R1254" s="14" t="str">
        <f ca="1">IF(AND(Q1254&gt;=TODAY()-WEEKDAY(TODAY(),2)+1,Q1254&lt;TODAY()),"SIM","NÃO")</f>
        <v>NÃO</v>
      </c>
    </row>
    <row r="1255" spans="1:18" hidden="1">
      <c r="A1255" t="s">
        <v>163</v>
      </c>
      <c r="B1255" t="s">
        <v>164</v>
      </c>
      <c r="C1255">
        <v>300273507</v>
      </c>
      <c r="D1255">
        <v>15238385</v>
      </c>
      <c r="E1255" t="s">
        <v>29</v>
      </c>
      <c r="F1255" t="s">
        <v>64</v>
      </c>
      <c r="G1255">
        <v>608</v>
      </c>
      <c r="H1255" t="s">
        <v>2864</v>
      </c>
      <c r="K1255" s="11">
        <v>46199.638437499998</v>
      </c>
      <c r="M1255">
        <v>581</v>
      </c>
      <c r="N1255" t="s">
        <v>878</v>
      </c>
      <c r="O1255">
        <v>0</v>
      </c>
      <c r="P1255" s="5"/>
      <c r="Q1255" s="10">
        <f>INT(Tabela1[[#This Row],[DATA]])</f>
        <v>46199</v>
      </c>
      <c r="R1255" s="14" t="str">
        <f ca="1">IF(AND(Q1255&gt;=TODAY()-WEEKDAY(TODAY(),2)+1,Q1255&lt;TODAY()),"SIM","NÃO")</f>
        <v>NÃO</v>
      </c>
    </row>
    <row r="1256" spans="1:18" hidden="1">
      <c r="A1256" t="s">
        <v>2554</v>
      </c>
      <c r="B1256" t="s">
        <v>150</v>
      </c>
      <c r="C1256">
        <v>300273267</v>
      </c>
      <c r="D1256">
        <v>16508181</v>
      </c>
      <c r="E1256" t="s">
        <v>37</v>
      </c>
      <c r="F1256" t="s">
        <v>177</v>
      </c>
      <c r="G1256" t="s">
        <v>3055</v>
      </c>
      <c r="H1256" t="s">
        <v>3056</v>
      </c>
      <c r="J1256" t="s">
        <v>3057</v>
      </c>
      <c r="K1256" s="11">
        <v>46199.639594907407</v>
      </c>
      <c r="M1256">
        <v>582</v>
      </c>
      <c r="N1256" t="s">
        <v>867</v>
      </c>
      <c r="O1256">
        <v>10000245278</v>
      </c>
      <c r="P1256" s="5"/>
      <c r="Q1256" s="10">
        <f>INT(Tabela1[[#This Row],[DATA]])</f>
        <v>46199</v>
      </c>
      <c r="R1256" s="14" t="str">
        <f ca="1">IF(AND(Q1256&gt;=TODAY()-WEEKDAY(TODAY(),2)+1,Q1256&lt;TODAY()),"SIM","NÃO")</f>
        <v>NÃO</v>
      </c>
    </row>
    <row r="1257" spans="1:18" hidden="1">
      <c r="A1257" t="s">
        <v>605</v>
      </c>
      <c r="B1257" t="s">
        <v>606</v>
      </c>
      <c r="C1257">
        <v>300271514</v>
      </c>
      <c r="D1257">
        <v>16260864</v>
      </c>
      <c r="E1257" t="s">
        <v>37</v>
      </c>
      <c r="F1257" t="s">
        <v>2598</v>
      </c>
      <c r="G1257">
        <v>10</v>
      </c>
      <c r="H1257" t="s">
        <v>2037</v>
      </c>
      <c r="J1257" t="s">
        <v>3058</v>
      </c>
      <c r="K1257" s="11">
        <v>46199.670358796298</v>
      </c>
      <c r="M1257">
        <v>583</v>
      </c>
      <c r="N1257" t="s">
        <v>867</v>
      </c>
      <c r="O1257">
        <v>0</v>
      </c>
      <c r="P1257" s="5"/>
      <c r="Q1257" s="10">
        <f>INT(Tabela1[[#This Row],[DATA]])</f>
        <v>46199</v>
      </c>
      <c r="R1257" s="14" t="str">
        <f ca="1">IF(AND(Q1257&gt;=TODAY()-WEEKDAY(TODAY(),2)+1,Q1257&lt;TODAY()),"SIM","NÃO")</f>
        <v>NÃO</v>
      </c>
    </row>
    <row r="1258" spans="1:18" hidden="1">
      <c r="A1258" t="s">
        <v>605</v>
      </c>
      <c r="B1258" t="s">
        <v>606</v>
      </c>
      <c r="C1258">
        <v>300274129</v>
      </c>
      <c r="D1258">
        <v>15359492</v>
      </c>
      <c r="E1258" t="s">
        <v>29</v>
      </c>
      <c r="F1258" t="s">
        <v>113</v>
      </c>
      <c r="G1258">
        <v>10</v>
      </c>
      <c r="H1258" t="s">
        <v>2091</v>
      </c>
      <c r="K1258" s="11">
        <v>46199.6716087963</v>
      </c>
      <c r="M1258">
        <v>584</v>
      </c>
      <c r="N1258" t="s">
        <v>867</v>
      </c>
      <c r="O1258">
        <v>72694</v>
      </c>
      <c r="P1258" s="5"/>
      <c r="Q1258" s="10">
        <f>INT(Tabela1[[#This Row],[DATA]])</f>
        <v>46199</v>
      </c>
      <c r="R1258" s="14" t="str">
        <f ca="1">IF(AND(Q1258&gt;=TODAY()-WEEKDAY(TODAY(),2)+1,Q1258&lt;TODAY()),"SIM","NÃO")</f>
        <v>NÃO</v>
      </c>
    </row>
    <row r="1259" spans="1:18" hidden="1">
      <c r="A1259" t="s">
        <v>605</v>
      </c>
      <c r="B1259" t="s">
        <v>606</v>
      </c>
      <c r="C1259">
        <v>300275481</v>
      </c>
      <c r="D1259">
        <v>16580290</v>
      </c>
      <c r="E1259" t="s">
        <v>37</v>
      </c>
      <c r="F1259" t="s">
        <v>2598</v>
      </c>
      <c r="G1259" t="s">
        <v>3059</v>
      </c>
      <c r="H1259" t="s">
        <v>1771</v>
      </c>
      <c r="J1259" t="s">
        <v>3060</v>
      </c>
      <c r="K1259" s="11">
        <v>46199.671875</v>
      </c>
      <c r="M1259">
        <v>585</v>
      </c>
      <c r="N1259" t="s">
        <v>867</v>
      </c>
      <c r="O1259">
        <v>0</v>
      </c>
      <c r="P1259" s="5"/>
      <c r="Q1259" s="10">
        <f>INT(Tabela1[[#This Row],[DATA]])</f>
        <v>46199</v>
      </c>
      <c r="R1259" s="14" t="str">
        <f ca="1">IF(AND(Q1259&gt;=TODAY()-WEEKDAY(TODAY(),2)+1,Q1259&lt;TODAY()),"SIM","NÃO")</f>
        <v>NÃO</v>
      </c>
    </row>
    <row r="1260" spans="1:18" hidden="1">
      <c r="A1260" t="s">
        <v>2603</v>
      </c>
      <c r="B1260" t="s">
        <v>929</v>
      </c>
      <c r="C1260">
        <v>300271109</v>
      </c>
      <c r="D1260">
        <v>16261526</v>
      </c>
      <c r="E1260" t="s">
        <v>37</v>
      </c>
      <c r="F1260" t="s">
        <v>38</v>
      </c>
      <c r="G1260">
        <v>2</v>
      </c>
      <c r="H1260" t="s">
        <v>1831</v>
      </c>
      <c r="J1260" t="s">
        <v>2627</v>
      </c>
      <c r="K1260" s="11">
        <v>46200.411585648151</v>
      </c>
      <c r="M1260">
        <v>586</v>
      </c>
      <c r="N1260" t="s">
        <v>867</v>
      </c>
      <c r="O1260">
        <v>0</v>
      </c>
      <c r="P1260" s="5"/>
      <c r="Q1260" s="10">
        <f>INT(Tabela1[[#This Row],[DATA]])</f>
        <v>46200</v>
      </c>
      <c r="R1260" s="14" t="str">
        <f ca="1">IF(AND(Q1260&gt;=TODAY()-WEEKDAY(TODAY(),2)+1,Q1260&lt;TODAY()),"SIM","NÃO")</f>
        <v>NÃO</v>
      </c>
    </row>
    <row r="1261" spans="1:18" hidden="1">
      <c r="A1261" t="s">
        <v>163</v>
      </c>
      <c r="B1261" t="s">
        <v>164</v>
      </c>
      <c r="C1261">
        <v>300273879</v>
      </c>
      <c r="D1261">
        <v>16222954</v>
      </c>
      <c r="E1261" t="s">
        <v>45</v>
      </c>
      <c r="F1261" t="s">
        <v>323</v>
      </c>
      <c r="G1261">
        <v>475</v>
      </c>
      <c r="H1261" t="s">
        <v>2880</v>
      </c>
      <c r="J1261" t="s">
        <v>3061</v>
      </c>
      <c r="K1261" s="11">
        <v>46202.326111111113</v>
      </c>
      <c r="M1261">
        <v>587</v>
      </c>
      <c r="N1261" t="s">
        <v>867</v>
      </c>
      <c r="O1261">
        <v>0</v>
      </c>
      <c r="P1261" s="5"/>
      <c r="Q1261" s="10">
        <f>INT(Tabela1[[#This Row],[DATA]])</f>
        <v>46202</v>
      </c>
      <c r="R1261" s="14" t="str">
        <f ca="1">IF(AND(Q1261&gt;=TODAY()-WEEKDAY(TODAY(),2)+1,Q1261&lt;TODAY()),"SIM","NÃO")</f>
        <v>NÃO</v>
      </c>
    </row>
    <row r="1262" spans="1:18" hidden="1">
      <c r="A1262" t="s">
        <v>3062</v>
      </c>
      <c r="B1262" t="s">
        <v>3063</v>
      </c>
      <c r="C1262">
        <v>300270258</v>
      </c>
      <c r="D1262">
        <v>16508882</v>
      </c>
      <c r="E1262" t="s">
        <v>37</v>
      </c>
      <c r="F1262" t="s">
        <v>132</v>
      </c>
      <c r="G1262" t="s">
        <v>3064</v>
      </c>
      <c r="H1262" t="s">
        <v>3065</v>
      </c>
      <c r="J1262" t="s">
        <v>3066</v>
      </c>
      <c r="K1262" s="11">
        <v>46202.345370370371</v>
      </c>
      <c r="M1262">
        <v>588</v>
      </c>
      <c r="N1262" t="s">
        <v>878</v>
      </c>
      <c r="O1262">
        <v>99999999999</v>
      </c>
      <c r="P1262" s="5"/>
      <c r="Q1262" s="10">
        <f>INT(Tabela1[[#This Row],[DATA]])</f>
        <v>46202</v>
      </c>
      <c r="R1262" s="14" t="str">
        <f ca="1">IF(AND(Q1262&gt;=TODAY()-WEEKDAY(TODAY(),2)+1,Q1262&lt;TODAY()),"SIM","NÃO")</f>
        <v>NÃO</v>
      </c>
    </row>
    <row r="1263" spans="1:18" hidden="1">
      <c r="A1263" t="s">
        <v>313</v>
      </c>
      <c r="B1263" t="s">
        <v>314</v>
      </c>
      <c r="C1263">
        <v>300274355</v>
      </c>
      <c r="D1263">
        <v>15898008</v>
      </c>
      <c r="E1263" t="s">
        <v>45</v>
      </c>
      <c r="F1263" t="s">
        <v>2580</v>
      </c>
      <c r="G1263">
        <v>60</v>
      </c>
      <c r="H1263" t="s">
        <v>3067</v>
      </c>
      <c r="J1263" t="s">
        <v>3068</v>
      </c>
      <c r="K1263" s="11">
        <v>46202.348460648151</v>
      </c>
      <c r="M1263">
        <v>589</v>
      </c>
      <c r="N1263" t="s">
        <v>867</v>
      </c>
      <c r="O1263" t="s">
        <v>3069</v>
      </c>
      <c r="P1263" s="5"/>
      <c r="Q1263" s="10">
        <f>INT(Tabela1[[#This Row],[DATA]])</f>
        <v>46202</v>
      </c>
      <c r="R1263" s="14" t="str">
        <f ca="1">IF(AND(Q1263&gt;=TODAY()-WEEKDAY(TODAY(),2)+1,Q1263&lt;TODAY()),"SIM","NÃO")</f>
        <v>NÃO</v>
      </c>
    </row>
    <row r="1264" spans="1:18" hidden="1">
      <c r="A1264" t="s">
        <v>1110</v>
      </c>
      <c r="B1264" t="s">
        <v>1111</v>
      </c>
      <c r="C1264">
        <v>300264427</v>
      </c>
      <c r="D1264">
        <v>16520092</v>
      </c>
      <c r="E1264" t="s">
        <v>37</v>
      </c>
      <c r="F1264" t="s">
        <v>177</v>
      </c>
      <c r="G1264">
        <v>26</v>
      </c>
      <c r="H1264" t="s">
        <v>1117</v>
      </c>
      <c r="J1264" t="s">
        <v>1117</v>
      </c>
      <c r="K1264" s="11">
        <v>46202.356493055559</v>
      </c>
      <c r="M1264">
        <v>590</v>
      </c>
      <c r="N1264" t="s">
        <v>867</v>
      </c>
      <c r="O1264" t="s">
        <v>3070</v>
      </c>
      <c r="P1264" s="5"/>
      <c r="Q1264" s="10">
        <f>INT(Tabela1[[#This Row],[DATA]])</f>
        <v>46202</v>
      </c>
      <c r="R1264" s="14" t="str">
        <f ca="1">IF(AND(Q1264&gt;=TODAY()-WEEKDAY(TODAY(),2)+1,Q1264&lt;TODAY()),"SIM","NÃO")</f>
        <v>NÃO</v>
      </c>
    </row>
    <row r="1265" spans="1:18" hidden="1">
      <c r="A1265" t="s">
        <v>605</v>
      </c>
      <c r="B1265" t="s">
        <v>606</v>
      </c>
      <c r="C1265">
        <v>300274129</v>
      </c>
      <c r="D1265">
        <v>15359492</v>
      </c>
      <c r="E1265" t="s">
        <v>29</v>
      </c>
      <c r="F1265" t="s">
        <v>38</v>
      </c>
      <c r="G1265">
        <v>56</v>
      </c>
      <c r="H1265" t="s">
        <v>3071</v>
      </c>
      <c r="J1265" t="s">
        <v>3072</v>
      </c>
      <c r="K1265" s="11">
        <v>46202.359409722223</v>
      </c>
      <c r="M1265">
        <v>591</v>
      </c>
      <c r="N1265" t="s">
        <v>867</v>
      </c>
      <c r="O1265">
        <v>0</v>
      </c>
      <c r="P1265" s="5"/>
      <c r="Q1265" s="10">
        <f>INT(Tabela1[[#This Row],[DATA]])</f>
        <v>46202</v>
      </c>
      <c r="R1265" s="14" t="str">
        <f ca="1">IF(AND(Q1265&gt;=TODAY()-WEEKDAY(TODAY(),2)+1,Q1265&lt;TODAY()),"SIM","NÃO")</f>
        <v>NÃO</v>
      </c>
    </row>
    <row r="1266" spans="1:18" hidden="1">
      <c r="A1266" t="s">
        <v>3073</v>
      </c>
      <c r="B1266" t="s">
        <v>2323</v>
      </c>
      <c r="C1266">
        <v>300273715</v>
      </c>
      <c r="D1266">
        <v>16447786</v>
      </c>
      <c r="E1266" t="s">
        <v>37</v>
      </c>
      <c r="F1266" t="s">
        <v>221</v>
      </c>
      <c r="G1266">
        <v>1302</v>
      </c>
      <c r="H1266" t="s">
        <v>3074</v>
      </c>
      <c r="J1266" t="s">
        <v>3075</v>
      </c>
      <c r="K1266" s="11">
        <v>46202.366493055553</v>
      </c>
      <c r="M1266">
        <v>592</v>
      </c>
      <c r="N1266" t="s">
        <v>878</v>
      </c>
      <c r="O1266">
        <v>0</v>
      </c>
      <c r="P1266" s="5"/>
      <c r="Q1266" s="10">
        <f>INT(Tabela1[[#This Row],[DATA]])</f>
        <v>46202</v>
      </c>
      <c r="R1266" s="14" t="str">
        <f ca="1">IF(AND(Q1266&gt;=TODAY()-WEEKDAY(TODAY(),2)+1,Q1266&lt;TODAY()),"SIM","NÃO")</f>
        <v>NÃO</v>
      </c>
    </row>
    <row r="1267" spans="1:18" hidden="1">
      <c r="A1267" t="s">
        <v>3073</v>
      </c>
      <c r="B1267" t="s">
        <v>2323</v>
      </c>
      <c r="C1267">
        <v>300273715</v>
      </c>
      <c r="D1267">
        <v>16447786</v>
      </c>
      <c r="E1267" t="s">
        <v>37</v>
      </c>
      <c r="F1267" t="s">
        <v>30</v>
      </c>
      <c r="G1267">
        <v>1302</v>
      </c>
      <c r="H1267" t="s">
        <v>3076</v>
      </c>
      <c r="J1267" t="s">
        <v>3077</v>
      </c>
      <c r="K1267" s="11">
        <v>46202.369606481479</v>
      </c>
      <c r="M1267">
        <v>593</v>
      </c>
      <c r="N1267" t="s">
        <v>867</v>
      </c>
      <c r="O1267">
        <v>0</v>
      </c>
      <c r="P1267" s="5"/>
      <c r="Q1267" s="10">
        <f>INT(Tabela1[[#This Row],[DATA]])</f>
        <v>46202</v>
      </c>
      <c r="R1267" s="14" t="str">
        <f ca="1">IF(AND(Q1267&gt;=TODAY()-WEEKDAY(TODAY(),2)+1,Q1267&lt;TODAY()),"SIM","NÃO")</f>
        <v>NÃO</v>
      </c>
    </row>
    <row r="1268" spans="1:18" hidden="1">
      <c r="A1268" t="s">
        <v>3073</v>
      </c>
      <c r="B1268" t="s">
        <v>2323</v>
      </c>
      <c r="C1268">
        <v>300271821</v>
      </c>
      <c r="D1268">
        <v>16319249</v>
      </c>
      <c r="E1268" t="s">
        <v>37</v>
      </c>
      <c r="F1268" t="s">
        <v>221</v>
      </c>
      <c r="G1268">
        <v>1188</v>
      </c>
      <c r="H1268" t="s">
        <v>3074</v>
      </c>
      <c r="J1268" t="s">
        <v>3074</v>
      </c>
      <c r="K1268" s="11">
        <v>46202.372557870367</v>
      </c>
      <c r="M1268">
        <v>594</v>
      </c>
      <c r="N1268" t="s">
        <v>878</v>
      </c>
      <c r="O1268">
        <v>0</v>
      </c>
      <c r="P1268" s="5"/>
      <c r="Q1268" s="10">
        <f>INT(Tabela1[[#This Row],[DATA]])</f>
        <v>46202</v>
      </c>
      <c r="R1268" s="14" t="str">
        <f ca="1">IF(AND(Q1268&gt;=TODAY()-WEEKDAY(TODAY(),2)+1,Q1268&lt;TODAY()),"SIM","NÃO")</f>
        <v>NÃO</v>
      </c>
    </row>
    <row r="1269" spans="1:18" hidden="1">
      <c r="A1269" t="s">
        <v>2681</v>
      </c>
      <c r="B1269" t="s">
        <v>1284</v>
      </c>
      <c r="C1269">
        <v>300273638</v>
      </c>
      <c r="D1269">
        <v>16218019</v>
      </c>
      <c r="E1269" t="s">
        <v>37</v>
      </c>
      <c r="F1269" t="s">
        <v>2213</v>
      </c>
      <c r="G1269" t="s">
        <v>3078</v>
      </c>
      <c r="H1269" t="s">
        <v>2679</v>
      </c>
      <c r="J1269" t="s">
        <v>3079</v>
      </c>
      <c r="K1269" s="11">
        <v>46202.375416666669</v>
      </c>
      <c r="M1269">
        <v>595</v>
      </c>
      <c r="N1269" t="s">
        <v>867</v>
      </c>
      <c r="O1269">
        <v>150</v>
      </c>
      <c r="P1269" s="5"/>
      <c r="Q1269" s="10">
        <f>INT(Tabela1[[#This Row],[DATA]])</f>
        <v>46202</v>
      </c>
      <c r="R1269" s="14" t="str">
        <f ca="1">IF(AND(Q1269&gt;=TODAY()-WEEKDAY(TODAY(),2)+1,Q1269&lt;TODAY()),"SIM","NÃO")</f>
        <v>NÃO</v>
      </c>
    </row>
    <row r="1270" spans="1:18" hidden="1">
      <c r="A1270" t="s">
        <v>2754</v>
      </c>
      <c r="B1270" t="s">
        <v>822</v>
      </c>
      <c r="C1270">
        <v>300275850</v>
      </c>
      <c r="D1270">
        <v>15773434</v>
      </c>
      <c r="E1270" t="s">
        <v>37</v>
      </c>
      <c r="F1270" t="s">
        <v>38</v>
      </c>
      <c r="G1270">
        <v>65</v>
      </c>
      <c r="H1270" t="s">
        <v>3080</v>
      </c>
      <c r="K1270" s="11">
        <v>46202.377997685187</v>
      </c>
      <c r="M1270">
        <v>596</v>
      </c>
      <c r="N1270" t="s">
        <v>867</v>
      </c>
      <c r="O1270">
        <v>0</v>
      </c>
      <c r="P1270" s="5"/>
      <c r="Q1270" s="10">
        <f>INT(Tabela1[[#This Row],[DATA]])</f>
        <v>46202</v>
      </c>
      <c r="R1270" s="14" t="str">
        <f ca="1">IF(AND(Q1270&gt;=TODAY()-WEEKDAY(TODAY(),2)+1,Q1270&lt;TODAY()),"SIM","NÃO")</f>
        <v>NÃO</v>
      </c>
    </row>
    <row r="1271" spans="1:18" hidden="1">
      <c r="A1271" t="s">
        <v>163</v>
      </c>
      <c r="B1271" t="s">
        <v>164</v>
      </c>
      <c r="C1271">
        <v>300272165</v>
      </c>
      <c r="D1271">
        <v>15128288</v>
      </c>
      <c r="E1271" t="s">
        <v>29</v>
      </c>
      <c r="F1271" t="s">
        <v>430</v>
      </c>
      <c r="G1271">
        <v>100</v>
      </c>
      <c r="H1271" t="s">
        <v>2292</v>
      </c>
      <c r="K1271" s="11">
        <v>46202.395057870373</v>
      </c>
      <c r="M1271">
        <v>597</v>
      </c>
      <c r="N1271" t="s">
        <v>867</v>
      </c>
      <c r="O1271">
        <v>10000216132</v>
      </c>
      <c r="P1271" s="5"/>
      <c r="Q1271" s="10">
        <f>INT(Tabela1[[#This Row],[DATA]])</f>
        <v>46202</v>
      </c>
      <c r="R1271" s="14" t="str">
        <f ca="1">IF(AND(Q1271&gt;=TODAY()-WEEKDAY(TODAY(),2)+1,Q1271&lt;TODAY()),"SIM","NÃO")</f>
        <v>NÃO</v>
      </c>
    </row>
    <row r="1272" spans="1:18" hidden="1">
      <c r="A1272" t="s">
        <v>2605</v>
      </c>
      <c r="B1272" t="s">
        <v>2606</v>
      </c>
      <c r="C1272">
        <v>300273726</v>
      </c>
      <c r="D1272">
        <v>16447565</v>
      </c>
      <c r="E1272" t="s">
        <v>37</v>
      </c>
      <c r="F1272" t="s">
        <v>3081</v>
      </c>
      <c r="G1272">
        <v>426</v>
      </c>
      <c r="H1272" t="s">
        <v>3082</v>
      </c>
      <c r="J1272" t="s">
        <v>3082</v>
      </c>
      <c r="K1272" s="11">
        <v>46202.400729166664</v>
      </c>
      <c r="M1272">
        <v>598</v>
      </c>
      <c r="N1272" t="s">
        <v>867</v>
      </c>
      <c r="O1272">
        <v>0</v>
      </c>
      <c r="P1272" s="5"/>
      <c r="Q1272" s="10">
        <f>INT(Tabela1[[#This Row],[DATA]])</f>
        <v>46202</v>
      </c>
      <c r="R1272" s="14" t="str">
        <f ca="1">IF(AND(Q1272&gt;=TODAY()-WEEKDAY(TODAY(),2)+1,Q1272&lt;TODAY()),"SIM","NÃO")</f>
        <v>NÃO</v>
      </c>
    </row>
    <row r="1273" spans="1:18" hidden="1">
      <c r="A1273" t="s">
        <v>2605</v>
      </c>
      <c r="B1273" t="s">
        <v>2606</v>
      </c>
      <c r="C1273">
        <v>300273726</v>
      </c>
      <c r="D1273">
        <v>16447565</v>
      </c>
      <c r="E1273" t="s">
        <v>37</v>
      </c>
      <c r="F1273" t="s">
        <v>3083</v>
      </c>
      <c r="G1273">
        <v>426</v>
      </c>
      <c r="H1273" t="s">
        <v>3082</v>
      </c>
      <c r="J1273" t="s">
        <v>3082</v>
      </c>
      <c r="K1273" s="11">
        <v>46202.403020833335</v>
      </c>
      <c r="M1273">
        <v>599</v>
      </c>
      <c r="N1273" t="s">
        <v>867</v>
      </c>
      <c r="O1273">
        <v>0</v>
      </c>
      <c r="P1273" s="5"/>
      <c r="Q1273" s="10">
        <f>INT(Tabela1[[#This Row],[DATA]])</f>
        <v>46202</v>
      </c>
      <c r="R1273" s="14" t="str">
        <f ca="1">IF(AND(Q1273&gt;=TODAY()-WEEKDAY(TODAY(),2)+1,Q1273&lt;TODAY()),"SIM","NÃO")</f>
        <v>NÃO</v>
      </c>
    </row>
    <row r="1274" spans="1:18" hidden="1">
      <c r="A1274" t="s">
        <v>2565</v>
      </c>
      <c r="B1274" t="s">
        <v>95</v>
      </c>
      <c r="C1274">
        <v>300269058</v>
      </c>
      <c r="D1274">
        <v>14700328</v>
      </c>
      <c r="E1274" t="s">
        <v>45</v>
      </c>
      <c r="F1274" t="s">
        <v>2124</v>
      </c>
      <c r="G1274">
        <v>243</v>
      </c>
      <c r="H1274" t="s">
        <v>2864</v>
      </c>
      <c r="J1274" t="s">
        <v>3084</v>
      </c>
      <c r="K1274" s="11">
        <v>46202.409166666665</v>
      </c>
      <c r="M1274">
        <v>600</v>
      </c>
      <c r="N1274" t="s">
        <v>878</v>
      </c>
      <c r="O1274" t="s">
        <v>848</v>
      </c>
      <c r="P1274" s="5"/>
      <c r="Q1274" s="10">
        <f>INT(Tabela1[[#This Row],[DATA]])</f>
        <v>46202</v>
      </c>
      <c r="R1274" s="14" t="str">
        <f ca="1">IF(AND(Q1274&gt;=TODAY()-WEEKDAY(TODAY(),2)+1,Q1274&lt;TODAY()),"SIM","NÃO")</f>
        <v>NÃO</v>
      </c>
    </row>
    <row r="1275" spans="1:18" hidden="1">
      <c r="A1275" t="s">
        <v>2551</v>
      </c>
      <c r="B1275" t="s">
        <v>274</v>
      </c>
      <c r="C1275">
        <v>300276276</v>
      </c>
      <c r="D1275">
        <v>15858367</v>
      </c>
      <c r="E1275" t="s">
        <v>37</v>
      </c>
      <c r="F1275" t="s">
        <v>3085</v>
      </c>
      <c r="G1275">
        <v>94</v>
      </c>
      <c r="H1275" t="s">
        <v>2923</v>
      </c>
      <c r="J1275" t="s">
        <v>3086</v>
      </c>
      <c r="K1275" s="11">
        <v>46202.449270833335</v>
      </c>
      <c r="M1275">
        <v>601</v>
      </c>
      <c r="N1275" t="s">
        <v>867</v>
      </c>
      <c r="O1275">
        <v>10000064387</v>
      </c>
      <c r="P1275" s="5"/>
      <c r="Q1275" s="10">
        <f>INT(Tabela1[[#This Row],[DATA]])</f>
        <v>46202</v>
      </c>
      <c r="R1275" s="14" t="str">
        <f ca="1">IF(AND(Q1275&gt;=TODAY()-WEEKDAY(TODAY(),2)+1,Q1275&lt;TODAY()),"SIM","NÃO")</f>
        <v>NÃO</v>
      </c>
    </row>
    <row r="1276" spans="1:18" hidden="1">
      <c r="A1276" t="s">
        <v>2551</v>
      </c>
      <c r="B1276" t="s">
        <v>274</v>
      </c>
      <c r="C1276">
        <v>300276276</v>
      </c>
      <c r="D1276">
        <v>15858367</v>
      </c>
      <c r="E1276" t="s">
        <v>37</v>
      </c>
      <c r="F1276" t="s">
        <v>2124</v>
      </c>
      <c r="G1276">
        <v>35</v>
      </c>
      <c r="H1276" t="s">
        <v>555</v>
      </c>
      <c r="J1276" t="s">
        <v>3087</v>
      </c>
      <c r="K1276" s="11">
        <v>46202.451655092591</v>
      </c>
      <c r="M1276">
        <v>602</v>
      </c>
      <c r="N1276" t="s">
        <v>867</v>
      </c>
      <c r="O1276">
        <v>0</v>
      </c>
      <c r="P1276" s="5"/>
      <c r="Q1276" s="10">
        <f>INT(Tabela1[[#This Row],[DATA]])</f>
        <v>46202</v>
      </c>
      <c r="R1276" s="14" t="str">
        <f ca="1">IF(AND(Q1276&gt;=TODAY()-WEEKDAY(TODAY(),2)+1,Q1276&lt;TODAY()),"SIM","NÃO")</f>
        <v>NÃO</v>
      </c>
    </row>
    <row r="1277" spans="1:18" hidden="1">
      <c r="A1277" t="s">
        <v>43</v>
      </c>
      <c r="B1277" t="s">
        <v>3088</v>
      </c>
      <c r="C1277">
        <v>300269909</v>
      </c>
      <c r="D1277">
        <v>16222881</v>
      </c>
      <c r="E1277" t="s">
        <v>45</v>
      </c>
      <c r="F1277" t="s">
        <v>2061</v>
      </c>
      <c r="G1277">
        <v>1332</v>
      </c>
      <c r="H1277" t="s">
        <v>3089</v>
      </c>
      <c r="J1277" t="s">
        <v>3089</v>
      </c>
      <c r="K1277" s="11">
        <v>46202.488564814812</v>
      </c>
      <c r="M1277">
        <v>603</v>
      </c>
      <c r="N1277" t="s">
        <v>878</v>
      </c>
      <c r="O1277">
        <v>0</v>
      </c>
      <c r="P1277" s="5"/>
      <c r="Q1277" s="10">
        <f>INT(Tabela1[[#This Row],[DATA]])</f>
        <v>46202</v>
      </c>
      <c r="R1277" s="14" t="str">
        <f ca="1">IF(AND(Q1277&gt;=TODAY()-WEEKDAY(TODAY(),2)+1,Q1277&lt;TODAY()),"SIM","NÃO")</f>
        <v>NÃO</v>
      </c>
    </row>
    <row r="1278" spans="1:18" hidden="1">
      <c r="A1278" t="s">
        <v>2656</v>
      </c>
      <c r="B1278" t="s">
        <v>119</v>
      </c>
      <c r="C1278">
        <v>300274228</v>
      </c>
      <c r="D1278">
        <v>16217861</v>
      </c>
      <c r="E1278" t="s">
        <v>37</v>
      </c>
      <c r="F1278" t="s">
        <v>1170</v>
      </c>
      <c r="G1278">
        <v>40</v>
      </c>
      <c r="H1278" t="s">
        <v>3090</v>
      </c>
      <c r="J1278" t="s">
        <v>3091</v>
      </c>
      <c r="K1278" s="11">
        <v>46202.489560185182</v>
      </c>
      <c r="M1278">
        <v>604</v>
      </c>
      <c r="N1278" t="s">
        <v>867</v>
      </c>
      <c r="O1278">
        <v>10000202413</v>
      </c>
      <c r="P1278" s="5"/>
      <c r="Q1278" s="10">
        <f>INT(Tabela1[[#This Row],[DATA]])</f>
        <v>46202</v>
      </c>
      <c r="R1278" s="14" t="str">
        <f ca="1">IF(AND(Q1278&gt;=TODAY()-WEEKDAY(TODAY(),2)+1,Q1278&lt;TODAY()),"SIM","NÃO")</f>
        <v>NÃO</v>
      </c>
    </row>
    <row r="1279" spans="1:18" hidden="1">
      <c r="A1279" t="s">
        <v>43</v>
      </c>
      <c r="B1279" t="s">
        <v>3088</v>
      </c>
      <c r="C1279">
        <v>300269909</v>
      </c>
      <c r="D1279">
        <v>16222881</v>
      </c>
      <c r="E1279" t="s">
        <v>45</v>
      </c>
      <c r="F1279" t="s">
        <v>2068</v>
      </c>
      <c r="G1279">
        <v>1332</v>
      </c>
      <c r="H1279" t="s">
        <v>3092</v>
      </c>
      <c r="J1279" t="s">
        <v>3092</v>
      </c>
      <c r="K1279" s="11">
        <v>46202.490046296298</v>
      </c>
      <c r="M1279">
        <v>605</v>
      </c>
      <c r="N1279" t="s">
        <v>878</v>
      </c>
      <c r="O1279">
        <v>0</v>
      </c>
      <c r="P1279" s="5"/>
      <c r="Q1279" s="10">
        <f>INT(Tabela1[[#This Row],[DATA]])</f>
        <v>46202</v>
      </c>
      <c r="R1279" s="14" t="str">
        <f ca="1">IF(AND(Q1279&gt;=TODAY()-WEEKDAY(TODAY(),2)+1,Q1279&lt;TODAY()),"SIM","NÃO")</f>
        <v>NÃO</v>
      </c>
    </row>
    <row r="1280" spans="1:18" hidden="1">
      <c r="A1280" t="s">
        <v>2656</v>
      </c>
      <c r="B1280" t="s">
        <v>119</v>
      </c>
      <c r="C1280">
        <v>300274228</v>
      </c>
      <c r="D1280">
        <v>16217861</v>
      </c>
      <c r="E1280" t="s">
        <v>37</v>
      </c>
      <c r="F1280" t="s">
        <v>2049</v>
      </c>
      <c r="G1280">
        <v>50</v>
      </c>
      <c r="H1280" t="s">
        <v>3093</v>
      </c>
      <c r="J1280" t="s">
        <v>3094</v>
      </c>
      <c r="K1280" s="11">
        <v>46202.493171296293</v>
      </c>
      <c r="M1280">
        <v>606</v>
      </c>
      <c r="N1280" t="s">
        <v>867</v>
      </c>
      <c r="O1280">
        <v>10000220034</v>
      </c>
      <c r="P1280" s="5"/>
      <c r="Q1280" s="10">
        <f>INT(Tabela1[[#This Row],[DATA]])</f>
        <v>46202</v>
      </c>
      <c r="R1280" s="14" t="str">
        <f ca="1">IF(AND(Q1280&gt;=TODAY()-WEEKDAY(TODAY(),2)+1,Q1280&lt;TODAY()),"SIM","NÃO")</f>
        <v>NÃO</v>
      </c>
    </row>
    <row r="1281" spans="1:18" hidden="1">
      <c r="A1281" t="s">
        <v>163</v>
      </c>
      <c r="B1281" t="s">
        <v>164</v>
      </c>
      <c r="C1281">
        <v>300271681</v>
      </c>
      <c r="D1281">
        <v>16222326</v>
      </c>
      <c r="E1281" t="s">
        <v>45</v>
      </c>
      <c r="F1281" t="s">
        <v>3095</v>
      </c>
      <c r="G1281">
        <v>1</v>
      </c>
      <c r="H1281" t="s">
        <v>3096</v>
      </c>
      <c r="J1281" t="s">
        <v>3097</v>
      </c>
      <c r="K1281" s="11">
        <v>46202.568611111114</v>
      </c>
      <c r="M1281">
        <v>607</v>
      </c>
      <c r="N1281" t="s">
        <v>867</v>
      </c>
      <c r="O1281">
        <v>0</v>
      </c>
      <c r="P1281" s="5"/>
      <c r="Q1281" s="10">
        <f>INT(Tabela1[[#This Row],[DATA]])</f>
        <v>46202</v>
      </c>
      <c r="R1281" s="14" t="str">
        <f ca="1">IF(AND(Q1281&gt;=TODAY()-WEEKDAY(TODAY(),2)+1,Q1281&lt;TODAY()),"SIM","NÃO")</f>
        <v>NÃO</v>
      </c>
    </row>
    <row r="1282" spans="1:18" hidden="1">
      <c r="A1282" t="s">
        <v>313</v>
      </c>
      <c r="B1282" t="s">
        <v>314</v>
      </c>
      <c r="C1282">
        <v>300274896</v>
      </c>
      <c r="D1282">
        <v>15456714</v>
      </c>
      <c r="E1282" t="s">
        <v>45</v>
      </c>
      <c r="F1282" t="s">
        <v>2061</v>
      </c>
      <c r="G1282">
        <v>1295</v>
      </c>
      <c r="H1282" t="s">
        <v>3098</v>
      </c>
      <c r="J1282" t="s">
        <v>3099</v>
      </c>
      <c r="K1282" s="11">
        <v>46202.674224537041</v>
      </c>
      <c r="M1282">
        <v>608</v>
      </c>
      <c r="N1282" t="s">
        <v>867</v>
      </c>
      <c r="O1282" t="s">
        <v>2927</v>
      </c>
      <c r="P1282" s="5"/>
      <c r="Q1282" s="10">
        <f>INT(Tabela1[[#This Row],[DATA]])</f>
        <v>46202</v>
      </c>
      <c r="R1282" s="14" t="str">
        <f ca="1">IF(AND(Q1282&gt;=TODAY()-WEEKDAY(TODAY(),2)+1,Q1282&lt;TODAY()),"SIM","NÃO")</f>
        <v>NÃO</v>
      </c>
    </row>
    <row r="1283" spans="1:18" hidden="1">
      <c r="A1283" t="s">
        <v>3073</v>
      </c>
      <c r="B1283" t="s">
        <v>448</v>
      </c>
      <c r="C1283">
        <v>300273715</v>
      </c>
      <c r="D1283">
        <v>16447786</v>
      </c>
      <c r="E1283" t="s">
        <v>37</v>
      </c>
      <c r="F1283" t="s">
        <v>3100</v>
      </c>
      <c r="G1283">
        <v>570</v>
      </c>
      <c r="H1283" t="s">
        <v>3101</v>
      </c>
      <c r="J1283" t="s">
        <v>2621</v>
      </c>
      <c r="K1283" s="11">
        <v>46202.680856481478</v>
      </c>
      <c r="M1283">
        <v>609</v>
      </c>
      <c r="N1283" t="s">
        <v>867</v>
      </c>
      <c r="O1283" t="s">
        <v>3102</v>
      </c>
      <c r="P1283" s="5"/>
      <c r="Q1283" s="10">
        <f>INT(Tabela1[[#This Row],[DATA]])</f>
        <v>46202</v>
      </c>
      <c r="R1283" s="14" t="str">
        <f ca="1">IF(AND(Q1283&gt;=TODAY()-WEEKDAY(TODAY(),2)+1,Q1283&lt;TODAY()),"SIM","NÃO")</f>
        <v>NÃO</v>
      </c>
    </row>
    <row r="1284" spans="1:18" hidden="1">
      <c r="A1284" t="s">
        <v>3073</v>
      </c>
      <c r="B1284" t="s">
        <v>448</v>
      </c>
      <c r="C1284">
        <v>300273326</v>
      </c>
      <c r="D1284">
        <v>16523741</v>
      </c>
      <c r="E1284" t="s">
        <v>37</v>
      </c>
      <c r="F1284" t="s">
        <v>3103</v>
      </c>
      <c r="G1284">
        <v>902</v>
      </c>
      <c r="H1284" t="s">
        <v>3104</v>
      </c>
      <c r="K1284" s="11">
        <v>46202.693414351852</v>
      </c>
      <c r="M1284">
        <v>610</v>
      </c>
      <c r="N1284" t="s">
        <v>878</v>
      </c>
      <c r="O1284" t="s">
        <v>3105</v>
      </c>
      <c r="P1284" s="5"/>
      <c r="Q1284" s="10">
        <f>INT(Tabela1[[#This Row],[DATA]])</f>
        <v>46202</v>
      </c>
      <c r="R1284" s="14" t="str">
        <f ca="1">IF(AND(Q1284&gt;=TODAY()-WEEKDAY(TODAY(),2)+1,Q1284&lt;TODAY()),"SIM","NÃO")</f>
        <v>NÃO</v>
      </c>
    </row>
    <row r="1285" spans="1:18" hidden="1">
      <c r="A1285" t="s">
        <v>605</v>
      </c>
      <c r="B1285" t="s">
        <v>606</v>
      </c>
      <c r="C1285">
        <v>300275413</v>
      </c>
      <c r="D1285">
        <v>16261526</v>
      </c>
      <c r="E1285" t="s">
        <v>37</v>
      </c>
      <c r="F1285" t="s">
        <v>3085</v>
      </c>
      <c r="G1285">
        <v>100</v>
      </c>
      <c r="H1285" t="s">
        <v>1771</v>
      </c>
      <c r="J1285" t="s">
        <v>1966</v>
      </c>
      <c r="K1285" s="11">
        <v>46202.73978009259</v>
      </c>
      <c r="M1285">
        <v>611</v>
      </c>
      <c r="N1285" t="s">
        <v>867</v>
      </c>
      <c r="O1285">
        <v>10000247197</v>
      </c>
      <c r="P1285" s="5"/>
      <c r="Q1285" s="10">
        <f>INT(Tabela1[[#This Row],[DATA]])</f>
        <v>46202</v>
      </c>
      <c r="R1285" s="14" t="str">
        <f ca="1">IF(AND(Q1285&gt;=TODAY()-WEEKDAY(TODAY(),2)+1,Q1285&lt;TODAY()),"SIM","NÃO")</f>
        <v>NÃO</v>
      </c>
    </row>
    <row r="1286" spans="1:18" hidden="1">
      <c r="A1286" t="s">
        <v>541</v>
      </c>
      <c r="B1286" t="s">
        <v>542</v>
      </c>
      <c r="C1286">
        <v>300000000</v>
      </c>
      <c r="D1286">
        <v>300</v>
      </c>
      <c r="E1286" t="s">
        <v>45</v>
      </c>
      <c r="F1286" t="s">
        <v>3095</v>
      </c>
      <c r="G1286">
        <v>2</v>
      </c>
      <c r="H1286" t="s">
        <v>3106</v>
      </c>
      <c r="J1286" t="s">
        <v>3107</v>
      </c>
      <c r="K1286" s="11">
        <v>46202.750706018516</v>
      </c>
      <c r="M1286">
        <v>612</v>
      </c>
      <c r="N1286" t="s">
        <v>878</v>
      </c>
      <c r="O1286">
        <v>0</v>
      </c>
      <c r="P1286" s="5"/>
      <c r="Q1286" s="10">
        <f>INT(Tabela1[[#This Row],[DATA]])</f>
        <v>46202</v>
      </c>
      <c r="R1286" s="14" t="str">
        <f ca="1">IF(AND(Q1286&gt;=TODAY()-WEEKDAY(TODAY(),2)+1,Q1286&lt;TODAY()),"SIM","NÃO")</f>
        <v>NÃO</v>
      </c>
    </row>
    <row r="1287" spans="1:18" hidden="1">
      <c r="A1287" t="s">
        <v>541</v>
      </c>
      <c r="B1287" t="s">
        <v>542</v>
      </c>
      <c r="C1287">
        <v>300000000</v>
      </c>
      <c r="D1287">
        <v>300</v>
      </c>
      <c r="E1287" t="s">
        <v>45</v>
      </c>
      <c r="F1287" t="s">
        <v>635</v>
      </c>
      <c r="G1287">
        <v>300</v>
      </c>
      <c r="H1287" t="s">
        <v>644</v>
      </c>
      <c r="J1287" t="s">
        <v>3108</v>
      </c>
      <c r="K1287" s="11">
        <v>46202.751562500001</v>
      </c>
      <c r="M1287">
        <v>613</v>
      </c>
      <c r="N1287" t="s">
        <v>878</v>
      </c>
      <c r="O1287">
        <v>0</v>
      </c>
      <c r="P1287" s="5"/>
      <c r="Q1287" s="10">
        <f>INT(Tabela1[[#This Row],[DATA]])</f>
        <v>46202</v>
      </c>
      <c r="R1287" s="14" t="str">
        <f ca="1">IF(AND(Q1287&gt;=TODAY()-WEEKDAY(TODAY(),2)+1,Q1287&lt;TODAY()),"SIM","NÃO")</f>
        <v>NÃO</v>
      </c>
    </row>
    <row r="1288" spans="1:18" hidden="1">
      <c r="A1288" t="s">
        <v>332</v>
      </c>
      <c r="B1288" t="s">
        <v>28</v>
      </c>
      <c r="C1288">
        <v>300273817</v>
      </c>
      <c r="D1288">
        <v>16491920</v>
      </c>
      <c r="E1288" t="s">
        <v>45</v>
      </c>
      <c r="F1288" t="s">
        <v>2124</v>
      </c>
      <c r="G1288">
        <v>17</v>
      </c>
      <c r="H1288" t="s">
        <v>3109</v>
      </c>
      <c r="K1288" s="11">
        <v>46202.75372685185</v>
      </c>
      <c r="M1288">
        <v>614</v>
      </c>
      <c r="N1288" t="s">
        <v>867</v>
      </c>
      <c r="O1288">
        <v>0</v>
      </c>
      <c r="P1288" s="5"/>
      <c r="Q1288" s="10">
        <f>INT(Tabela1[[#This Row],[DATA]])</f>
        <v>46202</v>
      </c>
      <c r="R1288" s="14" t="str">
        <f ca="1">IF(AND(Q1288&gt;=TODAY()-WEEKDAY(TODAY(),2)+1,Q1288&lt;TODAY()),"SIM","NÃO")</f>
        <v>NÃO</v>
      </c>
    </row>
    <row r="1289" spans="1:18" hidden="1">
      <c r="A1289" t="s">
        <v>332</v>
      </c>
      <c r="B1289" t="s">
        <v>690</v>
      </c>
      <c r="C1289">
        <v>300273819</v>
      </c>
      <c r="D1289">
        <v>16491920</v>
      </c>
      <c r="E1289" t="s">
        <v>45</v>
      </c>
      <c r="F1289" t="s">
        <v>2124</v>
      </c>
      <c r="G1289">
        <v>12</v>
      </c>
      <c r="H1289" t="s">
        <v>2300</v>
      </c>
      <c r="K1289" s="11">
        <v>46202.754745370374</v>
      </c>
      <c r="M1289">
        <v>615</v>
      </c>
      <c r="N1289" t="s">
        <v>867</v>
      </c>
      <c r="O1289">
        <v>0</v>
      </c>
      <c r="P1289" s="5"/>
      <c r="Q1289" s="10">
        <f>INT(Tabela1[[#This Row],[DATA]])</f>
        <v>46202</v>
      </c>
      <c r="R1289" s="14" t="str">
        <f ca="1">IF(AND(Q1289&gt;=TODAY()-WEEKDAY(TODAY(),2)+1,Q1289&lt;TODAY()),"SIM","NÃO")</f>
        <v>NÃO</v>
      </c>
    </row>
    <row r="1290" spans="1:18" hidden="1">
      <c r="A1290" t="s">
        <v>605</v>
      </c>
      <c r="B1290" t="s">
        <v>606</v>
      </c>
      <c r="C1290">
        <v>300274129</v>
      </c>
      <c r="D1290">
        <v>15359492</v>
      </c>
      <c r="E1290" t="s">
        <v>29</v>
      </c>
      <c r="F1290" t="s">
        <v>3110</v>
      </c>
      <c r="G1290" t="s">
        <v>3111</v>
      </c>
      <c r="H1290" t="s">
        <v>2709</v>
      </c>
      <c r="J1290" t="s">
        <v>3112</v>
      </c>
      <c r="K1290" s="11">
        <v>46202.782824074071</v>
      </c>
      <c r="M1290">
        <v>616</v>
      </c>
      <c r="N1290" t="s">
        <v>867</v>
      </c>
      <c r="O1290">
        <v>0</v>
      </c>
      <c r="P1290" s="5"/>
      <c r="Q1290" s="10">
        <f>INT(Tabela1[[#This Row],[DATA]])</f>
        <v>46202</v>
      </c>
      <c r="R1290" s="14" t="str">
        <f ca="1">IF(AND(Q1290&gt;=TODAY()-WEEKDAY(TODAY(),2)+1,Q1290&lt;TODAY()),"SIM","NÃO")</f>
        <v>NÃO</v>
      </c>
    </row>
    <row r="1291" spans="1:18" hidden="1">
      <c r="A1291" t="s">
        <v>2775</v>
      </c>
      <c r="B1291" t="s">
        <v>512</v>
      </c>
      <c r="C1291">
        <v>300271808</v>
      </c>
      <c r="D1291">
        <v>16436202</v>
      </c>
      <c r="E1291" t="s">
        <v>37</v>
      </c>
      <c r="F1291" t="s">
        <v>3085</v>
      </c>
      <c r="G1291">
        <v>418</v>
      </c>
      <c r="H1291" t="s">
        <v>3113</v>
      </c>
      <c r="J1291" t="s">
        <v>3114</v>
      </c>
      <c r="K1291" s="11">
        <v>46202.89329861111</v>
      </c>
      <c r="M1291">
        <v>617</v>
      </c>
      <c r="N1291" t="s">
        <v>867</v>
      </c>
      <c r="O1291" t="s">
        <v>2778</v>
      </c>
      <c r="P1291" s="5"/>
      <c r="Q1291" s="10">
        <f>INT(Tabela1[[#This Row],[DATA]])</f>
        <v>46202</v>
      </c>
      <c r="R1291" s="14" t="str">
        <f ca="1">IF(AND(Q1291&gt;=TODAY()-WEEKDAY(TODAY(),2)+1,Q1291&lt;TODAY()),"SIM","NÃO")</f>
        <v>NÃO</v>
      </c>
    </row>
    <row r="1292" spans="1:18" hidden="1">
      <c r="A1292" t="s">
        <v>2543</v>
      </c>
      <c r="B1292" t="s">
        <v>28</v>
      </c>
      <c r="C1292">
        <v>300270304</v>
      </c>
      <c r="D1292">
        <v>16285328</v>
      </c>
      <c r="E1292" t="s">
        <v>37</v>
      </c>
      <c r="F1292" t="s">
        <v>2153</v>
      </c>
      <c r="G1292">
        <v>17</v>
      </c>
      <c r="H1292" t="s">
        <v>2587</v>
      </c>
      <c r="J1292" t="s">
        <v>3115</v>
      </c>
      <c r="K1292" s="11">
        <v>46203.324641203704</v>
      </c>
      <c r="M1292">
        <v>618</v>
      </c>
      <c r="N1292" t="s">
        <v>867</v>
      </c>
      <c r="O1292">
        <v>100000107336</v>
      </c>
      <c r="P1292" s="5"/>
      <c r="Q1292" s="10">
        <f>INT(Tabela1[[#This Row],[DATA]])</f>
        <v>46203</v>
      </c>
      <c r="R1292" s="14" t="str">
        <f ca="1">IF(AND(Q1292&gt;=TODAY()-WEEKDAY(TODAY(),2)+1,Q1292&lt;TODAY()),"SIM","NÃO")</f>
        <v>NÃO</v>
      </c>
    </row>
    <row r="1293" spans="1:18" hidden="1">
      <c r="A1293" t="s">
        <v>143</v>
      </c>
      <c r="B1293" t="s">
        <v>144</v>
      </c>
      <c r="C1293">
        <v>300274686</v>
      </c>
      <c r="D1293">
        <v>16054610</v>
      </c>
      <c r="E1293" t="s">
        <v>45</v>
      </c>
      <c r="F1293" t="s">
        <v>635</v>
      </c>
      <c r="G1293">
        <v>1</v>
      </c>
      <c r="H1293" t="s">
        <v>644</v>
      </c>
      <c r="K1293" s="11">
        <v>46203.34103009259</v>
      </c>
      <c r="M1293">
        <v>619</v>
      </c>
      <c r="N1293" t="s">
        <v>878</v>
      </c>
      <c r="O1293">
        <v>0</v>
      </c>
      <c r="P1293" s="5"/>
      <c r="Q1293" s="10">
        <f>INT(Tabela1[[#This Row],[DATA]])</f>
        <v>46203</v>
      </c>
      <c r="R1293" s="14" t="str">
        <f ca="1">IF(AND(Q1293&gt;=TODAY()-WEEKDAY(TODAY(),2)+1,Q1293&lt;TODAY()),"SIM","NÃO")</f>
        <v>NÃO</v>
      </c>
    </row>
    <row r="1294" spans="1:18" hidden="1">
      <c r="A1294" t="s">
        <v>101</v>
      </c>
      <c r="B1294" t="s">
        <v>990</v>
      </c>
      <c r="C1294">
        <v>300276287</v>
      </c>
      <c r="D1294">
        <v>15863387</v>
      </c>
      <c r="E1294" t="s">
        <v>37</v>
      </c>
      <c r="F1294" t="s">
        <v>2666</v>
      </c>
      <c r="G1294">
        <v>874</v>
      </c>
      <c r="H1294" t="s">
        <v>3116</v>
      </c>
      <c r="J1294" t="s">
        <v>3117</v>
      </c>
      <c r="K1294" s="11">
        <v>46203.362974537034</v>
      </c>
      <c r="M1294">
        <v>620</v>
      </c>
      <c r="N1294" t="s">
        <v>878</v>
      </c>
      <c r="O1294">
        <v>10000063146</v>
      </c>
      <c r="P1294" s="5"/>
      <c r="Q1294" s="10">
        <f>INT(Tabela1[[#This Row],[DATA]])</f>
        <v>46203</v>
      </c>
      <c r="R1294" s="14" t="str">
        <f ca="1">IF(AND(Q1294&gt;=TODAY()-WEEKDAY(TODAY(),2)+1,Q1294&lt;TODAY()),"SIM","NÃO")</f>
        <v>NÃO</v>
      </c>
    </row>
    <row r="1295" spans="1:18" hidden="1">
      <c r="A1295" t="s">
        <v>101</v>
      </c>
      <c r="B1295" t="s">
        <v>990</v>
      </c>
      <c r="C1295">
        <v>300272970</v>
      </c>
      <c r="D1295">
        <v>15764486</v>
      </c>
      <c r="E1295" t="s">
        <v>37</v>
      </c>
      <c r="F1295" t="s">
        <v>995</v>
      </c>
      <c r="G1295">
        <v>100000</v>
      </c>
      <c r="H1295" t="s">
        <v>3118</v>
      </c>
      <c r="J1295" t="s">
        <v>2257</v>
      </c>
      <c r="K1295" s="11">
        <v>46203.364293981482</v>
      </c>
      <c r="M1295">
        <v>621</v>
      </c>
      <c r="N1295" t="s">
        <v>878</v>
      </c>
      <c r="O1295">
        <v>0</v>
      </c>
      <c r="P1295" s="5"/>
      <c r="Q1295" s="10">
        <f>INT(Tabela1[[#This Row],[DATA]])</f>
        <v>46203</v>
      </c>
      <c r="R1295" s="14" t="str">
        <f ca="1">IF(AND(Q1295&gt;=TODAY()-WEEKDAY(TODAY(),2)+1,Q1295&lt;TODAY()),"SIM","NÃO")</f>
        <v>NÃO</v>
      </c>
    </row>
    <row r="1296" spans="1:18" hidden="1">
      <c r="A1296" t="s">
        <v>123</v>
      </c>
      <c r="B1296" t="s">
        <v>124</v>
      </c>
      <c r="C1296">
        <v>300269151</v>
      </c>
      <c r="D1296">
        <v>16545303</v>
      </c>
      <c r="E1296" t="s">
        <v>20</v>
      </c>
      <c r="F1296" t="s">
        <v>2124</v>
      </c>
      <c r="G1296">
        <v>25</v>
      </c>
      <c r="H1296" t="s">
        <v>3119</v>
      </c>
      <c r="J1296" t="s">
        <v>3120</v>
      </c>
      <c r="K1296" s="11">
        <v>46203.367048611108</v>
      </c>
      <c r="M1296">
        <v>622</v>
      </c>
      <c r="N1296" t="s">
        <v>867</v>
      </c>
      <c r="O1296">
        <v>0</v>
      </c>
      <c r="P1296" s="5"/>
      <c r="Q1296" s="10">
        <f>INT(Tabela1[[#This Row],[DATA]])</f>
        <v>46203</v>
      </c>
      <c r="R1296" s="14" t="str">
        <f ca="1">IF(AND(Q1296&gt;=TODAY()-WEEKDAY(TODAY(),2)+1,Q1296&lt;TODAY()),"SIM","NÃO")</f>
        <v>NÃO</v>
      </c>
    </row>
    <row r="1297" spans="1:18" hidden="1">
      <c r="A1297" t="s">
        <v>249</v>
      </c>
      <c r="B1297" t="s">
        <v>112</v>
      </c>
      <c r="C1297">
        <v>300271127</v>
      </c>
      <c r="D1297">
        <v>15774112</v>
      </c>
      <c r="E1297" t="s">
        <v>37</v>
      </c>
      <c r="F1297" t="s">
        <v>3121</v>
      </c>
      <c r="G1297">
        <v>110</v>
      </c>
      <c r="H1297" t="s">
        <v>2801</v>
      </c>
      <c r="K1297" s="11">
        <v>46203.368263888886</v>
      </c>
      <c r="M1297">
        <v>623</v>
      </c>
      <c r="N1297" t="s">
        <v>878</v>
      </c>
      <c r="O1297">
        <v>10000228906</v>
      </c>
      <c r="P1297" s="5"/>
      <c r="Q1297" s="10">
        <f>INT(Tabela1[[#This Row],[DATA]])</f>
        <v>46203</v>
      </c>
      <c r="R1297" s="14" t="str">
        <f ca="1">IF(AND(Q1297&gt;=TODAY()-WEEKDAY(TODAY(),2)+1,Q1297&lt;TODAY()),"SIM","NÃO")</f>
        <v>NÃO</v>
      </c>
    </row>
    <row r="1298" spans="1:18" hidden="1">
      <c r="A1298" t="s">
        <v>2603</v>
      </c>
      <c r="B1298" t="s">
        <v>929</v>
      </c>
      <c r="C1298">
        <v>300271488</v>
      </c>
      <c r="D1298">
        <v>16473825</v>
      </c>
      <c r="E1298" t="s">
        <v>37</v>
      </c>
      <c r="F1298" t="s">
        <v>2124</v>
      </c>
      <c r="G1298">
        <v>2</v>
      </c>
      <c r="H1298" t="s">
        <v>2172</v>
      </c>
      <c r="J1298" t="s">
        <v>2627</v>
      </c>
      <c r="K1298" s="11">
        <v>46203.373402777775</v>
      </c>
      <c r="M1298">
        <v>624</v>
      </c>
      <c r="N1298" t="s">
        <v>867</v>
      </c>
      <c r="O1298">
        <v>0</v>
      </c>
      <c r="P1298" s="5"/>
      <c r="Q1298" s="10">
        <f>INT(Tabela1[[#This Row],[DATA]])</f>
        <v>46203</v>
      </c>
      <c r="R1298" s="14" t="str">
        <f ca="1">IF(AND(Q1298&gt;=TODAY()-WEEKDAY(TODAY(),2)+1,Q1298&lt;TODAY()),"SIM","NÃO")</f>
        <v>NÃO</v>
      </c>
    </row>
    <row r="1299" spans="1:18" hidden="1">
      <c r="A1299" t="s">
        <v>2610</v>
      </c>
      <c r="B1299" t="s">
        <v>74</v>
      </c>
      <c r="C1299">
        <v>300272275</v>
      </c>
      <c r="D1299">
        <v>16288866</v>
      </c>
      <c r="E1299" t="s">
        <v>20</v>
      </c>
      <c r="F1299" t="s">
        <v>2124</v>
      </c>
      <c r="G1299">
        <v>160</v>
      </c>
      <c r="H1299" t="s">
        <v>555</v>
      </c>
      <c r="J1299" t="s">
        <v>555</v>
      </c>
      <c r="K1299" s="11">
        <v>46203.373969907407</v>
      </c>
      <c r="M1299">
        <v>625</v>
      </c>
      <c r="N1299" t="s">
        <v>867</v>
      </c>
      <c r="O1299">
        <v>0</v>
      </c>
      <c r="P1299" s="5"/>
      <c r="Q1299" s="10">
        <f>INT(Tabela1[[#This Row],[DATA]])</f>
        <v>46203</v>
      </c>
      <c r="R1299" s="14" t="str">
        <f ca="1">IF(AND(Q1299&gt;=TODAY()-WEEKDAY(TODAY(),2)+1,Q1299&lt;TODAY()),"SIM","NÃO")</f>
        <v>NÃO</v>
      </c>
    </row>
    <row r="1300" spans="1:18" hidden="1">
      <c r="A1300" t="s">
        <v>3122</v>
      </c>
      <c r="B1300" t="s">
        <v>344</v>
      </c>
      <c r="C1300">
        <v>300275788</v>
      </c>
      <c r="D1300">
        <v>0</v>
      </c>
      <c r="E1300" t="s">
        <v>37</v>
      </c>
      <c r="F1300" t="s">
        <v>995</v>
      </c>
      <c r="G1300">
        <v>0</v>
      </c>
      <c r="H1300" t="s">
        <v>3123</v>
      </c>
      <c r="J1300" t="s">
        <v>3124</v>
      </c>
      <c r="K1300" s="11">
        <v>46203.3906712963</v>
      </c>
      <c r="M1300">
        <v>626</v>
      </c>
      <c r="N1300" t="s">
        <v>878</v>
      </c>
      <c r="O1300">
        <v>0</v>
      </c>
      <c r="P1300" s="5"/>
      <c r="Q1300" s="10">
        <f>INT(Tabela1[[#This Row],[DATA]])</f>
        <v>46203</v>
      </c>
      <c r="R1300" s="14" t="str">
        <f ca="1">IF(AND(Q1300&gt;=TODAY()-WEEKDAY(TODAY(),2)+1,Q1300&lt;TODAY()),"SIM","NÃO")</f>
        <v>NÃO</v>
      </c>
    </row>
    <row r="1301" spans="1:18" hidden="1">
      <c r="A1301" t="s">
        <v>2541</v>
      </c>
      <c r="B1301" t="s">
        <v>388</v>
      </c>
      <c r="C1301">
        <v>300272601</v>
      </c>
      <c r="D1301">
        <v>16219430</v>
      </c>
      <c r="E1301" t="s">
        <v>37</v>
      </c>
      <c r="F1301" t="s">
        <v>2356</v>
      </c>
      <c r="G1301">
        <v>43</v>
      </c>
      <c r="H1301" t="s">
        <v>2313</v>
      </c>
      <c r="J1301" t="s">
        <v>3125</v>
      </c>
      <c r="K1301" s="11">
        <v>46203.397118055553</v>
      </c>
      <c r="M1301">
        <v>627</v>
      </c>
      <c r="N1301" t="s">
        <v>867</v>
      </c>
      <c r="O1301">
        <v>0</v>
      </c>
      <c r="P1301" s="5"/>
      <c r="Q1301" s="10">
        <f>INT(Tabela1[[#This Row],[DATA]])</f>
        <v>46203</v>
      </c>
      <c r="R1301" s="14" t="str">
        <f ca="1">IF(AND(Q1301&gt;=TODAY()-WEEKDAY(TODAY(),2)+1,Q1301&lt;TODAY()),"SIM","NÃO")</f>
        <v>NÃO</v>
      </c>
    </row>
    <row r="1302" spans="1:18" hidden="1">
      <c r="A1302" t="s">
        <v>2541</v>
      </c>
      <c r="B1302" t="s">
        <v>388</v>
      </c>
      <c r="C1302">
        <v>300272601</v>
      </c>
      <c r="D1302">
        <v>16219430</v>
      </c>
      <c r="E1302" t="s">
        <v>37</v>
      </c>
      <c r="F1302" t="s">
        <v>2356</v>
      </c>
      <c r="G1302">
        <v>43</v>
      </c>
      <c r="H1302" t="s">
        <v>2313</v>
      </c>
      <c r="J1302" t="s">
        <v>3126</v>
      </c>
      <c r="K1302" s="11">
        <v>46203.397881944446</v>
      </c>
      <c r="M1302">
        <v>628</v>
      </c>
      <c r="N1302" t="s">
        <v>867</v>
      </c>
      <c r="O1302">
        <v>0</v>
      </c>
      <c r="P1302" s="5"/>
      <c r="Q1302" s="10">
        <f>INT(Tabela1[[#This Row],[DATA]])</f>
        <v>46203</v>
      </c>
      <c r="R1302" s="14" t="str">
        <f ca="1">IF(AND(Q1302&gt;=TODAY()-WEEKDAY(TODAY(),2)+1,Q1302&lt;TODAY()),"SIM","NÃO")</f>
        <v>NÃO</v>
      </c>
    </row>
    <row r="1303" spans="1:18" hidden="1">
      <c r="A1303" t="s">
        <v>3073</v>
      </c>
      <c r="B1303" t="s">
        <v>2323</v>
      </c>
      <c r="C1303">
        <v>300224824</v>
      </c>
      <c r="D1303">
        <v>16290984</v>
      </c>
      <c r="E1303" t="s">
        <v>37</v>
      </c>
      <c r="F1303" t="s">
        <v>3103</v>
      </c>
      <c r="G1303">
        <v>900</v>
      </c>
      <c r="H1303" t="s">
        <v>3127</v>
      </c>
      <c r="J1303" t="s">
        <v>3128</v>
      </c>
      <c r="K1303" s="11">
        <v>46203.398888888885</v>
      </c>
      <c r="M1303">
        <v>629</v>
      </c>
      <c r="N1303" t="s">
        <v>867</v>
      </c>
      <c r="O1303">
        <v>0</v>
      </c>
      <c r="P1303" s="5"/>
      <c r="Q1303" s="10">
        <f>INT(Tabela1[[#This Row],[DATA]])</f>
        <v>46203</v>
      </c>
      <c r="R1303" s="14" t="str">
        <f ca="1">IF(AND(Q1303&gt;=TODAY()-WEEKDAY(TODAY(),2)+1,Q1303&lt;TODAY()),"SIM","NÃO")</f>
        <v>NÃO</v>
      </c>
    </row>
    <row r="1304" spans="1:18" hidden="1">
      <c r="A1304" t="s">
        <v>2691</v>
      </c>
      <c r="B1304" t="s">
        <v>3129</v>
      </c>
      <c r="C1304">
        <v>300263803</v>
      </c>
      <c r="D1304">
        <v>16222954</v>
      </c>
      <c r="E1304" t="s">
        <v>45</v>
      </c>
      <c r="F1304" t="s">
        <v>2124</v>
      </c>
      <c r="G1304">
        <v>44</v>
      </c>
      <c r="H1304" t="s">
        <v>2232</v>
      </c>
      <c r="K1304" s="11">
        <v>46203.403715277775</v>
      </c>
      <c r="M1304">
        <v>630</v>
      </c>
      <c r="N1304" t="s">
        <v>867</v>
      </c>
      <c r="O1304">
        <v>790</v>
      </c>
      <c r="P1304" s="5"/>
      <c r="Q1304" s="10">
        <f>INT(Tabela1[[#This Row],[DATA]])</f>
        <v>46203</v>
      </c>
      <c r="R1304" s="14" t="str">
        <f ca="1">IF(AND(Q1304&gt;=TODAY()-WEEKDAY(TODAY(),2)+1,Q1304&lt;TODAY()),"SIM","NÃO")</f>
        <v>NÃO</v>
      </c>
    </row>
    <row r="1305" spans="1:18" hidden="1">
      <c r="A1305" t="s">
        <v>787</v>
      </c>
      <c r="B1305" t="s">
        <v>788</v>
      </c>
      <c r="C1305">
        <v>300275052</v>
      </c>
      <c r="D1305">
        <v>16186648</v>
      </c>
      <c r="E1305" t="s">
        <v>37</v>
      </c>
      <c r="F1305" t="s">
        <v>2136</v>
      </c>
      <c r="G1305">
        <v>202</v>
      </c>
      <c r="H1305" t="s">
        <v>2101</v>
      </c>
      <c r="J1305" t="s">
        <v>3130</v>
      </c>
      <c r="K1305" s="11">
        <v>46203.411585648151</v>
      </c>
      <c r="L1305">
        <v>300275052</v>
      </c>
      <c r="M1305">
        <v>631</v>
      </c>
      <c r="N1305" t="s">
        <v>878</v>
      </c>
      <c r="O1305">
        <v>0</v>
      </c>
      <c r="P1305" s="5"/>
      <c r="Q1305" s="10">
        <f>INT(Tabela1[[#This Row],[DATA]])</f>
        <v>46203</v>
      </c>
      <c r="R1305" s="14" t="str">
        <f ca="1">IF(AND(Q1305&gt;=TODAY()-WEEKDAY(TODAY(),2)+1,Q1305&lt;TODAY()),"SIM","NÃO")</f>
        <v>NÃO</v>
      </c>
    </row>
    <row r="1306" spans="1:18" hidden="1">
      <c r="A1306" t="s">
        <v>3073</v>
      </c>
      <c r="B1306" t="s">
        <v>2323</v>
      </c>
      <c r="C1306">
        <v>300241953</v>
      </c>
      <c r="D1306">
        <v>16027213</v>
      </c>
      <c r="E1306" t="s">
        <v>37</v>
      </c>
      <c r="F1306" t="s">
        <v>2136</v>
      </c>
      <c r="G1306">
        <v>100</v>
      </c>
      <c r="H1306" t="s">
        <v>3131</v>
      </c>
      <c r="K1306" s="11">
        <v>46203.411747685182</v>
      </c>
      <c r="M1306">
        <v>632</v>
      </c>
      <c r="N1306" t="s">
        <v>867</v>
      </c>
      <c r="O1306">
        <v>0</v>
      </c>
      <c r="P1306" s="5"/>
      <c r="Q1306" s="10">
        <f>INT(Tabela1[[#This Row],[DATA]])</f>
        <v>46203</v>
      </c>
      <c r="R1306" s="14" t="str">
        <f ca="1">IF(AND(Q1306&gt;=TODAY()-WEEKDAY(TODAY(),2)+1,Q1306&lt;TODAY()),"SIM","NÃO")</f>
        <v>NÃO</v>
      </c>
    </row>
    <row r="1307" spans="1:18" hidden="1">
      <c r="A1307" t="s">
        <v>3132</v>
      </c>
      <c r="B1307" t="s">
        <v>242</v>
      </c>
      <c r="C1307">
        <v>300272974</v>
      </c>
      <c r="D1307">
        <v>16508920</v>
      </c>
      <c r="E1307" t="s">
        <v>37</v>
      </c>
      <c r="F1307" t="s">
        <v>2666</v>
      </c>
      <c r="G1307" t="s">
        <v>3133</v>
      </c>
      <c r="H1307" t="s">
        <v>1958</v>
      </c>
      <c r="J1307" t="s">
        <v>3134</v>
      </c>
      <c r="K1307" s="11">
        <v>46203.416504629633</v>
      </c>
      <c r="M1307">
        <v>633</v>
      </c>
      <c r="N1307" t="s">
        <v>867</v>
      </c>
      <c r="O1307">
        <v>10000073278</v>
      </c>
      <c r="P1307" s="5"/>
      <c r="Q1307" s="10">
        <f>INT(Tabela1[[#This Row],[DATA]])</f>
        <v>46203</v>
      </c>
      <c r="R1307" s="14" t="str">
        <f ca="1">IF(AND(Q1307&gt;=TODAY()-WEEKDAY(TODAY(),2)+1,Q1307&lt;TODAY()),"SIM","NÃO")</f>
        <v>NÃO</v>
      </c>
    </row>
    <row r="1308" spans="1:18" hidden="1">
      <c r="A1308" t="s">
        <v>101</v>
      </c>
      <c r="B1308" t="s">
        <v>990</v>
      </c>
      <c r="C1308">
        <v>300272970</v>
      </c>
      <c r="D1308">
        <v>15764486</v>
      </c>
      <c r="E1308" t="s">
        <v>37</v>
      </c>
      <c r="F1308" t="s">
        <v>2124</v>
      </c>
      <c r="G1308">
        <v>40</v>
      </c>
      <c r="H1308" t="s">
        <v>3135</v>
      </c>
      <c r="J1308" t="s">
        <v>3136</v>
      </c>
      <c r="K1308" s="11">
        <v>46203.419965277775</v>
      </c>
      <c r="M1308">
        <v>634</v>
      </c>
      <c r="N1308" t="s">
        <v>867</v>
      </c>
      <c r="O1308">
        <v>0</v>
      </c>
      <c r="P1308" s="5"/>
      <c r="Q1308" s="10">
        <f>INT(Tabela1[[#This Row],[DATA]])</f>
        <v>46203</v>
      </c>
      <c r="R1308" s="14" t="str">
        <f ca="1">IF(AND(Q1308&gt;=TODAY()-WEEKDAY(TODAY(),2)+1,Q1308&lt;TODAY()),"SIM","NÃO")</f>
        <v>NÃO</v>
      </c>
    </row>
    <row r="1309" spans="1:18" hidden="1">
      <c r="A1309" t="s">
        <v>2713</v>
      </c>
      <c r="B1309" t="s">
        <v>55</v>
      </c>
      <c r="C1309">
        <v>300272954</v>
      </c>
      <c r="D1309">
        <v>15858766</v>
      </c>
      <c r="E1309" t="s">
        <v>37</v>
      </c>
      <c r="F1309" t="s">
        <v>995</v>
      </c>
      <c r="G1309">
        <v>6</v>
      </c>
      <c r="H1309" t="s">
        <v>3137</v>
      </c>
      <c r="J1309" t="s">
        <v>3138</v>
      </c>
      <c r="K1309" s="11">
        <v>46203.4216087963</v>
      </c>
      <c r="M1309">
        <v>636</v>
      </c>
      <c r="N1309" t="s">
        <v>878</v>
      </c>
      <c r="O1309" t="s">
        <v>3139</v>
      </c>
      <c r="P1309" s="5"/>
      <c r="Q1309" s="10">
        <f>INT(Tabela1[[#This Row],[DATA]])</f>
        <v>46203</v>
      </c>
      <c r="R1309" s="14" t="str">
        <f ca="1">IF(AND(Q1309&gt;=TODAY()-WEEKDAY(TODAY(),2)+1,Q1309&lt;TODAY()),"SIM","NÃO")</f>
        <v>NÃO</v>
      </c>
    </row>
    <row r="1310" spans="1:18" hidden="1">
      <c r="A1310" t="s">
        <v>2775</v>
      </c>
      <c r="B1310" t="s">
        <v>512</v>
      </c>
      <c r="C1310">
        <v>300271808</v>
      </c>
      <c r="D1310">
        <v>16436202</v>
      </c>
      <c r="E1310" t="s">
        <v>37</v>
      </c>
      <c r="F1310" t="s">
        <v>1170</v>
      </c>
      <c r="G1310">
        <v>470</v>
      </c>
      <c r="H1310" t="s">
        <v>3140</v>
      </c>
      <c r="J1310" t="s">
        <v>3141</v>
      </c>
      <c r="K1310" s="11">
        <v>46203.424016203702</v>
      </c>
      <c r="M1310">
        <v>635</v>
      </c>
      <c r="N1310" t="s">
        <v>867</v>
      </c>
      <c r="O1310" t="s">
        <v>2778</v>
      </c>
      <c r="P1310" s="5"/>
      <c r="Q1310" s="10">
        <f>INT(Tabela1[[#This Row],[DATA]])</f>
        <v>46203</v>
      </c>
      <c r="R1310" s="14" t="str">
        <f ca="1">IF(AND(Q1310&gt;=TODAY()-WEEKDAY(TODAY(),2)+1,Q1310&lt;TODAY()),"SIM","NÃO")</f>
        <v>NÃO</v>
      </c>
    </row>
    <row r="1311" spans="1:18" hidden="1">
      <c r="A1311" t="s">
        <v>3073</v>
      </c>
      <c r="B1311" t="s">
        <v>448</v>
      </c>
      <c r="C1311">
        <v>300273715</v>
      </c>
      <c r="D1311">
        <v>16447786</v>
      </c>
      <c r="E1311" t="s">
        <v>37</v>
      </c>
      <c r="F1311" t="s">
        <v>995</v>
      </c>
      <c r="G1311">
        <v>5</v>
      </c>
      <c r="H1311" t="s">
        <v>3142</v>
      </c>
      <c r="K1311" s="11">
        <v>46203.437847222223</v>
      </c>
      <c r="M1311">
        <v>637</v>
      </c>
      <c r="N1311" t="s">
        <v>878</v>
      </c>
      <c r="O1311" t="s">
        <v>3143</v>
      </c>
      <c r="P1311" s="5"/>
      <c r="Q1311" s="10">
        <f>INT(Tabela1[[#This Row],[DATA]])</f>
        <v>46203</v>
      </c>
      <c r="R1311" s="14" t="str">
        <f ca="1">IF(AND(Q1311&gt;=TODAY()-WEEKDAY(TODAY(),2)+1,Q1311&lt;TODAY()),"SIM","NÃO")</f>
        <v>NÃO</v>
      </c>
    </row>
    <row r="1312" spans="1:18" hidden="1">
      <c r="A1312" t="s">
        <v>605</v>
      </c>
      <c r="B1312" t="s">
        <v>606</v>
      </c>
      <c r="C1312">
        <v>300273580</v>
      </c>
      <c r="D1312">
        <v>15238385</v>
      </c>
      <c r="E1312" t="s">
        <v>29</v>
      </c>
      <c r="F1312" t="s">
        <v>2666</v>
      </c>
      <c r="G1312">
        <v>5</v>
      </c>
      <c r="H1312" t="s">
        <v>1992</v>
      </c>
      <c r="K1312" s="11">
        <v>46203.440185185187</v>
      </c>
      <c r="M1312">
        <v>638</v>
      </c>
      <c r="N1312" t="s">
        <v>867</v>
      </c>
      <c r="O1312">
        <v>72593</v>
      </c>
      <c r="P1312" s="5"/>
      <c r="Q1312" s="10">
        <f>INT(Tabela1[[#This Row],[DATA]])</f>
        <v>46203</v>
      </c>
      <c r="R1312" s="14" t="str">
        <f ca="1">IF(AND(Q1312&gt;=TODAY()-WEEKDAY(TODAY(),2)+1,Q1312&lt;TODAY()),"SIM","NÃO")</f>
        <v>NÃO</v>
      </c>
    </row>
    <row r="1313" spans="1:18" hidden="1">
      <c r="A1313" t="s">
        <v>605</v>
      </c>
      <c r="B1313" t="s">
        <v>606</v>
      </c>
      <c r="C1313">
        <v>300273580</v>
      </c>
      <c r="D1313">
        <v>15238385</v>
      </c>
      <c r="E1313" t="s">
        <v>29</v>
      </c>
      <c r="F1313" t="s">
        <v>3144</v>
      </c>
      <c r="G1313">
        <v>6</v>
      </c>
      <c r="H1313" t="s">
        <v>2091</v>
      </c>
      <c r="K1313" s="11">
        <v>46203.443622685183</v>
      </c>
      <c r="M1313">
        <v>639</v>
      </c>
      <c r="N1313" t="s">
        <v>867</v>
      </c>
      <c r="O1313">
        <v>72019</v>
      </c>
      <c r="P1313" s="5"/>
      <c r="Q1313" s="10">
        <f>INT(Tabela1[[#This Row],[DATA]])</f>
        <v>46203</v>
      </c>
      <c r="R1313" s="14" t="str">
        <f ca="1">IF(AND(Q1313&gt;=TODAY()-WEEKDAY(TODAY(),2)+1,Q1313&lt;TODAY()),"SIM","NÃO")</f>
        <v>NÃO</v>
      </c>
    </row>
    <row r="1314" spans="1:18" hidden="1">
      <c r="A1314" t="s">
        <v>2543</v>
      </c>
      <c r="B1314" t="s">
        <v>28</v>
      </c>
      <c r="C1314">
        <v>300270295</v>
      </c>
      <c r="D1314">
        <v>16310373</v>
      </c>
      <c r="E1314" t="s">
        <v>37</v>
      </c>
      <c r="F1314" t="s">
        <v>2124</v>
      </c>
      <c r="G1314">
        <v>26</v>
      </c>
      <c r="H1314" t="s">
        <v>3145</v>
      </c>
      <c r="K1314" s="11">
        <v>46203.526365740741</v>
      </c>
      <c r="M1314">
        <v>640</v>
      </c>
      <c r="N1314" t="s">
        <v>867</v>
      </c>
      <c r="O1314" t="s">
        <v>3146</v>
      </c>
      <c r="P1314" s="5"/>
      <c r="Q1314" s="10">
        <f>INT(Tabela1[[#This Row],[DATA]])</f>
        <v>46203</v>
      </c>
      <c r="R1314" s="14" t="str">
        <f ca="1">IF(AND(Q1314&gt;=TODAY()-WEEKDAY(TODAY(),2)+1,Q1314&lt;TODAY()),"SIM","NÃO")</f>
        <v>NÃO</v>
      </c>
    </row>
    <row r="1315" spans="1:18" hidden="1">
      <c r="A1315" t="s">
        <v>1154</v>
      </c>
      <c r="B1315" t="s">
        <v>1155</v>
      </c>
      <c r="C1315">
        <v>300275410</v>
      </c>
      <c r="D1315">
        <v>16520157</v>
      </c>
      <c r="E1315" t="s">
        <v>37</v>
      </c>
      <c r="F1315" t="s">
        <v>2124</v>
      </c>
      <c r="G1315">
        <v>35</v>
      </c>
      <c r="H1315" t="s">
        <v>2559</v>
      </c>
      <c r="J1315" t="s">
        <v>3147</v>
      </c>
      <c r="K1315" s="11">
        <v>46203.552071759259</v>
      </c>
      <c r="M1315">
        <v>641</v>
      </c>
      <c r="N1315" t="s">
        <v>867</v>
      </c>
      <c r="O1315">
        <v>0</v>
      </c>
      <c r="P1315" s="5"/>
      <c r="Q1315" s="10">
        <f>INT(Tabela1[[#This Row],[DATA]])</f>
        <v>46203</v>
      </c>
      <c r="R1315" s="14" t="str">
        <f ca="1">IF(AND(Q1315&gt;=TODAY()-WEEKDAY(TODAY(),2)+1,Q1315&lt;TODAY()),"SIM","NÃO")</f>
        <v>NÃO</v>
      </c>
    </row>
    <row r="1316" spans="1:18" hidden="1">
      <c r="A1316" t="s">
        <v>1154</v>
      </c>
      <c r="B1316" t="s">
        <v>1155</v>
      </c>
      <c r="C1316">
        <v>300275786</v>
      </c>
      <c r="D1316">
        <v>15773434</v>
      </c>
      <c r="E1316" t="s">
        <v>37</v>
      </c>
      <c r="F1316" t="s">
        <v>2124</v>
      </c>
      <c r="G1316">
        <v>40</v>
      </c>
      <c r="H1316" t="s">
        <v>2559</v>
      </c>
      <c r="J1316" t="s">
        <v>3147</v>
      </c>
      <c r="K1316" s="11">
        <v>46203.554583333331</v>
      </c>
      <c r="M1316">
        <v>642</v>
      </c>
      <c r="N1316" t="s">
        <v>867</v>
      </c>
      <c r="O1316">
        <v>0</v>
      </c>
      <c r="P1316" s="5"/>
      <c r="Q1316" s="10">
        <f>INT(Tabela1[[#This Row],[DATA]])</f>
        <v>46203</v>
      </c>
      <c r="R1316" s="14" t="str">
        <f ca="1">IF(AND(Q1316&gt;=TODAY()-WEEKDAY(TODAY(),2)+1,Q1316&lt;TODAY()),"SIM","NÃO")</f>
        <v>NÃO</v>
      </c>
    </row>
    <row r="1317" spans="1:18" hidden="1">
      <c r="A1317" t="s">
        <v>541</v>
      </c>
      <c r="B1317" t="s">
        <v>542</v>
      </c>
      <c r="C1317">
        <v>300000000</v>
      </c>
      <c r="D1317">
        <v>30000000</v>
      </c>
      <c r="E1317" t="s">
        <v>45</v>
      </c>
      <c r="F1317" t="s">
        <v>2046</v>
      </c>
      <c r="G1317">
        <v>20</v>
      </c>
      <c r="H1317" t="s">
        <v>3148</v>
      </c>
      <c r="J1317" t="s">
        <v>3149</v>
      </c>
      <c r="K1317" s="11">
        <v>46203.562847222223</v>
      </c>
      <c r="M1317">
        <v>643</v>
      </c>
      <c r="N1317" t="s">
        <v>878</v>
      </c>
      <c r="O1317">
        <v>0</v>
      </c>
      <c r="P1317" s="5"/>
      <c r="Q1317" s="10">
        <f>INT(Tabela1[[#This Row],[DATA]])</f>
        <v>46203</v>
      </c>
      <c r="R1317" s="14" t="str">
        <f ca="1">IF(AND(Q1317&gt;=TODAY()-WEEKDAY(TODAY(),2)+1,Q1317&lt;TODAY()),"SIM","NÃO")</f>
        <v>NÃO</v>
      </c>
    </row>
    <row r="1318" spans="1:18" hidden="1">
      <c r="A1318" t="s">
        <v>313</v>
      </c>
      <c r="B1318" t="s">
        <v>314</v>
      </c>
      <c r="C1318">
        <v>300274355</v>
      </c>
      <c r="D1318">
        <v>15898008</v>
      </c>
      <c r="E1318" t="s">
        <v>45</v>
      </c>
      <c r="F1318" t="s">
        <v>2124</v>
      </c>
      <c r="G1318">
        <v>1350</v>
      </c>
      <c r="H1318" t="s">
        <v>527</v>
      </c>
      <c r="J1318" t="s">
        <v>3098</v>
      </c>
      <c r="K1318" s="11">
        <v>46203.577291666668</v>
      </c>
      <c r="M1318">
        <v>644</v>
      </c>
      <c r="N1318" t="s">
        <v>867</v>
      </c>
      <c r="O1318">
        <v>0</v>
      </c>
      <c r="P1318" s="5"/>
      <c r="Q1318" s="10">
        <f>INT(Tabela1[[#This Row],[DATA]])</f>
        <v>46203</v>
      </c>
      <c r="R1318" s="14" t="str">
        <f ca="1">IF(AND(Q1318&gt;=TODAY()-WEEKDAY(TODAY(),2)+1,Q1318&lt;TODAY()),"SIM","NÃO")</f>
        <v>NÃO</v>
      </c>
    </row>
    <row r="1319" spans="1:18" hidden="1">
      <c r="A1319" t="s">
        <v>249</v>
      </c>
      <c r="B1319" t="s">
        <v>112</v>
      </c>
      <c r="C1319">
        <v>300272587</v>
      </c>
      <c r="D1319">
        <v>16243668</v>
      </c>
      <c r="E1319" t="s">
        <v>37</v>
      </c>
      <c r="F1319" t="s">
        <v>1170</v>
      </c>
      <c r="G1319">
        <v>3</v>
      </c>
      <c r="H1319" t="s">
        <v>2843</v>
      </c>
      <c r="J1319" t="s">
        <v>3150</v>
      </c>
      <c r="K1319" s="11">
        <v>46203.583009259259</v>
      </c>
      <c r="M1319">
        <v>645</v>
      </c>
      <c r="N1319" t="s">
        <v>867</v>
      </c>
      <c r="O1319">
        <v>10000073690</v>
      </c>
      <c r="P1319" s="5"/>
      <c r="Q1319" s="10">
        <f>INT(Tabela1[[#This Row],[DATA]])</f>
        <v>46203</v>
      </c>
      <c r="R1319" s="14" t="str">
        <f ca="1">IF(AND(Q1319&gt;=TODAY()-WEEKDAY(TODAY(),2)+1,Q1319&lt;TODAY()),"SIM","NÃO")</f>
        <v>NÃO</v>
      </c>
    </row>
    <row r="1320" spans="1:18" hidden="1">
      <c r="A1320" t="s">
        <v>493</v>
      </c>
      <c r="B1320" t="s">
        <v>686</v>
      </c>
      <c r="C1320">
        <v>300273327</v>
      </c>
      <c r="D1320">
        <v>16523741</v>
      </c>
      <c r="E1320" t="s">
        <v>37</v>
      </c>
      <c r="F1320" t="s">
        <v>2478</v>
      </c>
      <c r="G1320">
        <v>370</v>
      </c>
      <c r="H1320" t="s">
        <v>2318</v>
      </c>
      <c r="K1320" s="11">
        <v>46203.585023148145</v>
      </c>
      <c r="M1320">
        <v>646</v>
      </c>
      <c r="N1320" t="s">
        <v>867</v>
      </c>
      <c r="O1320" t="s">
        <v>138</v>
      </c>
      <c r="P1320" s="5"/>
      <c r="Q1320" s="10">
        <f>INT(Tabela1[[#This Row],[DATA]])</f>
        <v>46203</v>
      </c>
      <c r="R1320" s="14" t="str">
        <f ca="1">IF(AND(Q1320&gt;=TODAY()-WEEKDAY(TODAY(),2)+1,Q1320&lt;TODAY()),"SIM","NÃO")</f>
        <v>NÃO</v>
      </c>
    </row>
    <row r="1321" spans="1:18" hidden="1">
      <c r="A1321" t="s">
        <v>2691</v>
      </c>
      <c r="B1321" t="s">
        <v>3129</v>
      </c>
      <c r="C1321">
        <v>300263803</v>
      </c>
      <c r="D1321">
        <v>16222954</v>
      </c>
      <c r="E1321" t="s">
        <v>45</v>
      </c>
      <c r="F1321" t="s">
        <v>2124</v>
      </c>
      <c r="G1321">
        <v>70</v>
      </c>
      <c r="H1321" t="s">
        <v>82</v>
      </c>
      <c r="K1321" s="11">
        <v>46203.607916666668</v>
      </c>
      <c r="M1321">
        <v>647</v>
      </c>
      <c r="N1321" t="s">
        <v>867</v>
      </c>
      <c r="O1321">
        <v>314</v>
      </c>
      <c r="P1321" s="5"/>
      <c r="Q1321" s="10">
        <f>INT(Tabela1[[#This Row],[DATA]])</f>
        <v>46203</v>
      </c>
      <c r="R1321" s="14" t="str">
        <f ca="1">IF(AND(Q1321&gt;=TODAY()-WEEKDAY(TODAY(),2)+1,Q1321&lt;TODAY()),"SIM","NÃO")</f>
        <v>NÃO</v>
      </c>
    </row>
    <row r="1322" spans="1:18" hidden="1">
      <c r="A1322" t="s">
        <v>332</v>
      </c>
      <c r="B1322" t="s">
        <v>28</v>
      </c>
      <c r="C1322">
        <v>300274894</v>
      </c>
      <c r="D1322">
        <v>15789640</v>
      </c>
      <c r="E1322" t="s">
        <v>45</v>
      </c>
      <c r="F1322" t="s">
        <v>2068</v>
      </c>
      <c r="G1322">
        <v>1500</v>
      </c>
      <c r="H1322" t="s">
        <v>1966</v>
      </c>
      <c r="K1322" s="11">
        <v>46203.611990740741</v>
      </c>
      <c r="M1322">
        <v>648</v>
      </c>
      <c r="N1322" t="s">
        <v>867</v>
      </c>
      <c r="O1322">
        <v>0</v>
      </c>
      <c r="P1322" s="5"/>
      <c r="Q1322" s="10">
        <f>INT(Tabela1[[#This Row],[DATA]])</f>
        <v>46203</v>
      </c>
      <c r="R1322" s="14" t="str">
        <f ca="1">IF(AND(Q1322&gt;=TODAY()-WEEKDAY(TODAY(),2)+1,Q1322&lt;TODAY()),"SIM","NÃO")</f>
        <v>NÃO</v>
      </c>
    </row>
    <row r="1323" spans="1:18" hidden="1">
      <c r="A1323" t="s">
        <v>332</v>
      </c>
      <c r="B1323" t="s">
        <v>690</v>
      </c>
      <c r="C1323">
        <v>300000000</v>
      </c>
      <c r="D1323">
        <v>0</v>
      </c>
      <c r="E1323" t="s">
        <v>45</v>
      </c>
      <c r="F1323" t="s">
        <v>635</v>
      </c>
      <c r="G1323">
        <v>100</v>
      </c>
      <c r="H1323" t="s">
        <v>644</v>
      </c>
      <c r="K1323" s="11">
        <v>46203.613668981481</v>
      </c>
      <c r="M1323">
        <v>649</v>
      </c>
      <c r="N1323" t="s">
        <v>878</v>
      </c>
      <c r="O1323">
        <v>0</v>
      </c>
      <c r="P1323" s="5"/>
      <c r="Q1323" s="10">
        <f>INT(Tabela1[[#This Row],[DATA]])</f>
        <v>46203</v>
      </c>
      <c r="R1323" s="14" t="str">
        <f ca="1">IF(AND(Q1323&gt;=TODAY()-WEEKDAY(TODAY(),2)+1,Q1323&lt;TODAY()),"SIM","NÃO")</f>
        <v>NÃO</v>
      </c>
    </row>
    <row r="1324" spans="1:18" hidden="1">
      <c r="A1324" t="s">
        <v>163</v>
      </c>
      <c r="B1324" t="s">
        <v>164</v>
      </c>
      <c r="C1324">
        <v>300271818</v>
      </c>
      <c r="D1324">
        <v>16285417</v>
      </c>
      <c r="E1324" t="s">
        <v>37</v>
      </c>
      <c r="F1324" t="s">
        <v>1170</v>
      </c>
      <c r="G1324">
        <v>20</v>
      </c>
      <c r="H1324" t="s">
        <v>3004</v>
      </c>
      <c r="K1324" s="11">
        <v>46203.614398148151</v>
      </c>
      <c r="M1324">
        <v>650</v>
      </c>
      <c r="N1324" t="s">
        <v>867</v>
      </c>
      <c r="O1324">
        <v>10000228911</v>
      </c>
      <c r="P1324" s="5"/>
      <c r="Q1324" s="10">
        <f>INT(Tabela1[[#This Row],[DATA]])</f>
        <v>46203</v>
      </c>
      <c r="R1324" s="14" t="str">
        <f ca="1">IF(AND(Q1324&gt;=TODAY()-WEEKDAY(TODAY(),2)+1,Q1324&lt;TODAY()),"SIM","NÃO")</f>
        <v>NÃO</v>
      </c>
    </row>
    <row r="1325" spans="1:18" hidden="1">
      <c r="A1325" t="s">
        <v>143</v>
      </c>
      <c r="B1325" t="s">
        <v>3151</v>
      </c>
      <c r="C1325">
        <v>300273667</v>
      </c>
      <c r="D1325">
        <v>16444710</v>
      </c>
      <c r="E1325" t="s">
        <v>45</v>
      </c>
      <c r="F1325" t="s">
        <v>3152</v>
      </c>
      <c r="G1325">
        <v>94</v>
      </c>
      <c r="H1325" t="s">
        <v>2313</v>
      </c>
      <c r="K1325" s="11">
        <v>46203.617060185185</v>
      </c>
      <c r="M1325">
        <v>651</v>
      </c>
      <c r="N1325" t="s">
        <v>867</v>
      </c>
      <c r="O1325">
        <v>0</v>
      </c>
      <c r="P1325" s="5"/>
      <c r="Q1325" s="10">
        <f>INT(Tabela1[[#This Row],[DATA]])</f>
        <v>46203</v>
      </c>
      <c r="R1325" s="14" t="str">
        <f ca="1">IF(AND(Q1325&gt;=TODAY()-WEEKDAY(TODAY(),2)+1,Q1325&lt;TODAY()),"SIM","NÃO")</f>
        <v>NÃO</v>
      </c>
    </row>
    <row r="1326" spans="1:18" hidden="1">
      <c r="A1326" t="s">
        <v>143</v>
      </c>
      <c r="B1326" t="s">
        <v>144</v>
      </c>
      <c r="C1326">
        <v>300273667</v>
      </c>
      <c r="D1326">
        <v>16444710</v>
      </c>
      <c r="E1326" t="s">
        <v>45</v>
      </c>
      <c r="F1326" t="s">
        <v>2153</v>
      </c>
      <c r="G1326">
        <v>94</v>
      </c>
      <c r="H1326" t="s">
        <v>2313</v>
      </c>
      <c r="K1326" s="11">
        <v>46203.617847222224</v>
      </c>
      <c r="M1326">
        <v>652</v>
      </c>
      <c r="N1326" t="s">
        <v>867</v>
      </c>
      <c r="O1326">
        <v>0</v>
      </c>
      <c r="P1326" s="5"/>
      <c r="Q1326" s="10">
        <f>INT(Tabela1[[#This Row],[DATA]])</f>
        <v>46203</v>
      </c>
      <c r="R1326" s="14" t="str">
        <f ca="1">IF(AND(Q1326&gt;=TODAY()-WEEKDAY(TODAY(),2)+1,Q1326&lt;TODAY()),"SIM","NÃO")</f>
        <v>NÃO</v>
      </c>
    </row>
    <row r="1327" spans="1:18" hidden="1">
      <c r="A1327" t="s">
        <v>143</v>
      </c>
      <c r="B1327" t="s">
        <v>144</v>
      </c>
      <c r="C1327">
        <v>300273667</v>
      </c>
      <c r="D1327">
        <v>16444710</v>
      </c>
      <c r="E1327" t="s">
        <v>45</v>
      </c>
      <c r="F1327" t="s">
        <v>3152</v>
      </c>
      <c r="G1327">
        <v>94</v>
      </c>
      <c r="H1327" t="s">
        <v>2313</v>
      </c>
      <c r="K1327" s="11">
        <v>46203.619212962964</v>
      </c>
      <c r="M1327">
        <v>653</v>
      </c>
      <c r="N1327" t="s">
        <v>867</v>
      </c>
      <c r="O1327">
        <v>0</v>
      </c>
      <c r="P1327" s="5"/>
      <c r="Q1327" s="10">
        <f>INT(Tabela1[[#This Row],[DATA]])</f>
        <v>46203</v>
      </c>
      <c r="R1327" s="14" t="str">
        <f ca="1">IF(AND(Q1327&gt;=TODAY()-WEEKDAY(TODAY(),2)+1,Q1327&lt;TODAY()),"SIM","NÃO")</f>
        <v>NÃO</v>
      </c>
    </row>
    <row r="1328" spans="1:18" hidden="1">
      <c r="A1328" t="s">
        <v>143</v>
      </c>
      <c r="B1328" t="s">
        <v>144</v>
      </c>
      <c r="C1328">
        <v>300273667</v>
      </c>
      <c r="D1328">
        <v>16444710</v>
      </c>
      <c r="E1328" t="s">
        <v>45</v>
      </c>
      <c r="F1328" t="s">
        <v>3153</v>
      </c>
      <c r="G1328">
        <v>94</v>
      </c>
      <c r="H1328" t="s">
        <v>2313</v>
      </c>
      <c r="K1328" s="11">
        <v>46203.61996527778</v>
      </c>
      <c r="M1328">
        <v>654</v>
      </c>
      <c r="N1328" t="s">
        <v>867</v>
      </c>
      <c r="O1328">
        <v>0</v>
      </c>
      <c r="P1328" s="5"/>
      <c r="Q1328" s="10">
        <f>INT(Tabela1[[#This Row],[DATA]])</f>
        <v>46203</v>
      </c>
      <c r="R1328" s="14" t="str">
        <f ca="1">IF(AND(Q1328&gt;=TODAY()-WEEKDAY(TODAY(),2)+1,Q1328&lt;TODAY()),"SIM","NÃO")</f>
        <v>NÃO</v>
      </c>
    </row>
    <row r="1329" spans="1:18" hidden="1">
      <c r="A1329" t="s">
        <v>332</v>
      </c>
      <c r="B1329" t="s">
        <v>690</v>
      </c>
      <c r="C1329">
        <v>300276896</v>
      </c>
      <c r="D1329">
        <v>16222881</v>
      </c>
      <c r="E1329" t="s">
        <v>45</v>
      </c>
      <c r="F1329" t="s">
        <v>2068</v>
      </c>
      <c r="G1329">
        <v>150</v>
      </c>
      <c r="H1329" t="s">
        <v>1966</v>
      </c>
      <c r="K1329" s="11">
        <v>46203.640740740739</v>
      </c>
      <c r="M1329">
        <v>655</v>
      </c>
      <c r="N1329" t="s">
        <v>867</v>
      </c>
      <c r="O1329">
        <v>0</v>
      </c>
      <c r="P1329" s="5"/>
      <c r="Q1329" s="10">
        <f>INT(Tabela1[[#This Row],[DATA]])</f>
        <v>46203</v>
      </c>
      <c r="R1329" s="14" t="str">
        <f ca="1">IF(AND(Q1329&gt;=TODAY()-WEEKDAY(TODAY(),2)+1,Q1329&lt;TODAY()),"SIM","NÃO")</f>
        <v>NÃO</v>
      </c>
    </row>
    <row r="1330" spans="1:18" hidden="1">
      <c r="A1330" t="s">
        <v>163</v>
      </c>
      <c r="B1330" t="s">
        <v>164</v>
      </c>
      <c r="C1330">
        <v>300271876</v>
      </c>
      <c r="D1330">
        <v>16222954</v>
      </c>
      <c r="E1330" t="s">
        <v>29</v>
      </c>
      <c r="F1330" t="s">
        <v>2250</v>
      </c>
      <c r="G1330">
        <v>10</v>
      </c>
      <c r="H1330" t="s">
        <v>2292</v>
      </c>
      <c r="K1330" s="11">
        <v>46203.657800925925</v>
      </c>
      <c r="M1330">
        <v>656</v>
      </c>
      <c r="N1330" t="s">
        <v>867</v>
      </c>
      <c r="O1330">
        <v>0</v>
      </c>
      <c r="P1330" s="5"/>
      <c r="Q1330" s="10">
        <f>INT(Tabela1[[#This Row],[DATA]])</f>
        <v>46203</v>
      </c>
      <c r="R1330" s="14" t="str">
        <f ca="1">IF(AND(Q1330&gt;=TODAY()-WEEKDAY(TODAY(),2)+1,Q1330&lt;TODAY()),"SIM","NÃO")</f>
        <v>NÃO</v>
      </c>
    </row>
    <row r="1331" spans="1:18" hidden="1">
      <c r="A1331" t="s">
        <v>428</v>
      </c>
      <c r="B1331" t="s">
        <v>429</v>
      </c>
      <c r="C1331">
        <v>300271864</v>
      </c>
      <c r="D1331">
        <v>13044826</v>
      </c>
      <c r="E1331" t="s">
        <v>29</v>
      </c>
      <c r="F1331" t="s">
        <v>3154</v>
      </c>
      <c r="G1331">
        <v>10</v>
      </c>
      <c r="H1331" t="s">
        <v>3155</v>
      </c>
      <c r="K1331" s="11">
        <v>46203.667164351849</v>
      </c>
      <c r="M1331">
        <v>657</v>
      </c>
      <c r="N1331" t="s">
        <v>878</v>
      </c>
      <c r="O1331">
        <v>0</v>
      </c>
      <c r="P1331" s="5"/>
      <c r="Q1331" s="10">
        <f>INT(Tabela1[[#This Row],[DATA]])</f>
        <v>46203</v>
      </c>
      <c r="R1331" s="14" t="str">
        <f ca="1">IF(AND(Q1331&gt;=TODAY()-WEEKDAY(TODAY(),2)+1,Q1331&lt;TODAY()),"SIM","NÃO")</f>
        <v>NÃO</v>
      </c>
    </row>
    <row r="1332" spans="1:18" hidden="1">
      <c r="A1332" t="s">
        <v>305</v>
      </c>
      <c r="B1332" t="s">
        <v>306</v>
      </c>
      <c r="C1332">
        <v>300273271</v>
      </c>
      <c r="D1332">
        <v>16520050</v>
      </c>
      <c r="E1332" t="s">
        <v>37</v>
      </c>
      <c r="F1332" t="s">
        <v>635</v>
      </c>
      <c r="G1332" t="s">
        <v>3156</v>
      </c>
      <c r="H1332" t="s">
        <v>307</v>
      </c>
      <c r="J1332" t="s">
        <v>2446</v>
      </c>
      <c r="K1332" s="11">
        <v>46203.670393518521</v>
      </c>
      <c r="M1332">
        <v>658</v>
      </c>
      <c r="N1332" t="s">
        <v>878</v>
      </c>
      <c r="O1332">
        <v>0</v>
      </c>
      <c r="P1332" s="5"/>
      <c r="Q1332" s="10">
        <f>INT(Tabela1[[#This Row],[DATA]])</f>
        <v>46203</v>
      </c>
      <c r="R1332" s="14" t="str">
        <f ca="1">IF(AND(Q1332&gt;=TODAY()-WEEKDAY(TODAY(),2)+1,Q1332&lt;TODAY()),"SIM","NÃO")</f>
        <v>NÃO</v>
      </c>
    </row>
    <row r="1333" spans="1:18" hidden="1">
      <c r="A1333" t="s">
        <v>2543</v>
      </c>
      <c r="B1333" t="s">
        <v>28</v>
      </c>
      <c r="C1333">
        <v>300270295</v>
      </c>
      <c r="D1333">
        <v>16310373</v>
      </c>
      <c r="E1333" t="s">
        <v>37</v>
      </c>
      <c r="F1333" t="s">
        <v>3152</v>
      </c>
      <c r="G1333">
        <v>40</v>
      </c>
      <c r="H1333" t="s">
        <v>3157</v>
      </c>
      <c r="J1333" t="s">
        <v>3158</v>
      </c>
      <c r="K1333" s="11">
        <v>46203.676631944443</v>
      </c>
      <c r="M1333">
        <v>659</v>
      </c>
      <c r="N1333" t="s">
        <v>867</v>
      </c>
      <c r="O1333" t="s">
        <v>3159</v>
      </c>
      <c r="P1333" s="5"/>
      <c r="Q1333" s="10">
        <f>INT(Tabela1[[#This Row],[DATA]])</f>
        <v>46203</v>
      </c>
      <c r="R1333" s="14" t="str">
        <f ca="1">IF(AND(Q1333&gt;=TODAY()-WEEKDAY(TODAY(),2)+1,Q1333&lt;TODAY()),"SIM","NÃO")</f>
        <v>NÃO</v>
      </c>
    </row>
    <row r="1334" spans="1:18" hidden="1">
      <c r="A1334" t="s">
        <v>2578</v>
      </c>
      <c r="B1334" t="s">
        <v>3160</v>
      </c>
      <c r="C1334">
        <v>300267171</v>
      </c>
      <c r="D1334">
        <v>16445007</v>
      </c>
      <c r="E1334" t="s">
        <v>37</v>
      </c>
      <c r="F1334" t="s">
        <v>2068</v>
      </c>
      <c r="G1334">
        <v>50</v>
      </c>
      <c r="H1334" t="s">
        <v>2986</v>
      </c>
      <c r="K1334" s="11">
        <v>46203.680196759262</v>
      </c>
      <c r="M1334">
        <v>660</v>
      </c>
      <c r="N1334" t="s">
        <v>867</v>
      </c>
      <c r="O1334">
        <v>16445007</v>
      </c>
      <c r="P1334" s="5"/>
      <c r="Q1334" s="10">
        <f>INT(Tabela1[[#This Row],[DATA]])</f>
        <v>46203</v>
      </c>
      <c r="R1334" s="14" t="str">
        <f ca="1">IF(AND(Q1334&gt;=TODAY()-WEEKDAY(TODAY(),2)+1,Q1334&lt;TODAY()),"SIM","NÃO")</f>
        <v>NÃO</v>
      </c>
    </row>
    <row r="1335" spans="1:18" hidden="1">
      <c r="A1335" t="s">
        <v>2578</v>
      </c>
      <c r="B1335" t="s">
        <v>69</v>
      </c>
      <c r="C1335">
        <v>300274644</v>
      </c>
      <c r="D1335">
        <v>16488393</v>
      </c>
      <c r="E1335" t="s">
        <v>37</v>
      </c>
      <c r="F1335" t="s">
        <v>1170</v>
      </c>
      <c r="G1335">
        <v>68</v>
      </c>
      <c r="H1335" t="s">
        <v>3161</v>
      </c>
      <c r="K1335" s="11">
        <v>46203.689027777778</v>
      </c>
      <c r="M1335">
        <v>661</v>
      </c>
      <c r="N1335" t="s">
        <v>878</v>
      </c>
      <c r="O1335" t="s">
        <v>3162</v>
      </c>
      <c r="P1335" s="5"/>
      <c r="Q1335" s="10">
        <f>INT(Tabela1[[#This Row],[DATA]])</f>
        <v>46203</v>
      </c>
      <c r="R1335" s="14" t="str">
        <f ca="1">IF(AND(Q1335&gt;=TODAY()-WEEKDAY(TODAY(),2)+1,Q1335&lt;TODAY()),"SIM","NÃO")</f>
        <v>NÃO</v>
      </c>
    </row>
    <row r="1336" spans="1:18" hidden="1">
      <c r="A1336" t="s">
        <v>2578</v>
      </c>
      <c r="B1336" t="s">
        <v>69</v>
      </c>
      <c r="C1336">
        <v>300267171</v>
      </c>
      <c r="D1336">
        <v>16445007</v>
      </c>
      <c r="E1336" t="s">
        <v>45</v>
      </c>
      <c r="F1336" t="s">
        <v>2068</v>
      </c>
      <c r="G1336">
        <v>50</v>
      </c>
      <c r="H1336" t="s">
        <v>3163</v>
      </c>
      <c r="K1336" s="11">
        <v>46203.693518518521</v>
      </c>
      <c r="M1336">
        <v>662</v>
      </c>
      <c r="N1336" t="s">
        <v>867</v>
      </c>
      <c r="O1336">
        <v>16445007</v>
      </c>
      <c r="P1336" s="5"/>
      <c r="Q1336" s="10">
        <f>INT(Tabela1[[#This Row],[DATA]])</f>
        <v>46203</v>
      </c>
      <c r="R1336" s="14" t="str">
        <f ca="1">IF(AND(Q1336&gt;=TODAY()-WEEKDAY(TODAY(),2)+1,Q1336&lt;TODAY()),"SIM","NÃO")</f>
        <v>NÃO</v>
      </c>
    </row>
    <row r="1337" spans="1:18" hidden="1">
      <c r="A1337" t="s">
        <v>2547</v>
      </c>
      <c r="B1337" t="s">
        <v>3164</v>
      </c>
      <c r="C1337">
        <v>300271682</v>
      </c>
      <c r="D1337">
        <v>16222326</v>
      </c>
      <c r="E1337" t="s">
        <v>45</v>
      </c>
      <c r="F1337" t="s">
        <v>2250</v>
      </c>
      <c r="G1337">
        <v>1750</v>
      </c>
      <c r="H1337" t="s">
        <v>3165</v>
      </c>
      <c r="J1337" t="s">
        <v>3166</v>
      </c>
      <c r="K1337" s="11">
        <v>46203.735844907409</v>
      </c>
      <c r="M1337">
        <v>663</v>
      </c>
      <c r="N1337" t="s">
        <v>878</v>
      </c>
      <c r="O1337" t="s">
        <v>2250</v>
      </c>
      <c r="P1337" s="5"/>
      <c r="Q1337" s="10">
        <f>INT(Tabela1[[#This Row],[DATA]])</f>
        <v>46203</v>
      </c>
      <c r="R1337" s="14" t="str">
        <f ca="1">IF(AND(Q1337&gt;=TODAY()-WEEKDAY(TODAY(),2)+1,Q1337&lt;TODAY()),"SIM","NÃO")</f>
        <v>NÃO</v>
      </c>
    </row>
    <row r="1338" spans="1:18" hidden="1">
      <c r="A1338" t="s">
        <v>541</v>
      </c>
      <c r="B1338" t="s">
        <v>542</v>
      </c>
      <c r="C1338">
        <v>300275978</v>
      </c>
      <c r="D1338">
        <v>16222857</v>
      </c>
      <c r="E1338" t="s">
        <v>45</v>
      </c>
      <c r="F1338" t="s">
        <v>2124</v>
      </c>
      <c r="G1338">
        <v>29</v>
      </c>
      <c r="H1338" t="s">
        <v>3167</v>
      </c>
      <c r="J1338" t="s">
        <v>2219</v>
      </c>
      <c r="K1338" s="11">
        <v>46203.751608796294</v>
      </c>
      <c r="M1338">
        <v>664</v>
      </c>
      <c r="N1338" t="s">
        <v>867</v>
      </c>
      <c r="O1338">
        <v>0</v>
      </c>
      <c r="P1338" s="5"/>
      <c r="Q1338" s="10">
        <f>INT(Tabela1[[#This Row],[DATA]])</f>
        <v>46203</v>
      </c>
      <c r="R1338" s="14" t="str">
        <f ca="1">IF(AND(Q1338&gt;=TODAY()-WEEKDAY(TODAY(),2)+1,Q1338&lt;TODAY()),"SIM","NÃO")</f>
        <v>NÃO</v>
      </c>
    </row>
    <row r="1339" spans="1:18" hidden="1">
      <c r="A1339" t="s">
        <v>2549</v>
      </c>
      <c r="B1339" t="s">
        <v>19</v>
      </c>
      <c r="C1339">
        <v>300271211</v>
      </c>
      <c r="D1339">
        <v>13044826</v>
      </c>
      <c r="E1339" t="s">
        <v>29</v>
      </c>
      <c r="F1339" t="s">
        <v>3095</v>
      </c>
      <c r="G1339">
        <v>3</v>
      </c>
      <c r="H1339" t="s">
        <v>3168</v>
      </c>
      <c r="J1339" t="s">
        <v>3169</v>
      </c>
      <c r="K1339" s="11">
        <v>46204.303240740737</v>
      </c>
      <c r="M1339">
        <v>665</v>
      </c>
      <c r="N1339" t="s">
        <v>878</v>
      </c>
      <c r="O1339" t="s">
        <v>2802</v>
      </c>
      <c r="P1339" s="5"/>
      <c r="Q1339" s="10">
        <f>INT(Tabela1[[#This Row],[DATA]])</f>
        <v>46204</v>
      </c>
      <c r="R1339" s="14" t="str">
        <f ca="1">IF(AND(Q1339&gt;=TODAY()-WEEKDAY(TODAY(),2)+1,Q1339&lt;TODAY()),"SIM","NÃO")</f>
        <v>NÃO</v>
      </c>
    </row>
    <row r="1340" spans="1:18" hidden="1">
      <c r="A1340" t="s">
        <v>787</v>
      </c>
      <c r="B1340" t="s">
        <v>788</v>
      </c>
      <c r="C1340">
        <v>300276286</v>
      </c>
      <c r="D1340">
        <v>15863387</v>
      </c>
      <c r="E1340" t="s">
        <v>37</v>
      </c>
      <c r="F1340" t="s">
        <v>2124</v>
      </c>
      <c r="G1340">
        <v>34</v>
      </c>
      <c r="H1340" t="s">
        <v>1966</v>
      </c>
      <c r="K1340" s="11">
        <v>46204.31627314815</v>
      </c>
      <c r="M1340">
        <v>666</v>
      </c>
      <c r="N1340" t="s">
        <v>867</v>
      </c>
      <c r="O1340">
        <v>0</v>
      </c>
      <c r="P1340" s="5"/>
      <c r="Q1340" s="10">
        <f>INT(Tabela1[[#This Row],[DATA]])</f>
        <v>46204</v>
      </c>
      <c r="R1340" s="14" t="str">
        <f ca="1">IF(AND(Q1340&gt;=TODAY()-WEEKDAY(TODAY(),2)+1,Q1340&lt;TODAY()),"SIM","NÃO")</f>
        <v>NÃO</v>
      </c>
    </row>
    <row r="1341" spans="1:18" hidden="1">
      <c r="A1341" t="s">
        <v>2610</v>
      </c>
      <c r="B1341" t="s">
        <v>74</v>
      </c>
      <c r="C1341">
        <v>300275654</v>
      </c>
      <c r="D1341">
        <v>16549627</v>
      </c>
      <c r="E1341" t="s">
        <v>20</v>
      </c>
      <c r="F1341" t="s">
        <v>2068</v>
      </c>
      <c r="G1341">
        <v>307</v>
      </c>
      <c r="H1341" t="s">
        <v>82</v>
      </c>
      <c r="K1341" s="11">
        <v>46204.320034722223</v>
      </c>
      <c r="M1341">
        <v>667</v>
      </c>
      <c r="N1341" t="s">
        <v>867</v>
      </c>
      <c r="O1341">
        <v>0</v>
      </c>
      <c r="P1341" s="5"/>
      <c r="Q1341" s="10">
        <f>INT(Tabela1[[#This Row],[DATA]])</f>
        <v>46204</v>
      </c>
      <c r="R1341" s="14" t="str">
        <f ca="1">IF(AND(Q1341&gt;=TODAY()-WEEKDAY(TODAY(),2)+1,Q1341&lt;TODAY()),"SIM","NÃO")</f>
        <v>NÃO</v>
      </c>
    </row>
    <row r="1342" spans="1:18" hidden="1">
      <c r="A1342" t="s">
        <v>2610</v>
      </c>
      <c r="B1342" t="s">
        <v>74</v>
      </c>
      <c r="C1342">
        <v>300275654</v>
      </c>
      <c r="D1342">
        <v>16549027</v>
      </c>
      <c r="E1342" t="s">
        <v>20</v>
      </c>
      <c r="F1342" t="s">
        <v>2124</v>
      </c>
      <c r="G1342">
        <v>5</v>
      </c>
      <c r="H1342" t="s">
        <v>82</v>
      </c>
      <c r="K1342" s="11">
        <v>46204.320787037039</v>
      </c>
      <c r="M1342">
        <v>668</v>
      </c>
      <c r="N1342" t="s">
        <v>867</v>
      </c>
      <c r="O1342">
        <v>0</v>
      </c>
      <c r="P1342" s="5"/>
      <c r="Q1342" s="10">
        <f>INT(Tabela1[[#This Row],[DATA]])</f>
        <v>46204</v>
      </c>
      <c r="R1342" s="14" t="str">
        <f ca="1">IF(AND(Q1342&gt;=TODAY()-WEEKDAY(TODAY(),2)+1,Q1342&lt;TODAY()),"SIM","NÃO")</f>
        <v>NÃO</v>
      </c>
    </row>
    <row r="1343" spans="1:18" hidden="1">
      <c r="A1343" t="s">
        <v>2610</v>
      </c>
      <c r="B1343" t="s">
        <v>74</v>
      </c>
      <c r="C1343">
        <v>300275893</v>
      </c>
      <c r="D1343">
        <v>16426010</v>
      </c>
      <c r="E1343" t="s">
        <v>45</v>
      </c>
      <c r="F1343" t="s">
        <v>2666</v>
      </c>
      <c r="G1343">
        <v>15</v>
      </c>
      <c r="H1343" t="s">
        <v>3170</v>
      </c>
      <c r="K1343" s="11">
        <v>46204.321828703702</v>
      </c>
      <c r="M1343">
        <v>669</v>
      </c>
      <c r="N1343" t="s">
        <v>867</v>
      </c>
      <c r="O1343">
        <v>0</v>
      </c>
      <c r="P1343" s="5"/>
      <c r="Q1343" s="10">
        <f>INT(Tabela1[[#This Row],[DATA]])</f>
        <v>46204</v>
      </c>
      <c r="R1343" s="14" t="str">
        <f ca="1">IF(AND(Q1343&gt;=TODAY()-WEEKDAY(TODAY(),2)+1,Q1343&lt;TODAY()),"SIM","NÃO")</f>
        <v>NÃO</v>
      </c>
    </row>
    <row r="1344" spans="1:18" hidden="1">
      <c r="A1344" t="s">
        <v>2549</v>
      </c>
      <c r="B1344" t="s">
        <v>19</v>
      </c>
      <c r="C1344">
        <v>300271212</v>
      </c>
      <c r="D1344">
        <v>13044826</v>
      </c>
      <c r="E1344" t="s">
        <v>29</v>
      </c>
      <c r="F1344" t="s">
        <v>2250</v>
      </c>
      <c r="G1344">
        <v>75</v>
      </c>
      <c r="H1344" t="s">
        <v>3171</v>
      </c>
      <c r="J1344" t="s">
        <v>3172</v>
      </c>
      <c r="K1344" s="11">
        <v>46204.331157407411</v>
      </c>
      <c r="M1344">
        <v>670</v>
      </c>
      <c r="N1344" t="s">
        <v>878</v>
      </c>
      <c r="O1344" t="s">
        <v>2802</v>
      </c>
      <c r="P1344" s="5"/>
      <c r="Q1344" s="10">
        <f>INT(Tabela1[[#This Row],[DATA]])</f>
        <v>46204</v>
      </c>
      <c r="R1344" s="14" t="str">
        <f ca="1">IF(AND(Q1344&gt;=TODAY()-WEEKDAY(TODAY(),2)+1,Q1344&lt;TODAY()),"SIM","NÃO")</f>
        <v>NÃO</v>
      </c>
    </row>
    <row r="1345" spans="1:18" hidden="1">
      <c r="A1345" t="s">
        <v>123</v>
      </c>
      <c r="B1345" t="s">
        <v>124</v>
      </c>
      <c r="C1345">
        <v>300273865</v>
      </c>
      <c r="D1345">
        <v>16545303</v>
      </c>
      <c r="E1345" t="s">
        <v>20</v>
      </c>
      <c r="F1345" t="s">
        <v>3153</v>
      </c>
      <c r="G1345">
        <v>34</v>
      </c>
      <c r="H1345" t="s">
        <v>3173</v>
      </c>
      <c r="K1345" s="11">
        <v>46204.336655092593</v>
      </c>
      <c r="M1345">
        <v>671</v>
      </c>
      <c r="N1345" t="s">
        <v>878</v>
      </c>
      <c r="O1345">
        <v>0</v>
      </c>
      <c r="P1345" s="5"/>
      <c r="Q1345" s="10">
        <f>INT(Tabela1[[#This Row],[DATA]])</f>
        <v>46204</v>
      </c>
      <c r="R1345" s="14" t="str">
        <f ca="1">IF(AND(Q1345&gt;=TODAY()-WEEKDAY(TODAY(),2)+1,Q1345&lt;TODAY()),"SIM","NÃO")</f>
        <v>NÃO</v>
      </c>
    </row>
    <row r="1346" spans="1:18" hidden="1">
      <c r="A1346" t="s">
        <v>2578</v>
      </c>
      <c r="B1346" t="s">
        <v>69</v>
      </c>
      <c r="C1346">
        <v>300271121</v>
      </c>
      <c r="D1346">
        <v>16507665</v>
      </c>
      <c r="E1346" t="s">
        <v>37</v>
      </c>
      <c r="F1346" t="s">
        <v>2124</v>
      </c>
      <c r="G1346">
        <v>30</v>
      </c>
      <c r="H1346" t="s">
        <v>3163</v>
      </c>
      <c r="K1346" s="11">
        <v>46204.358090277776</v>
      </c>
      <c r="M1346">
        <v>672</v>
      </c>
      <c r="N1346" t="s">
        <v>867</v>
      </c>
      <c r="O1346">
        <v>16507665</v>
      </c>
      <c r="P1346" s="5"/>
      <c r="Q1346" s="10">
        <f>INT(Tabela1[[#This Row],[DATA]])</f>
        <v>46204</v>
      </c>
      <c r="R1346" s="14" t="str">
        <f ca="1">IF(AND(Q1346&gt;=TODAY()-WEEKDAY(TODAY(),2)+1,Q1346&lt;TODAY()),"SIM","NÃO")</f>
        <v>NÃO</v>
      </c>
    </row>
    <row r="1347" spans="1:18" hidden="1">
      <c r="A1347" t="s">
        <v>163</v>
      </c>
      <c r="B1347" t="s">
        <v>164</v>
      </c>
      <c r="C1347">
        <v>300271268</v>
      </c>
      <c r="D1347">
        <v>16114159</v>
      </c>
      <c r="E1347" t="s">
        <v>37</v>
      </c>
      <c r="F1347" t="s">
        <v>1170</v>
      </c>
      <c r="G1347">
        <v>50</v>
      </c>
      <c r="H1347" t="s">
        <v>2292</v>
      </c>
      <c r="J1347" t="s">
        <v>3174</v>
      </c>
      <c r="K1347" s="11">
        <v>46204.425011574072</v>
      </c>
      <c r="M1347">
        <v>673</v>
      </c>
      <c r="N1347" t="s">
        <v>867</v>
      </c>
      <c r="O1347">
        <v>10000214496</v>
      </c>
      <c r="P1347" s="5"/>
      <c r="Q1347" s="10">
        <f>INT(Tabela1[[#This Row],[DATA]])</f>
        <v>46204</v>
      </c>
      <c r="R1347" s="14" t="str">
        <f ca="1">IF(AND(Q1347&gt;=TODAY()-WEEKDAY(TODAY(),2)+1,Q1347&lt;TODAY()),"SIM","NÃO")</f>
        <v>NÃO</v>
      </c>
    </row>
    <row r="1348" spans="1:18" hidden="1">
      <c r="A1348" t="s">
        <v>2654</v>
      </c>
      <c r="B1348" t="s">
        <v>2655</v>
      </c>
      <c r="C1348">
        <v>300271532</v>
      </c>
      <c r="D1348">
        <v>16522885</v>
      </c>
      <c r="E1348" t="s">
        <v>37</v>
      </c>
      <c r="F1348" t="s">
        <v>2136</v>
      </c>
      <c r="G1348">
        <v>15</v>
      </c>
      <c r="H1348" t="s">
        <v>3175</v>
      </c>
      <c r="K1348" s="11">
        <v>46204.443692129629</v>
      </c>
      <c r="M1348">
        <v>674</v>
      </c>
      <c r="N1348" t="s">
        <v>867</v>
      </c>
      <c r="O1348">
        <v>0</v>
      </c>
      <c r="P1348" s="5"/>
      <c r="Q1348" s="10">
        <f>INT(Tabela1[[#This Row],[DATA]])</f>
        <v>46204</v>
      </c>
      <c r="R1348" s="14" t="str">
        <f ca="1">IF(AND(Q1348&gt;=TODAY()-WEEKDAY(TODAY(),2)+1,Q1348&lt;TODAY()),"SIM","NÃO")</f>
        <v>NÃO</v>
      </c>
    </row>
    <row r="1349" spans="1:18" hidden="1">
      <c r="A1349" t="s">
        <v>2565</v>
      </c>
      <c r="B1349" t="s">
        <v>95</v>
      </c>
      <c r="C1349">
        <v>300270841</v>
      </c>
      <c r="D1349">
        <v>16442679</v>
      </c>
      <c r="E1349" t="s">
        <v>29</v>
      </c>
      <c r="F1349" t="s">
        <v>3110</v>
      </c>
      <c r="G1349">
        <v>700</v>
      </c>
      <c r="H1349" t="s">
        <v>3176</v>
      </c>
      <c r="J1349" t="s">
        <v>3177</v>
      </c>
      <c r="K1349" s="11">
        <v>46204.451932870368</v>
      </c>
      <c r="M1349">
        <v>675</v>
      </c>
      <c r="N1349" t="s">
        <v>878</v>
      </c>
      <c r="O1349" t="s">
        <v>848</v>
      </c>
      <c r="P1349" s="5"/>
      <c r="Q1349" s="10">
        <f>INT(Tabela1[[#This Row],[DATA]])</f>
        <v>46204</v>
      </c>
      <c r="R1349" s="14" t="str">
        <f ca="1">IF(AND(Q1349&gt;=TODAY()-WEEKDAY(TODAY(),2)+1,Q1349&lt;TODAY()),"SIM","NÃO")</f>
        <v>NÃO</v>
      </c>
    </row>
    <row r="1350" spans="1:18" hidden="1">
      <c r="A1350" t="s">
        <v>123</v>
      </c>
      <c r="B1350" t="s">
        <v>124</v>
      </c>
      <c r="C1350">
        <v>300276354</v>
      </c>
      <c r="D1350">
        <v>16535642</v>
      </c>
      <c r="E1350" t="s">
        <v>20</v>
      </c>
      <c r="F1350" t="s">
        <v>2124</v>
      </c>
      <c r="G1350">
        <v>1258</v>
      </c>
      <c r="H1350" t="s">
        <v>3178</v>
      </c>
      <c r="K1350" s="11">
        <v>46204.454016203701</v>
      </c>
      <c r="M1350">
        <v>676</v>
      </c>
      <c r="N1350" t="s">
        <v>878</v>
      </c>
      <c r="O1350">
        <v>0</v>
      </c>
      <c r="P1350" s="5"/>
      <c r="Q1350" s="10">
        <f>INT(Tabela1[[#This Row],[DATA]])</f>
        <v>46204</v>
      </c>
      <c r="R1350" s="14" t="str">
        <f ca="1">IF(AND(Q1350&gt;=TODAY()-WEEKDAY(TODAY(),2)+1,Q1350&lt;TODAY()),"SIM","NÃO")</f>
        <v>NÃO</v>
      </c>
    </row>
    <row r="1351" spans="1:18" hidden="1">
      <c r="A1351" t="s">
        <v>111</v>
      </c>
      <c r="B1351" t="s">
        <v>112</v>
      </c>
      <c r="C1351">
        <v>300265955</v>
      </c>
      <c r="D1351">
        <v>16487575</v>
      </c>
      <c r="E1351" t="s">
        <v>45</v>
      </c>
      <c r="F1351" t="s">
        <v>3152</v>
      </c>
      <c r="G1351">
        <v>23</v>
      </c>
      <c r="H1351" t="s">
        <v>2172</v>
      </c>
      <c r="K1351" s="11">
        <v>46204.455277777779</v>
      </c>
      <c r="M1351">
        <v>677</v>
      </c>
      <c r="N1351" t="s">
        <v>867</v>
      </c>
      <c r="O1351">
        <v>0</v>
      </c>
      <c r="P1351" s="5"/>
      <c r="Q1351" s="10">
        <f>INT(Tabela1[[#This Row],[DATA]])</f>
        <v>46204</v>
      </c>
      <c r="R1351" s="14" t="str">
        <f ca="1">IF(AND(Q1351&gt;=TODAY()-WEEKDAY(TODAY(),2)+1,Q1351&lt;TODAY()),"SIM","NÃO")</f>
        <v>NÃO</v>
      </c>
    </row>
    <row r="1352" spans="1:18" hidden="1">
      <c r="A1352" t="s">
        <v>111</v>
      </c>
      <c r="B1352" t="s">
        <v>112</v>
      </c>
      <c r="C1352">
        <v>300265955</v>
      </c>
      <c r="D1352">
        <v>16487575</v>
      </c>
      <c r="E1352" t="s">
        <v>45</v>
      </c>
      <c r="F1352" t="s">
        <v>3152</v>
      </c>
      <c r="G1352">
        <v>46</v>
      </c>
      <c r="H1352" t="s">
        <v>3179</v>
      </c>
      <c r="K1352" s="11">
        <v>46204.456226851849</v>
      </c>
      <c r="M1352">
        <v>678</v>
      </c>
      <c r="N1352" t="s">
        <v>867</v>
      </c>
      <c r="O1352">
        <v>0</v>
      </c>
      <c r="P1352" s="5"/>
      <c r="Q1352" s="10">
        <f>INT(Tabela1[[#This Row],[DATA]])</f>
        <v>46204</v>
      </c>
      <c r="R1352" s="14" t="str">
        <f ca="1">IF(AND(Q1352&gt;=TODAY()-WEEKDAY(TODAY(),2)+1,Q1352&lt;TODAY()),"SIM","NÃO")</f>
        <v>NÃO</v>
      </c>
    </row>
    <row r="1353" spans="1:18" hidden="1">
      <c r="A1353" t="s">
        <v>143</v>
      </c>
      <c r="B1353" t="s">
        <v>144</v>
      </c>
      <c r="C1353">
        <v>300272200</v>
      </c>
      <c r="D1353">
        <v>16444949</v>
      </c>
      <c r="E1353" t="s">
        <v>45</v>
      </c>
      <c r="F1353" t="s">
        <v>2124</v>
      </c>
      <c r="G1353">
        <v>312</v>
      </c>
      <c r="H1353" t="s">
        <v>2313</v>
      </c>
      <c r="J1353" t="s">
        <v>3180</v>
      </c>
      <c r="K1353" s="11">
        <v>46204.474409722221</v>
      </c>
      <c r="M1353">
        <v>679</v>
      </c>
      <c r="N1353" t="s">
        <v>878</v>
      </c>
      <c r="O1353">
        <v>0</v>
      </c>
      <c r="P1353" s="5"/>
      <c r="Q1353" s="10">
        <f>INT(Tabela1[[#This Row],[DATA]])</f>
        <v>46204</v>
      </c>
      <c r="R1353" s="14" t="str">
        <f ca="1">IF(AND(Q1353&gt;=TODAY()-WEEKDAY(TODAY(),2)+1,Q1353&lt;TODAY()),"SIM","NÃO")</f>
        <v>NÃO</v>
      </c>
    </row>
    <row r="1354" spans="1:18" hidden="1">
      <c r="A1354" t="s">
        <v>605</v>
      </c>
      <c r="B1354" t="s">
        <v>606</v>
      </c>
      <c r="C1354">
        <v>300275413</v>
      </c>
      <c r="D1354">
        <v>16261526</v>
      </c>
      <c r="E1354" t="s">
        <v>37</v>
      </c>
      <c r="F1354" t="s">
        <v>2136</v>
      </c>
      <c r="G1354">
        <v>25</v>
      </c>
      <c r="H1354" t="s">
        <v>1771</v>
      </c>
      <c r="J1354" t="s">
        <v>1771</v>
      </c>
      <c r="K1354" s="11">
        <v>46204.520868055559</v>
      </c>
      <c r="M1354">
        <v>680</v>
      </c>
      <c r="N1354" t="s">
        <v>867</v>
      </c>
      <c r="O1354">
        <v>0</v>
      </c>
      <c r="P1354" s="5"/>
      <c r="Q1354" s="10">
        <f>INT(Tabela1[[#This Row],[DATA]])</f>
        <v>46204</v>
      </c>
      <c r="R1354" s="14" t="str">
        <f ca="1">IF(AND(Q1354&gt;=TODAY()-WEEKDAY(TODAY(),2)+1,Q1354&lt;TODAY()),"SIM","NÃO")</f>
        <v>NÃO</v>
      </c>
    </row>
    <row r="1355" spans="1:18" hidden="1">
      <c r="A1355" t="s">
        <v>249</v>
      </c>
      <c r="B1355" t="s">
        <v>112</v>
      </c>
      <c r="C1355">
        <v>300271127</v>
      </c>
      <c r="D1355">
        <v>15774112</v>
      </c>
      <c r="E1355" t="s">
        <v>37</v>
      </c>
      <c r="F1355" t="s">
        <v>2124</v>
      </c>
      <c r="G1355">
        <v>2</v>
      </c>
      <c r="H1355" t="s">
        <v>2172</v>
      </c>
      <c r="K1355" s="11">
        <v>46204.536597222221</v>
      </c>
      <c r="M1355">
        <v>681</v>
      </c>
      <c r="N1355" t="s">
        <v>867</v>
      </c>
      <c r="O1355">
        <v>0</v>
      </c>
      <c r="P1355" s="5"/>
      <c r="Q1355" s="10">
        <f>INT(Tabela1[[#This Row],[DATA]])</f>
        <v>46204</v>
      </c>
      <c r="R1355" s="14" t="str">
        <f ca="1">IF(AND(Q1355&gt;=TODAY()-WEEKDAY(TODAY(),2)+1,Q1355&lt;TODAY()),"SIM","NÃO")</f>
        <v>NÃO</v>
      </c>
    </row>
    <row r="1356" spans="1:18" hidden="1">
      <c r="A1356" t="s">
        <v>2713</v>
      </c>
      <c r="B1356" t="s">
        <v>55</v>
      </c>
      <c r="C1356">
        <v>300276284</v>
      </c>
      <c r="D1356">
        <v>15863387</v>
      </c>
      <c r="E1356" t="s">
        <v>37</v>
      </c>
      <c r="F1356" t="s">
        <v>3085</v>
      </c>
      <c r="G1356">
        <v>54</v>
      </c>
      <c r="H1356" t="s">
        <v>3181</v>
      </c>
      <c r="J1356" t="s">
        <v>3182</v>
      </c>
      <c r="K1356" s="11">
        <v>46204.543900462966</v>
      </c>
      <c r="M1356">
        <v>682</v>
      </c>
      <c r="N1356" t="s">
        <v>878</v>
      </c>
      <c r="O1356" t="s">
        <v>3183</v>
      </c>
      <c r="P1356" s="5"/>
      <c r="Q1356" s="10">
        <f>INT(Tabela1[[#This Row],[DATA]])</f>
        <v>46204</v>
      </c>
      <c r="R1356" s="14" t="str">
        <f ca="1">IF(AND(Q1356&gt;=TODAY()-WEEKDAY(TODAY(),2)+1,Q1356&lt;TODAY()),"SIM","NÃO")</f>
        <v>NÃO</v>
      </c>
    </row>
    <row r="1357" spans="1:18" hidden="1">
      <c r="A1357" t="s">
        <v>685</v>
      </c>
      <c r="B1357" t="s">
        <v>686</v>
      </c>
      <c r="C1357">
        <v>300272528</v>
      </c>
      <c r="D1357">
        <v>16447964</v>
      </c>
      <c r="E1357" t="s">
        <v>37</v>
      </c>
      <c r="F1357" t="s">
        <v>3085</v>
      </c>
      <c r="G1357">
        <v>100</v>
      </c>
      <c r="H1357" t="s">
        <v>2064</v>
      </c>
      <c r="K1357" s="11">
        <v>46204.544074074074</v>
      </c>
      <c r="M1357">
        <v>683</v>
      </c>
      <c r="N1357" t="s">
        <v>867</v>
      </c>
      <c r="O1357" t="s">
        <v>3184</v>
      </c>
      <c r="P1357" s="5"/>
      <c r="Q1357" s="10">
        <f>INT(Tabela1[[#This Row],[DATA]])</f>
        <v>46204</v>
      </c>
      <c r="R1357" s="14" t="str">
        <f ca="1">IF(AND(Q1357&gt;=TODAY()-WEEKDAY(TODAY(),2)+1,Q1357&lt;TODAY()),"SIM","NÃO")</f>
        <v>NÃO</v>
      </c>
    </row>
    <row r="1358" spans="1:18" hidden="1">
      <c r="A1358" t="s">
        <v>2541</v>
      </c>
      <c r="B1358" t="s">
        <v>388</v>
      </c>
      <c r="C1358">
        <v>300272601</v>
      </c>
      <c r="D1358">
        <v>16219830</v>
      </c>
      <c r="E1358" t="s">
        <v>37</v>
      </c>
      <c r="F1358" t="s">
        <v>3152</v>
      </c>
      <c r="G1358">
        <v>38</v>
      </c>
      <c r="H1358" t="s">
        <v>2313</v>
      </c>
      <c r="J1358" t="s">
        <v>3125</v>
      </c>
      <c r="K1358" s="11">
        <v>46204.55091435185</v>
      </c>
      <c r="M1358">
        <v>684</v>
      </c>
      <c r="N1358" t="s">
        <v>867</v>
      </c>
      <c r="O1358">
        <v>0</v>
      </c>
      <c r="P1358" s="5"/>
      <c r="Q1358" s="10">
        <f>INT(Tabela1[[#This Row],[DATA]])</f>
        <v>46204</v>
      </c>
      <c r="R1358" s="14" t="str">
        <f ca="1">IF(AND(Q1358&gt;=TODAY()-WEEKDAY(TODAY(),2)+1,Q1358&lt;TODAY()),"SIM","NÃO")</f>
        <v>NÃO</v>
      </c>
    </row>
    <row r="1359" spans="1:18" hidden="1">
      <c r="A1359" t="s">
        <v>163</v>
      </c>
      <c r="B1359" t="s">
        <v>164</v>
      </c>
      <c r="C1359">
        <v>300270298</v>
      </c>
      <c r="D1359">
        <v>16176170</v>
      </c>
      <c r="E1359" t="s">
        <v>37</v>
      </c>
      <c r="F1359" t="s">
        <v>3185</v>
      </c>
      <c r="G1359">
        <v>605</v>
      </c>
      <c r="H1359" t="s">
        <v>2292</v>
      </c>
      <c r="K1359" s="11">
        <v>46204.553437499999</v>
      </c>
      <c r="M1359">
        <v>685</v>
      </c>
      <c r="N1359" t="s">
        <v>878</v>
      </c>
      <c r="O1359">
        <v>0</v>
      </c>
      <c r="P1359" s="5"/>
      <c r="Q1359" s="10">
        <f>INT(Tabela1[[#This Row],[DATA]])</f>
        <v>46204</v>
      </c>
      <c r="R1359" s="14" t="str">
        <f ca="1">IF(AND(Q1359&gt;=TODAY()-WEEKDAY(TODAY(),2)+1,Q1359&lt;TODAY()),"SIM","NÃO")</f>
        <v>NÃO</v>
      </c>
    </row>
    <row r="1360" spans="1:18" hidden="1">
      <c r="A1360" t="s">
        <v>2541</v>
      </c>
      <c r="B1360" t="s">
        <v>388</v>
      </c>
      <c r="C1360">
        <v>300272601</v>
      </c>
      <c r="D1360">
        <v>16219430</v>
      </c>
      <c r="E1360" t="s">
        <v>37</v>
      </c>
      <c r="F1360" t="s">
        <v>3152</v>
      </c>
      <c r="G1360">
        <v>9</v>
      </c>
      <c r="H1360" t="s">
        <v>2313</v>
      </c>
      <c r="J1360" t="s">
        <v>3126</v>
      </c>
      <c r="K1360" s="11">
        <v>46204.554525462961</v>
      </c>
      <c r="M1360">
        <v>686</v>
      </c>
      <c r="N1360" t="s">
        <v>867</v>
      </c>
      <c r="O1360">
        <v>0</v>
      </c>
      <c r="P1360" s="5"/>
      <c r="Q1360" s="10">
        <f>INT(Tabela1[[#This Row],[DATA]])</f>
        <v>46204</v>
      </c>
      <c r="R1360" s="14" t="str">
        <f ca="1">IF(AND(Q1360&gt;=TODAY()-WEEKDAY(TODAY(),2)+1,Q1360&lt;TODAY()),"SIM","NÃO")</f>
        <v>NÃO</v>
      </c>
    </row>
    <row r="1361" spans="1:18" hidden="1">
      <c r="A1361" t="s">
        <v>2903</v>
      </c>
      <c r="B1361" t="s">
        <v>846</v>
      </c>
      <c r="C1361">
        <v>300276289</v>
      </c>
      <c r="D1361">
        <v>15863387</v>
      </c>
      <c r="E1361" t="s">
        <v>37</v>
      </c>
      <c r="F1361" t="s">
        <v>2666</v>
      </c>
      <c r="G1361">
        <v>1121</v>
      </c>
      <c r="H1361" t="s">
        <v>3186</v>
      </c>
      <c r="J1361" t="s">
        <v>3187</v>
      </c>
      <c r="K1361" s="11">
        <v>46204.558854166666</v>
      </c>
      <c r="M1361">
        <v>687</v>
      </c>
      <c r="N1361" t="s">
        <v>878</v>
      </c>
      <c r="O1361" t="s">
        <v>848</v>
      </c>
      <c r="P1361" s="5"/>
      <c r="Q1361" s="10">
        <f>INT(Tabela1[[#This Row],[DATA]])</f>
        <v>46204</v>
      </c>
      <c r="R1361" s="14" t="str">
        <f ca="1">IF(AND(Q1361&gt;=TODAY()-WEEKDAY(TODAY(),2)+1,Q1361&lt;TODAY()),"SIM","NÃO")</f>
        <v>NÃO</v>
      </c>
    </row>
    <row r="1362" spans="1:18" hidden="1">
      <c r="A1362" t="s">
        <v>143</v>
      </c>
      <c r="B1362" t="s">
        <v>144</v>
      </c>
      <c r="C1362">
        <v>300272201</v>
      </c>
      <c r="D1362">
        <v>16444949</v>
      </c>
      <c r="E1362" t="s">
        <v>45</v>
      </c>
      <c r="F1362" t="s">
        <v>2124</v>
      </c>
      <c r="G1362">
        <v>766</v>
      </c>
      <c r="H1362" t="s">
        <v>2313</v>
      </c>
      <c r="K1362" s="11">
        <v>46204.565104166664</v>
      </c>
      <c r="M1362">
        <v>688</v>
      </c>
      <c r="N1362" t="s">
        <v>878</v>
      </c>
      <c r="O1362">
        <v>0</v>
      </c>
      <c r="P1362" s="5"/>
      <c r="Q1362" s="10">
        <f>INT(Tabela1[[#This Row],[DATA]])</f>
        <v>46204</v>
      </c>
      <c r="R1362" s="14" t="str">
        <f ca="1">IF(AND(Q1362&gt;=TODAY()-WEEKDAY(TODAY(),2)+1,Q1362&lt;TODAY()),"SIM","NÃO")</f>
        <v>NÃO</v>
      </c>
    </row>
    <row r="1363" spans="1:18" hidden="1">
      <c r="A1363" t="s">
        <v>2547</v>
      </c>
      <c r="B1363" t="s">
        <v>1582</v>
      </c>
      <c r="C1363">
        <v>300274423</v>
      </c>
      <c r="D1363">
        <v>16441222</v>
      </c>
      <c r="E1363" t="s">
        <v>45</v>
      </c>
      <c r="F1363" t="s">
        <v>2153</v>
      </c>
      <c r="G1363">
        <v>5</v>
      </c>
      <c r="H1363" t="s">
        <v>3188</v>
      </c>
      <c r="J1363" t="s">
        <v>3188</v>
      </c>
      <c r="K1363" s="11">
        <v>46204.588750000003</v>
      </c>
      <c r="M1363">
        <v>689</v>
      </c>
      <c r="N1363" t="s">
        <v>867</v>
      </c>
      <c r="O1363">
        <v>0</v>
      </c>
      <c r="P1363" s="5"/>
      <c r="Q1363" s="10">
        <f>INT(Tabela1[[#This Row],[DATA]])</f>
        <v>46204</v>
      </c>
      <c r="R1363" s="14" t="str">
        <f ca="1">IF(AND(Q1363&gt;=TODAY()-WEEKDAY(TODAY(),2)+1,Q1363&lt;TODAY()),"SIM","NÃO")</f>
        <v>NÃO</v>
      </c>
    </row>
    <row r="1364" spans="1:18" hidden="1">
      <c r="A1364" t="s">
        <v>2905</v>
      </c>
      <c r="B1364" t="s">
        <v>2906</v>
      </c>
      <c r="C1364">
        <v>300275485</v>
      </c>
      <c r="D1364">
        <v>16494610</v>
      </c>
      <c r="E1364" t="s">
        <v>37</v>
      </c>
      <c r="F1364" t="s">
        <v>635</v>
      </c>
      <c r="G1364">
        <v>1</v>
      </c>
      <c r="H1364" t="s">
        <v>3189</v>
      </c>
      <c r="K1364" s="11">
        <v>46204.59003472222</v>
      </c>
      <c r="M1364">
        <v>690</v>
      </c>
      <c r="N1364" t="s">
        <v>878</v>
      </c>
      <c r="O1364">
        <v>1</v>
      </c>
      <c r="P1364" s="5"/>
      <c r="Q1364" s="10">
        <f>INT(Tabela1[[#This Row],[DATA]])</f>
        <v>46204</v>
      </c>
      <c r="R1364" s="14" t="str">
        <f ca="1">IF(AND(Q1364&gt;=TODAY()-WEEKDAY(TODAY(),2)+1,Q1364&lt;TODAY()),"SIM","NÃO")</f>
        <v>NÃO</v>
      </c>
    </row>
    <row r="1365" spans="1:18" hidden="1">
      <c r="A1365" t="s">
        <v>2905</v>
      </c>
      <c r="B1365" t="s">
        <v>2906</v>
      </c>
      <c r="C1365">
        <v>300275485</v>
      </c>
      <c r="D1365">
        <v>16494610</v>
      </c>
      <c r="E1365" t="s">
        <v>37</v>
      </c>
      <c r="F1365" t="s">
        <v>3190</v>
      </c>
      <c r="G1365">
        <v>1</v>
      </c>
      <c r="H1365" t="s">
        <v>3189</v>
      </c>
      <c r="K1365" s="11">
        <v>46204.590787037036</v>
      </c>
      <c r="M1365">
        <v>691</v>
      </c>
      <c r="N1365" t="s">
        <v>878</v>
      </c>
      <c r="O1365">
        <v>1</v>
      </c>
      <c r="P1365" s="5"/>
      <c r="Q1365" s="10">
        <f>INT(Tabela1[[#This Row],[DATA]])</f>
        <v>46204</v>
      </c>
      <c r="R1365" s="14" t="str">
        <f ca="1">IF(AND(Q1365&gt;=TODAY()-WEEKDAY(TODAY(),2)+1,Q1365&lt;TODAY()),"SIM","NÃO")</f>
        <v>NÃO</v>
      </c>
    </row>
    <row r="1366" spans="1:18" hidden="1">
      <c r="A1366" t="s">
        <v>2547</v>
      </c>
      <c r="B1366" t="s">
        <v>1582</v>
      </c>
      <c r="C1366">
        <v>300271905</v>
      </c>
      <c r="D1366">
        <v>16222954</v>
      </c>
      <c r="E1366" t="s">
        <v>45</v>
      </c>
      <c r="F1366" t="s">
        <v>2153</v>
      </c>
      <c r="G1366">
        <v>4</v>
      </c>
      <c r="H1366" t="s">
        <v>3191</v>
      </c>
      <c r="J1366" t="s">
        <v>3191</v>
      </c>
      <c r="K1366" s="11">
        <v>46204.595451388886</v>
      </c>
      <c r="M1366">
        <v>692</v>
      </c>
      <c r="N1366" t="s">
        <v>867</v>
      </c>
      <c r="O1366">
        <v>0</v>
      </c>
      <c r="P1366" s="5"/>
      <c r="Q1366" s="10">
        <f>INT(Tabela1[[#This Row],[DATA]])</f>
        <v>46204</v>
      </c>
      <c r="R1366" s="14" t="str">
        <f ca="1">IF(AND(Q1366&gt;=TODAY()-WEEKDAY(TODAY(),2)+1,Q1366&lt;TODAY()),"SIM","NÃO")</f>
        <v>NÃO</v>
      </c>
    </row>
    <row r="1367" spans="1:18" hidden="1">
      <c r="A1367" t="s">
        <v>185</v>
      </c>
      <c r="B1367" t="s">
        <v>1625</v>
      </c>
      <c r="C1367">
        <v>300273717</v>
      </c>
      <c r="D1367">
        <v>16493168</v>
      </c>
      <c r="E1367" t="s">
        <v>37</v>
      </c>
      <c r="F1367" t="s">
        <v>2124</v>
      </c>
      <c r="G1367">
        <v>100</v>
      </c>
      <c r="H1367" t="s">
        <v>2948</v>
      </c>
      <c r="K1367" s="11">
        <v>46204.598020833335</v>
      </c>
      <c r="M1367">
        <v>693</v>
      </c>
      <c r="N1367" t="s">
        <v>867</v>
      </c>
      <c r="O1367">
        <v>0</v>
      </c>
      <c r="P1367" s="5"/>
      <c r="Q1367" s="10">
        <f>INT(Tabela1[[#This Row],[DATA]])</f>
        <v>46204</v>
      </c>
      <c r="R1367" s="14" t="str">
        <f ca="1">IF(AND(Q1367&gt;=TODAY()-WEEKDAY(TODAY(),2)+1,Q1367&lt;TODAY()),"SIM","NÃO")</f>
        <v>NÃO</v>
      </c>
    </row>
    <row r="1368" spans="1:18" hidden="1">
      <c r="A1368" t="s">
        <v>2547</v>
      </c>
      <c r="B1368" t="s">
        <v>1582</v>
      </c>
      <c r="C1368">
        <v>300271873</v>
      </c>
      <c r="D1368">
        <v>16222954</v>
      </c>
      <c r="E1368" t="s">
        <v>45</v>
      </c>
      <c r="F1368" t="s">
        <v>2153</v>
      </c>
      <c r="G1368">
        <v>5</v>
      </c>
      <c r="H1368" t="s">
        <v>3191</v>
      </c>
      <c r="J1368" t="s">
        <v>3191</v>
      </c>
      <c r="K1368" s="11">
        <v>46204.602418981478</v>
      </c>
      <c r="M1368">
        <v>694</v>
      </c>
      <c r="N1368" t="s">
        <v>867</v>
      </c>
      <c r="O1368">
        <v>0</v>
      </c>
      <c r="P1368" s="5"/>
      <c r="Q1368" s="10">
        <f>INT(Tabela1[[#This Row],[DATA]])</f>
        <v>46204</v>
      </c>
      <c r="R1368" s="14" t="str">
        <f ca="1">IF(AND(Q1368&gt;=TODAY()-WEEKDAY(TODAY(),2)+1,Q1368&lt;TODAY()),"SIM","NÃO")</f>
        <v>NÃO</v>
      </c>
    </row>
    <row r="1369" spans="1:18" hidden="1">
      <c r="A1369" t="s">
        <v>2713</v>
      </c>
      <c r="B1369" t="s">
        <v>55</v>
      </c>
      <c r="C1369">
        <v>300269147</v>
      </c>
      <c r="D1369">
        <v>15957128</v>
      </c>
      <c r="E1369" t="s">
        <v>45</v>
      </c>
      <c r="F1369" t="s">
        <v>2124</v>
      </c>
      <c r="G1369">
        <v>5</v>
      </c>
      <c r="H1369" t="s">
        <v>2294</v>
      </c>
      <c r="K1369" s="11">
        <v>46204.602638888886</v>
      </c>
      <c r="M1369">
        <v>695</v>
      </c>
      <c r="N1369" t="s">
        <v>878</v>
      </c>
      <c r="O1369" t="s">
        <v>2124</v>
      </c>
      <c r="P1369" s="5"/>
      <c r="Q1369" s="10">
        <f>INT(Tabela1[[#This Row],[DATA]])</f>
        <v>46204</v>
      </c>
      <c r="R1369" s="14" t="str">
        <f ca="1">IF(AND(Q1369&gt;=TODAY()-WEEKDAY(TODAY(),2)+1,Q1369&lt;TODAY()),"SIM","NÃO")</f>
        <v>NÃO</v>
      </c>
    </row>
    <row r="1370" spans="1:18" hidden="1">
      <c r="A1370" t="s">
        <v>2713</v>
      </c>
      <c r="B1370" t="s">
        <v>55</v>
      </c>
      <c r="C1370">
        <v>300276284</v>
      </c>
      <c r="D1370">
        <v>15863387</v>
      </c>
      <c r="E1370" t="s">
        <v>37</v>
      </c>
      <c r="F1370" t="s">
        <v>2666</v>
      </c>
      <c r="G1370">
        <v>12</v>
      </c>
      <c r="H1370" t="s">
        <v>3192</v>
      </c>
      <c r="J1370" t="s">
        <v>3193</v>
      </c>
      <c r="K1370" s="11">
        <v>46204.608842592592</v>
      </c>
      <c r="M1370">
        <v>696</v>
      </c>
      <c r="N1370" t="s">
        <v>878</v>
      </c>
      <c r="O1370" t="s">
        <v>3194</v>
      </c>
      <c r="P1370" s="5"/>
      <c r="Q1370" s="10">
        <f>INT(Tabela1[[#This Row],[DATA]])</f>
        <v>46204</v>
      </c>
      <c r="R1370" s="14" t="str">
        <f ca="1">IF(AND(Q1370&gt;=TODAY()-WEEKDAY(TODAY(),2)+1,Q1370&lt;TODAY()),"SIM","NÃO")</f>
        <v>NÃO</v>
      </c>
    </row>
    <row r="1371" spans="1:18" hidden="1">
      <c r="A1371" t="s">
        <v>914</v>
      </c>
      <c r="B1371" t="s">
        <v>2651</v>
      </c>
      <c r="C1371">
        <v>300274237</v>
      </c>
      <c r="D1371">
        <v>16503252</v>
      </c>
      <c r="E1371" t="s">
        <v>37</v>
      </c>
      <c r="F1371" t="s">
        <v>1170</v>
      </c>
      <c r="G1371">
        <v>43</v>
      </c>
      <c r="H1371" t="s">
        <v>3195</v>
      </c>
      <c r="J1371" t="s">
        <v>3196</v>
      </c>
      <c r="K1371" s="11">
        <v>46204.655185185184</v>
      </c>
      <c r="M1371">
        <v>697</v>
      </c>
      <c r="N1371" t="s">
        <v>867</v>
      </c>
      <c r="O1371">
        <v>10000216489</v>
      </c>
      <c r="P1371" s="5"/>
      <c r="Q1371" s="10">
        <f>INT(Tabela1[[#This Row],[DATA]])</f>
        <v>46204</v>
      </c>
      <c r="R1371" s="14" t="str">
        <f ca="1">IF(AND(Q1371&gt;=TODAY()-WEEKDAY(TODAY(),2)+1,Q1371&lt;TODAY()),"SIM","NÃO")</f>
        <v>NÃO</v>
      </c>
    </row>
    <row r="1372" spans="1:18" hidden="1">
      <c r="A1372" t="s">
        <v>185</v>
      </c>
      <c r="B1372" t="s">
        <v>1625</v>
      </c>
      <c r="C1372">
        <v>300273717</v>
      </c>
      <c r="D1372">
        <v>16493168</v>
      </c>
      <c r="E1372" t="s">
        <v>37</v>
      </c>
      <c r="F1372" t="s">
        <v>2136</v>
      </c>
      <c r="G1372">
        <v>360</v>
      </c>
      <c r="H1372" t="s">
        <v>2948</v>
      </c>
      <c r="K1372" s="11">
        <v>46204.657881944448</v>
      </c>
      <c r="M1372">
        <v>698</v>
      </c>
      <c r="N1372" t="s">
        <v>867</v>
      </c>
      <c r="O1372">
        <v>150</v>
      </c>
      <c r="P1372" s="5"/>
      <c r="Q1372" s="10">
        <f>INT(Tabela1[[#This Row],[DATA]])</f>
        <v>46204</v>
      </c>
      <c r="R1372" s="14" t="str">
        <f ca="1">IF(AND(Q1372&gt;=TODAY()-WEEKDAY(TODAY(),2)+1,Q1372&lt;TODAY()),"SIM","NÃO")</f>
        <v>NÃO</v>
      </c>
    </row>
    <row r="1373" spans="1:18" hidden="1">
      <c r="A1373" t="s">
        <v>249</v>
      </c>
      <c r="B1373" t="s">
        <v>112</v>
      </c>
      <c r="C1373">
        <v>300253723</v>
      </c>
      <c r="D1373">
        <v>16244001</v>
      </c>
      <c r="E1373" t="s">
        <v>37</v>
      </c>
      <c r="F1373" t="s">
        <v>2124</v>
      </c>
      <c r="G1373">
        <v>4</v>
      </c>
      <c r="H1373" t="s">
        <v>2172</v>
      </c>
      <c r="K1373" s="11">
        <v>46204.658865740741</v>
      </c>
      <c r="M1373">
        <v>699</v>
      </c>
      <c r="N1373" t="s">
        <v>867</v>
      </c>
      <c r="O1373">
        <v>0</v>
      </c>
      <c r="P1373" s="5"/>
      <c r="Q1373" s="10">
        <f>INT(Tabela1[[#This Row],[DATA]])</f>
        <v>46204</v>
      </c>
      <c r="R1373" s="14" t="str">
        <f ca="1">IF(AND(Q1373&gt;=TODAY()-WEEKDAY(TODAY(),2)+1,Q1373&lt;TODAY()),"SIM","NÃO")</f>
        <v>NÃO</v>
      </c>
    </row>
    <row r="1374" spans="1:18" hidden="1">
      <c r="A1374" t="s">
        <v>253</v>
      </c>
      <c r="B1374" t="s">
        <v>254</v>
      </c>
      <c r="C1374">
        <v>300271509</v>
      </c>
      <c r="D1374">
        <v>16508971</v>
      </c>
      <c r="E1374" t="s">
        <v>37</v>
      </c>
      <c r="F1374" t="s">
        <v>2072</v>
      </c>
      <c r="G1374">
        <v>10</v>
      </c>
      <c r="H1374" t="s">
        <v>13</v>
      </c>
      <c r="K1374" s="11">
        <v>46204.660254629627</v>
      </c>
      <c r="M1374">
        <v>700</v>
      </c>
      <c r="N1374" t="s">
        <v>867</v>
      </c>
      <c r="O1374">
        <v>0</v>
      </c>
      <c r="P1374" s="5"/>
      <c r="Q1374" s="10">
        <f>INT(Tabela1[[#This Row],[DATA]])</f>
        <v>46204</v>
      </c>
      <c r="R1374" s="14" t="str">
        <f ca="1">IF(AND(Q1374&gt;=TODAY()-WEEKDAY(TODAY(),2)+1,Q1374&lt;TODAY()),"SIM","NÃO")</f>
        <v>NÃO</v>
      </c>
    </row>
    <row r="1375" spans="1:18" hidden="1">
      <c r="A1375" t="s">
        <v>253</v>
      </c>
      <c r="B1375" t="s">
        <v>254</v>
      </c>
      <c r="C1375">
        <v>300274226</v>
      </c>
      <c r="D1375">
        <v>16219449</v>
      </c>
      <c r="E1375" t="s">
        <v>37</v>
      </c>
      <c r="F1375" t="s">
        <v>2153</v>
      </c>
      <c r="G1375">
        <v>4</v>
      </c>
      <c r="H1375" t="s">
        <v>3197</v>
      </c>
      <c r="K1375" s="11">
        <v>46204.68849537037</v>
      </c>
      <c r="M1375">
        <v>701</v>
      </c>
      <c r="N1375" t="s">
        <v>867</v>
      </c>
      <c r="O1375">
        <v>0</v>
      </c>
      <c r="P1375" s="5"/>
      <c r="Q1375" s="10">
        <f>INT(Tabela1[[#This Row],[DATA]])</f>
        <v>46204</v>
      </c>
      <c r="R1375" s="14" t="str">
        <f ca="1">IF(AND(Q1375&gt;=TODAY()-WEEKDAY(TODAY(),2)+1,Q1375&lt;TODAY()),"SIM","NÃO")</f>
        <v>NÃO</v>
      </c>
    </row>
    <row r="1376" spans="1:18" hidden="1">
      <c r="A1376" t="s">
        <v>191</v>
      </c>
      <c r="B1376" t="s">
        <v>192</v>
      </c>
      <c r="C1376">
        <v>300273863</v>
      </c>
      <c r="D1376">
        <v>16441354</v>
      </c>
      <c r="E1376" t="s">
        <v>45</v>
      </c>
      <c r="F1376" t="s">
        <v>3144</v>
      </c>
      <c r="G1376">
        <v>10</v>
      </c>
      <c r="H1376" t="s">
        <v>3026</v>
      </c>
      <c r="J1376" t="s">
        <v>3198</v>
      </c>
      <c r="K1376" s="11">
        <v>46204.700312499997</v>
      </c>
      <c r="M1376">
        <v>702</v>
      </c>
      <c r="N1376" t="s">
        <v>867</v>
      </c>
      <c r="O1376">
        <v>10000071649</v>
      </c>
      <c r="P1376" s="5"/>
      <c r="Q1376" s="10">
        <f>INT(Tabela1[[#This Row],[DATA]])</f>
        <v>46204</v>
      </c>
      <c r="R1376" s="14" t="str">
        <f ca="1">IF(AND(Q1376&gt;=TODAY()-WEEKDAY(TODAY(),2)+1,Q1376&lt;TODAY()),"SIM","NÃO")</f>
        <v>NÃO</v>
      </c>
    </row>
    <row r="1377" spans="1:18" hidden="1">
      <c r="A1377" t="s">
        <v>191</v>
      </c>
      <c r="B1377" t="s">
        <v>192</v>
      </c>
      <c r="C1377">
        <v>300273862</v>
      </c>
      <c r="D1377">
        <v>16441354</v>
      </c>
      <c r="E1377" t="s">
        <v>45</v>
      </c>
      <c r="F1377" t="s">
        <v>2666</v>
      </c>
      <c r="G1377">
        <v>10</v>
      </c>
      <c r="H1377" t="s">
        <v>3026</v>
      </c>
      <c r="J1377" t="s">
        <v>3199</v>
      </c>
      <c r="K1377" s="11">
        <v>46204.702418981484</v>
      </c>
      <c r="M1377">
        <v>703</v>
      </c>
      <c r="N1377" t="s">
        <v>867</v>
      </c>
      <c r="O1377">
        <v>10000072702</v>
      </c>
      <c r="P1377" s="5"/>
      <c r="Q1377" s="10">
        <f>INT(Tabela1[[#This Row],[DATA]])</f>
        <v>46204</v>
      </c>
      <c r="R1377" s="14" t="str">
        <f ca="1">IF(AND(Q1377&gt;=TODAY()-WEEKDAY(TODAY(),2)+1,Q1377&lt;TODAY()),"SIM","NÃO")</f>
        <v>NÃO</v>
      </c>
    </row>
    <row r="1378" spans="1:18" hidden="1">
      <c r="A1378" t="s">
        <v>2659</v>
      </c>
      <c r="B1378" t="s">
        <v>677</v>
      </c>
      <c r="C1378">
        <v>300275033</v>
      </c>
      <c r="D1378">
        <v>16482204</v>
      </c>
      <c r="E1378" t="s">
        <v>37</v>
      </c>
      <c r="F1378" t="s">
        <v>3100</v>
      </c>
      <c r="G1378">
        <v>312</v>
      </c>
      <c r="H1378" t="s">
        <v>3200</v>
      </c>
      <c r="J1378" t="s">
        <v>3201</v>
      </c>
      <c r="K1378" s="11">
        <v>46204.714942129627</v>
      </c>
      <c r="M1378">
        <v>704</v>
      </c>
      <c r="N1378" t="s">
        <v>867</v>
      </c>
      <c r="O1378" t="s">
        <v>2778</v>
      </c>
      <c r="P1378" s="5"/>
      <c r="Q1378" s="10">
        <f>INT(Tabela1[[#This Row],[DATA]])</f>
        <v>46204</v>
      </c>
      <c r="R1378" s="14" t="str">
        <f ca="1">IF(AND(Q1378&gt;=TODAY()-WEEKDAY(TODAY(),2)+1,Q1378&lt;TODAY()),"SIM","NÃO")</f>
        <v>NÃO</v>
      </c>
    </row>
    <row r="1379" spans="1:18" hidden="1">
      <c r="A1379" t="s">
        <v>2551</v>
      </c>
      <c r="B1379" t="s">
        <v>274</v>
      </c>
      <c r="C1379">
        <v>300277090</v>
      </c>
      <c r="D1379">
        <v>15773949</v>
      </c>
      <c r="E1379" t="s">
        <v>37</v>
      </c>
      <c r="F1379" t="s">
        <v>2124</v>
      </c>
      <c r="G1379">
        <v>40</v>
      </c>
      <c r="H1379" t="s">
        <v>555</v>
      </c>
      <c r="K1379" s="11">
        <v>46204.720312500001</v>
      </c>
      <c r="M1379">
        <v>705</v>
      </c>
      <c r="N1379" t="s">
        <v>867</v>
      </c>
      <c r="O1379">
        <v>0</v>
      </c>
      <c r="P1379" s="5"/>
      <c r="Q1379" s="10">
        <f>INT(Tabela1[[#This Row],[DATA]])</f>
        <v>46204</v>
      </c>
      <c r="R1379" s="14" t="str">
        <f ca="1">IF(AND(Q1379&gt;=TODAY()-WEEKDAY(TODAY(),2)+1,Q1379&lt;TODAY()),"SIM","NÃO")</f>
        <v>NÃO</v>
      </c>
    </row>
    <row r="1380" spans="1:18" hidden="1">
      <c r="A1380" t="s">
        <v>2903</v>
      </c>
      <c r="B1380" t="s">
        <v>846</v>
      </c>
      <c r="C1380">
        <v>300276272</v>
      </c>
      <c r="D1380">
        <v>15858367</v>
      </c>
      <c r="E1380" t="s">
        <v>37</v>
      </c>
      <c r="F1380" t="s">
        <v>3085</v>
      </c>
      <c r="G1380">
        <v>90</v>
      </c>
      <c r="H1380" t="s">
        <v>3202</v>
      </c>
      <c r="K1380" s="11">
        <v>46204.723101851851</v>
      </c>
      <c r="M1380">
        <v>706</v>
      </c>
      <c r="N1380" t="s">
        <v>867</v>
      </c>
      <c r="O1380">
        <v>10000064387</v>
      </c>
      <c r="P1380" s="5"/>
      <c r="Q1380" s="10">
        <f>INT(Tabela1[[#This Row],[DATA]])</f>
        <v>46204</v>
      </c>
      <c r="R1380" s="14" t="str">
        <f ca="1">IF(AND(Q1380&gt;=TODAY()-WEEKDAY(TODAY(),2)+1,Q1380&lt;TODAY()),"SIM","NÃO")</f>
        <v>NÃO</v>
      </c>
    </row>
    <row r="1381" spans="1:18" hidden="1">
      <c r="A1381" t="s">
        <v>605</v>
      </c>
      <c r="B1381" t="s">
        <v>606</v>
      </c>
      <c r="C1381">
        <v>300270311</v>
      </c>
      <c r="D1381">
        <v>16243951</v>
      </c>
      <c r="E1381" t="s">
        <v>37</v>
      </c>
      <c r="F1381" t="s">
        <v>2124</v>
      </c>
      <c r="G1381">
        <v>30</v>
      </c>
      <c r="H1381" t="s">
        <v>1771</v>
      </c>
      <c r="J1381" t="s">
        <v>1332</v>
      </c>
      <c r="K1381" s="11">
        <v>46204.737916666665</v>
      </c>
      <c r="M1381">
        <v>707</v>
      </c>
      <c r="N1381" t="s">
        <v>867</v>
      </c>
      <c r="O1381">
        <v>0</v>
      </c>
      <c r="P1381" s="5"/>
      <c r="Q1381" s="10">
        <f>INT(Tabela1[[#This Row],[DATA]])</f>
        <v>46204</v>
      </c>
      <c r="R1381" s="14" t="str">
        <f ca="1">IF(AND(Q1381&gt;=TODAY()-WEEKDAY(TODAY(),2)+1,Q1381&lt;TODAY()),"SIM","NÃO")</f>
        <v>NÃO</v>
      </c>
    </row>
    <row r="1382" spans="1:18" hidden="1">
      <c r="A1382" t="s">
        <v>605</v>
      </c>
      <c r="B1382" t="s">
        <v>606</v>
      </c>
      <c r="C1382">
        <v>300276762</v>
      </c>
      <c r="D1382">
        <v>16497767</v>
      </c>
      <c r="E1382" t="s">
        <v>37</v>
      </c>
      <c r="F1382" t="s">
        <v>2124</v>
      </c>
      <c r="G1382">
        <v>35</v>
      </c>
      <c r="H1382" t="s">
        <v>1771</v>
      </c>
      <c r="J1382" t="s">
        <v>1771</v>
      </c>
      <c r="K1382" s="11">
        <v>46204.743217592593</v>
      </c>
      <c r="M1382">
        <v>708</v>
      </c>
      <c r="N1382" t="s">
        <v>867</v>
      </c>
      <c r="O1382">
        <v>0</v>
      </c>
      <c r="P1382" s="5"/>
      <c r="Q1382" s="10">
        <f>INT(Tabela1[[#This Row],[DATA]])</f>
        <v>46204</v>
      </c>
      <c r="R1382" s="14" t="str">
        <f ca="1">IF(AND(Q1382&gt;=TODAY()-WEEKDAY(TODAY(),2)+1,Q1382&lt;TODAY()),"SIM","NÃO")</f>
        <v>NÃO</v>
      </c>
    </row>
    <row r="1383" spans="1:18" hidden="1">
      <c r="A1383" t="s">
        <v>3006</v>
      </c>
      <c r="B1383" t="s">
        <v>3007</v>
      </c>
      <c r="C1383">
        <v>300273324</v>
      </c>
      <c r="D1383">
        <v>16523741</v>
      </c>
      <c r="E1383" t="s">
        <v>37</v>
      </c>
      <c r="F1383" t="s">
        <v>995</v>
      </c>
      <c r="G1383">
        <v>10</v>
      </c>
      <c r="H1383" t="s">
        <v>3203</v>
      </c>
      <c r="K1383" s="11">
        <v>46204.762118055558</v>
      </c>
      <c r="M1383">
        <v>709</v>
      </c>
      <c r="N1383" t="s">
        <v>878</v>
      </c>
      <c r="O1383">
        <v>0</v>
      </c>
      <c r="P1383" s="5"/>
      <c r="Q1383" s="10">
        <f>INT(Tabela1[[#This Row],[DATA]])</f>
        <v>46204</v>
      </c>
      <c r="R1383" s="14" t="str">
        <f ca="1">IF(AND(Q1383&gt;=TODAY()-WEEKDAY(TODAY(),2)+1,Q1383&lt;TODAY()),"SIM","NÃO")</f>
        <v>NÃO</v>
      </c>
    </row>
    <row r="1384" spans="1:18" hidden="1">
      <c r="A1384" t="s">
        <v>305</v>
      </c>
      <c r="B1384" t="s">
        <v>306</v>
      </c>
      <c r="C1384">
        <v>300276766</v>
      </c>
      <c r="D1384">
        <v>16217683</v>
      </c>
      <c r="E1384" t="s">
        <v>37</v>
      </c>
      <c r="F1384" t="s">
        <v>3085</v>
      </c>
      <c r="G1384">
        <v>20</v>
      </c>
      <c r="H1384" t="s">
        <v>307</v>
      </c>
      <c r="J1384" t="s">
        <v>3204</v>
      </c>
      <c r="K1384" s="11">
        <v>46205.314432870371</v>
      </c>
      <c r="M1384">
        <v>710</v>
      </c>
      <c r="N1384" t="s">
        <v>867</v>
      </c>
      <c r="O1384">
        <v>100000247151</v>
      </c>
      <c r="P1384" s="5"/>
      <c r="Q1384" s="10">
        <f>INT(Tabela1[[#This Row],[DATA]])</f>
        <v>46205</v>
      </c>
      <c r="R1384" s="14" t="str">
        <f ca="1">IF(AND(Q1384&gt;=TODAY()-WEEKDAY(TODAY(),2)+1,Q1384&lt;TODAY()),"SIM","NÃO")</f>
        <v>NÃO</v>
      </c>
    </row>
    <row r="1385" spans="1:18" hidden="1">
      <c r="A1385" t="s">
        <v>2713</v>
      </c>
      <c r="B1385" t="s">
        <v>55</v>
      </c>
      <c r="C1385">
        <v>300269147</v>
      </c>
      <c r="D1385">
        <v>15957128</v>
      </c>
      <c r="E1385" t="s">
        <v>45</v>
      </c>
      <c r="F1385" t="s">
        <v>2124</v>
      </c>
      <c r="G1385">
        <v>30</v>
      </c>
      <c r="H1385" t="s">
        <v>2294</v>
      </c>
      <c r="K1385" s="11">
        <v>46205.322581018518</v>
      </c>
      <c r="M1385">
        <v>711</v>
      </c>
      <c r="N1385" t="s">
        <v>878</v>
      </c>
      <c r="O1385" t="s">
        <v>2124</v>
      </c>
      <c r="P1385" s="5"/>
      <c r="Q1385" s="10">
        <f>INT(Tabela1[[#This Row],[DATA]])</f>
        <v>46205</v>
      </c>
      <c r="R1385" s="14" t="str">
        <f ca="1">IF(AND(Q1385&gt;=TODAY()-WEEKDAY(TODAY(),2)+1,Q1385&lt;TODAY()),"SIM","NÃO")</f>
        <v>NÃO</v>
      </c>
    </row>
    <row r="1386" spans="1:18" hidden="1">
      <c r="A1386" t="s">
        <v>185</v>
      </c>
      <c r="B1386" t="s">
        <v>1625</v>
      </c>
      <c r="C1386">
        <v>300276747</v>
      </c>
      <c r="D1386">
        <v>16217861</v>
      </c>
      <c r="E1386" t="s">
        <v>37</v>
      </c>
      <c r="F1386" t="s">
        <v>3205</v>
      </c>
      <c r="G1386">
        <v>980</v>
      </c>
      <c r="H1386" t="s">
        <v>2137</v>
      </c>
      <c r="J1386" t="s">
        <v>3206</v>
      </c>
      <c r="K1386" s="11">
        <v>46205.342453703706</v>
      </c>
      <c r="M1386">
        <v>712</v>
      </c>
      <c r="N1386" t="s">
        <v>878</v>
      </c>
      <c r="O1386">
        <v>10000074062</v>
      </c>
      <c r="P1386" s="5"/>
      <c r="Q1386" s="10">
        <f>INT(Tabela1[[#This Row],[DATA]])</f>
        <v>46205</v>
      </c>
      <c r="R1386" s="14" t="str">
        <f ca="1">IF(AND(Q1386&gt;=TODAY()-WEEKDAY(TODAY(),2)+1,Q1386&lt;TODAY()),"SIM","NÃO")</f>
        <v>NÃO</v>
      </c>
    </row>
    <row r="1387" spans="1:18" hidden="1">
      <c r="A1387" t="s">
        <v>185</v>
      </c>
      <c r="B1387" t="s">
        <v>1625</v>
      </c>
      <c r="C1387">
        <v>300275426</v>
      </c>
      <c r="D1387">
        <v>16217861</v>
      </c>
      <c r="E1387" t="s">
        <v>37</v>
      </c>
      <c r="F1387" t="s">
        <v>3205</v>
      </c>
      <c r="G1387">
        <v>960</v>
      </c>
      <c r="H1387" t="s">
        <v>2137</v>
      </c>
      <c r="J1387" t="s">
        <v>3207</v>
      </c>
      <c r="K1387" s="11">
        <v>46205.343229166669</v>
      </c>
      <c r="M1387">
        <v>713</v>
      </c>
      <c r="N1387" t="s">
        <v>878</v>
      </c>
      <c r="O1387">
        <v>10000074062</v>
      </c>
      <c r="P1387" s="5"/>
      <c r="Q1387" s="10">
        <f>INT(Tabela1[[#This Row],[DATA]])</f>
        <v>46205</v>
      </c>
      <c r="R1387" s="14" t="str">
        <f ca="1">IF(AND(Q1387&gt;=TODAY()-WEEKDAY(TODAY(),2)+1,Q1387&lt;TODAY()),"SIM","NÃO")</f>
        <v>NÃO</v>
      </c>
    </row>
    <row r="1388" spans="1:18" hidden="1">
      <c r="A1388" t="s">
        <v>661</v>
      </c>
      <c r="B1388" t="s">
        <v>662</v>
      </c>
      <c r="C1388">
        <v>300269315</v>
      </c>
      <c r="D1388">
        <v>16470834</v>
      </c>
      <c r="E1388" t="s">
        <v>37</v>
      </c>
      <c r="F1388" t="s">
        <v>3208</v>
      </c>
      <c r="G1388">
        <v>25</v>
      </c>
      <c r="H1388" t="s">
        <v>2081</v>
      </c>
      <c r="J1388" t="s">
        <v>3209</v>
      </c>
      <c r="K1388" s="11">
        <v>46205.351643518516</v>
      </c>
      <c r="M1388">
        <v>714</v>
      </c>
      <c r="N1388" t="s">
        <v>878</v>
      </c>
      <c r="O1388">
        <v>0</v>
      </c>
      <c r="P1388" s="5"/>
      <c r="Q1388" s="10">
        <f>INT(Tabela1[[#This Row],[DATA]])</f>
        <v>46205</v>
      </c>
      <c r="R1388" s="14" t="str">
        <f ca="1">IF(AND(Q1388&gt;=TODAY()-WEEKDAY(TODAY(),2)+1,Q1388&lt;TODAY()),"SIM","NÃO")</f>
        <v>NÃO</v>
      </c>
    </row>
    <row r="1389" spans="1:18" hidden="1">
      <c r="A1389" t="s">
        <v>163</v>
      </c>
      <c r="B1389" t="s">
        <v>164</v>
      </c>
      <c r="C1389">
        <v>300275886</v>
      </c>
      <c r="D1389">
        <v>16426010</v>
      </c>
      <c r="E1389" t="s">
        <v>45</v>
      </c>
      <c r="F1389" t="s">
        <v>2405</v>
      </c>
      <c r="G1389">
        <v>6</v>
      </c>
      <c r="H1389" t="s">
        <v>2292</v>
      </c>
      <c r="K1389" s="11">
        <v>46205.354629629626</v>
      </c>
      <c r="M1389">
        <v>715</v>
      </c>
      <c r="N1389" t="s">
        <v>867</v>
      </c>
      <c r="O1389">
        <v>0</v>
      </c>
      <c r="P1389" s="5"/>
      <c r="Q1389" s="10">
        <f>INT(Tabela1[[#This Row],[DATA]])</f>
        <v>46205</v>
      </c>
      <c r="R1389" s="14" t="str">
        <f ca="1">IF(AND(Q1389&gt;=TODAY()-WEEKDAY(TODAY(),2)+1,Q1389&lt;TODAY()),"SIM","NÃO")</f>
        <v>NÃO</v>
      </c>
    </row>
    <row r="1390" spans="1:18" hidden="1">
      <c r="A1390" t="s">
        <v>163</v>
      </c>
      <c r="B1390" t="s">
        <v>164</v>
      </c>
      <c r="C1390">
        <v>300277359</v>
      </c>
      <c r="D1390">
        <v>16442857</v>
      </c>
      <c r="E1390" t="s">
        <v>29</v>
      </c>
      <c r="F1390" t="s">
        <v>430</v>
      </c>
      <c r="G1390">
        <v>1980</v>
      </c>
      <c r="H1390" t="s">
        <v>2880</v>
      </c>
      <c r="K1390" s="11">
        <v>46205.358425925922</v>
      </c>
      <c r="L1390">
        <v>300277359</v>
      </c>
      <c r="M1390">
        <v>716</v>
      </c>
      <c r="N1390" t="s">
        <v>878</v>
      </c>
      <c r="O1390">
        <v>0</v>
      </c>
      <c r="P1390" s="5"/>
      <c r="Q1390" s="10">
        <f>INT(Tabela1[[#This Row],[DATA]])</f>
        <v>46205</v>
      </c>
      <c r="R1390" s="14" t="str">
        <f ca="1">IF(AND(Q1390&gt;=TODAY()-WEEKDAY(TODAY(),2)+1,Q1390&lt;TODAY()),"SIM","NÃO")</f>
        <v>NÃO</v>
      </c>
    </row>
    <row r="1391" spans="1:18" hidden="1">
      <c r="A1391" t="s">
        <v>163</v>
      </c>
      <c r="B1391" t="s">
        <v>164</v>
      </c>
      <c r="C1391">
        <v>300277361</v>
      </c>
      <c r="D1391">
        <v>16442857</v>
      </c>
      <c r="E1391" t="s">
        <v>29</v>
      </c>
      <c r="F1391" t="s">
        <v>430</v>
      </c>
      <c r="G1391">
        <v>1724</v>
      </c>
      <c r="H1391" t="s">
        <v>2880</v>
      </c>
      <c r="J1391" t="s">
        <v>3210</v>
      </c>
      <c r="K1391" s="11">
        <v>46205.36278935185</v>
      </c>
      <c r="M1391">
        <v>717</v>
      </c>
      <c r="N1391" t="s">
        <v>878</v>
      </c>
      <c r="O1391">
        <v>0</v>
      </c>
      <c r="P1391" s="5"/>
      <c r="Q1391" s="10">
        <f>INT(Tabela1[[#This Row],[DATA]])</f>
        <v>46205</v>
      </c>
      <c r="R1391" s="14" t="str">
        <f ca="1">IF(AND(Q1391&gt;=TODAY()-WEEKDAY(TODAY(),2)+1,Q1391&lt;TODAY()),"SIM","NÃO")</f>
        <v>NÃO</v>
      </c>
    </row>
    <row r="1392" spans="1:18" hidden="1">
      <c r="A1392" t="s">
        <v>1421</v>
      </c>
      <c r="B1392" t="s">
        <v>3211</v>
      </c>
      <c r="C1392">
        <v>300276362</v>
      </c>
      <c r="D1392">
        <v>16483910</v>
      </c>
      <c r="E1392" t="s">
        <v>45</v>
      </c>
      <c r="F1392" t="s">
        <v>3212</v>
      </c>
      <c r="G1392">
        <v>12</v>
      </c>
      <c r="H1392" t="s">
        <v>3213</v>
      </c>
      <c r="J1392" t="s">
        <v>3214</v>
      </c>
      <c r="K1392" s="11">
        <v>46205.371469907404</v>
      </c>
      <c r="M1392">
        <v>718</v>
      </c>
      <c r="N1392" t="s">
        <v>867</v>
      </c>
      <c r="O1392" t="s">
        <v>848</v>
      </c>
      <c r="P1392" s="5"/>
      <c r="Q1392" s="10">
        <f>INT(Tabela1[[#This Row],[DATA]])</f>
        <v>46205</v>
      </c>
      <c r="R1392" s="14" t="str">
        <f ca="1">IF(AND(Q1392&gt;=TODAY()-WEEKDAY(TODAY(),2)+1,Q1392&lt;TODAY()),"SIM","NÃO")</f>
        <v>NÃO</v>
      </c>
    </row>
    <row r="1393" spans="1:18" hidden="1">
      <c r="A1393" t="s">
        <v>35</v>
      </c>
      <c r="B1393" t="s">
        <v>36</v>
      </c>
      <c r="C1393">
        <v>300000000</v>
      </c>
      <c r="D1393">
        <v>0</v>
      </c>
      <c r="E1393" t="s">
        <v>37</v>
      </c>
      <c r="F1393" t="s">
        <v>3215</v>
      </c>
      <c r="G1393">
        <v>4</v>
      </c>
      <c r="H1393" t="s">
        <v>3216</v>
      </c>
      <c r="K1393" s="11">
        <v>46205.377395833333</v>
      </c>
      <c r="M1393">
        <v>719</v>
      </c>
      <c r="N1393" t="s">
        <v>878</v>
      </c>
      <c r="O1393">
        <v>0</v>
      </c>
      <c r="P1393" s="5"/>
      <c r="Q1393" s="10">
        <f>INT(Tabela1[[#This Row],[DATA]])</f>
        <v>46205</v>
      </c>
      <c r="R1393" s="14" t="str">
        <f ca="1">IF(AND(Q1393&gt;=TODAY()-WEEKDAY(TODAY(),2)+1,Q1393&lt;TODAY()),"SIM","NÃO")</f>
        <v>NÃO</v>
      </c>
    </row>
    <row r="1394" spans="1:18" hidden="1">
      <c r="A1394" t="s">
        <v>35</v>
      </c>
      <c r="B1394" t="s">
        <v>36</v>
      </c>
      <c r="C1394">
        <v>300000000</v>
      </c>
      <c r="D1394">
        <v>0</v>
      </c>
      <c r="E1394" t="s">
        <v>37</v>
      </c>
      <c r="F1394" t="s">
        <v>3217</v>
      </c>
      <c r="G1394">
        <v>1</v>
      </c>
      <c r="H1394" t="s">
        <v>3218</v>
      </c>
      <c r="K1394" s="11">
        <v>46205.378217592595</v>
      </c>
      <c r="M1394">
        <v>720</v>
      </c>
      <c r="N1394" t="s">
        <v>878</v>
      </c>
      <c r="O1394">
        <v>0</v>
      </c>
      <c r="P1394" s="5"/>
      <c r="Q1394" s="10">
        <f>INT(Tabela1[[#This Row],[DATA]])</f>
        <v>46205</v>
      </c>
      <c r="R1394" s="14" t="str">
        <f ca="1">IF(AND(Q1394&gt;=TODAY()-WEEKDAY(TODAY(),2)+1,Q1394&lt;TODAY()),"SIM","NÃO")</f>
        <v>NÃO</v>
      </c>
    </row>
    <row r="1395" spans="1:18" hidden="1">
      <c r="A1395" t="s">
        <v>163</v>
      </c>
      <c r="B1395" t="s">
        <v>164</v>
      </c>
      <c r="C1395">
        <v>300271681</v>
      </c>
      <c r="D1395">
        <v>16222326</v>
      </c>
      <c r="E1395" t="s">
        <v>45</v>
      </c>
      <c r="F1395" t="s">
        <v>2405</v>
      </c>
      <c r="G1395">
        <v>2</v>
      </c>
      <c r="H1395" t="s">
        <v>2292</v>
      </c>
      <c r="K1395" s="11">
        <v>46205.382106481484</v>
      </c>
      <c r="M1395">
        <v>721</v>
      </c>
      <c r="N1395" t="s">
        <v>867</v>
      </c>
      <c r="O1395">
        <v>0</v>
      </c>
      <c r="P1395" s="5"/>
      <c r="Q1395" s="10">
        <f>INT(Tabela1[[#This Row],[DATA]])</f>
        <v>46205</v>
      </c>
      <c r="R1395" s="14" t="str">
        <f ca="1">IF(AND(Q1395&gt;=TODAY()-WEEKDAY(TODAY(),2)+1,Q1395&lt;TODAY()),"SIM","NÃO")</f>
        <v>NÃO</v>
      </c>
    </row>
    <row r="1396" spans="1:18" hidden="1">
      <c r="A1396" t="s">
        <v>143</v>
      </c>
      <c r="B1396" t="s">
        <v>144</v>
      </c>
      <c r="C1396">
        <v>300272202</v>
      </c>
      <c r="D1396">
        <v>164449449</v>
      </c>
      <c r="E1396" t="s">
        <v>45</v>
      </c>
      <c r="F1396" t="s">
        <v>2405</v>
      </c>
      <c r="G1396">
        <v>741</v>
      </c>
      <c r="H1396" t="s">
        <v>2313</v>
      </c>
      <c r="K1396" s="11">
        <v>46205.384722222225</v>
      </c>
      <c r="M1396">
        <v>722</v>
      </c>
      <c r="N1396" t="s">
        <v>878</v>
      </c>
      <c r="O1396">
        <v>0</v>
      </c>
      <c r="P1396" s="5"/>
      <c r="Q1396" s="10">
        <f>INT(Tabela1[[#This Row],[DATA]])</f>
        <v>46205</v>
      </c>
      <c r="R1396" s="14" t="str">
        <f ca="1">IF(AND(Q1396&gt;=TODAY()-WEEKDAY(TODAY(),2)+1,Q1396&lt;TODAY()),"SIM","NÃO")</f>
        <v>NÃO</v>
      </c>
    </row>
    <row r="1397" spans="1:18" hidden="1">
      <c r="A1397" t="s">
        <v>2547</v>
      </c>
      <c r="B1397" t="s">
        <v>1582</v>
      </c>
      <c r="C1397">
        <v>300276462</v>
      </c>
      <c r="D1397">
        <v>16545540</v>
      </c>
      <c r="E1397" t="s">
        <v>20</v>
      </c>
      <c r="F1397" t="s">
        <v>2153</v>
      </c>
      <c r="G1397">
        <v>5</v>
      </c>
      <c r="H1397" t="s">
        <v>3191</v>
      </c>
      <c r="J1397" t="s">
        <v>3191</v>
      </c>
      <c r="K1397" s="11">
        <v>46205.392951388887</v>
      </c>
      <c r="M1397">
        <v>723</v>
      </c>
      <c r="N1397" t="s">
        <v>867</v>
      </c>
      <c r="O1397">
        <v>0</v>
      </c>
      <c r="P1397" s="5"/>
      <c r="Q1397" s="10">
        <f>INT(Tabela1[[#This Row],[DATA]])</f>
        <v>46205</v>
      </c>
      <c r="R1397" s="14" t="str">
        <f ca="1">IF(AND(Q1397&gt;=TODAY()-WEEKDAY(TODAY(),2)+1,Q1397&lt;TODAY()),"SIM","NÃO")</f>
        <v>NÃO</v>
      </c>
    </row>
    <row r="1398" spans="1:18" hidden="1">
      <c r="A1398" t="s">
        <v>2578</v>
      </c>
      <c r="B1398" t="s">
        <v>69</v>
      </c>
      <c r="C1398">
        <v>300274644</v>
      </c>
      <c r="D1398">
        <v>16488393</v>
      </c>
      <c r="E1398" t="s">
        <v>37</v>
      </c>
      <c r="F1398" t="s">
        <v>2405</v>
      </c>
      <c r="G1398">
        <v>20</v>
      </c>
      <c r="H1398" t="s">
        <v>3163</v>
      </c>
      <c r="K1398" s="11">
        <v>46205.420208333337</v>
      </c>
      <c r="M1398">
        <v>724</v>
      </c>
      <c r="N1398" t="s">
        <v>867</v>
      </c>
      <c r="O1398">
        <v>16488393</v>
      </c>
      <c r="P1398" s="5"/>
      <c r="Q1398" s="10">
        <f>INT(Tabela1[[#This Row],[DATA]])</f>
        <v>46205</v>
      </c>
      <c r="R1398" s="14" t="str">
        <f ca="1">IF(AND(Q1398&gt;=TODAY()-WEEKDAY(TODAY(),2)+1,Q1398&lt;TODAY()),"SIM","NÃO")</f>
        <v>NÃO</v>
      </c>
    </row>
    <row r="1399" spans="1:18" hidden="1">
      <c r="A1399" t="s">
        <v>2603</v>
      </c>
      <c r="B1399" t="s">
        <v>929</v>
      </c>
      <c r="C1399">
        <v>300271500</v>
      </c>
      <c r="D1399">
        <v>16473825</v>
      </c>
      <c r="E1399" t="s">
        <v>37</v>
      </c>
      <c r="F1399" t="s">
        <v>2405</v>
      </c>
      <c r="G1399">
        <v>524</v>
      </c>
      <c r="H1399" t="s">
        <v>2538</v>
      </c>
      <c r="J1399" t="s">
        <v>3219</v>
      </c>
      <c r="K1399" s="11">
        <v>46205.43310185185</v>
      </c>
      <c r="L1399">
        <v>300271500</v>
      </c>
      <c r="M1399">
        <v>725</v>
      </c>
      <c r="N1399" t="s">
        <v>878</v>
      </c>
      <c r="O1399">
        <v>0</v>
      </c>
      <c r="P1399" s="5"/>
      <c r="Q1399" s="10">
        <f>INT(Tabela1[[#This Row],[DATA]])</f>
        <v>46205</v>
      </c>
      <c r="R1399" s="14" t="str">
        <f ca="1">IF(AND(Q1399&gt;=TODAY()-WEEKDAY(TODAY(),2)+1,Q1399&lt;TODAY()),"SIM","NÃO")</f>
        <v>NÃO</v>
      </c>
    </row>
    <row r="1400" spans="1:18" hidden="1">
      <c r="A1400" t="s">
        <v>1421</v>
      </c>
      <c r="B1400" t="s">
        <v>3220</v>
      </c>
      <c r="C1400">
        <v>300274412</v>
      </c>
      <c r="D1400">
        <v>16229215</v>
      </c>
      <c r="E1400" t="s">
        <v>45</v>
      </c>
      <c r="F1400" t="s">
        <v>2405</v>
      </c>
      <c r="G1400">
        <v>60</v>
      </c>
      <c r="H1400" t="s">
        <v>3221</v>
      </c>
      <c r="J1400" t="s">
        <v>3222</v>
      </c>
      <c r="K1400" s="11">
        <v>46205.451006944444</v>
      </c>
      <c r="M1400">
        <v>726</v>
      </c>
      <c r="N1400" t="s">
        <v>867</v>
      </c>
      <c r="O1400" t="s">
        <v>848</v>
      </c>
      <c r="P1400" s="5"/>
      <c r="Q1400" s="10">
        <f>INT(Tabela1[[#This Row],[DATA]])</f>
        <v>46205</v>
      </c>
      <c r="R1400" s="14" t="str">
        <f ca="1">IF(AND(Q1400&gt;=TODAY()-WEEKDAY(TODAY(),2)+1,Q1400&lt;TODAY()),"SIM","NÃO")</f>
        <v>NÃO</v>
      </c>
    </row>
    <row r="1401" spans="1:18" hidden="1">
      <c r="A1401" t="s">
        <v>2656</v>
      </c>
      <c r="B1401" t="s">
        <v>119</v>
      </c>
      <c r="C1401">
        <v>300274228</v>
      </c>
      <c r="D1401">
        <v>16217861</v>
      </c>
      <c r="E1401" t="s">
        <v>37</v>
      </c>
      <c r="F1401" t="s">
        <v>216</v>
      </c>
      <c r="G1401">
        <v>30</v>
      </c>
      <c r="H1401" t="s">
        <v>3223</v>
      </c>
      <c r="K1401" s="11">
        <v>46205.454826388886</v>
      </c>
      <c r="M1401">
        <v>727</v>
      </c>
      <c r="N1401" t="s">
        <v>867</v>
      </c>
      <c r="O1401">
        <v>0</v>
      </c>
      <c r="P1401" s="5"/>
      <c r="Q1401" s="10">
        <f>INT(Tabela1[[#This Row],[DATA]])</f>
        <v>46205</v>
      </c>
      <c r="R1401" s="14" t="str">
        <f ca="1">IF(AND(Q1401&gt;=TODAY()-WEEKDAY(TODAY(),2)+1,Q1401&lt;TODAY()),"SIM","NÃO")</f>
        <v>NÃO</v>
      </c>
    </row>
    <row r="1402" spans="1:18" hidden="1">
      <c r="A1402" t="s">
        <v>79</v>
      </c>
      <c r="B1402" t="s">
        <v>80</v>
      </c>
      <c r="C1402">
        <v>300275210</v>
      </c>
      <c r="D1402">
        <v>16442610</v>
      </c>
      <c r="E1402" t="s">
        <v>29</v>
      </c>
      <c r="F1402" t="s">
        <v>2405</v>
      </c>
      <c r="G1402">
        <v>27</v>
      </c>
      <c r="H1402" t="s">
        <v>1992</v>
      </c>
      <c r="K1402" s="11">
        <v>46205.519444444442</v>
      </c>
      <c r="M1402">
        <v>728</v>
      </c>
      <c r="N1402" t="s">
        <v>867</v>
      </c>
      <c r="O1402">
        <v>0</v>
      </c>
      <c r="P1402" s="5"/>
      <c r="Q1402" s="10">
        <f>INT(Tabela1[[#This Row],[DATA]])</f>
        <v>46205</v>
      </c>
      <c r="R1402" s="14" t="str">
        <f ca="1">IF(AND(Q1402&gt;=TODAY()-WEEKDAY(TODAY(),2)+1,Q1402&lt;TODAY()),"SIM","NÃO")</f>
        <v>NÃO</v>
      </c>
    </row>
    <row r="1403" spans="1:18" hidden="1">
      <c r="A1403" t="s">
        <v>123</v>
      </c>
      <c r="B1403" t="s">
        <v>124</v>
      </c>
      <c r="C1403">
        <v>300276354</v>
      </c>
      <c r="D1403">
        <v>16535642</v>
      </c>
      <c r="E1403" t="s">
        <v>20</v>
      </c>
      <c r="F1403" t="s">
        <v>3224</v>
      </c>
      <c r="G1403" t="s">
        <v>3225</v>
      </c>
      <c r="H1403" t="s">
        <v>3226</v>
      </c>
      <c r="J1403" t="s">
        <v>3227</v>
      </c>
      <c r="K1403" s="11">
        <v>46205.52171296296</v>
      </c>
      <c r="M1403">
        <v>729</v>
      </c>
      <c r="N1403" t="s">
        <v>867</v>
      </c>
      <c r="O1403" t="s">
        <v>3228</v>
      </c>
      <c r="P1403" s="5"/>
      <c r="Q1403" s="10">
        <f>INT(Tabela1[[#This Row],[DATA]])</f>
        <v>46205</v>
      </c>
      <c r="R1403" s="14" t="str">
        <f ca="1">IF(AND(Q1403&gt;=TODAY()-WEEKDAY(TODAY(),2)+1,Q1403&lt;TODAY()),"SIM","NÃO")</f>
        <v>NÃO</v>
      </c>
    </row>
    <row r="1404" spans="1:18" hidden="1">
      <c r="A1404" t="s">
        <v>3229</v>
      </c>
      <c r="B1404" t="s">
        <v>3230</v>
      </c>
      <c r="C1404">
        <v>300000000</v>
      </c>
      <c r="D1404">
        <v>1111111111</v>
      </c>
      <c r="E1404" t="s">
        <v>20</v>
      </c>
      <c r="F1404" t="s">
        <v>1904</v>
      </c>
      <c r="G1404">
        <v>2323</v>
      </c>
      <c r="H1404" t="s">
        <v>3231</v>
      </c>
      <c r="K1404" s="11">
        <v>46205.537592592591</v>
      </c>
      <c r="M1404">
        <v>730</v>
      </c>
      <c r="N1404" t="s">
        <v>867</v>
      </c>
      <c r="O1404">
        <v>212133</v>
      </c>
      <c r="P1404" s="5"/>
      <c r="Q1404" s="10">
        <f>INT(Tabela1[[#This Row],[DATA]])</f>
        <v>46205</v>
      </c>
      <c r="R1404" s="14" t="str">
        <f ca="1">IF(AND(Q1404&gt;=TODAY()-WEEKDAY(TODAY(),2)+1,Q1404&lt;TODAY()),"SIM","NÃO")</f>
        <v>NÃO</v>
      </c>
    </row>
    <row r="1405" spans="1:18" hidden="1">
      <c r="A1405" t="s">
        <v>249</v>
      </c>
      <c r="B1405" t="s">
        <v>112</v>
      </c>
      <c r="C1405">
        <v>300262153</v>
      </c>
      <c r="D1405">
        <v>16318404</v>
      </c>
      <c r="E1405" t="s">
        <v>37</v>
      </c>
      <c r="F1405" t="s">
        <v>1522</v>
      </c>
      <c r="G1405">
        <v>40</v>
      </c>
      <c r="H1405" t="s">
        <v>2843</v>
      </c>
      <c r="J1405" t="s">
        <v>3232</v>
      </c>
      <c r="K1405" s="11">
        <v>46205.540254629632</v>
      </c>
      <c r="M1405">
        <v>731</v>
      </c>
      <c r="N1405" t="s">
        <v>867</v>
      </c>
      <c r="O1405">
        <v>0</v>
      </c>
      <c r="P1405" s="5"/>
      <c r="Q1405" s="10">
        <f>INT(Tabela1[[#This Row],[DATA]])</f>
        <v>46205</v>
      </c>
      <c r="R1405" s="14" t="str">
        <f ca="1">IF(AND(Q1405&gt;=TODAY()-WEEKDAY(TODAY(),2)+1,Q1405&lt;TODAY()),"SIM","NÃO")</f>
        <v>NÃO</v>
      </c>
    </row>
    <row r="1406" spans="1:18" hidden="1">
      <c r="A1406" t="s">
        <v>2541</v>
      </c>
      <c r="B1406" t="s">
        <v>388</v>
      </c>
      <c r="C1406">
        <v>300275050</v>
      </c>
      <c r="D1406">
        <v>16429559</v>
      </c>
      <c r="E1406" t="s">
        <v>37</v>
      </c>
      <c r="F1406" t="s">
        <v>221</v>
      </c>
      <c r="G1406">
        <v>1176</v>
      </c>
      <c r="H1406" t="s">
        <v>3233</v>
      </c>
      <c r="K1406" s="11">
        <v>46205.550312500003</v>
      </c>
      <c r="M1406">
        <v>732</v>
      </c>
      <c r="N1406" t="s">
        <v>878</v>
      </c>
      <c r="O1406">
        <v>0</v>
      </c>
      <c r="P1406" s="5"/>
      <c r="Q1406" s="10">
        <f>INT(Tabela1[[#This Row],[DATA]])</f>
        <v>46205</v>
      </c>
      <c r="R1406" s="14" t="str">
        <f ca="1">IF(AND(Q1406&gt;=TODAY()-WEEKDAY(TODAY(),2)+1,Q1406&lt;TODAY()),"SIM","NÃO")</f>
        <v>NÃO</v>
      </c>
    </row>
    <row r="1407" spans="1:18" hidden="1">
      <c r="A1407" t="s">
        <v>2541</v>
      </c>
      <c r="B1407" t="s">
        <v>388</v>
      </c>
      <c r="C1407">
        <v>300275799</v>
      </c>
      <c r="D1407">
        <v>16360311</v>
      </c>
      <c r="E1407" t="s">
        <v>37</v>
      </c>
      <c r="F1407" t="s">
        <v>2405</v>
      </c>
      <c r="G1407">
        <v>1</v>
      </c>
      <c r="H1407" t="s">
        <v>2313</v>
      </c>
      <c r="K1407" s="11">
        <v>46205.553124999999</v>
      </c>
      <c r="M1407">
        <v>733</v>
      </c>
      <c r="N1407" t="s">
        <v>867</v>
      </c>
      <c r="O1407">
        <v>0</v>
      </c>
      <c r="P1407" s="5"/>
      <c r="Q1407" s="10">
        <f>INT(Tabela1[[#This Row],[DATA]])</f>
        <v>46205</v>
      </c>
      <c r="R1407" s="14" t="str">
        <f ca="1">IF(AND(Q1407&gt;=TODAY()-WEEKDAY(TODAY(),2)+1,Q1407&lt;TODAY()),"SIM","NÃO")</f>
        <v>NÃO</v>
      </c>
    </row>
    <row r="1408" spans="1:18" hidden="1">
      <c r="A1408" t="s">
        <v>3234</v>
      </c>
      <c r="B1408" t="s">
        <v>3235</v>
      </c>
      <c r="C1408">
        <v>300275974</v>
      </c>
      <c r="D1408">
        <v>16222857</v>
      </c>
      <c r="E1408" t="s">
        <v>45</v>
      </c>
      <c r="F1408" t="s">
        <v>259</v>
      </c>
      <c r="G1408" t="s">
        <v>3236</v>
      </c>
      <c r="H1408" t="s">
        <v>3237</v>
      </c>
      <c r="J1408" t="s">
        <v>3238</v>
      </c>
      <c r="K1408" s="11">
        <v>46205.553657407407</v>
      </c>
      <c r="M1408">
        <v>734</v>
      </c>
      <c r="N1408" t="s">
        <v>867</v>
      </c>
      <c r="O1408" t="s">
        <v>3239</v>
      </c>
      <c r="P1408" s="5"/>
      <c r="Q1408" s="10">
        <f>INT(Tabela1[[#This Row],[DATA]])</f>
        <v>46205</v>
      </c>
      <c r="R1408" s="14" t="str">
        <f ca="1">IF(AND(Q1408&gt;=TODAY()-WEEKDAY(TODAY(),2)+1,Q1408&lt;TODAY()),"SIM","NÃO")</f>
        <v>NÃO</v>
      </c>
    </row>
    <row r="1409" spans="1:18" hidden="1">
      <c r="A1409" t="s">
        <v>3234</v>
      </c>
      <c r="B1409" t="s">
        <v>3240</v>
      </c>
      <c r="C1409">
        <v>300275974</v>
      </c>
      <c r="D1409">
        <v>16222857</v>
      </c>
      <c r="E1409" t="s">
        <v>45</v>
      </c>
      <c r="F1409" t="s">
        <v>3241</v>
      </c>
      <c r="G1409">
        <v>6</v>
      </c>
      <c r="H1409" t="s">
        <v>3242</v>
      </c>
      <c r="J1409" t="s">
        <v>3243</v>
      </c>
      <c r="K1409" s="11">
        <v>46205.556064814817</v>
      </c>
      <c r="M1409">
        <v>735</v>
      </c>
      <c r="N1409" t="s">
        <v>867</v>
      </c>
      <c r="O1409" t="s">
        <v>3244</v>
      </c>
      <c r="P1409" s="5"/>
      <c r="Q1409" s="10">
        <f>INT(Tabela1[[#This Row],[DATA]])</f>
        <v>46205</v>
      </c>
      <c r="R1409" s="14" t="str">
        <f ca="1">IF(AND(Q1409&gt;=TODAY()-WEEKDAY(TODAY(),2)+1,Q1409&lt;TODAY()),"SIM","NÃO")</f>
        <v>NÃO</v>
      </c>
    </row>
    <row r="1410" spans="1:18" hidden="1">
      <c r="A1410" t="s">
        <v>111</v>
      </c>
      <c r="B1410" t="s">
        <v>112</v>
      </c>
      <c r="C1410">
        <v>300276270</v>
      </c>
      <c r="D1410">
        <v>15858367</v>
      </c>
      <c r="E1410" t="s">
        <v>37</v>
      </c>
      <c r="F1410" t="s">
        <v>2213</v>
      </c>
      <c r="G1410">
        <v>2</v>
      </c>
      <c r="H1410" t="s">
        <v>1335</v>
      </c>
      <c r="J1410" t="s">
        <v>3245</v>
      </c>
      <c r="K1410" s="11">
        <v>46205.567893518521</v>
      </c>
      <c r="M1410">
        <v>736</v>
      </c>
      <c r="N1410" t="s">
        <v>867</v>
      </c>
      <c r="O1410">
        <v>10000214531</v>
      </c>
      <c r="P1410" s="5"/>
      <c r="Q1410" s="10">
        <f>INT(Tabela1[[#This Row],[DATA]])</f>
        <v>46205</v>
      </c>
      <c r="R1410" s="14" t="str">
        <f ca="1">IF(AND(Q1410&gt;=TODAY()-WEEKDAY(TODAY(),2)+1,Q1410&lt;TODAY()),"SIM","NÃO")</f>
        <v>NÃO</v>
      </c>
    </row>
    <row r="1411" spans="1:18" hidden="1">
      <c r="A1411" t="s">
        <v>332</v>
      </c>
      <c r="B1411" t="s">
        <v>28</v>
      </c>
      <c r="C1411">
        <v>300276896</v>
      </c>
      <c r="D1411">
        <v>16222881</v>
      </c>
      <c r="E1411" t="s">
        <v>45</v>
      </c>
      <c r="F1411" t="s">
        <v>2405</v>
      </c>
      <c r="G1411">
        <v>2</v>
      </c>
      <c r="H1411" t="s">
        <v>2300</v>
      </c>
      <c r="K1411" s="11">
        <v>46205.568761574075</v>
      </c>
      <c r="M1411">
        <v>737</v>
      </c>
      <c r="N1411" t="s">
        <v>867</v>
      </c>
      <c r="O1411">
        <v>0</v>
      </c>
      <c r="P1411" s="5"/>
      <c r="Q1411" s="10">
        <f>INT(Tabela1[[#This Row],[DATA]])</f>
        <v>46205</v>
      </c>
      <c r="R1411" s="14" t="str">
        <f ca="1">IF(AND(Q1411&gt;=TODAY()-WEEKDAY(TODAY(),2)+1,Q1411&lt;TODAY()),"SIM","NÃO")</f>
        <v>NÃO</v>
      </c>
    </row>
    <row r="1412" spans="1:18" hidden="1">
      <c r="A1412" t="s">
        <v>2825</v>
      </c>
      <c r="B1412" t="s">
        <v>344</v>
      </c>
      <c r="C1412">
        <v>300275858</v>
      </c>
      <c r="D1412">
        <v>15773434</v>
      </c>
      <c r="E1412" t="s">
        <v>37</v>
      </c>
      <c r="F1412" t="s">
        <v>3241</v>
      </c>
      <c r="G1412">
        <v>10</v>
      </c>
      <c r="H1412" t="s">
        <v>2039</v>
      </c>
      <c r="K1412" s="11">
        <v>46205.569432870368</v>
      </c>
      <c r="L1412">
        <v>300275858</v>
      </c>
      <c r="M1412">
        <v>738</v>
      </c>
      <c r="N1412" t="s">
        <v>878</v>
      </c>
      <c r="O1412">
        <v>10000073407</v>
      </c>
      <c r="P1412" s="5"/>
      <c r="Q1412" s="10">
        <f>INT(Tabela1[[#This Row],[DATA]])</f>
        <v>46205</v>
      </c>
      <c r="R1412" s="14" t="str">
        <f ca="1">IF(AND(Q1412&gt;=TODAY()-WEEKDAY(TODAY(),2)+1,Q1412&lt;TODAY()),"SIM","NÃO")</f>
        <v>NÃO</v>
      </c>
    </row>
    <row r="1413" spans="1:18" hidden="1">
      <c r="A1413" t="s">
        <v>332</v>
      </c>
      <c r="B1413" t="s">
        <v>690</v>
      </c>
      <c r="C1413">
        <v>300274894</v>
      </c>
      <c r="D1413">
        <v>15789640</v>
      </c>
      <c r="E1413" t="s">
        <v>45</v>
      </c>
      <c r="F1413" t="s">
        <v>3212</v>
      </c>
      <c r="G1413">
        <v>700</v>
      </c>
      <c r="H1413" t="s">
        <v>3246</v>
      </c>
      <c r="J1413" t="s">
        <v>3247</v>
      </c>
      <c r="K1413" s="11">
        <v>46205.570543981485</v>
      </c>
      <c r="M1413">
        <v>739</v>
      </c>
      <c r="N1413" t="s">
        <v>867</v>
      </c>
      <c r="O1413">
        <v>0</v>
      </c>
      <c r="P1413" s="5"/>
      <c r="Q1413" s="10">
        <f>INT(Tabela1[[#This Row],[DATA]])</f>
        <v>46205</v>
      </c>
      <c r="R1413" s="14" t="str">
        <f ca="1">IF(AND(Q1413&gt;=TODAY()-WEEKDAY(TODAY(),2)+1,Q1413&lt;TODAY()),"SIM","NÃO")</f>
        <v>NÃO</v>
      </c>
    </row>
    <row r="1414" spans="1:18" hidden="1">
      <c r="A1414" t="s">
        <v>2541</v>
      </c>
      <c r="B1414" t="s">
        <v>388</v>
      </c>
      <c r="C1414">
        <v>300275199</v>
      </c>
      <c r="D1414">
        <v>16360311</v>
      </c>
      <c r="E1414" t="s">
        <v>37</v>
      </c>
      <c r="F1414" t="s">
        <v>2213</v>
      </c>
      <c r="G1414">
        <v>1</v>
      </c>
      <c r="H1414" t="s">
        <v>2313</v>
      </c>
      <c r="K1414" s="11">
        <v>46205.579062500001</v>
      </c>
      <c r="M1414">
        <v>740</v>
      </c>
      <c r="N1414" t="s">
        <v>867</v>
      </c>
      <c r="O1414">
        <v>0</v>
      </c>
      <c r="P1414" s="5"/>
      <c r="Q1414" s="10">
        <f>INT(Tabela1[[#This Row],[DATA]])</f>
        <v>46205</v>
      </c>
      <c r="R1414" s="14" t="str">
        <f ca="1">IF(AND(Q1414&gt;=TODAY()-WEEKDAY(TODAY(),2)+1,Q1414&lt;TODAY()),"SIM","NÃO")</f>
        <v>NÃO</v>
      </c>
    </row>
    <row r="1415" spans="1:18" hidden="1">
      <c r="A1415" t="s">
        <v>2605</v>
      </c>
      <c r="B1415" t="s">
        <v>2606</v>
      </c>
      <c r="C1415">
        <v>300272581</v>
      </c>
      <c r="D1415">
        <v>16243323</v>
      </c>
      <c r="E1415" t="s">
        <v>37</v>
      </c>
      <c r="F1415" t="s">
        <v>2213</v>
      </c>
      <c r="G1415">
        <v>22</v>
      </c>
      <c r="H1415" t="s">
        <v>3248</v>
      </c>
      <c r="J1415" t="s">
        <v>3248</v>
      </c>
      <c r="K1415" s="11">
        <v>46205.580729166664</v>
      </c>
      <c r="M1415">
        <v>741</v>
      </c>
      <c r="N1415" t="s">
        <v>867</v>
      </c>
      <c r="O1415" t="s">
        <v>3249</v>
      </c>
      <c r="P1415" s="5"/>
      <c r="Q1415" s="10">
        <f>INT(Tabela1[[#This Row],[DATA]])</f>
        <v>46205</v>
      </c>
      <c r="R1415" s="14" t="str">
        <f ca="1">IF(AND(Q1415&gt;=TODAY()-WEEKDAY(TODAY(),2)+1,Q1415&lt;TODAY()),"SIM","NÃO")</f>
        <v>NÃO</v>
      </c>
    </row>
    <row r="1416" spans="1:18" hidden="1">
      <c r="A1416" t="s">
        <v>2541</v>
      </c>
      <c r="B1416" t="s">
        <v>388</v>
      </c>
      <c r="C1416">
        <v>300275799</v>
      </c>
      <c r="D1416">
        <v>16360311</v>
      </c>
      <c r="E1416" t="s">
        <v>37</v>
      </c>
      <c r="F1416" t="s">
        <v>2405</v>
      </c>
      <c r="G1416">
        <v>1</v>
      </c>
      <c r="H1416" t="s">
        <v>2313</v>
      </c>
      <c r="K1416" s="11">
        <v>46205.580891203703</v>
      </c>
      <c r="M1416">
        <v>742</v>
      </c>
      <c r="N1416" t="s">
        <v>867</v>
      </c>
      <c r="O1416">
        <v>0</v>
      </c>
      <c r="P1416" s="5"/>
      <c r="Q1416" s="10">
        <f>INT(Tabela1[[#This Row],[DATA]])</f>
        <v>46205</v>
      </c>
      <c r="R1416" s="14" t="str">
        <f ca="1">IF(AND(Q1416&gt;=TODAY()-WEEKDAY(TODAY(),2)+1,Q1416&lt;TODAY()),"SIM","NÃO")</f>
        <v>NÃO</v>
      </c>
    </row>
    <row r="1417" spans="1:18" hidden="1">
      <c r="A1417" t="s">
        <v>2713</v>
      </c>
      <c r="B1417" t="s">
        <v>55</v>
      </c>
      <c r="C1417">
        <v>300275053</v>
      </c>
      <c r="D1417">
        <v>16186648</v>
      </c>
      <c r="E1417" t="s">
        <v>37</v>
      </c>
      <c r="F1417" t="s">
        <v>3250</v>
      </c>
      <c r="G1417">
        <v>467</v>
      </c>
      <c r="H1417" t="s">
        <v>3251</v>
      </c>
      <c r="K1417" s="11">
        <v>46205.580949074072</v>
      </c>
      <c r="M1417">
        <v>743</v>
      </c>
      <c r="N1417" t="s">
        <v>878</v>
      </c>
      <c r="O1417" t="s">
        <v>3252</v>
      </c>
      <c r="P1417" s="5"/>
      <c r="Q1417" s="10">
        <f>INT(Tabela1[[#This Row],[DATA]])</f>
        <v>46205</v>
      </c>
      <c r="R1417" s="14" t="str">
        <f ca="1">IF(AND(Q1417&gt;=TODAY()-WEEKDAY(TODAY(),2)+1,Q1417&lt;TODAY()),"SIM","NÃO")</f>
        <v>NÃO</v>
      </c>
    </row>
    <row r="1418" spans="1:18" hidden="1">
      <c r="A1418" t="s">
        <v>2605</v>
      </c>
      <c r="B1418" t="s">
        <v>2606</v>
      </c>
      <c r="C1418">
        <v>300272578</v>
      </c>
      <c r="D1418">
        <v>16243323</v>
      </c>
      <c r="E1418" t="s">
        <v>37</v>
      </c>
      <c r="F1418" t="s">
        <v>2213</v>
      </c>
      <c r="G1418">
        <v>4</v>
      </c>
      <c r="H1418" t="s">
        <v>3248</v>
      </c>
      <c r="J1418" t="s">
        <v>3248</v>
      </c>
      <c r="K1418" s="11">
        <v>46205.587650462963</v>
      </c>
      <c r="M1418">
        <v>744</v>
      </c>
      <c r="N1418" t="s">
        <v>867</v>
      </c>
      <c r="O1418" t="s">
        <v>3253</v>
      </c>
      <c r="P1418" s="5"/>
      <c r="Q1418" s="10">
        <f>INT(Tabela1[[#This Row],[DATA]])</f>
        <v>46205</v>
      </c>
      <c r="R1418" s="14" t="str">
        <f ca="1">IF(AND(Q1418&gt;=TODAY()-WEEKDAY(TODAY(),2)+1,Q1418&lt;TODAY()),"SIM","NÃO")</f>
        <v>NÃO</v>
      </c>
    </row>
    <row r="1419" spans="1:18" hidden="1">
      <c r="A1419" t="s">
        <v>2765</v>
      </c>
      <c r="B1419" t="s">
        <v>107</v>
      </c>
      <c r="C1419">
        <v>300275595</v>
      </c>
      <c r="D1419">
        <v>16493176</v>
      </c>
      <c r="E1419" t="s">
        <v>45</v>
      </c>
      <c r="F1419" t="s">
        <v>3254</v>
      </c>
      <c r="G1419">
        <v>200</v>
      </c>
      <c r="H1419" t="s">
        <v>2292</v>
      </c>
      <c r="J1419" t="s">
        <v>3255</v>
      </c>
      <c r="K1419" s="11">
        <v>46205.599583333336</v>
      </c>
      <c r="M1419">
        <v>745</v>
      </c>
      <c r="N1419" t="s">
        <v>867</v>
      </c>
      <c r="O1419">
        <v>0</v>
      </c>
      <c r="P1419" s="5"/>
      <c r="Q1419" s="10">
        <f>INT(Tabela1[[#This Row],[DATA]])</f>
        <v>46205</v>
      </c>
      <c r="R1419" s="14" t="str">
        <f ca="1">IF(AND(Q1419&gt;=TODAY()-WEEKDAY(TODAY(),2)+1,Q1419&lt;TODAY()),"SIM","NÃO")</f>
        <v>NÃO</v>
      </c>
    </row>
    <row r="1420" spans="1:18" hidden="1">
      <c r="A1420" t="s">
        <v>123</v>
      </c>
      <c r="B1420" t="s">
        <v>124</v>
      </c>
      <c r="C1420">
        <v>300275038</v>
      </c>
      <c r="D1420">
        <v>16489985</v>
      </c>
      <c r="E1420" t="s">
        <v>37</v>
      </c>
      <c r="F1420" t="s">
        <v>3215</v>
      </c>
      <c r="G1420">
        <v>20</v>
      </c>
      <c r="H1420" t="s">
        <v>3256</v>
      </c>
      <c r="J1420" t="s">
        <v>3257</v>
      </c>
      <c r="K1420" s="11">
        <v>46205.600381944445</v>
      </c>
      <c r="M1420">
        <v>746</v>
      </c>
      <c r="N1420" t="s">
        <v>878</v>
      </c>
      <c r="O1420" t="s">
        <v>3258</v>
      </c>
      <c r="P1420" s="5"/>
      <c r="Q1420" s="10">
        <f>INT(Tabela1[[#This Row],[DATA]])</f>
        <v>46205</v>
      </c>
      <c r="R1420" s="14" t="str">
        <f ca="1">IF(AND(Q1420&gt;=TODAY()-WEEKDAY(TODAY(),2)+1,Q1420&lt;TODAY()),"SIM","NÃO")</f>
        <v>NÃO</v>
      </c>
    </row>
    <row r="1421" spans="1:18" hidden="1">
      <c r="A1421" t="s">
        <v>2765</v>
      </c>
      <c r="B1421" t="s">
        <v>107</v>
      </c>
      <c r="C1421">
        <v>300275882</v>
      </c>
      <c r="D1421">
        <v>16334922</v>
      </c>
      <c r="E1421" t="s">
        <v>45</v>
      </c>
      <c r="F1421" t="s">
        <v>2405</v>
      </c>
      <c r="G1421">
        <v>30</v>
      </c>
      <c r="H1421" t="s">
        <v>2292</v>
      </c>
      <c r="K1421" s="11">
        <v>46205.62259259259</v>
      </c>
      <c r="M1421">
        <v>747</v>
      </c>
      <c r="N1421" t="s">
        <v>867</v>
      </c>
      <c r="O1421">
        <v>0</v>
      </c>
      <c r="P1421" s="5"/>
      <c r="Q1421" s="10">
        <f>INT(Tabela1[[#This Row],[DATA]])</f>
        <v>46205</v>
      </c>
      <c r="R1421" s="14" t="str">
        <f ca="1">IF(AND(Q1421&gt;=TODAY()-WEEKDAY(TODAY(),2)+1,Q1421&lt;TODAY()),"SIM","NÃO")</f>
        <v>NÃO</v>
      </c>
    </row>
    <row r="1422" spans="1:18" hidden="1">
      <c r="A1422" t="s">
        <v>2681</v>
      </c>
      <c r="B1422" t="s">
        <v>1284</v>
      </c>
      <c r="C1422">
        <v>300276279</v>
      </c>
      <c r="D1422">
        <v>16291077</v>
      </c>
      <c r="E1422" t="s">
        <v>37</v>
      </c>
      <c r="F1422" t="s">
        <v>2213</v>
      </c>
      <c r="G1422" t="s">
        <v>3259</v>
      </c>
      <c r="H1422" t="s">
        <v>3260</v>
      </c>
      <c r="K1422" s="11">
        <v>46205.622650462959</v>
      </c>
      <c r="M1422">
        <v>748</v>
      </c>
      <c r="N1422" t="s">
        <v>867</v>
      </c>
      <c r="O1422">
        <v>150</v>
      </c>
      <c r="P1422" s="5"/>
      <c r="Q1422" s="10">
        <f>INT(Tabela1[[#This Row],[DATA]])</f>
        <v>46205</v>
      </c>
      <c r="R1422" s="14" t="str">
        <f ca="1">IF(AND(Q1422&gt;=TODAY()-WEEKDAY(TODAY(),2)+1,Q1422&lt;TODAY()),"SIM","NÃO")</f>
        <v>NÃO</v>
      </c>
    </row>
    <row r="1423" spans="1:18" hidden="1">
      <c r="A1423" t="s">
        <v>163</v>
      </c>
      <c r="B1423" t="s">
        <v>164</v>
      </c>
      <c r="C1423">
        <v>300271881</v>
      </c>
      <c r="D1423">
        <v>16222954</v>
      </c>
      <c r="E1423" t="s">
        <v>45</v>
      </c>
      <c r="F1423" t="s">
        <v>2405</v>
      </c>
      <c r="G1423">
        <v>1</v>
      </c>
      <c r="H1423" t="s">
        <v>2292</v>
      </c>
      <c r="K1423" s="11">
        <v>46205.623310185183</v>
      </c>
      <c r="M1423">
        <v>749</v>
      </c>
      <c r="N1423" t="s">
        <v>867</v>
      </c>
      <c r="O1423">
        <v>0</v>
      </c>
      <c r="P1423" s="5"/>
      <c r="Q1423" s="10">
        <f>INT(Tabela1[[#This Row],[DATA]])</f>
        <v>46205</v>
      </c>
      <c r="R1423" s="14" t="str">
        <f ca="1">IF(AND(Q1423&gt;=TODAY()-WEEKDAY(TODAY(),2)+1,Q1423&lt;TODAY()),"SIM","NÃO")</f>
        <v>NÃO</v>
      </c>
    </row>
    <row r="1424" spans="1:18" hidden="1">
      <c r="A1424" t="s">
        <v>2624</v>
      </c>
      <c r="B1424" t="s">
        <v>50</v>
      </c>
      <c r="C1424">
        <v>300273765</v>
      </c>
      <c r="D1424">
        <v>16474147</v>
      </c>
      <c r="E1424" t="s">
        <v>37</v>
      </c>
      <c r="F1424" t="s">
        <v>2405</v>
      </c>
      <c r="G1424">
        <v>10</v>
      </c>
      <c r="H1424" t="s">
        <v>3261</v>
      </c>
      <c r="J1424" t="s">
        <v>3262</v>
      </c>
      <c r="K1424" s="11">
        <v>46205.624895833331</v>
      </c>
      <c r="M1424">
        <v>750</v>
      </c>
      <c r="N1424" t="s">
        <v>878</v>
      </c>
      <c r="O1424" t="s">
        <v>3263</v>
      </c>
      <c r="P1424" s="5"/>
      <c r="Q1424" s="10">
        <f>INT(Tabela1[[#This Row],[DATA]])</f>
        <v>46205</v>
      </c>
      <c r="R1424" s="14" t="str">
        <f ca="1">IF(AND(Q1424&gt;=TODAY()-WEEKDAY(TODAY(),2)+1,Q1424&lt;TODAY()),"SIM","NÃO")</f>
        <v>NÃO</v>
      </c>
    </row>
    <row r="1425" spans="1:18" hidden="1">
      <c r="A1425" t="s">
        <v>2549</v>
      </c>
      <c r="B1425" t="s">
        <v>19</v>
      </c>
      <c r="C1425">
        <v>300275209</v>
      </c>
      <c r="D1425">
        <v>16544498</v>
      </c>
      <c r="E1425" t="s">
        <v>20</v>
      </c>
      <c r="F1425" t="s">
        <v>259</v>
      </c>
      <c r="G1425">
        <v>7</v>
      </c>
      <c r="H1425" t="s">
        <v>3264</v>
      </c>
      <c r="J1425" t="s">
        <v>3264</v>
      </c>
      <c r="K1425" s="11">
        <v>46205.653819444444</v>
      </c>
      <c r="M1425">
        <v>751</v>
      </c>
      <c r="N1425" t="s">
        <v>878</v>
      </c>
      <c r="O1425">
        <v>10000071699</v>
      </c>
      <c r="P1425" s="5"/>
      <c r="Q1425" s="10">
        <f>INT(Tabela1[[#This Row],[DATA]])</f>
        <v>46205</v>
      </c>
      <c r="R1425" s="14" t="str">
        <f ca="1">IF(AND(Q1425&gt;=TODAY()-WEEKDAY(TODAY(),2)+1,Q1425&lt;TODAY()),"SIM","NÃO")</f>
        <v>NÃO</v>
      </c>
    </row>
    <row r="1426" spans="1:18" hidden="1">
      <c r="A1426" t="s">
        <v>253</v>
      </c>
      <c r="B1426" t="s">
        <v>2886</v>
      </c>
      <c r="C1426">
        <v>300272960</v>
      </c>
      <c r="D1426">
        <v>15699293</v>
      </c>
      <c r="E1426" t="s">
        <v>37</v>
      </c>
      <c r="F1426" t="s">
        <v>3215</v>
      </c>
      <c r="G1426">
        <v>10</v>
      </c>
      <c r="H1426" t="s">
        <v>13</v>
      </c>
      <c r="J1426" t="s">
        <v>3265</v>
      </c>
      <c r="K1426" s="11">
        <v>46205.670763888891</v>
      </c>
      <c r="L1426">
        <v>300272960</v>
      </c>
      <c r="M1426">
        <v>752</v>
      </c>
      <c r="N1426" t="s">
        <v>867</v>
      </c>
      <c r="O1426">
        <v>0</v>
      </c>
      <c r="P1426" s="5"/>
      <c r="Q1426" s="10">
        <f>INT(Tabela1[[#This Row],[DATA]])</f>
        <v>46205</v>
      </c>
      <c r="R1426" s="14" t="str">
        <f ca="1">IF(AND(Q1426&gt;=TODAY()-WEEKDAY(TODAY(),2)+1,Q1426&lt;TODAY()),"SIM","NÃO")</f>
        <v>NÃO</v>
      </c>
    </row>
    <row r="1427" spans="1:18" hidden="1">
      <c r="A1427" t="s">
        <v>605</v>
      </c>
      <c r="B1427" t="s">
        <v>606</v>
      </c>
      <c r="C1427">
        <v>300273581</v>
      </c>
      <c r="D1427">
        <v>15238385</v>
      </c>
      <c r="E1427" t="s">
        <v>45</v>
      </c>
      <c r="F1427" t="s">
        <v>145</v>
      </c>
      <c r="G1427">
        <v>1</v>
      </c>
      <c r="H1427" t="s">
        <v>3266</v>
      </c>
      <c r="J1427" t="s">
        <v>3267</v>
      </c>
      <c r="K1427" s="11">
        <v>46205.675775462965</v>
      </c>
      <c r="M1427">
        <v>753</v>
      </c>
      <c r="N1427" t="s">
        <v>878</v>
      </c>
      <c r="O1427">
        <v>0</v>
      </c>
      <c r="P1427" s="5"/>
      <c r="Q1427" s="10">
        <f>INT(Tabela1[[#This Row],[DATA]])</f>
        <v>46205</v>
      </c>
      <c r="R1427" s="14" t="str">
        <f ca="1">IF(AND(Q1427&gt;=TODAY()-WEEKDAY(TODAY(),2)+1,Q1427&lt;TODAY()),"SIM","NÃO")</f>
        <v>NÃO</v>
      </c>
    </row>
    <row r="1428" spans="1:18" hidden="1">
      <c r="A1428" t="s">
        <v>2754</v>
      </c>
      <c r="B1428" t="s">
        <v>822</v>
      </c>
      <c r="C1428">
        <v>300275789</v>
      </c>
      <c r="D1428">
        <v>15773434</v>
      </c>
      <c r="E1428" t="s">
        <v>37</v>
      </c>
      <c r="F1428" t="s">
        <v>3217</v>
      </c>
      <c r="G1428">
        <v>10</v>
      </c>
      <c r="H1428" t="s">
        <v>2804</v>
      </c>
      <c r="K1428" s="11">
        <v>46205.677384259259</v>
      </c>
      <c r="M1428">
        <v>754</v>
      </c>
      <c r="N1428" t="s">
        <v>878</v>
      </c>
      <c r="O1428">
        <v>0</v>
      </c>
      <c r="P1428" s="5"/>
      <c r="Q1428" s="10">
        <f>INT(Tabela1[[#This Row],[DATA]])</f>
        <v>46205</v>
      </c>
      <c r="R1428" s="14" t="str">
        <f ca="1">IF(AND(Q1428&gt;=TODAY()-WEEKDAY(TODAY(),2)+1,Q1428&lt;TODAY()),"SIM","NÃO")</f>
        <v>NÃO</v>
      </c>
    </row>
    <row r="1429" spans="1:18" hidden="1">
      <c r="A1429" t="s">
        <v>2754</v>
      </c>
      <c r="B1429" t="s">
        <v>822</v>
      </c>
      <c r="C1429">
        <v>300275789</v>
      </c>
      <c r="D1429">
        <v>15773434</v>
      </c>
      <c r="E1429" t="s">
        <v>37</v>
      </c>
      <c r="F1429" t="s">
        <v>3215</v>
      </c>
      <c r="G1429">
        <v>10</v>
      </c>
      <c r="H1429" t="s">
        <v>3268</v>
      </c>
      <c r="K1429" s="11">
        <v>46205.678298611114</v>
      </c>
      <c r="M1429">
        <v>755</v>
      </c>
      <c r="N1429" t="s">
        <v>878</v>
      </c>
      <c r="O1429">
        <v>0</v>
      </c>
      <c r="P1429" s="5"/>
      <c r="Q1429" s="10">
        <f>INT(Tabela1[[#This Row],[DATA]])</f>
        <v>46205</v>
      </c>
      <c r="R1429" s="14" t="str">
        <f ca="1">IF(AND(Q1429&gt;=TODAY()-WEEKDAY(TODAY(),2)+1,Q1429&lt;TODAY()),"SIM","NÃO")</f>
        <v>NÃO</v>
      </c>
    </row>
    <row r="1430" spans="1:18" hidden="1">
      <c r="A1430" t="s">
        <v>201</v>
      </c>
      <c r="B1430" t="s">
        <v>202</v>
      </c>
      <c r="C1430">
        <v>300271118</v>
      </c>
      <c r="D1430">
        <v>16507665</v>
      </c>
      <c r="E1430" t="s">
        <v>37</v>
      </c>
      <c r="F1430" t="s">
        <v>3208</v>
      </c>
      <c r="G1430">
        <v>23</v>
      </c>
      <c r="H1430" t="s">
        <v>3269</v>
      </c>
      <c r="J1430" t="s">
        <v>3270</v>
      </c>
      <c r="K1430" s="11">
        <v>46205.681597222225</v>
      </c>
      <c r="M1430">
        <v>756</v>
      </c>
      <c r="N1430" t="s">
        <v>878</v>
      </c>
      <c r="O1430">
        <v>0</v>
      </c>
      <c r="P1430" s="5"/>
      <c r="Q1430" s="10">
        <f>INT(Tabela1[[#This Row],[DATA]])</f>
        <v>46205</v>
      </c>
      <c r="R1430" s="14" t="str">
        <f ca="1">IF(AND(Q1430&gt;=TODAY()-WEEKDAY(TODAY(),2)+1,Q1430&lt;TODAY()),"SIM","NÃO")</f>
        <v>NÃO</v>
      </c>
    </row>
    <row r="1431" spans="1:18" hidden="1">
      <c r="A1431" t="s">
        <v>2578</v>
      </c>
      <c r="B1431" t="s">
        <v>69</v>
      </c>
      <c r="C1431">
        <v>300276734</v>
      </c>
      <c r="D1431">
        <v>16272676</v>
      </c>
      <c r="E1431" t="s">
        <v>37</v>
      </c>
      <c r="F1431" t="s">
        <v>2405</v>
      </c>
      <c r="G1431">
        <v>1300</v>
      </c>
      <c r="H1431" t="s">
        <v>3271</v>
      </c>
      <c r="K1431" s="11">
        <v>46205.686157407406</v>
      </c>
      <c r="L1431">
        <v>300276734</v>
      </c>
      <c r="M1431">
        <v>757</v>
      </c>
      <c r="N1431" t="s">
        <v>878</v>
      </c>
      <c r="O1431">
        <v>16272676</v>
      </c>
      <c r="P1431" s="5"/>
      <c r="Q1431" s="10">
        <f>INT(Tabela1[[#This Row],[DATA]])</f>
        <v>46205</v>
      </c>
      <c r="R1431" s="14" t="str">
        <f ca="1">IF(AND(Q1431&gt;=TODAY()-WEEKDAY(TODAY(),2)+1,Q1431&lt;TODAY()),"SIM","NÃO")</f>
        <v>NÃO</v>
      </c>
    </row>
    <row r="1432" spans="1:18" hidden="1">
      <c r="A1432" t="s">
        <v>249</v>
      </c>
      <c r="B1432" t="s">
        <v>112</v>
      </c>
      <c r="C1432">
        <v>300272587</v>
      </c>
      <c r="D1432">
        <v>16243668</v>
      </c>
      <c r="E1432" t="s">
        <v>37</v>
      </c>
      <c r="F1432" t="s">
        <v>2405</v>
      </c>
      <c r="G1432">
        <v>1</v>
      </c>
      <c r="H1432" t="s">
        <v>1335</v>
      </c>
      <c r="K1432" s="11">
        <v>46205.687395833331</v>
      </c>
      <c r="M1432">
        <v>758</v>
      </c>
      <c r="N1432" t="s">
        <v>867</v>
      </c>
      <c r="O1432">
        <v>0</v>
      </c>
      <c r="P1432" s="5"/>
      <c r="Q1432" s="10">
        <f>INT(Tabela1[[#This Row],[DATA]])</f>
        <v>46205</v>
      </c>
      <c r="R1432" s="14" t="str">
        <f ca="1">IF(AND(Q1432&gt;=TODAY()-WEEKDAY(TODAY(),2)+1,Q1432&lt;TODAY()),"SIM","NÃO")</f>
        <v>NÃO</v>
      </c>
    </row>
    <row r="1433" spans="1:18" hidden="1">
      <c r="A1433" t="s">
        <v>605</v>
      </c>
      <c r="B1433" t="s">
        <v>606</v>
      </c>
      <c r="C1433">
        <v>300275040</v>
      </c>
      <c r="D1433">
        <v>16489985</v>
      </c>
      <c r="E1433" t="s">
        <v>37</v>
      </c>
      <c r="F1433" t="s">
        <v>2405</v>
      </c>
      <c r="G1433">
        <v>45</v>
      </c>
      <c r="H1433" t="s">
        <v>1771</v>
      </c>
      <c r="J1433" t="s">
        <v>1771</v>
      </c>
      <c r="K1433" s="11">
        <v>46205.692604166667</v>
      </c>
      <c r="M1433">
        <v>759</v>
      </c>
      <c r="N1433" t="s">
        <v>867</v>
      </c>
      <c r="O1433">
        <v>0</v>
      </c>
      <c r="P1433" s="5"/>
      <c r="Q1433" s="10">
        <f>INT(Tabela1[[#This Row],[DATA]])</f>
        <v>46205</v>
      </c>
      <c r="R1433" s="14" t="str">
        <f ca="1">IF(AND(Q1433&gt;=TODAY()-WEEKDAY(TODAY(),2)+1,Q1433&lt;TODAY()),"SIM","NÃO")</f>
        <v>NÃO</v>
      </c>
    </row>
    <row r="1434" spans="1:18" hidden="1">
      <c r="A1434" t="s">
        <v>605</v>
      </c>
      <c r="B1434" t="s">
        <v>606</v>
      </c>
      <c r="C1434">
        <v>300275039</v>
      </c>
      <c r="D1434">
        <v>16489985</v>
      </c>
      <c r="E1434" t="s">
        <v>37</v>
      </c>
      <c r="F1434" t="s">
        <v>2405</v>
      </c>
      <c r="G1434">
        <v>35</v>
      </c>
      <c r="H1434" t="s">
        <v>1771</v>
      </c>
      <c r="J1434" t="s">
        <v>1771</v>
      </c>
      <c r="K1434" s="11">
        <v>46205.694803240738</v>
      </c>
      <c r="M1434">
        <v>760</v>
      </c>
      <c r="N1434" t="s">
        <v>867</v>
      </c>
      <c r="O1434">
        <v>0</v>
      </c>
      <c r="P1434" s="5"/>
      <c r="Q1434" s="10">
        <f>INT(Tabela1[[#This Row],[DATA]])</f>
        <v>46205</v>
      </c>
      <c r="R1434" s="14" t="str">
        <f ca="1">IF(AND(Q1434&gt;=TODAY()-WEEKDAY(TODAY(),2)+1,Q1434&lt;TODAY()),"SIM","NÃO")</f>
        <v>NÃO</v>
      </c>
    </row>
    <row r="1435" spans="1:18" hidden="1">
      <c r="A1435" t="s">
        <v>2541</v>
      </c>
      <c r="B1435" t="s">
        <v>388</v>
      </c>
      <c r="C1435">
        <v>300274651</v>
      </c>
      <c r="D1435">
        <v>16416538</v>
      </c>
      <c r="E1435" t="s">
        <v>37</v>
      </c>
      <c r="F1435" t="s">
        <v>2405</v>
      </c>
      <c r="G1435">
        <v>1</v>
      </c>
      <c r="H1435" t="s">
        <v>3272</v>
      </c>
      <c r="K1435" s="11">
        <v>46205.715266203704</v>
      </c>
      <c r="M1435">
        <v>761</v>
      </c>
      <c r="N1435" t="s">
        <v>867</v>
      </c>
      <c r="O1435">
        <v>0</v>
      </c>
      <c r="P1435" s="5"/>
      <c r="Q1435" s="10">
        <f>INT(Tabela1[[#This Row],[DATA]])</f>
        <v>46205</v>
      </c>
      <c r="R1435" s="14" t="str">
        <f ca="1">IF(AND(Q1435&gt;=TODAY()-WEEKDAY(TODAY(),2)+1,Q1435&lt;TODAY()),"SIM","NÃO")</f>
        <v>NÃO</v>
      </c>
    </row>
    <row r="1436" spans="1:18" hidden="1">
      <c r="A1436" t="s">
        <v>2543</v>
      </c>
      <c r="B1436" t="s">
        <v>28</v>
      </c>
      <c r="C1436">
        <v>300270294</v>
      </c>
      <c r="D1436">
        <v>16310373</v>
      </c>
      <c r="E1436" t="s">
        <v>37</v>
      </c>
      <c r="F1436" t="s">
        <v>2405</v>
      </c>
      <c r="G1436">
        <v>12</v>
      </c>
      <c r="H1436" t="s">
        <v>1332</v>
      </c>
      <c r="K1436" s="11">
        <v>46205.741273148145</v>
      </c>
      <c r="M1436">
        <v>762</v>
      </c>
      <c r="N1436" t="s">
        <v>867</v>
      </c>
      <c r="O1436" t="s">
        <v>3159</v>
      </c>
      <c r="P1436" s="5"/>
      <c r="Q1436" s="10">
        <f>INT(Tabela1[[#This Row],[DATA]])</f>
        <v>46205</v>
      </c>
      <c r="R1436" s="14" t="str">
        <f ca="1">IF(AND(Q1436&gt;=TODAY()-WEEKDAY(TODAY(),2)+1,Q1436&lt;TODAY()),"SIM","NÃO")</f>
        <v>NÃO</v>
      </c>
    </row>
    <row r="1437" spans="1:18" hidden="1">
      <c r="A1437" t="s">
        <v>1175</v>
      </c>
      <c r="B1437" t="s">
        <v>1176</v>
      </c>
      <c r="C1437">
        <v>300272957</v>
      </c>
      <c r="D1437">
        <v>15699293</v>
      </c>
      <c r="E1437" t="s">
        <v>37</v>
      </c>
      <c r="F1437" t="s">
        <v>2405</v>
      </c>
      <c r="G1437">
        <v>235</v>
      </c>
      <c r="H1437" t="s">
        <v>3273</v>
      </c>
      <c r="J1437" t="s">
        <v>3274</v>
      </c>
      <c r="K1437" s="11">
        <v>46205.744166666664</v>
      </c>
      <c r="M1437">
        <v>763</v>
      </c>
      <c r="N1437" t="s">
        <v>867</v>
      </c>
      <c r="O1437" t="s">
        <v>1953</v>
      </c>
      <c r="P1437" s="5"/>
      <c r="Q1437" s="10">
        <f>INT(Tabela1[[#This Row],[DATA]])</f>
        <v>46205</v>
      </c>
      <c r="R1437" s="14" t="str">
        <f ca="1">IF(AND(Q1437&gt;=TODAY()-WEEKDAY(TODAY(),2)+1,Q1437&lt;TODAY()),"SIM","NÃO")</f>
        <v>NÃO</v>
      </c>
    </row>
    <row r="1438" spans="1:18" hidden="1">
      <c r="A1438" t="s">
        <v>163</v>
      </c>
      <c r="B1438" t="s">
        <v>164</v>
      </c>
      <c r="C1438">
        <v>300277357</v>
      </c>
      <c r="D1438">
        <v>16442857</v>
      </c>
      <c r="E1438" t="s">
        <v>29</v>
      </c>
      <c r="F1438" t="s">
        <v>430</v>
      </c>
      <c r="G1438">
        <v>2292</v>
      </c>
      <c r="H1438" t="s">
        <v>2880</v>
      </c>
      <c r="J1438" t="s">
        <v>3275</v>
      </c>
      <c r="K1438" s="11">
        <v>46205.744710648149</v>
      </c>
      <c r="M1438">
        <v>764</v>
      </c>
      <c r="N1438" t="s">
        <v>878</v>
      </c>
      <c r="O1438">
        <v>0</v>
      </c>
      <c r="P1438" s="5"/>
      <c r="Q1438" s="10">
        <f>INT(Tabela1[[#This Row],[DATA]])</f>
        <v>46205</v>
      </c>
      <c r="R1438" s="14" t="str">
        <f ca="1">IF(AND(Q1438&gt;=TODAY()-WEEKDAY(TODAY(),2)+1,Q1438&lt;TODAY()),"SIM","NÃO")</f>
        <v>NÃO</v>
      </c>
    </row>
    <row r="1439" spans="1:18" hidden="1">
      <c r="A1439" t="s">
        <v>163</v>
      </c>
      <c r="B1439" t="s">
        <v>164</v>
      </c>
      <c r="C1439">
        <v>300271881</v>
      </c>
      <c r="D1439">
        <v>16222954</v>
      </c>
      <c r="E1439" t="s">
        <v>45</v>
      </c>
      <c r="F1439" t="s">
        <v>323</v>
      </c>
      <c r="G1439">
        <v>24</v>
      </c>
      <c r="H1439" t="s">
        <v>3276</v>
      </c>
      <c r="J1439" t="s">
        <v>3277</v>
      </c>
      <c r="K1439" s="11">
        <v>46206.28162037037</v>
      </c>
      <c r="M1439">
        <v>765</v>
      </c>
      <c r="N1439" t="s">
        <v>867</v>
      </c>
      <c r="O1439">
        <v>0</v>
      </c>
      <c r="P1439" s="5"/>
      <c r="Q1439" s="10">
        <f>INT(Tabela1[[#This Row],[DATA]])</f>
        <v>46206</v>
      </c>
      <c r="R1439" s="14" t="str">
        <f ca="1">IF(AND(Q1439&gt;=TODAY()-WEEKDAY(TODAY(),2)+1,Q1439&lt;TODAY()),"SIM","NÃO")</f>
        <v>NÃO</v>
      </c>
    </row>
    <row r="1440" spans="1:18" hidden="1">
      <c r="A1440" t="s">
        <v>661</v>
      </c>
      <c r="B1440" t="s">
        <v>662</v>
      </c>
      <c r="C1440">
        <v>300272172</v>
      </c>
      <c r="D1440">
        <v>16285417</v>
      </c>
      <c r="E1440" t="s">
        <v>37</v>
      </c>
      <c r="F1440" t="s">
        <v>221</v>
      </c>
      <c r="G1440">
        <v>108</v>
      </c>
      <c r="H1440" t="s">
        <v>3278</v>
      </c>
      <c r="J1440" t="s">
        <v>3279</v>
      </c>
      <c r="K1440" s="11">
        <v>46206.310243055559</v>
      </c>
      <c r="M1440">
        <v>766</v>
      </c>
      <c r="N1440" t="s">
        <v>878</v>
      </c>
      <c r="O1440">
        <v>0</v>
      </c>
      <c r="P1440" s="5"/>
      <c r="Q1440" s="10">
        <f>INT(Tabela1[[#This Row],[DATA]])</f>
        <v>46206</v>
      </c>
      <c r="R1440" s="14" t="str">
        <f ca="1">IF(AND(Q1440&gt;=TODAY()-WEEKDAY(TODAY(),2)+1,Q1440&lt;TODAY()),"SIM","NÃO")</f>
        <v>NÃO</v>
      </c>
    </row>
    <row r="1441" spans="1:18" hidden="1">
      <c r="A1441" t="s">
        <v>661</v>
      </c>
      <c r="B1441" t="s">
        <v>662</v>
      </c>
      <c r="C1441">
        <v>300272173</v>
      </c>
      <c r="D1441">
        <v>16285417</v>
      </c>
      <c r="E1441" t="s">
        <v>37</v>
      </c>
      <c r="F1441" t="s">
        <v>221</v>
      </c>
      <c r="G1441">
        <v>552</v>
      </c>
      <c r="H1441" t="s">
        <v>3280</v>
      </c>
      <c r="J1441" t="s">
        <v>3281</v>
      </c>
      <c r="K1441" s="11">
        <v>46206.311851851853</v>
      </c>
      <c r="M1441">
        <v>767</v>
      </c>
      <c r="N1441" t="s">
        <v>878</v>
      </c>
      <c r="O1441">
        <v>0</v>
      </c>
      <c r="P1441" s="5"/>
      <c r="Q1441" s="10">
        <f>INT(Tabela1[[#This Row],[DATA]])</f>
        <v>46206</v>
      </c>
      <c r="R1441" s="14" t="str">
        <f ca="1">IF(AND(Q1441&gt;=TODAY()-WEEKDAY(TODAY(),2)+1,Q1441&lt;TODAY()),"SIM","NÃO")</f>
        <v>NÃO</v>
      </c>
    </row>
    <row r="1442" spans="1:18" hidden="1">
      <c r="A1442" t="s">
        <v>3073</v>
      </c>
      <c r="B1442" t="s">
        <v>448</v>
      </c>
      <c r="C1442">
        <v>300275034</v>
      </c>
      <c r="D1442">
        <v>16482204</v>
      </c>
      <c r="E1442" t="s">
        <v>37</v>
      </c>
      <c r="F1442" t="s">
        <v>216</v>
      </c>
      <c r="G1442">
        <v>70</v>
      </c>
      <c r="H1442" t="s">
        <v>2846</v>
      </c>
      <c r="J1442" t="s">
        <v>3282</v>
      </c>
      <c r="K1442" s="11">
        <v>46206.323576388888</v>
      </c>
      <c r="M1442">
        <v>768</v>
      </c>
      <c r="N1442" t="s">
        <v>867</v>
      </c>
      <c r="O1442">
        <v>0</v>
      </c>
      <c r="P1442" s="5"/>
      <c r="Q1442" s="10">
        <f>INT(Tabela1[[#This Row],[DATA]])</f>
        <v>46206</v>
      </c>
      <c r="R1442" s="14" t="str">
        <f ca="1">IF(AND(Q1442&gt;=TODAY()-WEEKDAY(TODAY(),2)+1,Q1442&lt;TODAY()),"SIM","NÃO")</f>
        <v>NÃO</v>
      </c>
    </row>
    <row r="1443" spans="1:18" hidden="1">
      <c r="A1443" t="s">
        <v>2603</v>
      </c>
      <c r="B1443" t="s">
        <v>929</v>
      </c>
      <c r="C1443">
        <v>300270254</v>
      </c>
      <c r="D1443">
        <v>16217780</v>
      </c>
      <c r="E1443" t="s">
        <v>37</v>
      </c>
      <c r="F1443" t="s">
        <v>3217</v>
      </c>
      <c r="G1443">
        <v>1</v>
      </c>
      <c r="H1443" t="s">
        <v>3283</v>
      </c>
      <c r="J1443" t="s">
        <v>3284</v>
      </c>
      <c r="K1443" s="11">
        <v>46206.333182870374</v>
      </c>
      <c r="M1443">
        <v>769</v>
      </c>
      <c r="N1443" t="s">
        <v>878</v>
      </c>
      <c r="O1443">
        <v>0</v>
      </c>
      <c r="P1443" s="5"/>
      <c r="Q1443" s="10">
        <f>INT(Tabela1[[#This Row],[DATA]])</f>
        <v>46206</v>
      </c>
      <c r="R1443" s="14" t="str">
        <f ca="1">IF(AND(Q1443&gt;=TODAY()-WEEKDAY(TODAY(),2)+1,Q1443&lt;TODAY()),"SIM","NÃO")</f>
        <v>NÃO</v>
      </c>
    </row>
    <row r="1444" spans="1:18" hidden="1">
      <c r="A1444" t="s">
        <v>3122</v>
      </c>
      <c r="B1444" t="s">
        <v>344</v>
      </c>
      <c r="C1444">
        <v>300277182</v>
      </c>
      <c r="D1444">
        <v>16310217</v>
      </c>
      <c r="E1444" t="s">
        <v>37</v>
      </c>
      <c r="F1444" t="s">
        <v>3217</v>
      </c>
      <c r="G1444">
        <v>0</v>
      </c>
      <c r="H1444" t="s">
        <v>3217</v>
      </c>
      <c r="J1444" t="s">
        <v>3217</v>
      </c>
      <c r="K1444" s="11">
        <v>46206.345868055556</v>
      </c>
      <c r="M1444">
        <v>770</v>
      </c>
      <c r="N1444" t="s">
        <v>878</v>
      </c>
      <c r="O1444">
        <v>0</v>
      </c>
      <c r="P1444" s="5"/>
      <c r="Q1444" s="10">
        <f>INT(Tabela1[[#This Row],[DATA]])</f>
        <v>46206</v>
      </c>
      <c r="R1444" s="14" t="str">
        <f ca="1">IF(AND(Q1444&gt;=TODAY()-WEEKDAY(TODAY(),2)+1,Q1444&lt;TODAY()),"SIM","NÃO")</f>
        <v>NÃO</v>
      </c>
    </row>
    <row r="1445" spans="1:18" hidden="1">
      <c r="A1445" t="s">
        <v>3285</v>
      </c>
      <c r="B1445" t="s">
        <v>306</v>
      </c>
      <c r="C1445">
        <v>300276765</v>
      </c>
      <c r="D1445">
        <v>16217683</v>
      </c>
      <c r="E1445" t="s">
        <v>37</v>
      </c>
      <c r="F1445" t="s">
        <v>3286</v>
      </c>
      <c r="G1445" t="s">
        <v>3287</v>
      </c>
      <c r="H1445" t="s">
        <v>3288</v>
      </c>
      <c r="J1445" t="s">
        <v>3289</v>
      </c>
      <c r="K1445" s="11">
        <v>46206.354664351849</v>
      </c>
      <c r="M1445">
        <v>771</v>
      </c>
      <c r="N1445" t="s">
        <v>867</v>
      </c>
      <c r="O1445">
        <v>0</v>
      </c>
      <c r="P1445" s="5"/>
      <c r="Q1445" s="10">
        <f>INT(Tabela1[[#This Row],[DATA]])</f>
        <v>46206</v>
      </c>
      <c r="R1445" s="14" t="str">
        <f ca="1">IF(AND(Q1445&gt;=TODAY()-WEEKDAY(TODAY(),2)+1,Q1445&lt;TODAY()),"SIM","NÃO")</f>
        <v>NÃO</v>
      </c>
    </row>
    <row r="1446" spans="1:18" hidden="1">
      <c r="A1446" t="s">
        <v>2691</v>
      </c>
      <c r="B1446" t="s">
        <v>3129</v>
      </c>
      <c r="C1446">
        <v>300272634</v>
      </c>
      <c r="D1446">
        <v>14938570</v>
      </c>
      <c r="E1446" t="s">
        <v>45</v>
      </c>
      <c r="F1446" t="s">
        <v>3212</v>
      </c>
      <c r="G1446">
        <v>70</v>
      </c>
      <c r="H1446" t="s">
        <v>2137</v>
      </c>
      <c r="K1446" s="11">
        <v>46206.37296296296</v>
      </c>
      <c r="M1446">
        <v>772</v>
      </c>
      <c r="N1446" t="s">
        <v>867</v>
      </c>
      <c r="O1446">
        <v>0</v>
      </c>
      <c r="P1446" s="5"/>
      <c r="Q1446" s="10">
        <f>INT(Tabela1[[#This Row],[DATA]])</f>
        <v>46206</v>
      </c>
      <c r="R1446" s="14" t="str">
        <f ca="1">IF(AND(Q1446&gt;=TODAY()-WEEKDAY(TODAY(),2)+1,Q1446&lt;TODAY()),"SIM","NÃO")</f>
        <v>NÃO</v>
      </c>
    </row>
    <row r="1447" spans="1:18" hidden="1">
      <c r="A1447" t="s">
        <v>2639</v>
      </c>
      <c r="B1447" t="s">
        <v>2640</v>
      </c>
      <c r="C1447">
        <v>300275454</v>
      </c>
      <c r="D1447">
        <v>16518730</v>
      </c>
      <c r="E1447" t="s">
        <v>37</v>
      </c>
      <c r="F1447" t="s">
        <v>3217</v>
      </c>
      <c r="G1447">
        <v>10</v>
      </c>
      <c r="H1447" t="s">
        <v>2085</v>
      </c>
      <c r="K1447" s="11">
        <v>46206.377800925926</v>
      </c>
      <c r="M1447">
        <v>773</v>
      </c>
      <c r="N1447" t="s">
        <v>878</v>
      </c>
      <c r="O1447" t="s">
        <v>3290</v>
      </c>
      <c r="P1447" s="5"/>
      <c r="Q1447" s="10">
        <f>INT(Tabela1[[#This Row],[DATA]])</f>
        <v>46206</v>
      </c>
      <c r="R1447" s="14" t="str">
        <f ca="1">IF(AND(Q1447&gt;=TODAY()-WEEKDAY(TODAY(),2)+1,Q1447&lt;TODAY()),"SIM","NÃO")</f>
        <v>NÃO</v>
      </c>
    </row>
    <row r="1448" spans="1:18" hidden="1">
      <c r="A1448" t="s">
        <v>2639</v>
      </c>
      <c r="B1448" t="s">
        <v>2640</v>
      </c>
      <c r="C1448">
        <v>300275454</v>
      </c>
      <c r="D1448">
        <v>16518730</v>
      </c>
      <c r="E1448" t="s">
        <v>37</v>
      </c>
      <c r="F1448" t="s">
        <v>3215</v>
      </c>
      <c r="G1448">
        <v>10</v>
      </c>
      <c r="H1448" t="s">
        <v>2002</v>
      </c>
      <c r="K1448" s="11">
        <v>46206.386516203704</v>
      </c>
      <c r="M1448">
        <v>774</v>
      </c>
      <c r="N1448" t="s">
        <v>878</v>
      </c>
      <c r="O1448" t="s">
        <v>3258</v>
      </c>
      <c r="P1448" s="5"/>
      <c r="Q1448" s="10">
        <f>INT(Tabela1[[#This Row],[DATA]])</f>
        <v>46206</v>
      </c>
      <c r="R1448" s="14" t="str">
        <f ca="1">IF(AND(Q1448&gt;=TODAY()-WEEKDAY(TODAY(),2)+1,Q1448&lt;TODAY()),"SIM","NÃO")</f>
        <v>NÃO</v>
      </c>
    </row>
    <row r="1449" spans="1:18" hidden="1">
      <c r="A1449" t="s">
        <v>661</v>
      </c>
      <c r="B1449" t="s">
        <v>662</v>
      </c>
      <c r="C1449">
        <v>300269312</v>
      </c>
      <c r="D1449">
        <v>16470834</v>
      </c>
      <c r="E1449" t="s">
        <v>37</v>
      </c>
      <c r="F1449" t="s">
        <v>436</v>
      </c>
      <c r="G1449">
        <v>45</v>
      </c>
      <c r="H1449" t="s">
        <v>3291</v>
      </c>
      <c r="J1449" t="s">
        <v>3292</v>
      </c>
      <c r="K1449" s="11">
        <v>46206.40556712963</v>
      </c>
      <c r="M1449">
        <v>775</v>
      </c>
      <c r="N1449" t="s">
        <v>867</v>
      </c>
      <c r="O1449">
        <v>0</v>
      </c>
      <c r="P1449" s="5"/>
      <c r="Q1449" s="10">
        <f>INT(Tabela1[[#This Row],[DATA]])</f>
        <v>46206</v>
      </c>
      <c r="R1449" s="14" t="str">
        <f ca="1">IF(AND(Q1449&gt;=TODAY()-WEEKDAY(TODAY(),2)+1,Q1449&lt;TODAY()),"SIM","NÃO")</f>
        <v>NÃO</v>
      </c>
    </row>
    <row r="1450" spans="1:18" hidden="1">
      <c r="A1450" t="s">
        <v>2662</v>
      </c>
      <c r="B1450" t="s">
        <v>471</v>
      </c>
      <c r="C1450">
        <v>300242232</v>
      </c>
      <c r="D1450">
        <v>16223462</v>
      </c>
      <c r="E1450" t="s">
        <v>45</v>
      </c>
      <c r="F1450" t="s">
        <v>3212</v>
      </c>
      <c r="G1450">
        <v>1557</v>
      </c>
      <c r="H1450" t="s">
        <v>3293</v>
      </c>
      <c r="K1450" s="11">
        <v>46206.421909722223</v>
      </c>
      <c r="M1450">
        <v>776</v>
      </c>
      <c r="N1450" t="s">
        <v>878</v>
      </c>
      <c r="O1450">
        <v>150</v>
      </c>
      <c r="P1450" s="5"/>
      <c r="Q1450" s="10">
        <f>INT(Tabela1[[#This Row],[DATA]])</f>
        <v>46206</v>
      </c>
      <c r="R1450" s="14" t="str">
        <f ca="1">IF(AND(Q1450&gt;=TODAY()-WEEKDAY(TODAY(),2)+1,Q1450&lt;TODAY()),"SIM","NÃO")</f>
        <v>NÃO</v>
      </c>
    </row>
    <row r="1451" spans="1:18" hidden="1">
      <c r="A1451" t="s">
        <v>2603</v>
      </c>
      <c r="B1451" t="s">
        <v>929</v>
      </c>
      <c r="C1451">
        <v>300270254</v>
      </c>
      <c r="D1451">
        <v>16217780</v>
      </c>
      <c r="E1451" t="s">
        <v>37</v>
      </c>
      <c r="F1451" t="s">
        <v>2405</v>
      </c>
      <c r="G1451">
        <v>2</v>
      </c>
      <c r="H1451" t="s">
        <v>1831</v>
      </c>
      <c r="J1451" t="s">
        <v>2172</v>
      </c>
      <c r="K1451" s="11">
        <v>46206.441111111111</v>
      </c>
      <c r="M1451">
        <v>777</v>
      </c>
      <c r="N1451" t="s">
        <v>867</v>
      </c>
      <c r="O1451">
        <v>0</v>
      </c>
      <c r="P1451" s="5"/>
      <c r="Q1451" s="10">
        <f>INT(Tabela1[[#This Row],[DATA]])</f>
        <v>46206</v>
      </c>
      <c r="R1451" s="14" t="str">
        <f ca="1">IF(AND(Q1451&gt;=TODAY()-WEEKDAY(TODAY(),2)+1,Q1451&lt;TODAY()),"SIM","NÃO")</f>
        <v>NÃO</v>
      </c>
    </row>
    <row r="1452" spans="1:18" hidden="1">
      <c r="A1452" t="s">
        <v>2610</v>
      </c>
      <c r="B1452" t="s">
        <v>74</v>
      </c>
      <c r="C1452">
        <v>300273872</v>
      </c>
      <c r="D1452">
        <v>16547969</v>
      </c>
      <c r="E1452" t="s">
        <v>20</v>
      </c>
      <c r="F1452" t="s">
        <v>3212</v>
      </c>
      <c r="G1452">
        <v>1640</v>
      </c>
      <c r="H1452" t="s">
        <v>1112</v>
      </c>
      <c r="K1452" s="11">
        <v>46206.441782407404</v>
      </c>
      <c r="M1452">
        <v>778</v>
      </c>
      <c r="N1452" t="s">
        <v>878</v>
      </c>
      <c r="O1452">
        <v>0</v>
      </c>
      <c r="P1452" s="5"/>
      <c r="Q1452" s="10">
        <f>INT(Tabela1[[#This Row],[DATA]])</f>
        <v>46206</v>
      </c>
      <c r="R1452" s="14" t="str">
        <f ca="1">IF(AND(Q1452&gt;=TODAY()-WEEKDAY(TODAY(),2)+1,Q1452&lt;TODAY()),"SIM","NÃO")</f>
        <v>NÃO</v>
      </c>
    </row>
    <row r="1453" spans="1:18" hidden="1">
      <c r="A1453" t="s">
        <v>2610</v>
      </c>
      <c r="B1453" t="s">
        <v>74</v>
      </c>
      <c r="C1453">
        <v>300273872</v>
      </c>
      <c r="D1453">
        <v>16547969</v>
      </c>
      <c r="E1453" t="s">
        <v>20</v>
      </c>
      <c r="F1453" t="s">
        <v>430</v>
      </c>
      <c r="G1453">
        <v>1440</v>
      </c>
      <c r="H1453" t="s">
        <v>2272</v>
      </c>
      <c r="K1453" s="11">
        <v>46206.443761574075</v>
      </c>
      <c r="M1453">
        <v>779</v>
      </c>
      <c r="N1453" t="s">
        <v>878</v>
      </c>
      <c r="O1453">
        <v>10000075698</v>
      </c>
      <c r="P1453" s="5"/>
      <c r="Q1453" s="10">
        <f>INT(Tabela1[[#This Row],[DATA]])</f>
        <v>46206</v>
      </c>
      <c r="R1453" s="14" t="str">
        <f ca="1">IF(AND(Q1453&gt;=TODAY()-WEEKDAY(TODAY(),2)+1,Q1453&lt;TODAY()),"SIM","NÃO")</f>
        <v>NÃO</v>
      </c>
    </row>
    <row r="1454" spans="1:18" hidden="1">
      <c r="A1454" t="s">
        <v>2571</v>
      </c>
      <c r="B1454" t="s">
        <v>798</v>
      </c>
      <c r="C1454">
        <v>300277186</v>
      </c>
      <c r="D1454">
        <v>16243161</v>
      </c>
      <c r="E1454" t="s">
        <v>37</v>
      </c>
      <c r="F1454" t="s">
        <v>1564</v>
      </c>
      <c r="G1454">
        <v>376</v>
      </c>
      <c r="H1454" t="s">
        <v>3294</v>
      </c>
      <c r="J1454" t="s">
        <v>3295</v>
      </c>
      <c r="K1454" s="11">
        <v>46206.446631944447</v>
      </c>
      <c r="M1454">
        <v>780</v>
      </c>
      <c r="N1454" t="s">
        <v>867</v>
      </c>
      <c r="O1454" t="s">
        <v>3296</v>
      </c>
      <c r="P1454" s="5"/>
      <c r="Q1454" s="10">
        <f>INT(Tabela1[[#This Row],[DATA]])</f>
        <v>46206</v>
      </c>
      <c r="R1454" s="14" t="str">
        <f ca="1">IF(AND(Q1454&gt;=TODAY()-WEEKDAY(TODAY(),2)+1,Q1454&lt;TODAY()),"SIM","NÃO")</f>
        <v>NÃO</v>
      </c>
    </row>
    <row r="1455" spans="1:18" hidden="1">
      <c r="A1455" t="s">
        <v>2571</v>
      </c>
      <c r="B1455" t="s">
        <v>1487</v>
      </c>
      <c r="C1455">
        <v>300277186</v>
      </c>
      <c r="D1455">
        <v>16243161</v>
      </c>
      <c r="E1455" t="s">
        <v>37</v>
      </c>
      <c r="F1455" t="s">
        <v>3297</v>
      </c>
      <c r="G1455">
        <v>376</v>
      </c>
      <c r="H1455" t="s">
        <v>3298</v>
      </c>
      <c r="K1455" s="11">
        <v>46206.448784722219</v>
      </c>
      <c r="M1455">
        <v>781</v>
      </c>
      <c r="N1455" t="s">
        <v>867</v>
      </c>
      <c r="O1455" t="s">
        <v>3296</v>
      </c>
      <c r="P1455" s="5"/>
      <c r="Q1455" s="10">
        <f>INT(Tabela1[[#This Row],[DATA]])</f>
        <v>46206</v>
      </c>
      <c r="R1455" s="14" t="str">
        <f ca="1">IF(AND(Q1455&gt;=TODAY()-WEEKDAY(TODAY(),2)+1,Q1455&lt;TODAY()),"SIM","NÃO")</f>
        <v>NÃO</v>
      </c>
    </row>
    <row r="1456" spans="1:18" hidden="1">
      <c r="A1456" t="s">
        <v>185</v>
      </c>
      <c r="B1456" t="s">
        <v>1625</v>
      </c>
      <c r="C1456">
        <v>300000000</v>
      </c>
      <c r="D1456">
        <v>0</v>
      </c>
      <c r="E1456" t="s">
        <v>37</v>
      </c>
      <c r="F1456" t="s">
        <v>1137</v>
      </c>
      <c r="G1456">
        <v>30</v>
      </c>
      <c r="H1456" t="s">
        <v>2137</v>
      </c>
      <c r="J1456" t="s">
        <v>3299</v>
      </c>
      <c r="K1456" s="11">
        <v>46206.449594907404</v>
      </c>
      <c r="M1456">
        <v>782</v>
      </c>
      <c r="N1456" t="s">
        <v>878</v>
      </c>
      <c r="O1456">
        <v>0</v>
      </c>
      <c r="P1456" s="5"/>
      <c r="Q1456" s="10">
        <f>INT(Tabela1[[#This Row],[DATA]])</f>
        <v>46206</v>
      </c>
      <c r="R1456" s="14" t="str">
        <f ca="1">IF(AND(Q1456&gt;=TODAY()-WEEKDAY(TODAY(),2)+1,Q1456&lt;TODAY()),"SIM","NÃO")</f>
        <v>NÃO</v>
      </c>
    </row>
    <row r="1457" spans="1:18" hidden="1">
      <c r="A1457" t="s">
        <v>287</v>
      </c>
      <c r="B1457" t="s">
        <v>288</v>
      </c>
      <c r="C1457">
        <v>300275031</v>
      </c>
      <c r="D1457">
        <v>16482204</v>
      </c>
      <c r="E1457" t="s">
        <v>37</v>
      </c>
      <c r="F1457" t="s">
        <v>2213</v>
      </c>
      <c r="G1457">
        <v>100</v>
      </c>
      <c r="H1457" t="s">
        <v>3014</v>
      </c>
      <c r="K1457" s="11">
        <v>46206.450775462959</v>
      </c>
      <c r="L1457">
        <v>300275031</v>
      </c>
      <c r="M1457">
        <v>783</v>
      </c>
      <c r="N1457" t="s">
        <v>867</v>
      </c>
      <c r="O1457">
        <v>0</v>
      </c>
      <c r="P1457" s="5"/>
      <c r="Q1457" s="10">
        <f>INT(Tabela1[[#This Row],[DATA]])</f>
        <v>46206</v>
      </c>
      <c r="R1457" s="14" t="str">
        <f ca="1">IF(AND(Q1457&gt;=TODAY()-WEEKDAY(TODAY(),2)+1,Q1457&lt;TODAY()),"SIM","NÃO")</f>
        <v>NÃO</v>
      </c>
    </row>
    <row r="1458" spans="1:18" hidden="1">
      <c r="A1458" t="s">
        <v>196</v>
      </c>
      <c r="B1458" t="s">
        <v>1625</v>
      </c>
      <c r="C1458">
        <v>300275014</v>
      </c>
      <c r="D1458">
        <v>16503783</v>
      </c>
      <c r="E1458" t="s">
        <v>37</v>
      </c>
      <c r="F1458" t="s">
        <v>221</v>
      </c>
      <c r="G1458">
        <v>638</v>
      </c>
      <c r="H1458" t="s">
        <v>2137</v>
      </c>
      <c r="K1458" s="11">
        <v>46206.465891203705</v>
      </c>
      <c r="L1458">
        <v>300275014</v>
      </c>
      <c r="M1458">
        <v>784</v>
      </c>
      <c r="N1458" t="s">
        <v>878</v>
      </c>
      <c r="O1458">
        <v>10000074064</v>
      </c>
      <c r="P1458" s="5"/>
      <c r="Q1458" s="10">
        <f>INT(Tabela1[[#This Row],[DATA]])</f>
        <v>46206</v>
      </c>
      <c r="R1458" s="14" t="str">
        <f ca="1">IF(AND(Q1458&gt;=TODAY()-WEEKDAY(TODAY(),2)+1,Q1458&lt;TODAY()),"SIM","NÃO")</f>
        <v>NÃO</v>
      </c>
    </row>
    <row r="1459" spans="1:18" hidden="1">
      <c r="A1459" t="s">
        <v>287</v>
      </c>
      <c r="B1459" t="s">
        <v>288</v>
      </c>
      <c r="C1459">
        <v>300000000</v>
      </c>
      <c r="D1459">
        <v>100000</v>
      </c>
      <c r="E1459" t="s">
        <v>37</v>
      </c>
      <c r="F1459" t="s">
        <v>3250</v>
      </c>
      <c r="G1459">
        <v>10000000</v>
      </c>
      <c r="H1459" t="s">
        <v>310</v>
      </c>
      <c r="J1459" t="s">
        <v>3300</v>
      </c>
      <c r="K1459" s="11">
        <v>46206.481157407405</v>
      </c>
      <c r="M1459">
        <v>785</v>
      </c>
      <c r="N1459" t="s">
        <v>878</v>
      </c>
      <c r="O1459">
        <v>1000000</v>
      </c>
      <c r="P1459" s="5"/>
      <c r="Q1459" s="10">
        <f>INT(Tabela1[[#This Row],[DATA]])</f>
        <v>46206</v>
      </c>
      <c r="R1459" s="14" t="str">
        <f ca="1">IF(AND(Q1459&gt;=TODAY()-WEEKDAY(TODAY(),2)+1,Q1459&lt;TODAY()),"SIM","NÃO")</f>
        <v>NÃO</v>
      </c>
    </row>
    <row r="1460" spans="1:18" hidden="1">
      <c r="A1460" t="s">
        <v>2774</v>
      </c>
      <c r="B1460" t="s">
        <v>3301</v>
      </c>
      <c r="C1460">
        <v>300000000</v>
      </c>
      <c r="D1460">
        <v>100000000</v>
      </c>
      <c r="E1460" t="s">
        <v>37</v>
      </c>
      <c r="F1460" t="s">
        <v>1904</v>
      </c>
      <c r="G1460">
        <v>0</v>
      </c>
      <c r="H1460">
        <v>0</v>
      </c>
      <c r="J1460" t="s">
        <v>3229</v>
      </c>
      <c r="K1460" s="11">
        <v>46206.497662037036</v>
      </c>
      <c r="M1460">
        <v>788</v>
      </c>
      <c r="N1460" t="s">
        <v>878</v>
      </c>
      <c r="O1460">
        <v>0</v>
      </c>
      <c r="P1460" s="5"/>
      <c r="Q1460" s="10">
        <f>INT(Tabela1[[#This Row],[DATA]])</f>
        <v>46206</v>
      </c>
      <c r="R1460" s="14" t="str">
        <f ca="1">IF(AND(Q1460&gt;=TODAY()-WEEKDAY(TODAY(),2)+1,Q1460&lt;TODAY()),"SIM","NÃO")</f>
        <v>NÃO</v>
      </c>
    </row>
    <row r="1461" spans="1:18" hidden="1">
      <c r="A1461" t="s">
        <v>2775</v>
      </c>
      <c r="B1461" t="s">
        <v>512</v>
      </c>
      <c r="C1461">
        <v>300269525</v>
      </c>
      <c r="D1461">
        <v>16404343</v>
      </c>
      <c r="E1461" t="s">
        <v>45</v>
      </c>
      <c r="F1461" t="s">
        <v>3254</v>
      </c>
      <c r="G1461">
        <v>15</v>
      </c>
      <c r="H1461" t="s">
        <v>3302</v>
      </c>
      <c r="J1461" t="s">
        <v>3303</v>
      </c>
      <c r="K1461" s="11">
        <v>46206.503101851849</v>
      </c>
      <c r="M1461">
        <v>789</v>
      </c>
      <c r="N1461" t="s">
        <v>867</v>
      </c>
      <c r="O1461" t="s">
        <v>2778</v>
      </c>
      <c r="P1461" s="5"/>
      <c r="Q1461" s="10">
        <f>INT(Tabela1[[#This Row],[DATA]])</f>
        <v>46206</v>
      </c>
      <c r="R1461" s="14" t="str">
        <f ca="1">IF(AND(Q1461&gt;=TODAY()-WEEKDAY(TODAY(),2)+1,Q1461&lt;TODAY()),"SIM","NÃO")</f>
        <v>NÃO</v>
      </c>
    </row>
    <row r="1462" spans="1:18" hidden="1">
      <c r="A1462" t="s">
        <v>2177</v>
      </c>
      <c r="B1462" t="s">
        <v>1073</v>
      </c>
      <c r="C1462">
        <v>300275878</v>
      </c>
      <c r="D1462">
        <v>15773450</v>
      </c>
      <c r="E1462" t="s">
        <v>37</v>
      </c>
      <c r="F1462" t="s">
        <v>177</v>
      </c>
      <c r="G1462">
        <v>8</v>
      </c>
      <c r="H1462" t="s">
        <v>2795</v>
      </c>
      <c r="K1462" s="11">
        <v>46206.545219907406</v>
      </c>
      <c r="M1462">
        <v>790</v>
      </c>
      <c r="N1462" t="s">
        <v>867</v>
      </c>
      <c r="O1462" t="s">
        <v>3304</v>
      </c>
      <c r="P1462" s="5"/>
      <c r="Q1462" s="10">
        <f>INT(Tabela1[[#This Row],[DATA]])</f>
        <v>46206</v>
      </c>
      <c r="R1462" s="14" t="str">
        <f ca="1">IF(AND(Q1462&gt;=TODAY()-WEEKDAY(TODAY(),2)+1,Q1462&lt;TODAY()),"SIM","NÃO")</f>
        <v>NÃO</v>
      </c>
    </row>
    <row r="1463" spans="1:18" hidden="1">
      <c r="A1463" t="s">
        <v>2610</v>
      </c>
      <c r="B1463" t="s">
        <v>74</v>
      </c>
      <c r="C1463">
        <v>300273872</v>
      </c>
      <c r="D1463">
        <v>16547969</v>
      </c>
      <c r="E1463" t="s">
        <v>20</v>
      </c>
      <c r="F1463" t="s">
        <v>221</v>
      </c>
      <c r="G1463">
        <v>840</v>
      </c>
      <c r="H1463" t="s">
        <v>2155</v>
      </c>
      <c r="K1463" s="11">
        <v>46206.554293981484</v>
      </c>
      <c r="M1463">
        <v>791</v>
      </c>
      <c r="N1463" t="s">
        <v>878</v>
      </c>
      <c r="O1463">
        <v>10000103074</v>
      </c>
      <c r="P1463" s="5"/>
      <c r="Q1463" s="10">
        <f>INT(Tabela1[[#This Row],[DATA]])</f>
        <v>46206</v>
      </c>
      <c r="R1463" s="14" t="str">
        <f ca="1">IF(AND(Q1463&gt;=TODAY()-WEEKDAY(TODAY(),2)+1,Q1463&lt;TODAY()),"SIM","NÃO")</f>
        <v>NÃO</v>
      </c>
    </row>
    <row r="1464" spans="1:18" hidden="1">
      <c r="A1464" t="s">
        <v>2774</v>
      </c>
      <c r="B1464" t="s">
        <v>3301</v>
      </c>
      <c r="C1464">
        <v>300000000</v>
      </c>
      <c r="D1464">
        <v>10000000</v>
      </c>
      <c r="E1464" t="s">
        <v>37</v>
      </c>
      <c r="F1464" t="s">
        <v>1904</v>
      </c>
      <c r="G1464">
        <v>0</v>
      </c>
      <c r="H1464">
        <v>0</v>
      </c>
      <c r="J1464" t="s">
        <v>3229</v>
      </c>
      <c r="K1464" s="11">
        <v>46206.554409722223</v>
      </c>
      <c r="M1464">
        <v>792</v>
      </c>
      <c r="N1464" t="s">
        <v>878</v>
      </c>
      <c r="O1464">
        <v>0</v>
      </c>
      <c r="P1464" s="5"/>
      <c r="Q1464" s="10">
        <f>INT(Tabela1[[#This Row],[DATA]])</f>
        <v>46206</v>
      </c>
      <c r="R1464" s="14" t="str">
        <f ca="1">IF(AND(Q1464&gt;=TODAY()-WEEKDAY(TODAY(),2)+1,Q1464&lt;TODAY()),"SIM","NÃO")</f>
        <v>NÃO</v>
      </c>
    </row>
    <row r="1465" spans="1:18" hidden="1">
      <c r="A1465" t="s">
        <v>2610</v>
      </c>
      <c r="B1465" t="s">
        <v>74</v>
      </c>
      <c r="C1465">
        <v>300272294</v>
      </c>
      <c r="D1465">
        <v>16547926</v>
      </c>
      <c r="E1465" t="s">
        <v>20</v>
      </c>
      <c r="F1465" t="s">
        <v>3241</v>
      </c>
      <c r="G1465">
        <v>20</v>
      </c>
      <c r="H1465" t="s">
        <v>3305</v>
      </c>
      <c r="K1465" s="11">
        <v>46206.555497685185</v>
      </c>
      <c r="L1465">
        <v>300272294</v>
      </c>
      <c r="M1465">
        <v>793</v>
      </c>
      <c r="N1465" t="s">
        <v>867</v>
      </c>
      <c r="O1465">
        <v>0</v>
      </c>
      <c r="P1465" s="5"/>
      <c r="Q1465" s="10">
        <f>INT(Tabela1[[#This Row],[DATA]])</f>
        <v>46206</v>
      </c>
      <c r="R1465" s="14" t="str">
        <f ca="1">IF(AND(Q1465&gt;=TODAY()-WEEKDAY(TODAY(),2)+1,Q1465&lt;TODAY()),"SIM","NÃO")</f>
        <v>NÃO</v>
      </c>
    </row>
    <row r="1466" spans="1:18" hidden="1">
      <c r="A1466" t="s">
        <v>332</v>
      </c>
      <c r="B1466" t="s">
        <v>28</v>
      </c>
      <c r="C1466">
        <v>300276897</v>
      </c>
      <c r="D1466">
        <v>16222881</v>
      </c>
      <c r="E1466" t="s">
        <v>45</v>
      </c>
      <c r="F1466" t="s">
        <v>2405</v>
      </c>
      <c r="G1466">
        <v>5</v>
      </c>
      <c r="H1466" t="s">
        <v>1966</v>
      </c>
      <c r="K1466" s="11">
        <v>46206.560486111113</v>
      </c>
      <c r="M1466">
        <v>794</v>
      </c>
      <c r="N1466" t="s">
        <v>867</v>
      </c>
      <c r="O1466">
        <v>0</v>
      </c>
      <c r="P1466" s="5"/>
      <c r="Q1466" s="10">
        <f>INT(Tabela1[[#This Row],[DATA]])</f>
        <v>46206</v>
      </c>
      <c r="R1466" s="14" t="str">
        <f ca="1">IF(AND(Q1466&gt;=TODAY()-WEEKDAY(TODAY(),2)+1,Q1466&lt;TODAY()),"SIM","NÃO")</f>
        <v>NÃO</v>
      </c>
    </row>
    <row r="1467" spans="1:18" hidden="1">
      <c r="A1467" t="s">
        <v>2774</v>
      </c>
      <c r="B1467" t="s">
        <v>3301</v>
      </c>
      <c r="C1467">
        <v>300000000</v>
      </c>
      <c r="D1467">
        <v>100000000000</v>
      </c>
      <c r="E1467" t="s">
        <v>37</v>
      </c>
      <c r="F1467" t="s">
        <v>1904</v>
      </c>
      <c r="G1467">
        <v>0</v>
      </c>
      <c r="H1467">
        <v>0</v>
      </c>
      <c r="J1467">
        <v>0</v>
      </c>
      <c r="K1467" s="11">
        <v>46206.568749999999</v>
      </c>
      <c r="M1467">
        <v>795</v>
      </c>
      <c r="N1467" t="s">
        <v>878</v>
      </c>
      <c r="O1467">
        <v>0</v>
      </c>
      <c r="P1467" s="5"/>
      <c r="Q1467" s="10">
        <f>INT(Tabela1[[#This Row],[DATA]])</f>
        <v>46206</v>
      </c>
      <c r="R1467" s="14" t="str">
        <f ca="1">IF(AND(Q1467&gt;=TODAY()-WEEKDAY(TODAY(),2)+1,Q1467&lt;TODAY()),"SIM","NÃO")</f>
        <v>NÃO</v>
      </c>
    </row>
    <row r="1468" spans="1:18" hidden="1">
      <c r="A1468" t="s">
        <v>2905</v>
      </c>
      <c r="B1468" t="s">
        <v>2906</v>
      </c>
      <c r="C1468">
        <v>300275485</v>
      </c>
      <c r="D1468">
        <v>16494610</v>
      </c>
      <c r="E1468" t="s">
        <v>37</v>
      </c>
      <c r="F1468" t="s">
        <v>2405</v>
      </c>
      <c r="G1468">
        <v>28</v>
      </c>
      <c r="H1468" t="s">
        <v>3306</v>
      </c>
      <c r="J1468" t="s">
        <v>3307</v>
      </c>
      <c r="K1468" s="11">
        <v>46206.574062500003</v>
      </c>
      <c r="M1468">
        <v>796</v>
      </c>
      <c r="N1468" t="s">
        <v>867</v>
      </c>
      <c r="O1468">
        <v>1</v>
      </c>
      <c r="P1468" s="5"/>
      <c r="Q1468" s="10">
        <f>INT(Tabela1[[#This Row],[DATA]])</f>
        <v>46206</v>
      </c>
      <c r="R1468" s="14" t="str">
        <f ca="1">IF(AND(Q1468&gt;=TODAY()-WEEKDAY(TODAY(),2)+1,Q1468&lt;TODAY()),"SIM","NÃO")</f>
        <v>NÃO</v>
      </c>
    </row>
    <row r="1469" spans="1:18" hidden="1">
      <c r="A1469" t="s">
        <v>755</v>
      </c>
      <c r="B1469" t="s">
        <v>756</v>
      </c>
      <c r="C1469">
        <v>300273637</v>
      </c>
      <c r="D1469">
        <v>16440641</v>
      </c>
      <c r="E1469" t="s">
        <v>37</v>
      </c>
      <c r="F1469" t="s">
        <v>151</v>
      </c>
      <c r="G1469">
        <v>62</v>
      </c>
      <c r="H1469" t="s">
        <v>3308</v>
      </c>
      <c r="J1469" t="s">
        <v>3309</v>
      </c>
      <c r="K1469" s="11">
        <v>46206.594097222223</v>
      </c>
      <c r="L1469">
        <v>300273637</v>
      </c>
      <c r="M1469">
        <v>797</v>
      </c>
      <c r="N1469" t="s">
        <v>867</v>
      </c>
      <c r="O1469" t="s">
        <v>2664</v>
      </c>
      <c r="P1469" s="5"/>
      <c r="Q1469" s="10">
        <f>INT(Tabela1[[#This Row],[DATA]])</f>
        <v>46206</v>
      </c>
      <c r="R1469" s="14" t="str">
        <f ca="1">IF(AND(Q1469&gt;=TODAY()-WEEKDAY(TODAY(),2)+1,Q1469&lt;TODAY()),"SIM","NÃO")</f>
        <v>NÃO</v>
      </c>
    </row>
    <row r="1470" spans="1:18" hidden="1">
      <c r="A1470" t="s">
        <v>2905</v>
      </c>
      <c r="B1470" t="s">
        <v>2906</v>
      </c>
      <c r="C1470">
        <v>300275485</v>
      </c>
      <c r="D1470">
        <v>16494610</v>
      </c>
      <c r="E1470" t="s">
        <v>37</v>
      </c>
      <c r="F1470" t="s">
        <v>2405</v>
      </c>
      <c r="G1470">
        <v>8</v>
      </c>
      <c r="H1470" t="s">
        <v>3310</v>
      </c>
      <c r="J1470" t="s">
        <v>3307</v>
      </c>
      <c r="K1470" s="11">
        <v>46206.605324074073</v>
      </c>
      <c r="M1470">
        <v>798</v>
      </c>
      <c r="N1470" t="s">
        <v>867</v>
      </c>
      <c r="O1470">
        <v>0</v>
      </c>
      <c r="P1470" s="5"/>
      <c r="Q1470" s="10">
        <f>INT(Tabela1[[#This Row],[DATA]])</f>
        <v>46206</v>
      </c>
      <c r="R1470" s="14" t="str">
        <f ca="1">IF(AND(Q1470&gt;=TODAY()-WEEKDAY(TODAY(),2)+1,Q1470&lt;TODAY()),"SIM","NÃO")</f>
        <v>NÃO</v>
      </c>
    </row>
    <row r="1471" spans="1:18" hidden="1">
      <c r="A1471" t="s">
        <v>3311</v>
      </c>
      <c r="B1471" t="s">
        <v>768</v>
      </c>
      <c r="C1471">
        <v>300272940</v>
      </c>
      <c r="D1471">
        <v>16472217</v>
      </c>
      <c r="E1471" t="s">
        <v>37</v>
      </c>
      <c r="F1471" t="s">
        <v>216</v>
      </c>
      <c r="G1471">
        <v>110</v>
      </c>
      <c r="H1471" t="s">
        <v>3312</v>
      </c>
      <c r="K1471" s="11">
        <v>46206.606076388889</v>
      </c>
      <c r="M1471">
        <v>799</v>
      </c>
      <c r="N1471" t="s">
        <v>867</v>
      </c>
      <c r="O1471" t="s">
        <v>3313</v>
      </c>
      <c r="P1471" s="5"/>
      <c r="Q1471" s="10">
        <f>INT(Tabela1[[#This Row],[DATA]])</f>
        <v>46206</v>
      </c>
      <c r="R1471" s="14" t="str">
        <f ca="1">IF(AND(Q1471&gt;=TODAY()-WEEKDAY(TODAY(),2)+1,Q1471&lt;TODAY()),"SIM","NÃO")</f>
        <v>NÃO</v>
      </c>
    </row>
    <row r="1472" spans="1:18" hidden="1">
      <c r="A1472" t="s">
        <v>2903</v>
      </c>
      <c r="B1472" t="s">
        <v>846</v>
      </c>
      <c r="C1472">
        <v>300276289</v>
      </c>
      <c r="D1472">
        <v>15863387</v>
      </c>
      <c r="E1472" t="s">
        <v>37</v>
      </c>
      <c r="F1472" t="s">
        <v>177</v>
      </c>
      <c r="G1472">
        <v>59</v>
      </c>
      <c r="H1472" t="s">
        <v>3314</v>
      </c>
      <c r="J1472" t="s">
        <v>3314</v>
      </c>
      <c r="K1472" s="11">
        <v>46206.637442129628</v>
      </c>
      <c r="M1472">
        <v>800</v>
      </c>
      <c r="N1472" t="s">
        <v>867</v>
      </c>
      <c r="O1472" t="s">
        <v>3315</v>
      </c>
      <c r="P1472" s="5"/>
      <c r="Q1472" s="10">
        <f>INT(Tabela1[[#This Row],[DATA]])</f>
        <v>46206</v>
      </c>
      <c r="R1472" s="14" t="str">
        <f ca="1">IF(AND(Q1472&gt;=TODAY()-WEEKDAY(TODAY(),2)+1,Q1472&lt;TODAY()),"SIM","NÃO")</f>
        <v>NÃO</v>
      </c>
    </row>
    <row r="1473" spans="1:18" hidden="1">
      <c r="A1473" t="s">
        <v>2903</v>
      </c>
      <c r="B1473" t="s">
        <v>846</v>
      </c>
      <c r="C1473">
        <v>300276289</v>
      </c>
      <c r="D1473">
        <v>15863387</v>
      </c>
      <c r="E1473" t="s">
        <v>37</v>
      </c>
      <c r="F1473" t="s">
        <v>3241</v>
      </c>
      <c r="G1473">
        <v>1121</v>
      </c>
      <c r="H1473" t="s">
        <v>3316</v>
      </c>
      <c r="J1473" t="s">
        <v>3316</v>
      </c>
      <c r="K1473" s="11">
        <v>46206.640208333331</v>
      </c>
      <c r="M1473">
        <v>801</v>
      </c>
      <c r="N1473" t="s">
        <v>878</v>
      </c>
      <c r="O1473" t="s">
        <v>3317</v>
      </c>
      <c r="P1473" s="5"/>
      <c r="Q1473" s="10">
        <f>INT(Tabela1[[#This Row],[DATA]])</f>
        <v>46206</v>
      </c>
      <c r="R1473" s="14" t="str">
        <f ca="1">IF(AND(Q1473&gt;=TODAY()-WEEKDAY(TODAY(),2)+1,Q1473&lt;TODAY()),"SIM","NÃO")</f>
        <v>NÃO</v>
      </c>
    </row>
    <row r="1474" spans="1:18" hidden="1">
      <c r="A1474" t="s">
        <v>111</v>
      </c>
      <c r="B1474" t="s">
        <v>112</v>
      </c>
      <c r="C1474">
        <v>300276270</v>
      </c>
      <c r="D1474">
        <v>15858367</v>
      </c>
      <c r="E1474" t="s">
        <v>37</v>
      </c>
      <c r="F1474" t="s">
        <v>2405</v>
      </c>
      <c r="G1474">
        <v>1</v>
      </c>
      <c r="H1474" t="s">
        <v>1831</v>
      </c>
      <c r="K1474" s="11">
        <v>46206.649826388886</v>
      </c>
      <c r="M1474">
        <v>802</v>
      </c>
      <c r="N1474" t="s">
        <v>867</v>
      </c>
      <c r="O1474">
        <v>0</v>
      </c>
      <c r="P1474" s="5"/>
      <c r="Q1474" s="10">
        <f>INT(Tabela1[[#This Row],[DATA]])</f>
        <v>46206</v>
      </c>
      <c r="R1474" s="14" t="str">
        <f ca="1">IF(AND(Q1474&gt;=TODAY()-WEEKDAY(TODAY(),2)+1,Q1474&lt;TODAY()),"SIM","NÃO")</f>
        <v>NÃO</v>
      </c>
    </row>
    <row r="1475" spans="1:18" hidden="1">
      <c r="A1475" t="s">
        <v>3132</v>
      </c>
      <c r="B1475" t="s">
        <v>242</v>
      </c>
      <c r="C1475">
        <v>300273772</v>
      </c>
      <c r="D1475">
        <v>16463412</v>
      </c>
      <c r="E1475" t="s">
        <v>37</v>
      </c>
      <c r="F1475" t="s">
        <v>3215</v>
      </c>
      <c r="G1475">
        <v>20</v>
      </c>
      <c r="H1475" t="s">
        <v>2287</v>
      </c>
      <c r="K1475" s="11">
        <v>46206.652233796296</v>
      </c>
      <c r="M1475">
        <v>803</v>
      </c>
      <c r="N1475" t="s">
        <v>878</v>
      </c>
      <c r="O1475" t="s">
        <v>3318</v>
      </c>
      <c r="P1475" s="5"/>
      <c r="Q1475" s="10">
        <f>INT(Tabela1[[#This Row],[DATA]])</f>
        <v>46206</v>
      </c>
      <c r="R1475" s="14" t="str">
        <f ca="1">IF(AND(Q1475&gt;=TODAY()-WEEKDAY(TODAY(),2)+1,Q1475&lt;TODAY()),"SIM","NÃO")</f>
        <v>NÃO</v>
      </c>
    </row>
    <row r="1476" spans="1:18" hidden="1">
      <c r="A1476" t="s">
        <v>2177</v>
      </c>
      <c r="B1476" t="s">
        <v>1073</v>
      </c>
      <c r="C1476">
        <v>300275878</v>
      </c>
      <c r="D1476">
        <v>15723450</v>
      </c>
      <c r="E1476" t="s">
        <v>37</v>
      </c>
      <c r="F1476" t="s">
        <v>2405</v>
      </c>
      <c r="G1476">
        <v>14</v>
      </c>
      <c r="H1476" t="s">
        <v>3319</v>
      </c>
      <c r="J1476" t="s">
        <v>3320</v>
      </c>
      <c r="K1476" s="11">
        <v>46206.654282407406</v>
      </c>
      <c r="M1476">
        <v>804</v>
      </c>
      <c r="N1476" t="s">
        <v>867</v>
      </c>
      <c r="O1476" t="s">
        <v>3321</v>
      </c>
      <c r="P1476" s="5"/>
      <c r="Q1476" s="10">
        <f>INT(Tabela1[[#This Row],[DATA]])</f>
        <v>46206</v>
      </c>
      <c r="R1476" s="14" t="str">
        <f ca="1">IF(AND(Q1476&gt;=TODAY()-WEEKDAY(TODAY(),2)+1,Q1476&lt;TODAY()),"SIM","NÃO")</f>
        <v>NÃO</v>
      </c>
    </row>
    <row r="1477" spans="1:18" hidden="1">
      <c r="A1477" t="s">
        <v>111</v>
      </c>
      <c r="B1477" t="s">
        <v>112</v>
      </c>
      <c r="C1477">
        <v>300276274</v>
      </c>
      <c r="D1477">
        <v>15858367</v>
      </c>
      <c r="E1477" t="s">
        <v>37</v>
      </c>
      <c r="F1477" t="s">
        <v>2405</v>
      </c>
      <c r="G1477">
        <v>2</v>
      </c>
      <c r="H1477" t="s">
        <v>2843</v>
      </c>
      <c r="K1477" s="11">
        <v>46206.656909722224</v>
      </c>
      <c r="M1477">
        <v>805</v>
      </c>
      <c r="N1477" t="s">
        <v>867</v>
      </c>
      <c r="O1477">
        <v>0</v>
      </c>
      <c r="P1477" s="5"/>
      <c r="Q1477" s="10">
        <f>INT(Tabela1[[#This Row],[DATA]])</f>
        <v>46206</v>
      </c>
      <c r="R1477" s="14" t="str">
        <f ca="1">IF(AND(Q1477&gt;=TODAY()-WEEKDAY(TODAY(),2)+1,Q1477&lt;TODAY()),"SIM","NÃO")</f>
        <v>NÃO</v>
      </c>
    </row>
    <row r="1478" spans="1:18" hidden="1">
      <c r="A1478" t="s">
        <v>2610</v>
      </c>
      <c r="B1478" t="s">
        <v>74</v>
      </c>
      <c r="C1478">
        <v>300272294</v>
      </c>
      <c r="D1478">
        <v>16547926</v>
      </c>
      <c r="E1478" t="s">
        <v>20</v>
      </c>
      <c r="F1478" t="s">
        <v>2405</v>
      </c>
      <c r="G1478">
        <v>21</v>
      </c>
      <c r="H1478" t="s">
        <v>555</v>
      </c>
      <c r="K1478" s="11">
        <v>46206.665034722224</v>
      </c>
      <c r="M1478">
        <v>806</v>
      </c>
      <c r="N1478" t="s">
        <v>867</v>
      </c>
      <c r="O1478">
        <v>0</v>
      </c>
      <c r="P1478" s="5"/>
      <c r="Q1478" s="10">
        <f>INT(Tabela1[[#This Row],[DATA]])</f>
        <v>46206</v>
      </c>
      <c r="R1478" s="14" t="str">
        <f ca="1">IF(AND(Q1478&gt;=TODAY()-WEEKDAY(TODAY(),2)+1,Q1478&lt;TODAY()),"SIM","NÃO")</f>
        <v>NÃO</v>
      </c>
    </row>
    <row r="1479" spans="1:18" hidden="1">
      <c r="A1479" t="s">
        <v>332</v>
      </c>
      <c r="B1479" t="s">
        <v>690</v>
      </c>
      <c r="C1479">
        <v>300276897</v>
      </c>
      <c r="D1479">
        <v>16222881</v>
      </c>
      <c r="E1479" t="s">
        <v>45</v>
      </c>
      <c r="F1479" t="s">
        <v>323</v>
      </c>
      <c r="G1479">
        <v>2</v>
      </c>
      <c r="H1479" t="s">
        <v>1966</v>
      </c>
      <c r="K1479" s="11">
        <v>46206.674363425926</v>
      </c>
      <c r="M1479">
        <v>807</v>
      </c>
      <c r="N1479" t="s">
        <v>867</v>
      </c>
      <c r="O1479">
        <v>0</v>
      </c>
      <c r="P1479" s="5"/>
      <c r="Q1479" s="10">
        <f>INT(Tabela1[[#This Row],[DATA]])</f>
        <v>46206</v>
      </c>
      <c r="R1479" s="14" t="str">
        <f ca="1">IF(AND(Q1479&gt;=TODAY()-WEEKDAY(TODAY(),2)+1,Q1479&lt;TODAY()),"SIM","NÃO")</f>
        <v>NÃO</v>
      </c>
    </row>
    <row r="1480" spans="1:18" hidden="1">
      <c r="A1480" t="s">
        <v>332</v>
      </c>
      <c r="B1480" t="s">
        <v>690</v>
      </c>
      <c r="C1480">
        <v>300276897</v>
      </c>
      <c r="D1480">
        <v>16222881</v>
      </c>
      <c r="E1480" t="s">
        <v>45</v>
      </c>
      <c r="F1480" t="s">
        <v>151</v>
      </c>
      <c r="G1480">
        <v>1</v>
      </c>
      <c r="H1480" t="s">
        <v>1966</v>
      </c>
      <c r="K1480" s="11">
        <v>46206.675208333334</v>
      </c>
      <c r="M1480">
        <v>808</v>
      </c>
      <c r="N1480" t="s">
        <v>867</v>
      </c>
      <c r="O1480">
        <v>0</v>
      </c>
      <c r="P1480" s="5"/>
      <c r="Q1480" s="10">
        <f>INT(Tabela1[[#This Row],[DATA]])</f>
        <v>46206</v>
      </c>
      <c r="R1480" s="14" t="str">
        <f ca="1">IF(AND(Q1480&gt;=TODAY()-WEEKDAY(TODAY(),2)+1,Q1480&lt;TODAY()),"SIM","NÃO")</f>
        <v>NÃO</v>
      </c>
    </row>
    <row r="1481" spans="1:18" hidden="1">
      <c r="A1481" t="s">
        <v>305</v>
      </c>
      <c r="B1481" t="s">
        <v>306</v>
      </c>
      <c r="C1481">
        <v>300276766</v>
      </c>
      <c r="D1481">
        <v>16217683</v>
      </c>
      <c r="E1481" t="s">
        <v>37</v>
      </c>
      <c r="F1481" t="s">
        <v>3241</v>
      </c>
      <c r="G1481" t="s">
        <v>3322</v>
      </c>
      <c r="H1481" t="s">
        <v>3323</v>
      </c>
      <c r="J1481" t="s">
        <v>3324</v>
      </c>
      <c r="K1481" s="11">
        <v>46206.678437499999</v>
      </c>
      <c r="M1481">
        <v>809</v>
      </c>
      <c r="N1481" t="s">
        <v>867</v>
      </c>
      <c r="O1481">
        <v>100000200780</v>
      </c>
      <c r="P1481" s="5"/>
      <c r="Q1481" s="10">
        <f>INT(Tabela1[[#This Row],[DATA]])</f>
        <v>46206</v>
      </c>
      <c r="R1481" s="14" t="str">
        <f ca="1">IF(AND(Q1481&gt;=TODAY()-WEEKDAY(TODAY(),2)+1,Q1481&lt;TODAY()),"SIM","NÃO")</f>
        <v>NÃO</v>
      </c>
    </row>
    <row r="1482" spans="1:18" hidden="1">
      <c r="A1482" t="s">
        <v>2551</v>
      </c>
      <c r="B1482" t="s">
        <v>274</v>
      </c>
      <c r="C1482">
        <v>300271213</v>
      </c>
      <c r="D1482">
        <v>13044826</v>
      </c>
      <c r="E1482" t="s">
        <v>29</v>
      </c>
      <c r="F1482" t="s">
        <v>323</v>
      </c>
      <c r="G1482">
        <v>35</v>
      </c>
      <c r="H1482" t="s">
        <v>3325</v>
      </c>
      <c r="K1482" s="11">
        <v>46206.710486111115</v>
      </c>
      <c r="M1482">
        <v>810</v>
      </c>
      <c r="N1482" t="s">
        <v>867</v>
      </c>
      <c r="O1482">
        <v>0</v>
      </c>
      <c r="P1482" s="5"/>
      <c r="Q1482" s="10">
        <f>INT(Tabela1[[#This Row],[DATA]])</f>
        <v>46206</v>
      </c>
      <c r="R1482" s="14" t="str">
        <f ca="1">IF(AND(Q1482&gt;=TODAY()-WEEKDAY(TODAY(),2)+1,Q1482&lt;TODAY()),"SIM","NÃO")</f>
        <v>NÃO</v>
      </c>
    </row>
    <row r="1483" spans="1:18" hidden="1">
      <c r="A1483" t="s">
        <v>111</v>
      </c>
      <c r="B1483" t="s">
        <v>112</v>
      </c>
      <c r="C1483">
        <v>300273874</v>
      </c>
      <c r="D1483">
        <v>16549554</v>
      </c>
      <c r="E1483" t="s">
        <v>20</v>
      </c>
      <c r="F1483" t="s">
        <v>3241</v>
      </c>
      <c r="G1483">
        <v>10</v>
      </c>
      <c r="H1483" t="s">
        <v>1335</v>
      </c>
      <c r="K1483" s="11">
        <v>46206.721921296295</v>
      </c>
      <c r="M1483">
        <v>811</v>
      </c>
      <c r="N1483" t="s">
        <v>867</v>
      </c>
      <c r="O1483">
        <v>10000072542</v>
      </c>
      <c r="P1483" s="5"/>
      <c r="Q1483" s="10">
        <f>INT(Tabela1[[#This Row],[DATA]])</f>
        <v>46206</v>
      </c>
      <c r="R1483" s="14" t="str">
        <f ca="1">IF(AND(Q1483&gt;=TODAY()-WEEKDAY(TODAY(),2)+1,Q1483&lt;TODAY()),"SIM","NÃO")</f>
        <v>NÃO</v>
      </c>
    </row>
    <row r="1484" spans="1:18" hidden="1">
      <c r="A1484" t="s">
        <v>111</v>
      </c>
      <c r="B1484" t="s">
        <v>112</v>
      </c>
      <c r="C1484">
        <v>300273026</v>
      </c>
      <c r="D1484">
        <v>16510216</v>
      </c>
      <c r="E1484" t="s">
        <v>20</v>
      </c>
      <c r="F1484" t="s">
        <v>2405</v>
      </c>
      <c r="G1484">
        <v>20</v>
      </c>
      <c r="H1484" t="s">
        <v>1335</v>
      </c>
      <c r="K1484" s="11">
        <v>46206.722916666666</v>
      </c>
      <c r="M1484">
        <v>812</v>
      </c>
      <c r="N1484" t="s">
        <v>867</v>
      </c>
      <c r="O1484">
        <v>0</v>
      </c>
      <c r="P1484" s="5"/>
      <c r="Q1484" s="10">
        <f>INT(Tabela1[[#This Row],[DATA]])</f>
        <v>46206</v>
      </c>
      <c r="R1484" s="14" t="str">
        <f ca="1">IF(AND(Q1484&gt;=TODAY()-WEEKDAY(TODAY(),2)+1,Q1484&lt;TODAY()),"SIM","NÃO")</f>
        <v>NÃO</v>
      </c>
    </row>
    <row r="1485" spans="1:18" hidden="1">
      <c r="A1485" t="s">
        <v>163</v>
      </c>
      <c r="B1485" t="s">
        <v>164</v>
      </c>
      <c r="C1485">
        <v>300270298</v>
      </c>
      <c r="D1485">
        <v>16176170</v>
      </c>
      <c r="E1485" t="s">
        <v>37</v>
      </c>
      <c r="F1485" t="s">
        <v>2405</v>
      </c>
      <c r="G1485">
        <v>52</v>
      </c>
      <c r="H1485" t="s">
        <v>2930</v>
      </c>
      <c r="K1485" s="11">
        <v>46206.728206018517</v>
      </c>
      <c r="M1485">
        <v>813</v>
      </c>
      <c r="N1485" t="s">
        <v>867</v>
      </c>
      <c r="O1485">
        <v>0</v>
      </c>
      <c r="P1485" s="5"/>
      <c r="Q1485" s="10">
        <f>INT(Tabela1[[#This Row],[DATA]])</f>
        <v>46206</v>
      </c>
      <c r="R1485" s="14" t="str">
        <f ca="1">IF(AND(Q1485&gt;=TODAY()-WEEKDAY(TODAY(),2)+1,Q1485&lt;TODAY()),"SIM","NÃO")</f>
        <v>NÃO</v>
      </c>
    </row>
    <row r="1486" spans="1:18" hidden="1">
      <c r="A1486" t="s">
        <v>605</v>
      </c>
      <c r="B1486" t="s">
        <v>606</v>
      </c>
      <c r="C1486">
        <v>300273783</v>
      </c>
      <c r="D1486">
        <v>15359492</v>
      </c>
      <c r="E1486" t="s">
        <v>29</v>
      </c>
      <c r="F1486" t="s">
        <v>96</v>
      </c>
      <c r="G1486">
        <v>80</v>
      </c>
      <c r="H1486" t="s">
        <v>3326</v>
      </c>
      <c r="J1486" t="s">
        <v>3327</v>
      </c>
      <c r="K1486" s="11">
        <v>46206.803379629629</v>
      </c>
      <c r="M1486">
        <v>814</v>
      </c>
      <c r="N1486" t="s">
        <v>867</v>
      </c>
      <c r="O1486">
        <v>1</v>
      </c>
      <c r="P1486" s="5"/>
      <c r="Q1486" s="10">
        <f>INT(Tabela1[[#This Row],[DATA]])</f>
        <v>46206</v>
      </c>
      <c r="R1486" s="14" t="str">
        <f ca="1">IF(AND(Q1486&gt;=TODAY()-WEEKDAY(TODAY(),2)+1,Q1486&lt;TODAY()),"SIM","NÃO")</f>
        <v>NÃO</v>
      </c>
    </row>
    <row r="1487" spans="1:18" hidden="1">
      <c r="A1487" t="s">
        <v>159</v>
      </c>
      <c r="B1487" t="s">
        <v>1293</v>
      </c>
      <c r="C1487">
        <v>300278548</v>
      </c>
      <c r="D1487">
        <v>16217802</v>
      </c>
      <c r="E1487" t="s">
        <v>37</v>
      </c>
      <c r="F1487" t="s">
        <v>221</v>
      </c>
      <c r="G1487">
        <v>1.1000000000000001</v>
      </c>
      <c r="H1487" t="s">
        <v>1117</v>
      </c>
      <c r="K1487" s="11">
        <v>46207.383113425924</v>
      </c>
      <c r="M1487">
        <v>815</v>
      </c>
      <c r="N1487" t="s">
        <v>878</v>
      </c>
      <c r="O1487">
        <v>10000074062</v>
      </c>
      <c r="P1487" s="5"/>
      <c r="Q1487" s="10">
        <f>INT(Tabela1[[#This Row],[DATA]])</f>
        <v>46207</v>
      </c>
      <c r="R1487" s="14" t="str">
        <f ca="1">IF(AND(Q1487&gt;=TODAY()-WEEKDAY(TODAY(),2)+1,Q1487&lt;TODAY()),"SIM","NÃO")</f>
        <v>NÃO</v>
      </c>
    </row>
    <row r="1488" spans="1:18" hidden="1">
      <c r="A1488" t="s">
        <v>111</v>
      </c>
      <c r="B1488" t="s">
        <v>112</v>
      </c>
      <c r="C1488">
        <v>300276274</v>
      </c>
      <c r="D1488">
        <v>15858367</v>
      </c>
      <c r="E1488" t="s">
        <v>37</v>
      </c>
      <c r="F1488" t="s">
        <v>177</v>
      </c>
      <c r="G1488">
        <v>100</v>
      </c>
      <c r="H1488" t="s">
        <v>1335</v>
      </c>
      <c r="J1488" t="s">
        <v>3328</v>
      </c>
      <c r="K1488" s="11">
        <v>46207.402858796297</v>
      </c>
      <c r="M1488">
        <v>816</v>
      </c>
      <c r="N1488" t="s">
        <v>867</v>
      </c>
      <c r="O1488">
        <v>64387</v>
      </c>
      <c r="P1488" s="5"/>
      <c r="Q1488" s="10">
        <f>INT(Tabela1[[#This Row],[DATA]])</f>
        <v>46207</v>
      </c>
      <c r="R1488" s="14" t="str">
        <f ca="1">IF(AND(Q1488&gt;=TODAY()-WEEKDAY(TODAY(),2)+1,Q1488&lt;TODAY()),"SIM","NÃO")</f>
        <v>NÃO</v>
      </c>
    </row>
    <row r="1489" spans="1:18" hidden="1">
      <c r="A1489" t="s">
        <v>2903</v>
      </c>
      <c r="B1489" t="s">
        <v>846</v>
      </c>
      <c r="C1489">
        <v>300272966</v>
      </c>
      <c r="D1489">
        <v>15711854</v>
      </c>
      <c r="E1489" t="s">
        <v>37</v>
      </c>
      <c r="F1489" t="s">
        <v>216</v>
      </c>
      <c r="G1489">
        <v>437</v>
      </c>
      <c r="H1489" t="s">
        <v>3329</v>
      </c>
      <c r="J1489" t="s">
        <v>3329</v>
      </c>
      <c r="K1489" s="11">
        <v>46209.305983796294</v>
      </c>
      <c r="M1489">
        <v>817</v>
      </c>
      <c r="N1489" t="s">
        <v>878</v>
      </c>
      <c r="O1489" t="s">
        <v>848</v>
      </c>
      <c r="P1489" s="5"/>
      <c r="Q1489" s="10">
        <f>INT(Tabela1[[#This Row],[DATA]])</f>
        <v>46209</v>
      </c>
      <c r="R1489" s="14" t="str">
        <f ca="1">IF(AND(Q1489&gt;=TODAY()-WEEKDAY(TODAY(),2)+1,Q1489&lt;TODAY()),"SIM","NÃO")</f>
        <v>NÃO</v>
      </c>
    </row>
    <row r="1490" spans="1:18" hidden="1">
      <c r="A1490" t="s">
        <v>2903</v>
      </c>
      <c r="B1490" t="s">
        <v>846</v>
      </c>
      <c r="C1490">
        <v>300272964</v>
      </c>
      <c r="D1490">
        <v>15711854</v>
      </c>
      <c r="E1490" t="s">
        <v>37</v>
      </c>
      <c r="F1490" t="s">
        <v>216</v>
      </c>
      <c r="G1490">
        <v>266</v>
      </c>
      <c r="H1490" t="s">
        <v>3329</v>
      </c>
      <c r="J1490" t="s">
        <v>3329</v>
      </c>
      <c r="K1490" s="11">
        <v>46209.308668981481</v>
      </c>
      <c r="M1490">
        <v>818</v>
      </c>
      <c r="N1490" t="s">
        <v>878</v>
      </c>
      <c r="O1490" t="s">
        <v>848</v>
      </c>
      <c r="P1490" s="5"/>
      <c r="Q1490" s="10">
        <f>INT(Tabela1[[#This Row],[DATA]])</f>
        <v>46209</v>
      </c>
      <c r="R1490" s="14" t="str">
        <f ca="1">IF(AND(Q1490&gt;=TODAY()-WEEKDAY(TODAY(),2)+1,Q1490&lt;TODAY()),"SIM","NÃO")</f>
        <v>NÃO</v>
      </c>
    </row>
    <row r="1491" spans="1:18" hidden="1">
      <c r="A1491" t="s">
        <v>287</v>
      </c>
      <c r="B1491" t="s">
        <v>288</v>
      </c>
      <c r="C1491">
        <v>300275031</v>
      </c>
      <c r="D1491">
        <v>16482204</v>
      </c>
      <c r="E1491" t="s">
        <v>37</v>
      </c>
      <c r="F1491" t="s">
        <v>3330</v>
      </c>
      <c r="G1491">
        <v>100</v>
      </c>
      <c r="H1491" t="s">
        <v>3331</v>
      </c>
      <c r="J1491" t="s">
        <v>3332</v>
      </c>
      <c r="K1491" s="11">
        <v>46209.310856481483</v>
      </c>
      <c r="M1491">
        <v>819</v>
      </c>
      <c r="N1491" t="s">
        <v>878</v>
      </c>
      <c r="O1491">
        <v>10000228849</v>
      </c>
      <c r="P1491" s="5"/>
      <c r="Q1491" s="10">
        <f>INT(Tabela1[[#This Row],[DATA]])</f>
        <v>46209</v>
      </c>
      <c r="R1491" s="14" t="str">
        <f ca="1">IF(AND(Q1491&gt;=TODAY()-WEEKDAY(TODAY(),2)+1,Q1491&lt;TODAY()),"SIM","NÃO")</f>
        <v>NÃO</v>
      </c>
    </row>
    <row r="1492" spans="1:18" hidden="1">
      <c r="A1492" t="s">
        <v>2998</v>
      </c>
      <c r="B1492" t="s">
        <v>383</v>
      </c>
      <c r="C1492">
        <v>300273718</v>
      </c>
      <c r="D1492">
        <v>16447786</v>
      </c>
      <c r="E1492" t="s">
        <v>37</v>
      </c>
      <c r="F1492" t="s">
        <v>3333</v>
      </c>
      <c r="G1492">
        <v>6</v>
      </c>
      <c r="H1492" t="s">
        <v>3116</v>
      </c>
      <c r="J1492" t="s">
        <v>3334</v>
      </c>
      <c r="K1492" s="11">
        <v>46209.314398148148</v>
      </c>
      <c r="M1492">
        <v>820</v>
      </c>
      <c r="N1492" t="s">
        <v>878</v>
      </c>
      <c r="O1492">
        <v>0</v>
      </c>
      <c r="P1492" s="5"/>
      <c r="Q1492" s="10">
        <f>INT(Tabela1[[#This Row],[DATA]])</f>
        <v>46209</v>
      </c>
      <c r="R1492" s="14" t="str">
        <f ca="1">IF(AND(Q1492&gt;=TODAY()-WEEKDAY(TODAY(),2)+1,Q1492&lt;TODAY()),"SIM","NÃO")</f>
        <v>NÃO</v>
      </c>
    </row>
    <row r="1493" spans="1:18" hidden="1">
      <c r="A1493" t="s">
        <v>2549</v>
      </c>
      <c r="B1493" t="s">
        <v>19</v>
      </c>
      <c r="C1493">
        <v>300275220</v>
      </c>
      <c r="D1493">
        <v>16544498</v>
      </c>
      <c r="E1493" t="s">
        <v>20</v>
      </c>
      <c r="F1493" t="s">
        <v>2405</v>
      </c>
      <c r="G1493">
        <v>10</v>
      </c>
      <c r="H1493" t="s">
        <v>3171</v>
      </c>
      <c r="J1493" t="s">
        <v>3171</v>
      </c>
      <c r="K1493" s="11">
        <v>46209.317210648151</v>
      </c>
      <c r="M1493">
        <v>821</v>
      </c>
      <c r="N1493" t="s">
        <v>867</v>
      </c>
      <c r="O1493" t="s">
        <v>2802</v>
      </c>
      <c r="P1493" s="5"/>
      <c r="Q1493" s="10">
        <f>INT(Tabela1[[#This Row],[DATA]])</f>
        <v>46209</v>
      </c>
      <c r="R1493" s="14" t="str">
        <f ca="1">IF(AND(Q1493&gt;=TODAY()-WEEKDAY(TODAY(),2)+1,Q1493&lt;TODAY()),"SIM","NÃO")</f>
        <v>NÃO</v>
      </c>
    </row>
    <row r="1494" spans="1:18" hidden="1">
      <c r="A1494" t="s">
        <v>428</v>
      </c>
      <c r="B1494" t="s">
        <v>429</v>
      </c>
      <c r="C1494">
        <v>300275188</v>
      </c>
      <c r="D1494">
        <v>12438235</v>
      </c>
      <c r="E1494" t="s">
        <v>29</v>
      </c>
      <c r="F1494" t="s">
        <v>3241</v>
      </c>
      <c r="G1494">
        <v>15</v>
      </c>
      <c r="H1494" t="s">
        <v>1992</v>
      </c>
      <c r="K1494" s="11">
        <v>46209.325057870374</v>
      </c>
      <c r="M1494">
        <v>822</v>
      </c>
      <c r="N1494" t="s">
        <v>867</v>
      </c>
      <c r="O1494" t="s">
        <v>3335</v>
      </c>
      <c r="P1494" s="5"/>
      <c r="Q1494" s="10">
        <f>INT(Tabela1[[#This Row],[DATA]])</f>
        <v>46209</v>
      </c>
      <c r="R1494" s="14" t="str">
        <f ca="1">IF(AND(Q1494&gt;=TODAY()-WEEKDAY(TODAY(),2)+1,Q1494&lt;TODAY()),"SIM","NÃO")</f>
        <v>NÃO</v>
      </c>
    </row>
    <row r="1495" spans="1:18" hidden="1">
      <c r="A1495" t="s">
        <v>428</v>
      </c>
      <c r="B1495" t="s">
        <v>429</v>
      </c>
      <c r="C1495">
        <v>300275188</v>
      </c>
      <c r="D1495">
        <v>12438235</v>
      </c>
      <c r="E1495" t="s">
        <v>29</v>
      </c>
      <c r="F1495" t="s">
        <v>145</v>
      </c>
      <c r="G1495">
        <v>4</v>
      </c>
      <c r="H1495" t="s">
        <v>3336</v>
      </c>
      <c r="K1495" s="11">
        <v>46209.326574074075</v>
      </c>
      <c r="M1495">
        <v>823</v>
      </c>
      <c r="N1495" t="s">
        <v>878</v>
      </c>
      <c r="O1495">
        <v>0</v>
      </c>
      <c r="P1495" s="5"/>
      <c r="Q1495" s="10">
        <f>INT(Tabela1[[#This Row],[DATA]])</f>
        <v>46209</v>
      </c>
      <c r="R1495" s="14" t="str">
        <f ca="1">IF(AND(Q1495&gt;=TODAY()-WEEKDAY(TODAY(),2)+1,Q1495&lt;TODAY()),"SIM","NÃO")</f>
        <v>NÃO</v>
      </c>
    </row>
    <row r="1496" spans="1:18" hidden="1">
      <c r="A1496" t="s">
        <v>2543</v>
      </c>
      <c r="B1496" t="s">
        <v>28</v>
      </c>
      <c r="C1496">
        <v>300276749</v>
      </c>
      <c r="D1496">
        <v>16493184</v>
      </c>
      <c r="E1496" t="s">
        <v>37</v>
      </c>
      <c r="F1496" t="s">
        <v>3215</v>
      </c>
      <c r="G1496">
        <v>880</v>
      </c>
      <c r="H1496" t="s">
        <v>3337</v>
      </c>
      <c r="K1496" s="11">
        <v>46209.355624999997</v>
      </c>
      <c r="M1496">
        <v>824</v>
      </c>
      <c r="N1496" t="s">
        <v>878</v>
      </c>
      <c r="O1496" t="s">
        <v>3338</v>
      </c>
      <c r="P1496" s="5"/>
      <c r="Q1496" s="10">
        <f>INT(Tabela1[[#This Row],[DATA]])</f>
        <v>46209</v>
      </c>
      <c r="R1496" s="14" t="str">
        <f ca="1">IF(AND(Q1496&gt;=TODAY()-WEEKDAY(TODAY(),2)+1,Q1496&lt;TODAY()),"SIM","NÃO")</f>
        <v>NÃO</v>
      </c>
    </row>
    <row r="1497" spans="1:18" hidden="1">
      <c r="A1497" t="s">
        <v>2543</v>
      </c>
      <c r="B1497" t="s">
        <v>28</v>
      </c>
      <c r="C1497">
        <v>300276749</v>
      </c>
      <c r="D1497">
        <v>16493184</v>
      </c>
      <c r="E1497" t="s">
        <v>37</v>
      </c>
      <c r="F1497" t="s">
        <v>103</v>
      </c>
      <c r="G1497">
        <v>880</v>
      </c>
      <c r="H1497" t="s">
        <v>3339</v>
      </c>
      <c r="K1497" s="11">
        <v>46209.359189814815</v>
      </c>
      <c r="M1497">
        <v>825</v>
      </c>
      <c r="N1497" t="s">
        <v>878</v>
      </c>
      <c r="O1497" t="s">
        <v>3338</v>
      </c>
      <c r="P1497" s="5"/>
      <c r="Q1497" s="10">
        <f>INT(Tabela1[[#This Row],[DATA]])</f>
        <v>46209</v>
      </c>
      <c r="R1497" s="14" t="str">
        <f ca="1">IF(AND(Q1497&gt;=TODAY()-WEEKDAY(TODAY(),2)+1,Q1497&lt;TODAY()),"SIM","NÃO")</f>
        <v>NÃO</v>
      </c>
    </row>
    <row r="1498" spans="1:18" hidden="1">
      <c r="A1498" t="s">
        <v>2551</v>
      </c>
      <c r="B1498" t="s">
        <v>274</v>
      </c>
      <c r="C1498">
        <v>300271213</v>
      </c>
      <c r="D1498">
        <v>13044826</v>
      </c>
      <c r="E1498" t="s">
        <v>29</v>
      </c>
      <c r="F1498" t="s">
        <v>525</v>
      </c>
      <c r="G1498">
        <v>35</v>
      </c>
      <c r="H1498" t="s">
        <v>3340</v>
      </c>
      <c r="K1498" s="11">
        <v>46209.380879629629</v>
      </c>
      <c r="M1498">
        <v>826</v>
      </c>
      <c r="N1498" t="s">
        <v>867</v>
      </c>
      <c r="O1498">
        <v>0</v>
      </c>
      <c r="P1498" s="5"/>
      <c r="Q1498" s="10">
        <f>INT(Tabela1[[#This Row],[DATA]])</f>
        <v>46209</v>
      </c>
      <c r="R1498" s="14" t="str">
        <f ca="1">IF(AND(Q1498&gt;=TODAY()-WEEKDAY(TODAY(),2)+1,Q1498&lt;TODAY()),"SIM","NÃO")</f>
        <v>NÃO</v>
      </c>
    </row>
    <row r="1499" spans="1:18" hidden="1">
      <c r="A1499" t="s">
        <v>1096</v>
      </c>
      <c r="B1499" t="s">
        <v>1097</v>
      </c>
      <c r="C1499">
        <v>300275030</v>
      </c>
      <c r="D1499">
        <v>16482204</v>
      </c>
      <c r="E1499" t="s">
        <v>37</v>
      </c>
      <c r="F1499" t="s">
        <v>216</v>
      </c>
      <c r="G1499">
        <v>120</v>
      </c>
      <c r="H1499" t="s">
        <v>2709</v>
      </c>
      <c r="J1499" t="s">
        <v>3341</v>
      </c>
      <c r="K1499" s="11">
        <v>46209.401469907411</v>
      </c>
      <c r="M1499">
        <v>827</v>
      </c>
      <c r="N1499" t="s">
        <v>867</v>
      </c>
      <c r="O1499">
        <v>0</v>
      </c>
      <c r="P1499" s="5"/>
      <c r="Q1499" s="10">
        <f>INT(Tabela1[[#This Row],[DATA]])</f>
        <v>46209</v>
      </c>
      <c r="R1499" s="14" t="str">
        <f ca="1">IF(AND(Q1499&gt;=TODAY()-WEEKDAY(TODAY(),2)+1,Q1499&lt;TODAY()),"SIM","NÃO")</f>
        <v>NÃO</v>
      </c>
    </row>
    <row r="1500" spans="1:18" hidden="1">
      <c r="A1500" t="s">
        <v>2554</v>
      </c>
      <c r="B1500" t="s">
        <v>150</v>
      </c>
      <c r="C1500">
        <v>300268640</v>
      </c>
      <c r="D1500">
        <v>16292898</v>
      </c>
      <c r="E1500" t="s">
        <v>37</v>
      </c>
      <c r="F1500" t="s">
        <v>3241</v>
      </c>
      <c r="G1500">
        <v>5</v>
      </c>
      <c r="H1500" t="s">
        <v>3268</v>
      </c>
      <c r="J1500" t="s">
        <v>3342</v>
      </c>
      <c r="K1500" s="11">
        <v>46209.403078703705</v>
      </c>
      <c r="M1500">
        <v>828</v>
      </c>
      <c r="N1500" t="s">
        <v>867</v>
      </c>
      <c r="O1500">
        <v>10000073405</v>
      </c>
      <c r="P1500" s="5"/>
      <c r="Q1500" s="10">
        <f>INT(Tabela1[[#This Row],[DATA]])</f>
        <v>46209</v>
      </c>
      <c r="R1500" s="14" t="str">
        <f ca="1">IF(AND(Q1500&gt;=TODAY()-WEEKDAY(TODAY(),2)+1,Q1500&lt;TODAY()),"SIM","NÃO")</f>
        <v>NÃO</v>
      </c>
    </row>
    <row r="1501" spans="1:18" hidden="1">
      <c r="A1501" t="s">
        <v>1096</v>
      </c>
      <c r="B1501" t="s">
        <v>1097</v>
      </c>
      <c r="C1501">
        <v>300275030</v>
      </c>
      <c r="D1501">
        <v>16482204</v>
      </c>
      <c r="E1501" t="s">
        <v>37</v>
      </c>
      <c r="F1501" t="s">
        <v>3343</v>
      </c>
      <c r="G1501">
        <v>290</v>
      </c>
      <c r="H1501" t="s">
        <v>2709</v>
      </c>
      <c r="J1501" t="s">
        <v>3344</v>
      </c>
      <c r="K1501" s="11">
        <v>46209.404363425929</v>
      </c>
      <c r="M1501">
        <v>829</v>
      </c>
      <c r="N1501" t="s">
        <v>867</v>
      </c>
      <c r="O1501">
        <v>0</v>
      </c>
      <c r="P1501" s="5"/>
      <c r="Q1501" s="10">
        <f>INT(Tabela1[[#This Row],[DATA]])</f>
        <v>46209</v>
      </c>
      <c r="R1501" s="14" t="str">
        <f ca="1">IF(AND(Q1501&gt;=TODAY()-WEEKDAY(TODAY(),2)+1,Q1501&lt;TODAY()),"SIM","NÃO")</f>
        <v>NÃO</v>
      </c>
    </row>
    <row r="1502" spans="1:18" hidden="1">
      <c r="A1502" t="s">
        <v>101</v>
      </c>
      <c r="B1502" t="s">
        <v>990</v>
      </c>
      <c r="C1502">
        <v>300268926</v>
      </c>
      <c r="D1502">
        <v>15774104</v>
      </c>
      <c r="E1502" t="s">
        <v>37</v>
      </c>
      <c r="F1502" t="s">
        <v>2405</v>
      </c>
      <c r="G1502">
        <v>6</v>
      </c>
      <c r="H1502" t="s">
        <v>2214</v>
      </c>
      <c r="J1502" t="s">
        <v>2443</v>
      </c>
      <c r="K1502" s="11">
        <v>46209.404988425929</v>
      </c>
      <c r="M1502">
        <v>830</v>
      </c>
      <c r="N1502" t="s">
        <v>867</v>
      </c>
      <c r="O1502">
        <v>0</v>
      </c>
      <c r="P1502" s="5"/>
      <c r="Q1502" s="10">
        <f>INT(Tabela1[[#This Row],[DATA]])</f>
        <v>46209</v>
      </c>
      <c r="R1502" s="14" t="str">
        <f ca="1">IF(AND(Q1502&gt;=TODAY()-WEEKDAY(TODAY(),2)+1,Q1502&lt;TODAY()),"SIM","NÃO")</f>
        <v>NÃO</v>
      </c>
    </row>
    <row r="1503" spans="1:18" hidden="1">
      <c r="A1503" t="s">
        <v>2774</v>
      </c>
      <c r="B1503" t="s">
        <v>1910</v>
      </c>
      <c r="C1503">
        <v>300272582</v>
      </c>
      <c r="D1503">
        <v>16243730</v>
      </c>
      <c r="E1503" t="s">
        <v>37</v>
      </c>
      <c r="F1503" t="s">
        <v>3241</v>
      </c>
      <c r="G1503">
        <v>6</v>
      </c>
      <c r="H1503" t="s">
        <v>2492</v>
      </c>
      <c r="J1503" t="s">
        <v>3345</v>
      </c>
      <c r="K1503" s="11">
        <v>46209.419629629629</v>
      </c>
      <c r="M1503">
        <v>831</v>
      </c>
      <c r="N1503" t="s">
        <v>867</v>
      </c>
      <c r="O1503">
        <v>600</v>
      </c>
      <c r="P1503" s="5"/>
      <c r="Q1503" s="10">
        <f>INT(Tabela1[[#This Row],[DATA]])</f>
        <v>46209</v>
      </c>
      <c r="R1503" s="14" t="str">
        <f ca="1">IF(AND(Q1503&gt;=TODAY()-WEEKDAY(TODAY(),2)+1,Q1503&lt;TODAY()),"SIM","NÃO")</f>
        <v>NÃO</v>
      </c>
    </row>
    <row r="1504" spans="1:18" hidden="1">
      <c r="A1504" t="s">
        <v>2551</v>
      </c>
      <c r="B1504" t="s">
        <v>274</v>
      </c>
      <c r="C1504">
        <v>300274191</v>
      </c>
      <c r="D1504">
        <v>15359492</v>
      </c>
      <c r="E1504" t="s">
        <v>29</v>
      </c>
      <c r="F1504" t="s">
        <v>2405</v>
      </c>
      <c r="G1504">
        <v>10</v>
      </c>
      <c r="H1504" t="s">
        <v>2923</v>
      </c>
      <c r="K1504" s="11">
        <v>46209.430439814816</v>
      </c>
      <c r="M1504">
        <v>832</v>
      </c>
      <c r="N1504" t="s">
        <v>867</v>
      </c>
      <c r="O1504">
        <v>0</v>
      </c>
      <c r="P1504" s="5"/>
      <c r="Q1504" s="10">
        <f>INT(Tabela1[[#This Row],[DATA]])</f>
        <v>46209</v>
      </c>
      <c r="R1504" s="14" t="str">
        <f ca="1">IF(AND(Q1504&gt;=TODAY()-WEEKDAY(TODAY(),2)+1,Q1504&lt;TODAY()),"SIM","NÃO")</f>
        <v>NÃO</v>
      </c>
    </row>
    <row r="1505" spans="1:18" hidden="1">
      <c r="A1505" t="s">
        <v>755</v>
      </c>
      <c r="B1505" t="s">
        <v>756</v>
      </c>
      <c r="C1505">
        <v>300273637</v>
      </c>
      <c r="D1505">
        <v>16440641</v>
      </c>
      <c r="E1505" t="s">
        <v>37</v>
      </c>
      <c r="F1505" t="s">
        <v>1904</v>
      </c>
      <c r="G1505">
        <v>2440</v>
      </c>
      <c r="H1505" t="s">
        <v>3346</v>
      </c>
      <c r="J1505" t="s">
        <v>3347</v>
      </c>
      <c r="K1505" s="11">
        <v>46209.453032407408</v>
      </c>
      <c r="M1505">
        <v>833</v>
      </c>
      <c r="N1505" t="s">
        <v>878</v>
      </c>
      <c r="O1505" t="s">
        <v>3348</v>
      </c>
      <c r="P1505" s="5"/>
      <c r="Q1505" s="10">
        <f>INT(Tabela1[[#This Row],[DATA]])</f>
        <v>46209</v>
      </c>
      <c r="R1505" s="14" t="str">
        <f ca="1">IF(AND(Q1505&gt;=TODAY()-WEEKDAY(TODAY(),2)+1,Q1505&lt;TODAY()),"SIM","NÃO")</f>
        <v>NÃO</v>
      </c>
    </row>
    <row r="1506" spans="1:18" hidden="1">
      <c r="A1506" t="s">
        <v>2541</v>
      </c>
      <c r="B1506" t="s">
        <v>388</v>
      </c>
      <c r="C1506">
        <v>300277059</v>
      </c>
      <c r="D1506">
        <v>16217420</v>
      </c>
      <c r="E1506" t="s">
        <v>37</v>
      </c>
      <c r="F1506" t="s">
        <v>221</v>
      </c>
      <c r="G1506">
        <v>738</v>
      </c>
      <c r="H1506" t="s">
        <v>2313</v>
      </c>
      <c r="K1506" s="11">
        <v>46209.459629629629</v>
      </c>
      <c r="M1506">
        <v>834</v>
      </c>
      <c r="N1506" t="s">
        <v>878</v>
      </c>
      <c r="O1506">
        <v>0</v>
      </c>
      <c r="P1506" s="5"/>
      <c r="Q1506" s="10">
        <f>INT(Tabela1[[#This Row],[DATA]])</f>
        <v>46209</v>
      </c>
      <c r="R1506" s="14" t="str">
        <f ca="1">IF(AND(Q1506&gt;=TODAY()-WEEKDAY(TODAY(),2)+1,Q1506&lt;TODAY()),"SIM","NÃO")</f>
        <v>NÃO</v>
      </c>
    </row>
    <row r="1507" spans="1:18" hidden="1">
      <c r="A1507" t="s">
        <v>2541</v>
      </c>
      <c r="B1507" t="s">
        <v>388</v>
      </c>
      <c r="C1507">
        <v>300277057</v>
      </c>
      <c r="D1507">
        <v>16217420</v>
      </c>
      <c r="E1507" t="s">
        <v>37</v>
      </c>
      <c r="F1507" t="s">
        <v>221</v>
      </c>
      <c r="G1507">
        <v>841</v>
      </c>
      <c r="H1507" t="s">
        <v>2313</v>
      </c>
      <c r="K1507" s="11">
        <v>46209.461400462962</v>
      </c>
      <c r="M1507">
        <v>835</v>
      </c>
      <c r="N1507" t="s">
        <v>878</v>
      </c>
      <c r="O1507">
        <v>0</v>
      </c>
      <c r="P1507" s="5"/>
      <c r="Q1507" s="10">
        <f>INT(Tabela1[[#This Row],[DATA]])</f>
        <v>46209</v>
      </c>
      <c r="R1507" s="14" t="str">
        <f ca="1">IF(AND(Q1507&gt;=TODAY()-WEEKDAY(TODAY(),2)+1,Q1507&lt;TODAY()),"SIM","NÃO")</f>
        <v>NÃO</v>
      </c>
    </row>
    <row r="1508" spans="1:18" hidden="1">
      <c r="A1508" t="s">
        <v>143</v>
      </c>
      <c r="B1508" t="s">
        <v>144</v>
      </c>
      <c r="C1508">
        <v>300276892</v>
      </c>
      <c r="D1508">
        <v>16222954</v>
      </c>
      <c r="E1508" t="s">
        <v>45</v>
      </c>
      <c r="F1508" t="s">
        <v>103</v>
      </c>
      <c r="G1508">
        <v>1</v>
      </c>
      <c r="H1508" t="s">
        <v>644</v>
      </c>
      <c r="K1508" s="11">
        <v>46209.468344907407</v>
      </c>
      <c r="M1508">
        <v>836</v>
      </c>
      <c r="N1508" t="s">
        <v>878</v>
      </c>
      <c r="O1508">
        <v>0</v>
      </c>
      <c r="P1508" s="5"/>
      <c r="Q1508" s="10">
        <f>INT(Tabela1[[#This Row],[DATA]])</f>
        <v>46209</v>
      </c>
      <c r="R1508" s="14" t="str">
        <f ca="1">IF(AND(Q1508&gt;=TODAY()-WEEKDAY(TODAY(),2)+1,Q1508&lt;TODAY()),"SIM","NÃO")</f>
        <v>NÃO</v>
      </c>
    </row>
    <row r="1509" spans="1:18" hidden="1">
      <c r="A1509" t="s">
        <v>163</v>
      </c>
      <c r="B1509" t="s">
        <v>164</v>
      </c>
      <c r="C1509">
        <v>300277359</v>
      </c>
      <c r="D1509">
        <v>16442857</v>
      </c>
      <c r="E1509" t="s">
        <v>29</v>
      </c>
      <c r="F1509" t="s">
        <v>2405</v>
      </c>
      <c r="G1509">
        <v>1</v>
      </c>
      <c r="H1509" t="s">
        <v>2292</v>
      </c>
      <c r="K1509" s="11">
        <v>46209.540046296293</v>
      </c>
      <c r="M1509">
        <v>837</v>
      </c>
      <c r="N1509" t="s">
        <v>867</v>
      </c>
      <c r="O1509">
        <v>0</v>
      </c>
      <c r="P1509" s="5"/>
      <c r="Q1509" s="10">
        <f>INT(Tabela1[[#This Row],[DATA]])</f>
        <v>46209</v>
      </c>
      <c r="R1509" s="14" t="str">
        <f ca="1">IF(AND(Q1509&gt;=TODAY()-WEEKDAY(TODAY(),2)+1,Q1509&lt;TODAY()),"SIM","NÃO")</f>
        <v>NÃO</v>
      </c>
    </row>
    <row r="1510" spans="1:18" hidden="1">
      <c r="A1510" t="s">
        <v>163</v>
      </c>
      <c r="B1510" t="s">
        <v>164</v>
      </c>
      <c r="C1510">
        <v>300270298</v>
      </c>
      <c r="D1510">
        <v>16176170</v>
      </c>
      <c r="E1510" t="s">
        <v>37</v>
      </c>
      <c r="F1510" t="s">
        <v>221</v>
      </c>
      <c r="G1510" t="s">
        <v>3349</v>
      </c>
      <c r="H1510" t="s">
        <v>2292</v>
      </c>
      <c r="J1510" t="s">
        <v>3350</v>
      </c>
      <c r="K1510" s="11">
        <v>46209.558136574073</v>
      </c>
      <c r="M1510">
        <v>838</v>
      </c>
      <c r="N1510" t="s">
        <v>867</v>
      </c>
      <c r="O1510">
        <v>10000074054</v>
      </c>
      <c r="P1510" s="5"/>
      <c r="Q1510" s="10">
        <f>INT(Tabela1[[#This Row],[DATA]])</f>
        <v>46209</v>
      </c>
      <c r="R1510" s="14" t="str">
        <f ca="1">IF(AND(Q1510&gt;=TODAY()-WEEKDAY(TODAY(),2)+1,Q1510&lt;TODAY()),"SIM","NÃO")</f>
        <v>NÃO</v>
      </c>
    </row>
    <row r="1511" spans="1:18" hidden="1">
      <c r="A1511" t="s">
        <v>143</v>
      </c>
      <c r="B1511" t="s">
        <v>144</v>
      </c>
      <c r="C1511">
        <v>300276892</v>
      </c>
      <c r="D1511">
        <v>16222954</v>
      </c>
      <c r="E1511" t="s">
        <v>45</v>
      </c>
      <c r="F1511" t="s">
        <v>1287</v>
      </c>
      <c r="G1511">
        <v>20</v>
      </c>
      <c r="H1511" t="s">
        <v>644</v>
      </c>
      <c r="K1511" s="11">
        <v>46209.564953703702</v>
      </c>
      <c r="M1511">
        <v>839</v>
      </c>
      <c r="N1511" t="s">
        <v>878</v>
      </c>
      <c r="O1511">
        <v>0</v>
      </c>
      <c r="P1511" s="5"/>
      <c r="Q1511" s="10">
        <f>INT(Tabela1[[#This Row],[DATA]])</f>
        <v>46209</v>
      </c>
      <c r="R1511" s="14" t="str">
        <f ca="1">IF(AND(Q1511&gt;=TODAY()-WEEKDAY(TODAY(),2)+1,Q1511&lt;TODAY()),"SIM","NÃO")</f>
        <v>NÃO</v>
      </c>
    </row>
    <row r="1512" spans="1:18" hidden="1">
      <c r="A1512" t="s">
        <v>787</v>
      </c>
      <c r="B1512" t="s">
        <v>788</v>
      </c>
      <c r="C1512">
        <v>300275052</v>
      </c>
      <c r="D1512">
        <v>16186648</v>
      </c>
      <c r="E1512" t="s">
        <v>37</v>
      </c>
      <c r="F1512" t="s">
        <v>651</v>
      </c>
      <c r="G1512">
        <v>202</v>
      </c>
      <c r="H1512" t="s">
        <v>3351</v>
      </c>
      <c r="J1512" t="s">
        <v>3352</v>
      </c>
      <c r="K1512" s="11">
        <v>46209.585115740738</v>
      </c>
      <c r="M1512">
        <v>840</v>
      </c>
      <c r="N1512" t="s">
        <v>878</v>
      </c>
      <c r="O1512">
        <v>0</v>
      </c>
      <c r="P1512" s="5"/>
      <c r="Q1512" s="10">
        <f>INT(Tabela1[[#This Row],[DATA]])</f>
        <v>46209</v>
      </c>
      <c r="R1512" s="14" t="str">
        <f ca="1">IF(AND(Q1512&gt;=TODAY()-WEEKDAY(TODAY(),2)+1,Q1512&lt;TODAY()),"SIM","NÃO")</f>
        <v>NÃO</v>
      </c>
    </row>
    <row r="1513" spans="1:18" hidden="1">
      <c r="A1513" t="s">
        <v>787</v>
      </c>
      <c r="B1513" t="s">
        <v>788</v>
      </c>
      <c r="C1513">
        <v>300275052</v>
      </c>
      <c r="D1513">
        <v>16186648</v>
      </c>
      <c r="E1513" t="s">
        <v>37</v>
      </c>
      <c r="F1513" t="s">
        <v>216</v>
      </c>
      <c r="G1513">
        <v>202</v>
      </c>
      <c r="H1513" t="s">
        <v>3353</v>
      </c>
      <c r="J1513" t="s">
        <v>3354</v>
      </c>
      <c r="K1513" s="11">
        <v>46209.586377314816</v>
      </c>
      <c r="M1513">
        <v>841</v>
      </c>
      <c r="N1513" t="s">
        <v>878</v>
      </c>
      <c r="O1513">
        <v>0</v>
      </c>
      <c r="P1513" s="5"/>
      <c r="Q1513" s="10">
        <f>INT(Tabela1[[#This Row],[DATA]])</f>
        <v>46209</v>
      </c>
      <c r="R1513" s="14" t="str">
        <f ca="1">IF(AND(Q1513&gt;=TODAY()-WEEKDAY(TODAY(),2)+1,Q1513&lt;TODAY()),"SIM","NÃO")</f>
        <v>NÃO</v>
      </c>
    </row>
    <row r="1514" spans="1:18" hidden="1">
      <c r="A1514" t="s">
        <v>2624</v>
      </c>
      <c r="B1514" t="s">
        <v>50</v>
      </c>
      <c r="C1514">
        <v>300276748</v>
      </c>
      <c r="D1514">
        <v>16217861</v>
      </c>
      <c r="E1514" t="s">
        <v>37</v>
      </c>
      <c r="F1514" t="s">
        <v>2405</v>
      </c>
      <c r="G1514">
        <v>40</v>
      </c>
      <c r="H1514" t="s">
        <v>3355</v>
      </c>
      <c r="J1514" t="s">
        <v>3356</v>
      </c>
      <c r="K1514" s="11">
        <v>46209.600127314814</v>
      </c>
      <c r="M1514">
        <v>842</v>
      </c>
      <c r="N1514" t="s">
        <v>878</v>
      </c>
      <c r="O1514" t="s">
        <v>3357</v>
      </c>
      <c r="P1514" s="5"/>
      <c r="Q1514" s="10">
        <f>INT(Tabela1[[#This Row],[DATA]])</f>
        <v>46209</v>
      </c>
      <c r="R1514" s="14" t="str">
        <f ca="1">IF(AND(Q1514&gt;=TODAY()-WEEKDAY(TODAY(),2)+1,Q1514&lt;TODAY()),"SIM","NÃO")</f>
        <v>NÃO</v>
      </c>
    </row>
    <row r="1515" spans="1:18" hidden="1">
      <c r="A1515" t="s">
        <v>787</v>
      </c>
      <c r="B1515" t="s">
        <v>788</v>
      </c>
      <c r="C1515">
        <v>300275822</v>
      </c>
      <c r="D1515">
        <v>16187539</v>
      </c>
      <c r="E1515" t="s">
        <v>37</v>
      </c>
      <c r="F1515" t="s">
        <v>151</v>
      </c>
      <c r="G1515" t="s">
        <v>3358</v>
      </c>
      <c r="H1515" t="s">
        <v>1966</v>
      </c>
      <c r="J1515" t="s">
        <v>3359</v>
      </c>
      <c r="K1515" s="11">
        <v>46209.608472222222</v>
      </c>
      <c r="M1515">
        <v>843</v>
      </c>
      <c r="N1515" t="s">
        <v>867</v>
      </c>
      <c r="O1515">
        <v>0</v>
      </c>
      <c r="P1515" s="5"/>
      <c r="Q1515" s="10">
        <f>INT(Tabela1[[#This Row],[DATA]])</f>
        <v>46209</v>
      </c>
      <c r="R1515" s="14" t="str">
        <f ca="1">IF(AND(Q1515&gt;=TODAY()-WEEKDAY(TODAY(),2)+1,Q1515&lt;TODAY()),"SIM","NÃO")</f>
        <v>NÃO</v>
      </c>
    </row>
    <row r="1516" spans="1:18" hidden="1">
      <c r="A1516" t="s">
        <v>541</v>
      </c>
      <c r="B1516" t="s">
        <v>542</v>
      </c>
      <c r="C1516">
        <v>300000000</v>
      </c>
      <c r="D1516">
        <v>0</v>
      </c>
      <c r="E1516" t="s">
        <v>45</v>
      </c>
      <c r="F1516" t="s">
        <v>1287</v>
      </c>
      <c r="G1516">
        <v>20</v>
      </c>
      <c r="H1516" t="s">
        <v>2904</v>
      </c>
      <c r="J1516" t="s">
        <v>3360</v>
      </c>
      <c r="K1516" s="11">
        <v>46209.614803240744</v>
      </c>
      <c r="M1516">
        <v>844</v>
      </c>
      <c r="N1516" t="s">
        <v>878</v>
      </c>
      <c r="O1516">
        <v>0</v>
      </c>
      <c r="P1516" s="5"/>
      <c r="Q1516" s="10">
        <f>INT(Tabela1[[#This Row],[DATA]])</f>
        <v>46209</v>
      </c>
      <c r="R1516" s="14" t="str">
        <f ca="1">IF(AND(Q1516&gt;=TODAY()-WEEKDAY(TODAY(),2)+1,Q1516&lt;TODAY()),"SIM","NÃO")</f>
        <v>NÃO</v>
      </c>
    </row>
    <row r="1517" spans="1:18" hidden="1">
      <c r="A1517" t="s">
        <v>3234</v>
      </c>
      <c r="B1517" t="s">
        <v>3240</v>
      </c>
      <c r="C1517">
        <v>300276412</v>
      </c>
      <c r="D1517">
        <v>16441630</v>
      </c>
      <c r="E1517" t="s">
        <v>45</v>
      </c>
      <c r="F1517" t="s">
        <v>3212</v>
      </c>
      <c r="G1517">
        <v>1512</v>
      </c>
      <c r="H1517" t="s">
        <v>3361</v>
      </c>
      <c r="J1517" t="s">
        <v>3362</v>
      </c>
      <c r="K1517" s="11">
        <v>46209.619328703702</v>
      </c>
      <c r="M1517">
        <v>845</v>
      </c>
      <c r="N1517" t="s">
        <v>878</v>
      </c>
      <c r="O1517" t="s">
        <v>3363</v>
      </c>
      <c r="P1517" s="5"/>
      <c r="Q1517" s="10">
        <f>INT(Tabela1[[#This Row],[DATA]])</f>
        <v>46209</v>
      </c>
      <c r="R1517" s="14" t="str">
        <f ca="1">IF(AND(Q1517&gt;=TODAY()-WEEKDAY(TODAY(),2)+1,Q1517&lt;TODAY()),"SIM","NÃO")</f>
        <v>NÃO</v>
      </c>
    </row>
    <row r="1518" spans="1:18" hidden="1">
      <c r="A1518" t="s">
        <v>101</v>
      </c>
      <c r="B1518" t="s">
        <v>990</v>
      </c>
      <c r="C1518">
        <v>300276278</v>
      </c>
      <c r="D1518">
        <v>15863387</v>
      </c>
      <c r="E1518" t="s">
        <v>37</v>
      </c>
      <c r="F1518" t="s">
        <v>2405</v>
      </c>
      <c r="G1518">
        <v>18</v>
      </c>
      <c r="H1518" t="s">
        <v>3119</v>
      </c>
      <c r="J1518" t="s">
        <v>3364</v>
      </c>
      <c r="K1518" s="11">
        <v>46209.637800925928</v>
      </c>
      <c r="M1518">
        <v>846</v>
      </c>
      <c r="N1518" t="s">
        <v>867</v>
      </c>
      <c r="O1518">
        <v>0</v>
      </c>
      <c r="P1518" s="5"/>
      <c r="Q1518" s="10">
        <f>INT(Tabela1[[#This Row],[DATA]])</f>
        <v>46209</v>
      </c>
      <c r="R1518" s="14" t="str">
        <f ca="1">IF(AND(Q1518&gt;=TODAY()-WEEKDAY(TODAY(),2)+1,Q1518&lt;TODAY()),"SIM","NÃO")</f>
        <v>NÃO</v>
      </c>
    </row>
    <row r="1519" spans="1:18" hidden="1">
      <c r="A1519" t="s">
        <v>287</v>
      </c>
      <c r="B1519" t="s">
        <v>288</v>
      </c>
      <c r="C1519">
        <v>300275031</v>
      </c>
      <c r="D1519">
        <v>16482204</v>
      </c>
      <c r="E1519" t="s">
        <v>37</v>
      </c>
      <c r="F1519" t="s">
        <v>216</v>
      </c>
      <c r="G1519">
        <v>141</v>
      </c>
      <c r="H1519" t="s">
        <v>2492</v>
      </c>
      <c r="K1519" s="11">
        <v>46209.64298611111</v>
      </c>
      <c r="M1519">
        <v>847</v>
      </c>
      <c r="N1519" t="s">
        <v>867</v>
      </c>
      <c r="O1519">
        <v>0</v>
      </c>
      <c r="P1519" s="5"/>
      <c r="Q1519" s="10">
        <f>INT(Tabela1[[#This Row],[DATA]])</f>
        <v>46209</v>
      </c>
      <c r="R1519" s="14" t="str">
        <f ca="1">IF(AND(Q1519&gt;=TODAY()-WEEKDAY(TODAY(),2)+1,Q1519&lt;TODAY()),"SIM","NÃO")</f>
        <v>NÃO</v>
      </c>
    </row>
    <row r="1520" spans="1:18" hidden="1">
      <c r="A1520" t="s">
        <v>2905</v>
      </c>
      <c r="B1520" t="s">
        <v>2906</v>
      </c>
      <c r="C1520">
        <v>300278545</v>
      </c>
      <c r="D1520">
        <v>16240944</v>
      </c>
      <c r="E1520" t="s">
        <v>37</v>
      </c>
      <c r="F1520" t="s">
        <v>3215</v>
      </c>
      <c r="G1520">
        <v>1</v>
      </c>
      <c r="H1520" t="s">
        <v>3365</v>
      </c>
      <c r="K1520" s="11">
        <v>46209.648263888892</v>
      </c>
      <c r="M1520">
        <v>848</v>
      </c>
      <c r="N1520" t="s">
        <v>878</v>
      </c>
      <c r="O1520">
        <v>1</v>
      </c>
      <c r="P1520" s="5"/>
      <c r="Q1520" s="10">
        <f>INT(Tabela1[[#This Row],[DATA]])</f>
        <v>46209</v>
      </c>
      <c r="R1520" s="14" t="str">
        <f ca="1">IF(AND(Q1520&gt;=TODAY()-WEEKDAY(TODAY(),2)+1,Q1520&lt;TODAY()),"SIM","NÃO")</f>
        <v>NÃO</v>
      </c>
    </row>
    <row r="1521" spans="1:18" hidden="1">
      <c r="A1521" t="s">
        <v>101</v>
      </c>
      <c r="B1521" t="s">
        <v>990</v>
      </c>
      <c r="C1521">
        <v>300268926</v>
      </c>
      <c r="D1521">
        <v>15774104</v>
      </c>
      <c r="E1521" t="s">
        <v>37</v>
      </c>
      <c r="F1521" t="s">
        <v>3366</v>
      </c>
      <c r="G1521">
        <v>20</v>
      </c>
      <c r="H1521" t="s">
        <v>3367</v>
      </c>
      <c r="J1521" t="s">
        <v>3368</v>
      </c>
      <c r="K1521" s="11">
        <v>46209.67528935185</v>
      </c>
      <c r="M1521">
        <v>849</v>
      </c>
      <c r="N1521" t="s">
        <v>878</v>
      </c>
      <c r="O1521">
        <v>0</v>
      </c>
      <c r="P1521" s="5"/>
      <c r="Q1521" s="10">
        <f>INT(Tabela1[[#This Row],[DATA]])</f>
        <v>46209</v>
      </c>
      <c r="R1521" s="14" t="str">
        <f ca="1">IF(AND(Q1521&gt;=TODAY()-WEEKDAY(TODAY(),2)+1,Q1521&lt;TODAY()),"SIM","NÃO")</f>
        <v>NÃO</v>
      </c>
    </row>
    <row r="1522" spans="1:18" hidden="1">
      <c r="A1522" t="s">
        <v>2610</v>
      </c>
      <c r="B1522" t="s">
        <v>74</v>
      </c>
      <c r="C1522">
        <v>300277992</v>
      </c>
      <c r="D1522">
        <v>16417216</v>
      </c>
      <c r="E1522" t="s">
        <v>45</v>
      </c>
      <c r="F1522" t="s">
        <v>2405</v>
      </c>
      <c r="G1522">
        <v>10</v>
      </c>
      <c r="H1522" t="s">
        <v>82</v>
      </c>
      <c r="J1522" t="s">
        <v>555</v>
      </c>
      <c r="K1522" s="11">
        <v>46209.681215277778</v>
      </c>
      <c r="M1522">
        <v>850</v>
      </c>
      <c r="N1522" t="s">
        <v>867</v>
      </c>
      <c r="O1522">
        <v>0</v>
      </c>
      <c r="P1522" s="5"/>
      <c r="Q1522" s="10">
        <f>INT(Tabela1[[#This Row],[DATA]])</f>
        <v>46209</v>
      </c>
      <c r="R1522" s="14" t="str">
        <f ca="1">IF(AND(Q1522&gt;=TODAY()-WEEKDAY(TODAY(),2)+1,Q1522&lt;TODAY()),"SIM","NÃO")</f>
        <v>NÃO</v>
      </c>
    </row>
    <row r="1523" spans="1:18" hidden="1">
      <c r="A1523" t="s">
        <v>2967</v>
      </c>
      <c r="B1523" t="s">
        <v>74</v>
      </c>
      <c r="C1523">
        <v>300272294</v>
      </c>
      <c r="D1523">
        <v>16547926</v>
      </c>
      <c r="E1523" t="s">
        <v>20</v>
      </c>
      <c r="F1523" t="s">
        <v>430</v>
      </c>
      <c r="G1523">
        <v>350</v>
      </c>
      <c r="H1523" t="s">
        <v>555</v>
      </c>
      <c r="K1523" s="11">
        <v>46209.685069444444</v>
      </c>
      <c r="M1523">
        <v>851</v>
      </c>
      <c r="N1523" t="s">
        <v>867</v>
      </c>
      <c r="O1523">
        <v>10000224580</v>
      </c>
      <c r="P1523" s="5"/>
      <c r="Q1523" s="10">
        <f>INT(Tabela1[[#This Row],[DATA]])</f>
        <v>46209</v>
      </c>
      <c r="R1523" s="14" t="str">
        <f ca="1">IF(AND(Q1523&gt;=TODAY()-WEEKDAY(TODAY(),2)+1,Q1523&lt;TODAY()),"SIM","NÃO")</f>
        <v>NÃO</v>
      </c>
    </row>
    <row r="1524" spans="1:18" hidden="1">
      <c r="A1524" t="s">
        <v>2671</v>
      </c>
      <c r="B1524" t="s">
        <v>89</v>
      </c>
      <c r="C1524">
        <v>300279915</v>
      </c>
      <c r="D1524">
        <v>15775615</v>
      </c>
      <c r="E1524" t="s">
        <v>37</v>
      </c>
      <c r="F1524" t="s">
        <v>216</v>
      </c>
      <c r="G1524">
        <v>69</v>
      </c>
      <c r="H1524" t="s">
        <v>3369</v>
      </c>
      <c r="J1524" t="s">
        <v>3370</v>
      </c>
      <c r="K1524" s="11">
        <v>46209.703449074077</v>
      </c>
      <c r="M1524">
        <v>852</v>
      </c>
      <c r="N1524" t="s">
        <v>878</v>
      </c>
      <c r="O1524">
        <v>0</v>
      </c>
      <c r="P1524" s="5"/>
      <c r="Q1524" s="10">
        <f>INT(Tabela1[[#This Row],[DATA]])</f>
        <v>46209</v>
      </c>
      <c r="R1524" s="14" t="str">
        <f ca="1">IF(AND(Q1524&gt;=TODAY()-WEEKDAY(TODAY(),2)+1,Q1524&lt;TODAY()),"SIM","NÃO")</f>
        <v>NÃO</v>
      </c>
    </row>
    <row r="1525" spans="1:18" hidden="1">
      <c r="A1525" t="s">
        <v>101</v>
      </c>
      <c r="B1525" t="s">
        <v>990</v>
      </c>
      <c r="C1525">
        <v>300276278</v>
      </c>
      <c r="D1525">
        <v>15863387</v>
      </c>
      <c r="E1525" t="s">
        <v>37</v>
      </c>
      <c r="F1525" t="s">
        <v>151</v>
      </c>
      <c r="G1525">
        <v>12</v>
      </c>
      <c r="H1525" t="s">
        <v>3116</v>
      </c>
      <c r="J1525" t="s">
        <v>3371</v>
      </c>
      <c r="K1525" s="11">
        <v>46209.733356481483</v>
      </c>
      <c r="M1525">
        <v>853</v>
      </c>
      <c r="N1525" t="s">
        <v>867</v>
      </c>
      <c r="O1525">
        <v>0</v>
      </c>
      <c r="P1525" s="5"/>
      <c r="Q1525" s="10">
        <f>INT(Tabela1[[#This Row],[DATA]])</f>
        <v>46209</v>
      </c>
      <c r="R1525" s="14" t="str">
        <f ca="1">IF(AND(Q1525&gt;=TODAY()-WEEKDAY(TODAY(),2)+1,Q1525&lt;TODAY()),"SIM","NÃO")</f>
        <v>NÃO</v>
      </c>
    </row>
    <row r="1526" spans="1:18" hidden="1">
      <c r="A1526" t="s">
        <v>2998</v>
      </c>
      <c r="B1526" t="s">
        <v>383</v>
      </c>
      <c r="C1526">
        <v>300273718</v>
      </c>
      <c r="D1526">
        <v>16447786</v>
      </c>
      <c r="E1526" t="s">
        <v>37</v>
      </c>
      <c r="F1526" t="s">
        <v>2405</v>
      </c>
      <c r="G1526">
        <v>12</v>
      </c>
      <c r="H1526" t="s">
        <v>3049</v>
      </c>
      <c r="J1526" t="s">
        <v>3372</v>
      </c>
      <c r="K1526" s="11">
        <v>46209.754351851851</v>
      </c>
      <c r="M1526">
        <v>854</v>
      </c>
      <c r="N1526" t="s">
        <v>867</v>
      </c>
      <c r="O1526" t="s">
        <v>3051</v>
      </c>
      <c r="P1526" s="5"/>
      <c r="Q1526" s="10">
        <f>INT(Tabela1[[#This Row],[DATA]])</f>
        <v>46209</v>
      </c>
      <c r="R1526" s="14" t="str">
        <f ca="1">IF(AND(Q1526&gt;=TODAY()-WEEKDAY(TODAY(),2)+1,Q1526&lt;TODAY()),"SIM","NÃO")</f>
        <v>NÃO</v>
      </c>
    </row>
    <row r="1527" spans="1:18" hidden="1">
      <c r="A1527" t="s">
        <v>1421</v>
      </c>
      <c r="B1527" t="s">
        <v>3211</v>
      </c>
      <c r="C1527">
        <v>300279120</v>
      </c>
      <c r="D1527">
        <v>16223780</v>
      </c>
      <c r="E1527" t="s">
        <v>45</v>
      </c>
      <c r="F1527" t="s">
        <v>3212</v>
      </c>
      <c r="G1527">
        <v>80</v>
      </c>
      <c r="H1527" t="s">
        <v>3221</v>
      </c>
      <c r="J1527" t="s">
        <v>3222</v>
      </c>
      <c r="K1527" s="11">
        <v>46210.300509259258</v>
      </c>
      <c r="M1527">
        <v>855</v>
      </c>
      <c r="N1527" t="s">
        <v>867</v>
      </c>
      <c r="O1527" t="s">
        <v>848</v>
      </c>
      <c r="P1527" s="5"/>
      <c r="Q1527" s="10">
        <f>INT(Tabela1[[#This Row],[DATA]])</f>
        <v>46210</v>
      </c>
      <c r="R1527" s="14" t="str">
        <f ca="1">IF(AND(Q1527&gt;=TODAY()-WEEKDAY(TODAY(),2)+1,Q1527&lt;TODAY()),"SIM","NÃO")</f>
        <v>NÃO</v>
      </c>
    </row>
    <row r="1528" spans="1:18" hidden="1">
      <c r="A1528" t="s">
        <v>493</v>
      </c>
      <c r="B1528" t="s">
        <v>686</v>
      </c>
      <c r="C1528">
        <v>300273320</v>
      </c>
      <c r="D1528">
        <v>15775615</v>
      </c>
      <c r="E1528" t="s">
        <v>37</v>
      </c>
      <c r="F1528" t="s">
        <v>3297</v>
      </c>
      <c r="G1528">
        <v>100</v>
      </c>
      <c r="H1528" t="s">
        <v>2557</v>
      </c>
      <c r="K1528" s="11">
        <v>46210.335902777777</v>
      </c>
      <c r="M1528">
        <v>856</v>
      </c>
      <c r="N1528" t="s">
        <v>867</v>
      </c>
      <c r="O1528" t="s">
        <v>138</v>
      </c>
      <c r="P1528" s="5"/>
      <c r="Q1528" s="10">
        <f>INT(Tabela1[[#This Row],[DATA]])</f>
        <v>46210</v>
      </c>
      <c r="R1528" s="14" t="str">
        <f ca="1">IF(AND(Q1528&gt;=TODAY()-WEEKDAY(TODAY(),2)+1,Q1528&lt;TODAY()),"SIM","NÃO")</f>
        <v>NÃO</v>
      </c>
    </row>
    <row r="1529" spans="1:18" hidden="1">
      <c r="A1529" t="s">
        <v>2650</v>
      </c>
      <c r="B1529" t="s">
        <v>137</v>
      </c>
      <c r="C1529">
        <v>300248462</v>
      </c>
      <c r="D1529">
        <v>16323491</v>
      </c>
      <c r="E1529" t="s">
        <v>45</v>
      </c>
      <c r="F1529" t="s">
        <v>3212</v>
      </c>
      <c r="G1529">
        <v>390</v>
      </c>
      <c r="H1529" t="s">
        <v>3373</v>
      </c>
      <c r="K1529" s="11">
        <v>46210.338379629633</v>
      </c>
      <c r="M1529">
        <v>857</v>
      </c>
      <c r="N1529" t="s">
        <v>878</v>
      </c>
      <c r="O1529" t="s">
        <v>138</v>
      </c>
      <c r="P1529" s="5"/>
      <c r="Q1529" s="10">
        <f>INT(Tabela1[[#This Row],[DATA]])</f>
        <v>46210</v>
      </c>
      <c r="R1529" s="14" t="str">
        <f ca="1">IF(AND(Q1529&gt;=TODAY()-WEEKDAY(TODAY(),2)+1,Q1529&lt;TODAY()),"SIM","NÃO")</f>
        <v>NÃO</v>
      </c>
    </row>
    <row r="1530" spans="1:18" hidden="1">
      <c r="A1530" t="s">
        <v>2547</v>
      </c>
      <c r="B1530" t="s">
        <v>1582</v>
      </c>
      <c r="C1530">
        <v>300277300</v>
      </c>
      <c r="D1530">
        <v>15973050</v>
      </c>
      <c r="E1530" t="s">
        <v>45</v>
      </c>
      <c r="F1530" t="s">
        <v>3212</v>
      </c>
      <c r="G1530">
        <v>926</v>
      </c>
      <c r="H1530" t="s">
        <v>3374</v>
      </c>
      <c r="J1530" t="s">
        <v>3374</v>
      </c>
      <c r="K1530" s="11">
        <v>46210.345439814817</v>
      </c>
      <c r="M1530">
        <v>858</v>
      </c>
      <c r="N1530" t="s">
        <v>878</v>
      </c>
      <c r="O1530">
        <v>0</v>
      </c>
      <c r="P1530" s="5"/>
      <c r="Q1530" s="10">
        <f>INT(Tabela1[[#This Row],[DATA]])</f>
        <v>46210</v>
      </c>
      <c r="R1530" s="14" t="str">
        <f ca="1">IF(AND(Q1530&gt;=TODAY()-WEEKDAY(TODAY(),2)+1,Q1530&lt;TODAY()),"SIM","NÃO")</f>
        <v>NÃO</v>
      </c>
    </row>
    <row r="1531" spans="1:18" hidden="1">
      <c r="A1531" t="s">
        <v>2649</v>
      </c>
      <c r="B1531" t="s">
        <v>137</v>
      </c>
      <c r="C1531">
        <v>300275798</v>
      </c>
      <c r="D1531">
        <v>16218299</v>
      </c>
      <c r="E1531" t="s">
        <v>37</v>
      </c>
      <c r="F1531" t="s">
        <v>221</v>
      </c>
      <c r="G1531">
        <v>378</v>
      </c>
      <c r="H1531" t="s">
        <v>2064</v>
      </c>
      <c r="K1531" s="11">
        <v>46210.352662037039</v>
      </c>
      <c r="M1531">
        <v>859</v>
      </c>
      <c r="N1531" t="s">
        <v>867</v>
      </c>
      <c r="O1531" t="s">
        <v>138</v>
      </c>
      <c r="P1531" s="5"/>
      <c r="Q1531" s="10">
        <f>INT(Tabela1[[#This Row],[DATA]])</f>
        <v>46210</v>
      </c>
      <c r="R1531" s="14" t="str">
        <f ca="1">IF(AND(Q1531&gt;=TODAY()-WEEKDAY(TODAY(),2)+1,Q1531&lt;TODAY()),"SIM","NÃO")</f>
        <v>NÃO</v>
      </c>
    </row>
    <row r="1532" spans="1:18" hidden="1">
      <c r="A1532" t="s">
        <v>3285</v>
      </c>
      <c r="B1532" t="s">
        <v>306</v>
      </c>
      <c r="C1532">
        <v>300276766</v>
      </c>
      <c r="D1532">
        <v>16217683</v>
      </c>
      <c r="E1532" t="s">
        <v>37</v>
      </c>
      <c r="F1532" t="s">
        <v>3366</v>
      </c>
      <c r="G1532">
        <v>20</v>
      </c>
      <c r="H1532" t="s">
        <v>310</v>
      </c>
      <c r="J1532" t="s">
        <v>2884</v>
      </c>
      <c r="K1532" s="11">
        <v>46210.392835648148</v>
      </c>
      <c r="M1532">
        <v>860</v>
      </c>
      <c r="N1532" t="s">
        <v>867</v>
      </c>
      <c r="O1532">
        <v>0</v>
      </c>
      <c r="P1532" s="5"/>
      <c r="Q1532" s="10">
        <f>INT(Tabela1[[#This Row],[DATA]])</f>
        <v>46210</v>
      </c>
      <c r="R1532" s="14" t="str">
        <f ca="1">IF(AND(Q1532&gt;=TODAY()-WEEKDAY(TODAY(),2)+1,Q1532&lt;TODAY()),"SIM","NÃO")</f>
        <v>NÃO</v>
      </c>
    </row>
    <row r="1533" spans="1:18" hidden="1">
      <c r="A1533" t="s">
        <v>3285</v>
      </c>
      <c r="B1533" t="s">
        <v>306</v>
      </c>
      <c r="C1533">
        <v>300276766</v>
      </c>
      <c r="D1533">
        <v>16217683</v>
      </c>
      <c r="E1533" t="s">
        <v>37</v>
      </c>
      <c r="F1533" t="s">
        <v>3217</v>
      </c>
      <c r="G1533" t="s">
        <v>3375</v>
      </c>
      <c r="H1533" t="s">
        <v>307</v>
      </c>
      <c r="J1533" t="s">
        <v>3376</v>
      </c>
      <c r="K1533" s="11">
        <v>46210.395243055558</v>
      </c>
      <c r="M1533">
        <v>861</v>
      </c>
      <c r="N1533" t="s">
        <v>867</v>
      </c>
      <c r="O1533">
        <v>0</v>
      </c>
      <c r="P1533" s="5"/>
      <c r="Q1533" s="10">
        <f>INT(Tabela1[[#This Row],[DATA]])</f>
        <v>46210</v>
      </c>
      <c r="R1533" s="14" t="str">
        <f ca="1">IF(AND(Q1533&gt;=TODAY()-WEEKDAY(TODAY(),2)+1,Q1533&lt;TODAY()),"SIM","NÃO")</f>
        <v>NÃO</v>
      </c>
    </row>
    <row r="1534" spans="1:18" hidden="1">
      <c r="A1534" t="s">
        <v>2650</v>
      </c>
      <c r="B1534" t="s">
        <v>137</v>
      </c>
      <c r="C1534">
        <v>300248462</v>
      </c>
      <c r="D1534">
        <v>16323491</v>
      </c>
      <c r="E1534" t="s">
        <v>45</v>
      </c>
      <c r="F1534" t="s">
        <v>2405</v>
      </c>
      <c r="G1534">
        <v>390</v>
      </c>
      <c r="H1534" t="s">
        <v>3377</v>
      </c>
      <c r="K1534" s="11">
        <v>46210.40016203704</v>
      </c>
      <c r="M1534">
        <v>862</v>
      </c>
      <c r="N1534" t="s">
        <v>878</v>
      </c>
      <c r="O1534" t="s">
        <v>138</v>
      </c>
      <c r="P1534" s="5"/>
      <c r="Q1534" s="10">
        <f>INT(Tabela1[[#This Row],[DATA]])</f>
        <v>46210</v>
      </c>
      <c r="R1534" s="14" t="str">
        <f ca="1">IF(AND(Q1534&gt;=TODAY()-WEEKDAY(TODAY(),2)+1,Q1534&lt;TODAY()),"SIM","NÃO")</f>
        <v>NÃO</v>
      </c>
    </row>
    <row r="1535" spans="1:18" hidden="1">
      <c r="A1535" t="s">
        <v>2707</v>
      </c>
      <c r="B1535" t="s">
        <v>181</v>
      </c>
      <c r="C1535">
        <v>300272975</v>
      </c>
      <c r="D1535">
        <v>16508920</v>
      </c>
      <c r="E1535" t="s">
        <v>37</v>
      </c>
      <c r="F1535" t="s">
        <v>3241</v>
      </c>
      <c r="G1535" t="s">
        <v>3378</v>
      </c>
      <c r="H1535" t="s">
        <v>3379</v>
      </c>
      <c r="J1535" t="s">
        <v>3380</v>
      </c>
      <c r="K1535" s="11">
        <v>46210.415613425925</v>
      </c>
      <c r="M1535">
        <v>863</v>
      </c>
      <c r="N1535" t="s">
        <v>867</v>
      </c>
      <c r="O1535" t="s">
        <v>3381</v>
      </c>
      <c r="P1535" s="5"/>
      <c r="Q1535" s="10">
        <f>INT(Tabela1[[#This Row],[DATA]])</f>
        <v>46210</v>
      </c>
      <c r="R1535" s="14" t="str">
        <f ca="1">IF(AND(Q1535&gt;=TODAY()-WEEKDAY(TODAY(),2)+1,Q1535&lt;TODAY()),"SIM","NÃO")</f>
        <v>NÃO</v>
      </c>
    </row>
    <row r="1536" spans="1:18" hidden="1">
      <c r="A1536" t="s">
        <v>332</v>
      </c>
      <c r="B1536" t="s">
        <v>28</v>
      </c>
      <c r="C1536">
        <v>300276898</v>
      </c>
      <c r="D1536">
        <v>16222881</v>
      </c>
      <c r="E1536" t="s">
        <v>45</v>
      </c>
      <c r="F1536" t="s">
        <v>2405</v>
      </c>
      <c r="G1536">
        <v>8</v>
      </c>
      <c r="H1536" t="s">
        <v>1966</v>
      </c>
      <c r="K1536" s="11">
        <v>46210.421574074076</v>
      </c>
      <c r="M1536">
        <v>864</v>
      </c>
      <c r="N1536" t="s">
        <v>867</v>
      </c>
      <c r="O1536">
        <v>0</v>
      </c>
      <c r="P1536" s="5"/>
      <c r="Q1536" s="10">
        <f>INT(Tabela1[[#This Row],[DATA]])</f>
        <v>46210</v>
      </c>
      <c r="R1536" s="14" t="str">
        <f ca="1">IF(AND(Q1536&gt;=TODAY()-WEEKDAY(TODAY(),2)+1,Q1536&lt;TODAY()),"SIM","NÃO")</f>
        <v>NÃO</v>
      </c>
    </row>
    <row r="1537" spans="1:18" hidden="1">
      <c r="A1537" t="s">
        <v>159</v>
      </c>
      <c r="B1537" t="s">
        <v>1293</v>
      </c>
      <c r="C1537">
        <v>300273774</v>
      </c>
      <c r="D1537">
        <v>16474090</v>
      </c>
      <c r="E1537" t="s">
        <v>37</v>
      </c>
      <c r="F1537" t="s">
        <v>177</v>
      </c>
      <c r="G1537">
        <v>840</v>
      </c>
      <c r="H1537" t="s">
        <v>1112</v>
      </c>
      <c r="K1537" s="11">
        <v>46210.423958333333</v>
      </c>
      <c r="M1537">
        <v>865</v>
      </c>
      <c r="N1537" t="s">
        <v>878</v>
      </c>
      <c r="O1537" t="s">
        <v>3382</v>
      </c>
      <c r="P1537" s="5"/>
      <c r="Q1537" s="10">
        <f>INT(Tabela1[[#This Row],[DATA]])</f>
        <v>46210</v>
      </c>
      <c r="R1537" s="14" t="str">
        <f ca="1">IF(AND(Q1537&gt;=TODAY()-WEEKDAY(TODAY(),2)+1,Q1537&lt;TODAY()),"SIM","NÃO")</f>
        <v>NÃO</v>
      </c>
    </row>
    <row r="1538" spans="1:18" hidden="1">
      <c r="A1538" t="s">
        <v>233</v>
      </c>
      <c r="B1538" t="s">
        <v>234</v>
      </c>
      <c r="C1538">
        <v>300269353</v>
      </c>
      <c r="D1538">
        <v>15773477</v>
      </c>
      <c r="E1538" t="s">
        <v>37</v>
      </c>
      <c r="F1538" t="s">
        <v>216</v>
      </c>
      <c r="G1538">
        <v>45</v>
      </c>
      <c r="H1538" t="s">
        <v>3383</v>
      </c>
      <c r="J1538" t="s">
        <v>3384</v>
      </c>
      <c r="K1538" s="11">
        <v>46210.439733796295</v>
      </c>
      <c r="M1538">
        <v>866</v>
      </c>
      <c r="N1538" t="s">
        <v>867</v>
      </c>
      <c r="O1538">
        <v>0</v>
      </c>
      <c r="P1538" s="5"/>
      <c r="Q1538" s="10">
        <f>INT(Tabela1[[#This Row],[DATA]])</f>
        <v>46210</v>
      </c>
      <c r="R1538" s="14" t="str">
        <f ca="1">IF(AND(Q1538&gt;=TODAY()-WEEKDAY(TODAY(),2)+1,Q1538&lt;TODAY()),"SIM","NÃO")</f>
        <v>NÃO</v>
      </c>
    </row>
    <row r="1539" spans="1:18" hidden="1">
      <c r="A1539" t="s">
        <v>2549</v>
      </c>
      <c r="B1539" t="s">
        <v>19</v>
      </c>
      <c r="C1539">
        <v>300273721</v>
      </c>
      <c r="D1539">
        <v>16448243</v>
      </c>
      <c r="E1539" t="s">
        <v>37</v>
      </c>
      <c r="F1539" t="s">
        <v>3217</v>
      </c>
      <c r="G1539">
        <v>1</v>
      </c>
      <c r="H1539" t="s">
        <v>3385</v>
      </c>
      <c r="J1539" t="s">
        <v>3385</v>
      </c>
      <c r="K1539" s="11">
        <v>46210.444074074076</v>
      </c>
      <c r="M1539">
        <v>867</v>
      </c>
      <c r="N1539" t="s">
        <v>878</v>
      </c>
      <c r="O1539" t="s">
        <v>2802</v>
      </c>
      <c r="P1539" s="5"/>
      <c r="Q1539" s="10">
        <f>INT(Tabela1[[#This Row],[DATA]])</f>
        <v>46210</v>
      </c>
      <c r="R1539" s="14" t="str">
        <f ca="1">IF(AND(Q1539&gt;=TODAY()-WEEKDAY(TODAY(),2)+1,Q1539&lt;TODAY()),"SIM","NÃO")</f>
        <v>NÃO</v>
      </c>
    </row>
    <row r="1540" spans="1:18" hidden="1">
      <c r="A1540" t="s">
        <v>185</v>
      </c>
      <c r="B1540" t="s">
        <v>1625</v>
      </c>
      <c r="C1540">
        <v>300271748</v>
      </c>
      <c r="D1540">
        <v>16183550</v>
      </c>
      <c r="E1540" t="s">
        <v>37</v>
      </c>
      <c r="F1540" t="s">
        <v>2405</v>
      </c>
      <c r="G1540">
        <v>3</v>
      </c>
      <c r="H1540" t="s">
        <v>2137</v>
      </c>
      <c r="K1540" s="11">
        <v>46210.452673611115</v>
      </c>
      <c r="M1540">
        <v>868</v>
      </c>
      <c r="N1540" t="s">
        <v>867</v>
      </c>
      <c r="O1540">
        <v>0</v>
      </c>
      <c r="P1540" s="5"/>
      <c r="Q1540" s="10">
        <f>INT(Tabela1[[#This Row],[DATA]])</f>
        <v>46210</v>
      </c>
      <c r="R1540" s="14" t="str">
        <f ca="1">IF(AND(Q1540&gt;=TODAY()-WEEKDAY(TODAY(),2)+1,Q1540&lt;TODAY()),"SIM","NÃO")</f>
        <v>NÃO</v>
      </c>
    </row>
    <row r="1541" spans="1:18" hidden="1">
      <c r="A1541" t="s">
        <v>253</v>
      </c>
      <c r="B1541" t="s">
        <v>254</v>
      </c>
      <c r="C1541">
        <v>300275923</v>
      </c>
      <c r="D1541">
        <v>16223608</v>
      </c>
      <c r="E1541" t="s">
        <v>45</v>
      </c>
      <c r="F1541" t="s">
        <v>3212</v>
      </c>
      <c r="G1541">
        <v>30</v>
      </c>
      <c r="H1541" t="s">
        <v>579</v>
      </c>
      <c r="K1541" s="11">
        <v>46210.473437499997</v>
      </c>
      <c r="M1541">
        <v>869</v>
      </c>
      <c r="N1541" t="s">
        <v>867</v>
      </c>
      <c r="O1541">
        <v>0</v>
      </c>
      <c r="P1541" s="5"/>
      <c r="Q1541" s="10">
        <f>INT(Tabela1[[#This Row],[DATA]])</f>
        <v>46210</v>
      </c>
      <c r="R1541" s="14" t="str">
        <f ca="1">IF(AND(Q1541&gt;=TODAY()-WEEKDAY(TODAY(),2)+1,Q1541&lt;TODAY()),"SIM","NÃO")</f>
        <v>NÃO</v>
      </c>
    </row>
    <row r="1542" spans="1:18" hidden="1">
      <c r="A1542" t="s">
        <v>253</v>
      </c>
      <c r="B1542" t="s">
        <v>254</v>
      </c>
      <c r="C1542">
        <v>300272960</v>
      </c>
      <c r="D1542">
        <v>15699293</v>
      </c>
      <c r="E1542" t="s">
        <v>37</v>
      </c>
      <c r="F1542" t="s">
        <v>323</v>
      </c>
      <c r="G1542">
        <v>4</v>
      </c>
      <c r="H1542" t="s">
        <v>3386</v>
      </c>
      <c r="K1542" s="11">
        <v>46210.499571759261</v>
      </c>
      <c r="M1542">
        <v>870</v>
      </c>
      <c r="N1542" t="s">
        <v>867</v>
      </c>
      <c r="O1542">
        <v>0</v>
      </c>
      <c r="P1542" s="5"/>
      <c r="Q1542" s="10">
        <f>INT(Tabela1[[#This Row],[DATA]])</f>
        <v>46210</v>
      </c>
      <c r="R1542" s="14" t="str">
        <f ca="1">IF(AND(Q1542&gt;=TODAY()-WEEKDAY(TODAY(),2)+1,Q1542&lt;TODAY()),"SIM","NÃO")</f>
        <v>NÃO</v>
      </c>
    </row>
    <row r="1543" spans="1:18" hidden="1">
      <c r="A1543" t="s">
        <v>253</v>
      </c>
      <c r="B1543" t="s">
        <v>254</v>
      </c>
      <c r="C1543">
        <v>300272960</v>
      </c>
      <c r="D1543">
        <v>15699293</v>
      </c>
      <c r="E1543" t="s">
        <v>37</v>
      </c>
      <c r="F1543" t="s">
        <v>151</v>
      </c>
      <c r="G1543">
        <v>10</v>
      </c>
      <c r="H1543" t="s">
        <v>3386</v>
      </c>
      <c r="K1543" s="11">
        <v>46210.503796296296</v>
      </c>
      <c r="M1543">
        <v>871</v>
      </c>
      <c r="N1543" t="s">
        <v>867</v>
      </c>
      <c r="O1543">
        <v>0</v>
      </c>
      <c r="P1543" s="5"/>
      <c r="Q1543" s="10">
        <f>INT(Tabela1[[#This Row],[DATA]])</f>
        <v>46210</v>
      </c>
      <c r="R1543" s="14" t="str">
        <f ca="1">IF(AND(Q1543&gt;=TODAY()-WEEKDAY(TODAY(),2)+1,Q1543&lt;TODAY()),"SIM","NÃO")</f>
        <v>NÃO</v>
      </c>
    </row>
    <row r="1544" spans="1:18" hidden="1">
      <c r="A1544" t="s">
        <v>605</v>
      </c>
      <c r="B1544" t="s">
        <v>606</v>
      </c>
      <c r="C1544">
        <v>300270311</v>
      </c>
      <c r="D1544">
        <v>16243951</v>
      </c>
      <c r="E1544" t="s">
        <v>37</v>
      </c>
      <c r="F1544" t="s">
        <v>3215</v>
      </c>
      <c r="G1544">
        <v>10</v>
      </c>
      <c r="H1544" t="s">
        <v>1771</v>
      </c>
      <c r="J1544" t="s">
        <v>3387</v>
      </c>
      <c r="K1544" s="11">
        <v>46210.527569444443</v>
      </c>
      <c r="M1544">
        <v>872</v>
      </c>
      <c r="N1544" t="s">
        <v>867</v>
      </c>
      <c r="O1544">
        <v>0</v>
      </c>
      <c r="P1544" s="5"/>
      <c r="Q1544" s="10">
        <f>INT(Tabela1[[#This Row],[DATA]])</f>
        <v>46210</v>
      </c>
      <c r="R1544" s="14" t="str">
        <f ca="1">IF(AND(Q1544&gt;=TODAY()-WEEKDAY(TODAY(),2)+1,Q1544&lt;TODAY()),"SIM","NÃO")</f>
        <v>NÃO</v>
      </c>
    </row>
    <row r="1545" spans="1:18" hidden="1">
      <c r="A1545" t="s">
        <v>497</v>
      </c>
      <c r="B1545" t="s">
        <v>498</v>
      </c>
      <c r="C1545">
        <v>300274125</v>
      </c>
      <c r="D1545">
        <v>15359492</v>
      </c>
      <c r="E1545" t="s">
        <v>29</v>
      </c>
      <c r="F1545" t="s">
        <v>323</v>
      </c>
      <c r="G1545">
        <v>208</v>
      </c>
      <c r="H1545" t="s">
        <v>2284</v>
      </c>
      <c r="J1545" t="s">
        <v>3388</v>
      </c>
      <c r="K1545" s="11">
        <v>46210.55164351852</v>
      </c>
      <c r="M1545">
        <v>873</v>
      </c>
      <c r="N1545" t="s">
        <v>867</v>
      </c>
      <c r="O1545">
        <v>150</v>
      </c>
      <c r="P1545" s="5"/>
      <c r="Q1545" s="10">
        <f>INT(Tabela1[[#This Row],[DATA]])</f>
        <v>46210</v>
      </c>
      <c r="R1545" s="14" t="str">
        <f ca="1">IF(AND(Q1545&gt;=TODAY()-WEEKDAY(TODAY(),2)+1,Q1545&lt;TODAY()),"SIM","NÃO")</f>
        <v>NÃO</v>
      </c>
    </row>
    <row r="1546" spans="1:18" hidden="1">
      <c r="A1546" t="s">
        <v>2662</v>
      </c>
      <c r="B1546" t="s">
        <v>471</v>
      </c>
      <c r="C1546">
        <v>300271260</v>
      </c>
      <c r="D1546">
        <v>16320042</v>
      </c>
      <c r="E1546" t="s">
        <v>45</v>
      </c>
      <c r="F1546" t="s">
        <v>3212</v>
      </c>
      <c r="G1546">
        <v>42</v>
      </c>
      <c r="H1546" t="s">
        <v>2313</v>
      </c>
      <c r="J1546" t="s">
        <v>3389</v>
      </c>
      <c r="K1546" s="11">
        <v>46210.554548611108</v>
      </c>
      <c r="M1546">
        <v>874</v>
      </c>
      <c r="N1546" t="s">
        <v>867</v>
      </c>
      <c r="O1546">
        <v>150</v>
      </c>
      <c r="P1546" s="5"/>
      <c r="Q1546" s="10">
        <f>INT(Tabela1[[#This Row],[DATA]])</f>
        <v>46210</v>
      </c>
      <c r="R1546" s="14" t="str">
        <f ca="1">IF(AND(Q1546&gt;=TODAY()-WEEKDAY(TODAY(),2)+1,Q1546&lt;TODAY()),"SIM","NÃO")</f>
        <v>NÃO</v>
      </c>
    </row>
    <row r="1547" spans="1:18" hidden="1">
      <c r="A1547" t="s">
        <v>497</v>
      </c>
      <c r="B1547" t="s">
        <v>498</v>
      </c>
      <c r="C1547">
        <v>300275184</v>
      </c>
      <c r="D1547">
        <v>16491971</v>
      </c>
      <c r="E1547" t="s">
        <v>29</v>
      </c>
      <c r="F1547" t="s">
        <v>103</v>
      </c>
      <c r="G1547">
        <v>200</v>
      </c>
      <c r="H1547" t="s">
        <v>2284</v>
      </c>
      <c r="K1547" s="11">
        <v>46210.556377314817</v>
      </c>
      <c r="M1547">
        <v>875</v>
      </c>
      <c r="N1547" t="s">
        <v>878</v>
      </c>
      <c r="O1547">
        <v>150</v>
      </c>
      <c r="P1547" s="5"/>
      <c r="Q1547" s="10">
        <f>INT(Tabela1[[#This Row],[DATA]])</f>
        <v>46210</v>
      </c>
      <c r="R1547" s="14" t="str">
        <f ca="1">IF(AND(Q1547&gt;=TODAY()-WEEKDAY(TODAY(),2)+1,Q1547&lt;TODAY()),"SIM","NÃO")</f>
        <v>NÃO</v>
      </c>
    </row>
    <row r="1548" spans="1:18" hidden="1">
      <c r="A1548" t="s">
        <v>163</v>
      </c>
      <c r="B1548" t="s">
        <v>164</v>
      </c>
      <c r="C1548">
        <v>300245142</v>
      </c>
      <c r="D1548">
        <v>16285417</v>
      </c>
      <c r="E1548" t="s">
        <v>37</v>
      </c>
      <c r="F1548" t="s">
        <v>3330</v>
      </c>
      <c r="G1548">
        <v>980</v>
      </c>
      <c r="H1548" t="s">
        <v>3390</v>
      </c>
      <c r="J1548" t="s">
        <v>3391</v>
      </c>
      <c r="K1548" s="11">
        <v>46210.558495370373</v>
      </c>
      <c r="M1548">
        <v>876</v>
      </c>
      <c r="N1548" t="s">
        <v>878</v>
      </c>
      <c r="O1548">
        <v>10000228911</v>
      </c>
      <c r="P1548" s="5"/>
      <c r="Q1548" s="10">
        <f>INT(Tabela1[[#This Row],[DATA]])</f>
        <v>46210</v>
      </c>
      <c r="R1548" s="14" t="str">
        <f ca="1">IF(AND(Q1548&gt;=TODAY()-WEEKDAY(TODAY(),2)+1,Q1548&lt;TODAY()),"SIM","NÃO")</f>
        <v>NÃO</v>
      </c>
    </row>
    <row r="1549" spans="1:18" hidden="1">
      <c r="A1549" t="s">
        <v>163</v>
      </c>
      <c r="B1549" t="s">
        <v>164</v>
      </c>
      <c r="C1549">
        <v>300245142</v>
      </c>
      <c r="D1549">
        <v>16285417</v>
      </c>
      <c r="E1549" t="s">
        <v>37</v>
      </c>
      <c r="F1549" t="s">
        <v>2213</v>
      </c>
      <c r="G1549">
        <v>128</v>
      </c>
      <c r="H1549" t="s">
        <v>3390</v>
      </c>
      <c r="J1549" t="s">
        <v>3392</v>
      </c>
      <c r="K1549" s="11">
        <v>46210.559872685182</v>
      </c>
      <c r="M1549">
        <v>877</v>
      </c>
      <c r="N1549" t="s">
        <v>867</v>
      </c>
      <c r="O1549">
        <v>10000214498</v>
      </c>
      <c r="P1549" s="5"/>
      <c r="Q1549" s="10">
        <f>INT(Tabela1[[#This Row],[DATA]])</f>
        <v>46210</v>
      </c>
      <c r="R1549" s="14" t="str">
        <f ca="1">IF(AND(Q1549&gt;=TODAY()-WEEKDAY(TODAY(),2)+1,Q1549&lt;TODAY()),"SIM","NÃO")</f>
        <v>NÃO</v>
      </c>
    </row>
    <row r="1550" spans="1:18" hidden="1">
      <c r="A1550" t="s">
        <v>163</v>
      </c>
      <c r="B1550" t="s">
        <v>164</v>
      </c>
      <c r="C1550">
        <v>300245142</v>
      </c>
      <c r="D1550">
        <v>16285417</v>
      </c>
      <c r="E1550" t="s">
        <v>37</v>
      </c>
      <c r="F1550" t="s">
        <v>2213</v>
      </c>
      <c r="G1550">
        <v>196</v>
      </c>
      <c r="H1550" t="s">
        <v>3390</v>
      </c>
      <c r="J1550" t="s">
        <v>3393</v>
      </c>
      <c r="K1550" s="11">
        <v>46210.560995370368</v>
      </c>
      <c r="M1550">
        <v>878</v>
      </c>
      <c r="N1550" t="s">
        <v>867</v>
      </c>
      <c r="O1550">
        <v>10000214497</v>
      </c>
      <c r="P1550" s="5"/>
      <c r="Q1550" s="10">
        <f>INT(Tabela1[[#This Row],[DATA]])</f>
        <v>46210</v>
      </c>
      <c r="R1550" s="14" t="str">
        <f ca="1">IF(AND(Q1550&gt;=TODAY()-WEEKDAY(TODAY(),2)+1,Q1550&lt;TODAY()),"SIM","NÃO")</f>
        <v>NÃO</v>
      </c>
    </row>
    <row r="1551" spans="1:18" hidden="1">
      <c r="A1551" t="s">
        <v>497</v>
      </c>
      <c r="B1551" t="s">
        <v>498</v>
      </c>
      <c r="C1551">
        <v>300275184</v>
      </c>
      <c r="D1551">
        <v>16491971</v>
      </c>
      <c r="E1551" t="s">
        <v>29</v>
      </c>
      <c r="F1551" t="s">
        <v>1287</v>
      </c>
      <c r="G1551">
        <v>10000</v>
      </c>
      <c r="H1551" t="s">
        <v>2284</v>
      </c>
      <c r="J1551" t="s">
        <v>2284</v>
      </c>
      <c r="K1551" s="11">
        <v>46210.561782407407</v>
      </c>
      <c r="M1551">
        <v>879</v>
      </c>
      <c r="N1551" t="s">
        <v>878</v>
      </c>
      <c r="O1551">
        <v>150</v>
      </c>
      <c r="P1551" s="5"/>
      <c r="Q1551" s="10">
        <f>INT(Tabela1[[#This Row],[DATA]])</f>
        <v>46210</v>
      </c>
      <c r="R1551" s="14" t="str">
        <f ca="1">IF(AND(Q1551&gt;=TODAY()-WEEKDAY(TODAY(),2)+1,Q1551&lt;TODAY()),"SIM","NÃO")</f>
        <v>NÃO</v>
      </c>
    </row>
    <row r="1552" spans="1:18" hidden="1">
      <c r="A1552" t="s">
        <v>163</v>
      </c>
      <c r="B1552" t="s">
        <v>164</v>
      </c>
      <c r="C1552">
        <v>300245142</v>
      </c>
      <c r="D1552">
        <v>16285417</v>
      </c>
      <c r="E1552" t="s">
        <v>37</v>
      </c>
      <c r="F1552" t="s">
        <v>2213</v>
      </c>
      <c r="G1552">
        <v>264</v>
      </c>
      <c r="H1552" t="s">
        <v>3390</v>
      </c>
      <c r="J1552" t="s">
        <v>3394</v>
      </c>
      <c r="K1552" s="11">
        <v>46210.562094907407</v>
      </c>
      <c r="M1552">
        <v>880</v>
      </c>
      <c r="N1552" t="s">
        <v>867</v>
      </c>
      <c r="O1552">
        <v>10000214496</v>
      </c>
      <c r="P1552" s="5"/>
      <c r="Q1552" s="10">
        <f>INT(Tabela1[[#This Row],[DATA]])</f>
        <v>46210</v>
      </c>
      <c r="R1552" s="14" t="str">
        <f ca="1">IF(AND(Q1552&gt;=TODAY()-WEEKDAY(TODAY(),2)+1,Q1552&lt;TODAY()),"SIM","NÃO")</f>
        <v>NÃO</v>
      </c>
    </row>
    <row r="1553" spans="1:18" hidden="1">
      <c r="A1553" t="s">
        <v>163</v>
      </c>
      <c r="B1553" t="s">
        <v>164</v>
      </c>
      <c r="C1553">
        <v>300245142</v>
      </c>
      <c r="D1553">
        <v>16285417</v>
      </c>
      <c r="E1553" t="s">
        <v>37</v>
      </c>
      <c r="F1553" t="s">
        <v>2213</v>
      </c>
      <c r="G1553">
        <v>264</v>
      </c>
      <c r="H1553" t="s">
        <v>3390</v>
      </c>
      <c r="J1553" t="s">
        <v>3395</v>
      </c>
      <c r="K1553" s="11">
        <v>46210.563101851854</v>
      </c>
      <c r="M1553">
        <v>881</v>
      </c>
      <c r="N1553" t="s">
        <v>867</v>
      </c>
      <c r="O1553">
        <v>10000214491</v>
      </c>
      <c r="P1553" s="5"/>
      <c r="Q1553" s="10">
        <f>INT(Tabela1[[#This Row],[DATA]])</f>
        <v>46210</v>
      </c>
      <c r="R1553" s="14" t="str">
        <f ca="1">IF(AND(Q1553&gt;=TODAY()-WEEKDAY(TODAY(),2)+1,Q1553&lt;TODAY()),"SIM","NÃO")</f>
        <v>NÃO</v>
      </c>
    </row>
    <row r="1554" spans="1:18" hidden="1">
      <c r="A1554" t="s">
        <v>163</v>
      </c>
      <c r="B1554" t="s">
        <v>164</v>
      </c>
      <c r="C1554">
        <v>300245142</v>
      </c>
      <c r="D1554">
        <v>16285417</v>
      </c>
      <c r="E1554" t="s">
        <v>37</v>
      </c>
      <c r="F1554" t="s">
        <v>2213</v>
      </c>
      <c r="G1554">
        <v>128</v>
      </c>
      <c r="H1554" t="s">
        <v>3390</v>
      </c>
      <c r="J1554" t="s">
        <v>3396</v>
      </c>
      <c r="K1554" s="11">
        <v>46210.564375000002</v>
      </c>
      <c r="M1554">
        <v>882</v>
      </c>
      <c r="N1554" t="s">
        <v>867</v>
      </c>
      <c r="O1554">
        <v>10000214490</v>
      </c>
      <c r="P1554" s="5"/>
      <c r="Q1554" s="10">
        <f>INT(Tabela1[[#This Row],[DATA]])</f>
        <v>46210</v>
      </c>
      <c r="R1554" s="14" t="str">
        <f ca="1">IF(AND(Q1554&gt;=TODAY()-WEEKDAY(TODAY(),2)+1,Q1554&lt;TODAY()),"SIM","NÃO")</f>
        <v>NÃO</v>
      </c>
    </row>
    <row r="1555" spans="1:18" hidden="1">
      <c r="A1555" t="s">
        <v>111</v>
      </c>
      <c r="B1555" t="s">
        <v>112</v>
      </c>
      <c r="C1555">
        <v>300273676</v>
      </c>
      <c r="D1555">
        <v>16547950</v>
      </c>
      <c r="E1555" t="s">
        <v>20</v>
      </c>
      <c r="F1555" t="s">
        <v>430</v>
      </c>
      <c r="G1555">
        <v>30</v>
      </c>
      <c r="H1555" t="s">
        <v>1335</v>
      </c>
      <c r="K1555" s="11">
        <v>46210.565138888887</v>
      </c>
      <c r="M1555">
        <v>883</v>
      </c>
      <c r="N1555" t="s">
        <v>867</v>
      </c>
      <c r="O1555">
        <v>10000156345</v>
      </c>
      <c r="P1555" s="5"/>
      <c r="Q1555" s="10">
        <f>INT(Tabela1[[#This Row],[DATA]])</f>
        <v>46210</v>
      </c>
      <c r="R1555" s="14" t="str">
        <f ca="1">IF(AND(Q1555&gt;=TODAY()-WEEKDAY(TODAY(),2)+1,Q1555&lt;TODAY()),"SIM","NÃO")</f>
        <v>NÃO</v>
      </c>
    </row>
    <row r="1556" spans="1:18" hidden="1">
      <c r="A1556" t="s">
        <v>2837</v>
      </c>
      <c r="B1556" t="s">
        <v>226</v>
      </c>
      <c r="C1556">
        <v>300275855</v>
      </c>
      <c r="D1556">
        <v>15773434</v>
      </c>
      <c r="E1556" t="s">
        <v>37</v>
      </c>
      <c r="F1556" t="s">
        <v>2405</v>
      </c>
      <c r="G1556">
        <v>40</v>
      </c>
      <c r="H1556" t="s">
        <v>3397</v>
      </c>
      <c r="J1556" t="s">
        <v>3398</v>
      </c>
      <c r="K1556" s="11">
        <v>46210.599143518521</v>
      </c>
      <c r="M1556">
        <v>884</v>
      </c>
      <c r="N1556" t="s">
        <v>867</v>
      </c>
      <c r="O1556">
        <v>0</v>
      </c>
      <c r="P1556" s="5"/>
      <c r="Q1556" s="10">
        <f>INT(Tabela1[[#This Row],[DATA]])</f>
        <v>46210</v>
      </c>
      <c r="R1556" s="14" t="str">
        <f ca="1">IF(AND(Q1556&gt;=TODAY()-WEEKDAY(TODAY(),2)+1,Q1556&lt;TODAY()),"SIM","NÃO")</f>
        <v>NÃO</v>
      </c>
    </row>
    <row r="1557" spans="1:18" hidden="1">
      <c r="A1557" t="s">
        <v>2837</v>
      </c>
      <c r="B1557" t="s">
        <v>226</v>
      </c>
      <c r="C1557">
        <v>300000000</v>
      </c>
      <c r="D1557">
        <v>0</v>
      </c>
      <c r="E1557" t="s">
        <v>37</v>
      </c>
      <c r="F1557" t="s">
        <v>3215</v>
      </c>
      <c r="G1557">
        <v>20</v>
      </c>
      <c r="H1557" t="s">
        <v>3399</v>
      </c>
      <c r="J1557" t="s">
        <v>2257</v>
      </c>
      <c r="K1557" s="11">
        <v>46210.600428240738</v>
      </c>
      <c r="M1557">
        <v>885</v>
      </c>
      <c r="N1557" t="s">
        <v>878</v>
      </c>
      <c r="O1557">
        <v>0</v>
      </c>
      <c r="P1557" s="5"/>
      <c r="Q1557" s="10">
        <f>INT(Tabela1[[#This Row],[DATA]])</f>
        <v>46210</v>
      </c>
      <c r="R1557" s="14" t="str">
        <f ca="1">IF(AND(Q1557&gt;=TODAY()-WEEKDAY(TODAY(),2)+1,Q1557&lt;TODAY()),"SIM","NÃO")</f>
        <v>NÃO</v>
      </c>
    </row>
    <row r="1558" spans="1:18" hidden="1">
      <c r="A1558" t="s">
        <v>3006</v>
      </c>
      <c r="B1558" t="s">
        <v>3007</v>
      </c>
      <c r="C1558">
        <v>300273757</v>
      </c>
      <c r="D1558">
        <v>16519710</v>
      </c>
      <c r="E1558" t="s">
        <v>37</v>
      </c>
      <c r="F1558" t="s">
        <v>3241</v>
      </c>
      <c r="G1558">
        <v>8</v>
      </c>
      <c r="H1558" t="s">
        <v>3400</v>
      </c>
      <c r="J1558" t="s">
        <v>3401</v>
      </c>
      <c r="K1558" s="11">
        <v>46210.60292824074</v>
      </c>
      <c r="M1558">
        <v>886</v>
      </c>
      <c r="N1558" t="s">
        <v>867</v>
      </c>
      <c r="O1558">
        <v>100000684234</v>
      </c>
      <c r="P1558" s="5"/>
      <c r="Q1558" s="10">
        <f>INT(Tabela1[[#This Row],[DATA]])</f>
        <v>46210</v>
      </c>
      <c r="R1558" s="14" t="str">
        <f ca="1">IF(AND(Q1558&gt;=TODAY()-WEEKDAY(TODAY(),2)+1,Q1558&lt;TODAY()),"SIM","NÃO")</f>
        <v>NÃO</v>
      </c>
    </row>
    <row r="1559" spans="1:18" hidden="1">
      <c r="A1559" t="s">
        <v>2624</v>
      </c>
      <c r="B1559" t="s">
        <v>50</v>
      </c>
      <c r="C1559">
        <v>300276760</v>
      </c>
      <c r="D1559">
        <v>16493184</v>
      </c>
      <c r="E1559" t="s">
        <v>37</v>
      </c>
      <c r="F1559" t="s">
        <v>177</v>
      </c>
      <c r="G1559">
        <v>312</v>
      </c>
      <c r="H1559" t="s">
        <v>3402</v>
      </c>
      <c r="J1559" t="s">
        <v>3402</v>
      </c>
      <c r="K1559" s="11">
        <v>46210.608113425929</v>
      </c>
      <c r="M1559">
        <v>887</v>
      </c>
      <c r="N1559" t="s">
        <v>878</v>
      </c>
      <c r="O1559">
        <v>300276760</v>
      </c>
      <c r="P1559" s="5"/>
      <c r="Q1559" s="10">
        <f>INT(Tabela1[[#This Row],[DATA]])</f>
        <v>46210</v>
      </c>
      <c r="R1559" s="14" t="str">
        <f ca="1">IF(AND(Q1559&gt;=TODAY()-WEEKDAY(TODAY(),2)+1,Q1559&lt;TODAY()),"SIM","NÃO")</f>
        <v>NÃO</v>
      </c>
    </row>
    <row r="1560" spans="1:18" hidden="1">
      <c r="A1560" t="s">
        <v>2624</v>
      </c>
      <c r="B1560" t="s">
        <v>50</v>
      </c>
      <c r="C1560">
        <v>300242816</v>
      </c>
      <c r="D1560">
        <v>16217942</v>
      </c>
      <c r="E1560" t="s">
        <v>37</v>
      </c>
      <c r="F1560" t="s">
        <v>2405</v>
      </c>
      <c r="G1560">
        <v>852</v>
      </c>
      <c r="H1560" t="s">
        <v>3403</v>
      </c>
      <c r="J1560" t="s">
        <v>3404</v>
      </c>
      <c r="K1560" s="11">
        <v>46210.615879629629</v>
      </c>
      <c r="M1560">
        <v>888</v>
      </c>
      <c r="N1560" t="s">
        <v>878</v>
      </c>
      <c r="O1560">
        <v>16217942</v>
      </c>
      <c r="P1560" s="5"/>
      <c r="Q1560" s="10">
        <f>INT(Tabela1[[#This Row],[DATA]])</f>
        <v>46210</v>
      </c>
      <c r="R1560" s="14" t="str">
        <f ca="1">IF(AND(Q1560&gt;=TODAY()-WEEKDAY(TODAY(),2)+1,Q1560&lt;TODAY()),"SIM","NÃO")</f>
        <v>NÃO</v>
      </c>
    </row>
    <row r="1561" spans="1:18" hidden="1">
      <c r="A1561" t="s">
        <v>111</v>
      </c>
      <c r="B1561" t="s">
        <v>112</v>
      </c>
      <c r="C1561">
        <v>300278650</v>
      </c>
      <c r="D1561">
        <v>16223403</v>
      </c>
      <c r="E1561" t="s">
        <v>45</v>
      </c>
      <c r="F1561" t="s">
        <v>2405</v>
      </c>
      <c r="G1561">
        <v>6</v>
      </c>
      <c r="H1561" t="s">
        <v>3179</v>
      </c>
      <c r="K1561" s="11">
        <v>46210.66847222222</v>
      </c>
      <c r="M1561">
        <v>889</v>
      </c>
      <c r="N1561" t="s">
        <v>867</v>
      </c>
      <c r="O1561">
        <v>16223403</v>
      </c>
      <c r="P1561" s="5"/>
      <c r="Q1561" s="10">
        <f>INT(Tabela1[[#This Row],[DATA]])</f>
        <v>46210</v>
      </c>
      <c r="R1561" s="14" t="str">
        <f ca="1">IF(AND(Q1561&gt;=TODAY()-WEEKDAY(TODAY(),2)+1,Q1561&lt;TODAY()),"SIM","NÃO")</f>
        <v>NÃO</v>
      </c>
    </row>
    <row r="1562" spans="1:18" hidden="1">
      <c r="A1562" t="s">
        <v>2713</v>
      </c>
      <c r="B1562" t="s">
        <v>55</v>
      </c>
      <c r="C1562">
        <v>300278549</v>
      </c>
      <c r="D1562">
        <v>16217802</v>
      </c>
      <c r="E1562" t="s">
        <v>37</v>
      </c>
      <c r="F1562" t="s">
        <v>3241</v>
      </c>
      <c r="G1562">
        <v>2</v>
      </c>
      <c r="H1562" t="s">
        <v>3098</v>
      </c>
      <c r="K1562" s="11">
        <v>46210.671446759261</v>
      </c>
      <c r="M1562">
        <v>890</v>
      </c>
      <c r="N1562" t="s">
        <v>878</v>
      </c>
      <c r="O1562" t="s">
        <v>3405</v>
      </c>
      <c r="P1562" s="5"/>
      <c r="Q1562" s="10">
        <f>INT(Tabela1[[#This Row],[DATA]])</f>
        <v>46210</v>
      </c>
      <c r="R1562" s="14" t="str">
        <f ca="1">IF(AND(Q1562&gt;=TODAY()-WEEKDAY(TODAY(),2)+1,Q1562&lt;TODAY()),"SIM","NÃO")</f>
        <v>NÃO</v>
      </c>
    </row>
    <row r="1563" spans="1:18" hidden="1">
      <c r="A1563" t="s">
        <v>2551</v>
      </c>
      <c r="B1563" t="s">
        <v>274</v>
      </c>
      <c r="C1563">
        <v>300277086</v>
      </c>
      <c r="D1563">
        <v>15775496</v>
      </c>
      <c r="E1563" t="s">
        <v>37</v>
      </c>
      <c r="F1563" t="s">
        <v>2405</v>
      </c>
      <c r="G1563">
        <v>40</v>
      </c>
      <c r="H1563" t="s">
        <v>555</v>
      </c>
      <c r="J1563" t="s">
        <v>2923</v>
      </c>
      <c r="K1563" s="11">
        <v>46210.676076388889</v>
      </c>
      <c r="M1563">
        <v>891</v>
      </c>
      <c r="N1563" t="s">
        <v>867</v>
      </c>
      <c r="O1563">
        <v>0</v>
      </c>
      <c r="P1563" s="5"/>
      <c r="Q1563" s="10">
        <f>INT(Tabela1[[#This Row],[DATA]])</f>
        <v>46210</v>
      </c>
      <c r="R1563" s="14" t="str">
        <f ca="1">IF(AND(Q1563&gt;=TODAY()-WEEKDAY(TODAY(),2)+1,Q1563&lt;TODAY()),"SIM","NÃO")</f>
        <v>NÃO</v>
      </c>
    </row>
    <row r="1564" spans="1:18" hidden="1">
      <c r="A1564" t="s">
        <v>332</v>
      </c>
      <c r="B1564" t="s">
        <v>3406</v>
      </c>
      <c r="C1564">
        <v>300000000</v>
      </c>
      <c r="D1564">
        <v>0</v>
      </c>
      <c r="E1564" t="s">
        <v>45</v>
      </c>
      <c r="F1564" t="s">
        <v>1904</v>
      </c>
      <c r="G1564">
        <v>10</v>
      </c>
      <c r="H1564" t="s">
        <v>637</v>
      </c>
      <c r="J1564" t="s">
        <v>3407</v>
      </c>
      <c r="K1564" s="11">
        <v>46210.695798611108</v>
      </c>
      <c r="M1564">
        <v>892</v>
      </c>
      <c r="N1564" t="s">
        <v>867</v>
      </c>
      <c r="O1564">
        <v>0</v>
      </c>
      <c r="P1564" s="5"/>
      <c r="Q1564" s="10">
        <f>INT(Tabela1[[#This Row],[DATA]])</f>
        <v>46210</v>
      </c>
      <c r="R1564" s="14" t="str">
        <f ca="1">IF(AND(Q1564&gt;=TODAY()-WEEKDAY(TODAY(),2)+1,Q1564&lt;TODAY()),"SIM","NÃO")</f>
        <v>NÃO</v>
      </c>
    </row>
    <row r="1565" spans="1:18" hidden="1">
      <c r="A1565" t="s">
        <v>2578</v>
      </c>
      <c r="B1565" t="s">
        <v>3160</v>
      </c>
      <c r="C1565">
        <v>300276734</v>
      </c>
      <c r="D1565">
        <v>16272676</v>
      </c>
      <c r="E1565" t="s">
        <v>37</v>
      </c>
      <c r="F1565" t="s">
        <v>2405</v>
      </c>
      <c r="G1565">
        <v>15</v>
      </c>
      <c r="H1565" t="s">
        <v>3408</v>
      </c>
      <c r="K1565" s="11">
        <v>46210.717256944445</v>
      </c>
      <c r="M1565">
        <v>893</v>
      </c>
      <c r="N1565" t="s">
        <v>867</v>
      </c>
      <c r="O1565">
        <v>16272676</v>
      </c>
      <c r="P1565" s="5"/>
      <c r="Q1565" s="10">
        <f>INT(Tabela1[[#This Row],[DATA]])</f>
        <v>46210</v>
      </c>
      <c r="R1565" s="14" t="str">
        <f ca="1">IF(AND(Q1565&gt;=TODAY()-WEEKDAY(TODAY(),2)+1,Q1565&lt;TODAY()),"SIM","NÃO")</f>
        <v>NÃO</v>
      </c>
    </row>
    <row r="1566" spans="1:18" hidden="1">
      <c r="A1566" t="s">
        <v>111</v>
      </c>
      <c r="B1566" t="s">
        <v>112</v>
      </c>
      <c r="C1566">
        <v>300273676</v>
      </c>
      <c r="D1566">
        <v>16547450</v>
      </c>
      <c r="E1566" t="s">
        <v>20</v>
      </c>
      <c r="F1566" t="s">
        <v>3208</v>
      </c>
      <c r="G1566">
        <v>100</v>
      </c>
      <c r="H1566" t="s">
        <v>1335</v>
      </c>
      <c r="J1566" t="s">
        <v>3409</v>
      </c>
      <c r="K1566" s="11">
        <v>46210.722986111112</v>
      </c>
      <c r="M1566">
        <v>894</v>
      </c>
      <c r="N1566" t="s">
        <v>867</v>
      </c>
      <c r="O1566">
        <v>0</v>
      </c>
      <c r="P1566" s="5"/>
      <c r="Q1566" s="10">
        <f>INT(Tabela1[[#This Row],[DATA]])</f>
        <v>46210</v>
      </c>
      <c r="R1566" s="14" t="str">
        <f ca="1">IF(AND(Q1566&gt;=TODAY()-WEEKDAY(TODAY(),2)+1,Q1566&lt;TODAY()),"SIM","NÃO")</f>
        <v>NÃO</v>
      </c>
    </row>
    <row r="1567" spans="1:18" hidden="1">
      <c r="A1567" t="s">
        <v>541</v>
      </c>
      <c r="B1567" t="s">
        <v>542</v>
      </c>
      <c r="C1567">
        <v>300277519</v>
      </c>
      <c r="D1567">
        <v>16440889</v>
      </c>
      <c r="E1567" t="s">
        <v>45</v>
      </c>
      <c r="F1567" t="s">
        <v>3212</v>
      </c>
      <c r="G1567">
        <v>134</v>
      </c>
      <c r="H1567" t="s">
        <v>2219</v>
      </c>
      <c r="K1567" s="11">
        <v>46210.737141203703</v>
      </c>
      <c r="M1567">
        <v>895</v>
      </c>
      <c r="N1567" t="s">
        <v>867</v>
      </c>
      <c r="O1567">
        <v>0</v>
      </c>
      <c r="P1567" s="5"/>
      <c r="Q1567" s="10">
        <f>INT(Tabela1[[#This Row],[DATA]])</f>
        <v>46210</v>
      </c>
      <c r="R1567" s="14" t="str">
        <f ca="1">IF(AND(Q1567&gt;=TODAY()-WEEKDAY(TODAY(),2)+1,Q1567&lt;TODAY()),"SIM","NÃO")</f>
        <v>NÃO</v>
      </c>
    </row>
    <row r="1568" spans="1:18" hidden="1">
      <c r="A1568" t="s">
        <v>332</v>
      </c>
      <c r="B1568" t="s">
        <v>28</v>
      </c>
      <c r="C1568">
        <v>300000000</v>
      </c>
      <c r="D1568">
        <v>0</v>
      </c>
      <c r="E1568" t="s">
        <v>45</v>
      </c>
      <c r="F1568" t="s">
        <v>1904</v>
      </c>
      <c r="G1568">
        <v>10</v>
      </c>
      <c r="H1568" t="s">
        <v>644</v>
      </c>
      <c r="J1568" t="s">
        <v>3407</v>
      </c>
      <c r="K1568" s="11">
        <v>46211.302083333336</v>
      </c>
      <c r="M1568">
        <v>896</v>
      </c>
      <c r="N1568" t="s">
        <v>878</v>
      </c>
      <c r="O1568">
        <v>0</v>
      </c>
      <c r="P1568" s="5"/>
      <c r="Q1568" s="10">
        <f>INT(Tabela1[[#This Row],[DATA]])</f>
        <v>46211</v>
      </c>
      <c r="R1568" s="14" t="str">
        <f ca="1">IF(AND(Q1568&gt;=TODAY()-WEEKDAY(TODAY(),2)+1,Q1568&lt;TODAY()),"SIM","NÃO")</f>
        <v>NÃO</v>
      </c>
    </row>
    <row r="1569" spans="1:18" hidden="1">
      <c r="A1569" t="s">
        <v>3132</v>
      </c>
      <c r="B1569" t="s">
        <v>242</v>
      </c>
      <c r="C1569">
        <v>300273771</v>
      </c>
      <c r="D1569">
        <v>16463412</v>
      </c>
      <c r="E1569" t="s">
        <v>37</v>
      </c>
      <c r="F1569" t="s">
        <v>3241</v>
      </c>
      <c r="G1569" t="s">
        <v>3133</v>
      </c>
      <c r="H1569" t="s">
        <v>2094</v>
      </c>
      <c r="J1569" t="s">
        <v>3410</v>
      </c>
      <c r="K1569" s="11">
        <v>46211.312997685185</v>
      </c>
      <c r="M1569">
        <v>897</v>
      </c>
      <c r="N1569" t="s">
        <v>867</v>
      </c>
      <c r="O1569">
        <v>10000073226</v>
      </c>
      <c r="P1569" s="5"/>
      <c r="Q1569" s="10">
        <f>INT(Tabela1[[#This Row],[DATA]])</f>
        <v>46211</v>
      </c>
      <c r="R1569" s="14" t="str">
        <f ca="1">IF(AND(Q1569&gt;=TODAY()-WEEKDAY(TODAY(),2)+1,Q1569&lt;TODAY()),"SIM","NÃO")</f>
        <v>NÃO</v>
      </c>
    </row>
    <row r="1570" spans="1:18" hidden="1">
      <c r="A1570" t="s">
        <v>1096</v>
      </c>
      <c r="B1570" t="s">
        <v>1097</v>
      </c>
      <c r="C1570">
        <v>300275029</v>
      </c>
      <c r="D1570">
        <v>16482204</v>
      </c>
      <c r="E1570" t="s">
        <v>37</v>
      </c>
      <c r="F1570" t="s">
        <v>216</v>
      </c>
      <c r="G1570">
        <v>400</v>
      </c>
      <c r="H1570" t="s">
        <v>579</v>
      </c>
      <c r="J1570" t="s">
        <v>3411</v>
      </c>
      <c r="K1570" s="11">
        <v>46211.316921296297</v>
      </c>
      <c r="M1570">
        <v>898</v>
      </c>
      <c r="N1570" t="s">
        <v>867</v>
      </c>
      <c r="O1570">
        <v>0</v>
      </c>
      <c r="P1570" s="5"/>
      <c r="Q1570" s="10">
        <f>INT(Tabela1[[#This Row],[DATA]])</f>
        <v>46211</v>
      </c>
      <c r="R1570" s="14" t="str">
        <f ca="1">IF(AND(Q1570&gt;=TODAY()-WEEKDAY(TODAY(),2)+1,Q1570&lt;TODAY()),"SIM","NÃO")</f>
        <v>NÃO</v>
      </c>
    </row>
    <row r="1571" spans="1:18" hidden="1">
      <c r="A1571" t="s">
        <v>111</v>
      </c>
      <c r="B1571" t="s">
        <v>112</v>
      </c>
      <c r="C1571">
        <v>300278648</v>
      </c>
      <c r="D1571">
        <v>16223403</v>
      </c>
      <c r="E1571" t="s">
        <v>45</v>
      </c>
      <c r="F1571" t="s">
        <v>2405</v>
      </c>
      <c r="G1571">
        <v>14</v>
      </c>
      <c r="H1571" t="s">
        <v>1335</v>
      </c>
      <c r="K1571" s="11">
        <v>46211.327048611114</v>
      </c>
      <c r="M1571">
        <v>899</v>
      </c>
      <c r="N1571" t="s">
        <v>867</v>
      </c>
      <c r="O1571">
        <v>0</v>
      </c>
      <c r="P1571" s="5"/>
      <c r="Q1571" s="10">
        <f>INT(Tabela1[[#This Row],[DATA]])</f>
        <v>46211</v>
      </c>
      <c r="R1571" s="14" t="str">
        <f ca="1">IF(AND(Q1571&gt;=TODAY()-WEEKDAY(TODAY(),2)+1,Q1571&lt;TODAY()),"SIM","NÃO")</f>
        <v>NÃO</v>
      </c>
    </row>
    <row r="1572" spans="1:18" hidden="1">
      <c r="A1572" t="s">
        <v>2177</v>
      </c>
      <c r="B1572" t="s">
        <v>1073</v>
      </c>
      <c r="C1572">
        <v>300268898</v>
      </c>
      <c r="D1572">
        <v>15774104</v>
      </c>
      <c r="E1572" t="s">
        <v>37</v>
      </c>
      <c r="F1572" t="s">
        <v>177</v>
      </c>
      <c r="G1572">
        <v>38</v>
      </c>
      <c r="H1572" t="s">
        <v>2795</v>
      </c>
      <c r="J1572" t="s">
        <v>3412</v>
      </c>
      <c r="K1572" s="11">
        <v>46211.351886574077</v>
      </c>
      <c r="M1572">
        <v>900</v>
      </c>
      <c r="N1572" t="s">
        <v>867</v>
      </c>
      <c r="O1572" t="s">
        <v>3413</v>
      </c>
      <c r="P1572" s="5"/>
      <c r="Q1572" s="10">
        <f>INT(Tabela1[[#This Row],[DATA]])</f>
        <v>46211</v>
      </c>
      <c r="R1572" s="14" t="str">
        <f ca="1">IF(AND(Q1572&gt;=TODAY()-WEEKDAY(TODAY(),2)+1,Q1572&lt;TODAY()),"SIM","NÃO")</f>
        <v>NÃO</v>
      </c>
    </row>
    <row r="1573" spans="1:18" hidden="1">
      <c r="A1573" t="s">
        <v>1110</v>
      </c>
      <c r="B1573" t="s">
        <v>1111</v>
      </c>
      <c r="C1573">
        <v>300273310</v>
      </c>
      <c r="D1573">
        <v>16520025</v>
      </c>
      <c r="E1573" t="s">
        <v>37</v>
      </c>
      <c r="F1573" t="s">
        <v>2405</v>
      </c>
      <c r="G1573">
        <v>44</v>
      </c>
      <c r="H1573" t="s">
        <v>1112</v>
      </c>
      <c r="J1573" t="s">
        <v>3414</v>
      </c>
      <c r="K1573" s="11">
        <v>46211.35900462963</v>
      </c>
      <c r="M1573">
        <v>901</v>
      </c>
      <c r="N1573" t="s">
        <v>867</v>
      </c>
      <c r="O1573">
        <v>0</v>
      </c>
      <c r="P1573" s="5"/>
      <c r="Q1573" s="10">
        <f>INT(Tabela1[[#This Row],[DATA]])</f>
        <v>46211</v>
      </c>
      <c r="R1573" s="14" t="str">
        <f ca="1">IF(AND(Q1573&gt;=TODAY()-WEEKDAY(TODAY(),2)+1,Q1573&lt;TODAY()),"SIM","NÃO")</f>
        <v>NÃO</v>
      </c>
    </row>
    <row r="1574" spans="1:18" hidden="1">
      <c r="A1574" t="s">
        <v>2543</v>
      </c>
      <c r="B1574" t="s">
        <v>28</v>
      </c>
      <c r="C1574">
        <v>300275795</v>
      </c>
      <c r="D1574">
        <v>16114159</v>
      </c>
      <c r="E1574" t="s">
        <v>37</v>
      </c>
      <c r="F1574" t="s">
        <v>221</v>
      </c>
      <c r="G1574">
        <v>972</v>
      </c>
      <c r="H1574" t="s">
        <v>2888</v>
      </c>
      <c r="K1574" s="11">
        <v>46211.398993055554</v>
      </c>
      <c r="M1574">
        <v>902</v>
      </c>
      <c r="N1574" t="s">
        <v>878</v>
      </c>
      <c r="O1574">
        <v>10000195771</v>
      </c>
      <c r="P1574" s="5"/>
      <c r="Q1574" s="10">
        <f>INT(Tabela1[[#This Row],[DATA]])</f>
        <v>46211</v>
      </c>
      <c r="R1574" s="14" t="str">
        <f ca="1">IF(AND(Q1574&gt;=TODAY()-WEEKDAY(TODAY(),2)+1,Q1574&lt;TODAY()),"SIM","NÃO")</f>
        <v>NÃO</v>
      </c>
    </row>
    <row r="1575" spans="1:18" hidden="1">
      <c r="A1575" t="s">
        <v>305</v>
      </c>
      <c r="B1575" t="s">
        <v>306</v>
      </c>
      <c r="C1575">
        <v>300267144</v>
      </c>
      <c r="D1575">
        <v>15128288</v>
      </c>
      <c r="E1575" t="s">
        <v>29</v>
      </c>
      <c r="F1575" t="s">
        <v>323</v>
      </c>
      <c r="G1575">
        <v>50</v>
      </c>
      <c r="H1575" t="s">
        <v>3415</v>
      </c>
      <c r="J1575" t="s">
        <v>3416</v>
      </c>
      <c r="K1575" s="11">
        <v>46211.399409722224</v>
      </c>
      <c r="M1575">
        <v>903</v>
      </c>
      <c r="N1575" t="s">
        <v>867</v>
      </c>
      <c r="O1575">
        <v>0</v>
      </c>
      <c r="P1575" s="5"/>
      <c r="Q1575" s="10">
        <f>INT(Tabela1[[#This Row],[DATA]])</f>
        <v>46211</v>
      </c>
      <c r="R1575" s="14" t="str">
        <f ca="1">IF(AND(Q1575&gt;=TODAY()-WEEKDAY(TODAY(),2)+1,Q1575&lt;TODAY()),"SIM","NÃO")</f>
        <v>NÃO</v>
      </c>
    </row>
    <row r="1576" spans="1:18" hidden="1">
      <c r="A1576" t="s">
        <v>287</v>
      </c>
      <c r="B1576" t="s">
        <v>288</v>
      </c>
      <c r="C1576">
        <v>300000000</v>
      </c>
      <c r="D1576">
        <v>160000000</v>
      </c>
      <c r="E1576" t="s">
        <v>37</v>
      </c>
      <c r="F1576" t="s">
        <v>3250</v>
      </c>
      <c r="G1576">
        <v>10000</v>
      </c>
      <c r="H1576" t="s">
        <v>3417</v>
      </c>
      <c r="J1576" t="s">
        <v>3418</v>
      </c>
      <c r="K1576" s="11">
        <v>46211.401296296295</v>
      </c>
      <c r="M1576">
        <v>904</v>
      </c>
      <c r="N1576" t="s">
        <v>878</v>
      </c>
      <c r="O1576">
        <v>9</v>
      </c>
      <c r="P1576" s="5"/>
      <c r="Q1576" s="10">
        <f>INT(Tabela1[[#This Row],[DATA]])</f>
        <v>46211</v>
      </c>
      <c r="R1576" s="14" t="str">
        <f ca="1">IF(AND(Q1576&gt;=TODAY()-WEEKDAY(TODAY(),2)+1,Q1576&lt;TODAY()),"SIM","NÃO")</f>
        <v>NÃO</v>
      </c>
    </row>
    <row r="1577" spans="1:18" hidden="1">
      <c r="A1577" t="s">
        <v>2775</v>
      </c>
      <c r="B1577" t="s">
        <v>512</v>
      </c>
      <c r="C1577">
        <v>300253545</v>
      </c>
      <c r="D1577">
        <v>123456789</v>
      </c>
      <c r="E1577" t="s">
        <v>37</v>
      </c>
      <c r="F1577" t="s">
        <v>3215</v>
      </c>
      <c r="G1577">
        <v>10000</v>
      </c>
      <c r="H1577" t="s">
        <v>3419</v>
      </c>
      <c r="J1577" t="s">
        <v>3420</v>
      </c>
      <c r="K1577" s="11">
        <v>46211.411944444444</v>
      </c>
      <c r="M1577">
        <v>905</v>
      </c>
      <c r="N1577" t="s">
        <v>878</v>
      </c>
      <c r="O1577" t="s">
        <v>2778</v>
      </c>
      <c r="P1577" s="5"/>
      <c r="Q1577" s="10">
        <f>INT(Tabela1[[#This Row],[DATA]])</f>
        <v>46211</v>
      </c>
      <c r="R1577" s="14" t="str">
        <f ca="1">IF(AND(Q1577&gt;=TODAY()-WEEKDAY(TODAY(),2)+1,Q1577&lt;TODAY()),"SIM","NÃO")</f>
        <v>NÃO</v>
      </c>
    </row>
    <row r="1578" spans="1:18" hidden="1">
      <c r="A1578" t="s">
        <v>2659</v>
      </c>
      <c r="B1578" t="s">
        <v>3421</v>
      </c>
      <c r="C1578">
        <v>300253545</v>
      </c>
      <c r="D1578">
        <v>123456789</v>
      </c>
      <c r="E1578" t="s">
        <v>37</v>
      </c>
      <c r="F1578" t="s">
        <v>3215</v>
      </c>
      <c r="G1578">
        <v>10000</v>
      </c>
      <c r="H1578" t="s">
        <v>3419</v>
      </c>
      <c r="J1578" t="s">
        <v>3419</v>
      </c>
      <c r="K1578" s="11">
        <v>46211.413287037038</v>
      </c>
      <c r="M1578">
        <v>906</v>
      </c>
      <c r="N1578" t="s">
        <v>878</v>
      </c>
      <c r="O1578" t="s">
        <v>2778</v>
      </c>
      <c r="P1578" s="5"/>
      <c r="Q1578" s="10">
        <f>INT(Tabela1[[#This Row],[DATA]])</f>
        <v>46211</v>
      </c>
      <c r="R1578" s="14" t="str">
        <f ca="1">IF(AND(Q1578&gt;=TODAY()-WEEKDAY(TODAY(),2)+1,Q1578&lt;TODAY()),"SIM","NÃO")</f>
        <v>NÃO</v>
      </c>
    </row>
    <row r="1579" spans="1:18" hidden="1">
      <c r="A1579" t="s">
        <v>2654</v>
      </c>
      <c r="B1579" t="s">
        <v>2655</v>
      </c>
      <c r="C1579">
        <v>300276640</v>
      </c>
      <c r="D1579">
        <v>16292898</v>
      </c>
      <c r="E1579" t="s">
        <v>37</v>
      </c>
      <c r="F1579" t="s">
        <v>3250</v>
      </c>
      <c r="G1579" t="s">
        <v>3422</v>
      </c>
      <c r="H1579" t="s">
        <v>3423</v>
      </c>
      <c r="K1579" s="11">
        <v>46211.421261574076</v>
      </c>
      <c r="M1579">
        <v>907</v>
      </c>
      <c r="N1579" t="s">
        <v>878</v>
      </c>
      <c r="O1579" t="s">
        <v>848</v>
      </c>
      <c r="P1579" s="5"/>
      <c r="Q1579" s="10">
        <f>INT(Tabela1[[#This Row],[DATA]])</f>
        <v>46211</v>
      </c>
      <c r="R1579" s="14" t="str">
        <f ca="1">IF(AND(Q1579&gt;=TODAY()-WEEKDAY(TODAY(),2)+1,Q1579&lt;TODAY()),"SIM","NÃO")</f>
        <v>NÃO</v>
      </c>
    </row>
    <row r="1580" spans="1:18" hidden="1">
      <c r="A1580" t="s">
        <v>2610</v>
      </c>
      <c r="B1580" t="s">
        <v>74</v>
      </c>
      <c r="C1580">
        <v>300279739</v>
      </c>
      <c r="D1580">
        <v>16373049</v>
      </c>
      <c r="E1580" t="s">
        <v>20</v>
      </c>
      <c r="F1580" t="s">
        <v>430</v>
      </c>
      <c r="G1580">
        <v>100</v>
      </c>
      <c r="H1580" t="s">
        <v>82</v>
      </c>
      <c r="K1580" s="11">
        <v>46211.42287037037</v>
      </c>
      <c r="M1580">
        <v>908</v>
      </c>
      <c r="N1580" t="s">
        <v>867</v>
      </c>
      <c r="O1580">
        <v>10000222731</v>
      </c>
      <c r="P1580" s="5"/>
      <c r="Q1580" s="10">
        <f>INT(Tabela1[[#This Row],[DATA]])</f>
        <v>46211</v>
      </c>
      <c r="R1580" s="14" t="str">
        <f ca="1">IF(AND(Q1580&gt;=TODAY()-WEEKDAY(TODAY(),2)+1,Q1580&lt;TODAY()),"SIM","NÃO")</f>
        <v>NÃO</v>
      </c>
    </row>
    <row r="1581" spans="1:18" hidden="1">
      <c r="A1581" t="s">
        <v>2603</v>
      </c>
      <c r="B1581" t="s">
        <v>929</v>
      </c>
      <c r="C1581">
        <v>300278801</v>
      </c>
      <c r="D1581">
        <v>16217780</v>
      </c>
      <c r="E1581" t="s">
        <v>37</v>
      </c>
      <c r="F1581" t="s">
        <v>2405</v>
      </c>
      <c r="G1581">
        <v>15</v>
      </c>
      <c r="H1581" t="s">
        <v>1831</v>
      </c>
      <c r="J1581" t="s">
        <v>2627</v>
      </c>
      <c r="K1581" s="11">
        <v>46211.430787037039</v>
      </c>
      <c r="M1581">
        <v>909</v>
      </c>
      <c r="N1581" t="s">
        <v>867</v>
      </c>
      <c r="O1581">
        <v>0</v>
      </c>
      <c r="P1581" s="5"/>
      <c r="Q1581" s="10">
        <f>INT(Tabela1[[#This Row],[DATA]])</f>
        <v>46211</v>
      </c>
      <c r="R1581" s="14" t="str">
        <f ca="1">IF(AND(Q1581&gt;=TODAY()-WEEKDAY(TODAY(),2)+1,Q1581&lt;TODAY()),"SIM","NÃO")</f>
        <v>NÃO</v>
      </c>
    </row>
    <row r="1582" spans="1:18" hidden="1">
      <c r="A1582" t="s">
        <v>661</v>
      </c>
      <c r="B1582" t="s">
        <v>3424</v>
      </c>
      <c r="C1582">
        <v>300274650</v>
      </c>
      <c r="D1582">
        <v>16447735</v>
      </c>
      <c r="E1582" t="s">
        <v>37</v>
      </c>
      <c r="F1582" t="s">
        <v>3217</v>
      </c>
      <c r="G1582" t="s">
        <v>3425</v>
      </c>
      <c r="H1582" t="s">
        <v>3426</v>
      </c>
      <c r="J1582" t="s">
        <v>3427</v>
      </c>
      <c r="K1582" s="11">
        <v>46211.438449074078</v>
      </c>
      <c r="M1582">
        <v>910</v>
      </c>
      <c r="N1582" t="s">
        <v>878</v>
      </c>
      <c r="O1582">
        <v>0</v>
      </c>
      <c r="P1582" s="5"/>
      <c r="Q1582" s="10">
        <f>INT(Tabela1[[#This Row],[DATA]])</f>
        <v>46211</v>
      </c>
      <c r="R1582" s="14" t="str">
        <f ca="1">IF(AND(Q1582&gt;=TODAY()-WEEKDAY(TODAY(),2)+1,Q1582&lt;TODAY()),"SIM","NÃO")</f>
        <v>NÃO</v>
      </c>
    </row>
    <row r="1583" spans="1:18" hidden="1">
      <c r="A1583" t="s">
        <v>2551</v>
      </c>
      <c r="B1583" t="s">
        <v>274</v>
      </c>
      <c r="C1583">
        <v>300277085</v>
      </c>
      <c r="D1583">
        <v>15775496</v>
      </c>
      <c r="E1583" t="s">
        <v>37</v>
      </c>
      <c r="F1583" t="s">
        <v>2405</v>
      </c>
      <c r="G1583">
        <v>40</v>
      </c>
      <c r="H1583" t="s">
        <v>2923</v>
      </c>
      <c r="K1583" s="11">
        <v>46211.440694444442</v>
      </c>
      <c r="M1583">
        <v>911</v>
      </c>
      <c r="N1583" t="s">
        <v>867</v>
      </c>
      <c r="O1583">
        <v>0</v>
      </c>
      <c r="P1583" s="5"/>
      <c r="Q1583" s="10">
        <f>INT(Tabela1[[#This Row],[DATA]])</f>
        <v>46211</v>
      </c>
      <c r="R1583" s="14" t="str">
        <f ca="1">IF(AND(Q1583&gt;=TODAY()-WEEKDAY(TODAY(),2)+1,Q1583&lt;TODAY()),"SIM","NÃO")</f>
        <v>NÃO</v>
      </c>
    </row>
    <row r="1584" spans="1:18" hidden="1">
      <c r="A1584" t="s">
        <v>249</v>
      </c>
      <c r="B1584" t="s">
        <v>112</v>
      </c>
      <c r="C1584">
        <v>300264322</v>
      </c>
      <c r="D1584">
        <v>16212878</v>
      </c>
      <c r="E1584" t="s">
        <v>37</v>
      </c>
      <c r="F1584" t="s">
        <v>3333</v>
      </c>
      <c r="G1584">
        <v>5</v>
      </c>
      <c r="H1584" t="s">
        <v>1335</v>
      </c>
      <c r="K1584" s="11">
        <v>46211.442002314812</v>
      </c>
      <c r="M1584">
        <v>912</v>
      </c>
      <c r="N1584" t="s">
        <v>867</v>
      </c>
      <c r="O1584">
        <v>10000068897</v>
      </c>
      <c r="P1584" s="5"/>
      <c r="Q1584" s="10">
        <f>INT(Tabela1[[#This Row],[DATA]])</f>
        <v>46211</v>
      </c>
      <c r="R1584" s="14" t="str">
        <f ca="1">IF(AND(Q1584&gt;=TODAY()-WEEKDAY(TODAY(),2)+1,Q1584&lt;TODAY()),"SIM","NÃO")</f>
        <v>NÃO</v>
      </c>
    </row>
    <row r="1585" spans="1:18" hidden="1">
      <c r="A1585" t="s">
        <v>2551</v>
      </c>
      <c r="B1585" t="s">
        <v>274</v>
      </c>
      <c r="C1585">
        <v>300277085</v>
      </c>
      <c r="D1585">
        <v>15775496</v>
      </c>
      <c r="E1585" t="s">
        <v>37</v>
      </c>
      <c r="F1585" t="s">
        <v>3215</v>
      </c>
      <c r="G1585">
        <v>10</v>
      </c>
      <c r="H1585" t="s">
        <v>3428</v>
      </c>
      <c r="J1585" t="s">
        <v>3428</v>
      </c>
      <c r="K1585" s="11">
        <v>46211.442488425928</v>
      </c>
      <c r="M1585">
        <v>913</v>
      </c>
      <c r="N1585" t="s">
        <v>867</v>
      </c>
      <c r="O1585">
        <v>0</v>
      </c>
      <c r="P1585" s="5"/>
      <c r="Q1585" s="10">
        <f>INT(Tabela1[[#This Row],[DATA]])</f>
        <v>46211</v>
      </c>
      <c r="R1585" s="14" t="str">
        <f ca="1">IF(AND(Q1585&gt;=TODAY()-WEEKDAY(TODAY(),2)+1,Q1585&lt;TODAY()),"SIM","NÃO")</f>
        <v>NÃO</v>
      </c>
    </row>
    <row r="1586" spans="1:18" hidden="1">
      <c r="A1586" t="s">
        <v>489</v>
      </c>
      <c r="B1586" t="s">
        <v>490</v>
      </c>
      <c r="C1586">
        <v>300273318</v>
      </c>
      <c r="D1586">
        <v>15775615</v>
      </c>
      <c r="E1586" t="s">
        <v>37</v>
      </c>
      <c r="F1586" t="s">
        <v>216</v>
      </c>
      <c r="G1586">
        <v>60</v>
      </c>
      <c r="H1586" t="s">
        <v>3429</v>
      </c>
      <c r="J1586" t="s">
        <v>3430</v>
      </c>
      <c r="K1586" s="11">
        <v>46211.448425925926</v>
      </c>
      <c r="M1586">
        <v>914</v>
      </c>
      <c r="N1586" t="s">
        <v>867</v>
      </c>
      <c r="O1586">
        <v>0</v>
      </c>
      <c r="P1586" s="5"/>
      <c r="Q1586" s="10">
        <f>INT(Tabela1[[#This Row],[DATA]])</f>
        <v>46211</v>
      </c>
      <c r="R1586" s="14" t="str">
        <f ca="1">IF(AND(Q1586&gt;=TODAY()-WEEKDAY(TODAY(),2)+1,Q1586&lt;TODAY()),"SIM","NÃO")</f>
        <v>NÃO</v>
      </c>
    </row>
    <row r="1587" spans="1:18" hidden="1">
      <c r="A1587" t="s">
        <v>3311</v>
      </c>
      <c r="B1587" t="s">
        <v>768</v>
      </c>
      <c r="C1587">
        <v>300272971</v>
      </c>
      <c r="D1587">
        <v>16508920</v>
      </c>
      <c r="E1587" t="s">
        <v>37</v>
      </c>
      <c r="F1587" t="s">
        <v>3215</v>
      </c>
      <c r="G1587" t="s">
        <v>3431</v>
      </c>
      <c r="H1587" t="s">
        <v>644</v>
      </c>
      <c r="K1587" s="11">
        <v>46211.450370370374</v>
      </c>
      <c r="M1587">
        <v>915</v>
      </c>
      <c r="N1587" t="s">
        <v>867</v>
      </c>
      <c r="O1587" t="s">
        <v>3432</v>
      </c>
      <c r="P1587" s="5"/>
      <c r="Q1587" s="10">
        <f>INT(Tabela1[[#This Row],[DATA]])</f>
        <v>46211</v>
      </c>
      <c r="R1587" s="14" t="str">
        <f ca="1">IF(AND(Q1587&gt;=TODAY()-WEEKDAY(TODAY(),2)+1,Q1587&lt;TODAY()),"SIM","NÃO")</f>
        <v>NÃO</v>
      </c>
    </row>
    <row r="1588" spans="1:18" hidden="1">
      <c r="A1588" t="s">
        <v>2765</v>
      </c>
      <c r="B1588" t="s">
        <v>107</v>
      </c>
      <c r="C1588">
        <v>300276340</v>
      </c>
      <c r="D1588">
        <v>16311876</v>
      </c>
      <c r="E1588" t="s">
        <v>45</v>
      </c>
      <c r="F1588" t="s">
        <v>3212</v>
      </c>
      <c r="G1588">
        <v>240</v>
      </c>
      <c r="H1588" t="s">
        <v>3433</v>
      </c>
      <c r="K1588" s="11">
        <v>46211.453333333331</v>
      </c>
      <c r="M1588">
        <v>916</v>
      </c>
      <c r="N1588" t="s">
        <v>867</v>
      </c>
      <c r="O1588">
        <v>0</v>
      </c>
      <c r="P1588" s="5"/>
      <c r="Q1588" s="10">
        <f>INT(Tabela1[[#This Row],[DATA]])</f>
        <v>46211</v>
      </c>
      <c r="R1588" s="14" t="str">
        <f ca="1">IF(AND(Q1588&gt;=TODAY()-WEEKDAY(TODAY(),2)+1,Q1588&lt;TODAY()),"SIM","NÃO")</f>
        <v>NÃO</v>
      </c>
    </row>
    <row r="1589" spans="1:18" hidden="1">
      <c r="A1589" t="s">
        <v>143</v>
      </c>
      <c r="B1589" t="s">
        <v>144</v>
      </c>
      <c r="C1589">
        <v>300276892</v>
      </c>
      <c r="D1589">
        <v>16222954</v>
      </c>
      <c r="E1589" t="s">
        <v>45</v>
      </c>
      <c r="F1589" t="s">
        <v>1904</v>
      </c>
      <c r="G1589" t="s">
        <v>3434</v>
      </c>
      <c r="H1589" t="s">
        <v>644</v>
      </c>
      <c r="K1589" s="11">
        <v>46211.453738425924</v>
      </c>
      <c r="M1589">
        <v>917</v>
      </c>
      <c r="N1589" t="s">
        <v>878</v>
      </c>
      <c r="O1589">
        <v>0</v>
      </c>
      <c r="P1589" s="5"/>
      <c r="Q1589" s="10">
        <f>INT(Tabela1[[#This Row],[DATA]])</f>
        <v>46211</v>
      </c>
      <c r="R1589" s="14" t="str">
        <f ca="1">IF(AND(Q1589&gt;=TODAY()-WEEKDAY(TODAY(),2)+1,Q1589&lt;TODAY()),"SIM","NÃO")</f>
        <v>NÃO</v>
      </c>
    </row>
    <row r="1590" spans="1:18" hidden="1">
      <c r="A1590" t="s">
        <v>143</v>
      </c>
      <c r="B1590" t="s">
        <v>144</v>
      </c>
      <c r="C1590">
        <v>300276892</v>
      </c>
      <c r="D1590">
        <v>16222954</v>
      </c>
      <c r="E1590" t="s">
        <v>45</v>
      </c>
      <c r="F1590" t="s">
        <v>145</v>
      </c>
      <c r="G1590" t="s">
        <v>3435</v>
      </c>
      <c r="H1590" t="s">
        <v>848</v>
      </c>
      <c r="K1590" s="11">
        <v>46211.454421296294</v>
      </c>
      <c r="M1590">
        <v>918</v>
      </c>
      <c r="N1590" t="s">
        <v>878</v>
      </c>
      <c r="O1590">
        <v>0</v>
      </c>
      <c r="P1590" s="5"/>
      <c r="Q1590" s="10">
        <f>INT(Tabela1[[#This Row],[DATA]])</f>
        <v>46211</v>
      </c>
      <c r="R1590" s="14" t="str">
        <f ca="1">IF(AND(Q1590&gt;=TODAY()-WEEKDAY(TODAY(),2)+1,Q1590&lt;TODAY()),"SIM","NÃO")</f>
        <v>NÃO</v>
      </c>
    </row>
    <row r="1591" spans="1:18" hidden="1">
      <c r="A1591" t="s">
        <v>2765</v>
      </c>
      <c r="B1591" t="s">
        <v>107</v>
      </c>
      <c r="C1591">
        <v>300277699</v>
      </c>
      <c r="D1591">
        <v>16466314</v>
      </c>
      <c r="E1591" t="s">
        <v>45</v>
      </c>
      <c r="F1591" t="s">
        <v>2405</v>
      </c>
      <c r="G1591">
        <v>5</v>
      </c>
      <c r="H1591" t="s">
        <v>2292</v>
      </c>
      <c r="K1591" s="11">
        <v>46211.454525462963</v>
      </c>
      <c r="M1591">
        <v>919</v>
      </c>
      <c r="N1591" t="s">
        <v>867</v>
      </c>
      <c r="O1591">
        <v>0</v>
      </c>
      <c r="P1591" s="5"/>
      <c r="Q1591" s="10">
        <f>INT(Tabela1[[#This Row],[DATA]])</f>
        <v>46211</v>
      </c>
      <c r="R1591" s="14" t="str">
        <f ca="1">IF(AND(Q1591&gt;=TODAY()-WEEKDAY(TODAY(),2)+1,Q1591&lt;TODAY()),"SIM","NÃO")</f>
        <v>NÃO</v>
      </c>
    </row>
    <row r="1592" spans="1:18" hidden="1">
      <c r="A1592" t="s">
        <v>2765</v>
      </c>
      <c r="B1592" t="s">
        <v>107</v>
      </c>
      <c r="C1592">
        <v>300277999</v>
      </c>
      <c r="D1592">
        <v>16466314</v>
      </c>
      <c r="E1592" t="s">
        <v>45</v>
      </c>
      <c r="F1592" t="s">
        <v>2405</v>
      </c>
      <c r="G1592">
        <v>2</v>
      </c>
      <c r="H1592" t="s">
        <v>2766</v>
      </c>
      <c r="K1592" s="11">
        <v>46211.455370370371</v>
      </c>
      <c r="M1592">
        <v>920</v>
      </c>
      <c r="N1592" t="s">
        <v>867</v>
      </c>
      <c r="O1592">
        <v>0</v>
      </c>
      <c r="P1592" s="5"/>
      <c r="Q1592" s="10">
        <f>INT(Tabela1[[#This Row],[DATA]])</f>
        <v>46211</v>
      </c>
      <c r="R1592" s="14" t="str">
        <f ca="1">IF(AND(Q1592&gt;=TODAY()-WEEKDAY(TODAY(),2)+1,Q1592&lt;TODAY()),"SIM","NÃO")</f>
        <v>NÃO</v>
      </c>
    </row>
    <row r="1593" spans="1:18" hidden="1">
      <c r="A1593" t="s">
        <v>2671</v>
      </c>
      <c r="B1593" t="s">
        <v>89</v>
      </c>
      <c r="C1593">
        <v>300277185</v>
      </c>
      <c r="D1593">
        <v>16218620</v>
      </c>
      <c r="E1593" t="s">
        <v>37</v>
      </c>
      <c r="F1593" t="s">
        <v>2213</v>
      </c>
      <c r="G1593">
        <v>80</v>
      </c>
      <c r="H1593" t="s">
        <v>3001</v>
      </c>
      <c r="J1593" t="s">
        <v>3436</v>
      </c>
      <c r="K1593" s="11">
        <v>46211.468495370369</v>
      </c>
      <c r="M1593">
        <v>921</v>
      </c>
      <c r="N1593" t="s">
        <v>878</v>
      </c>
      <c r="O1593">
        <v>10000216487</v>
      </c>
      <c r="P1593" s="5"/>
      <c r="Q1593" s="10">
        <f>INT(Tabela1[[#This Row],[DATA]])</f>
        <v>46211</v>
      </c>
      <c r="R1593" s="14" t="str">
        <f ca="1">IF(AND(Q1593&gt;=TODAY()-WEEKDAY(TODAY(),2)+1,Q1593&lt;TODAY()),"SIM","NÃO")</f>
        <v>NÃO</v>
      </c>
    </row>
    <row r="1594" spans="1:18" hidden="1">
      <c r="A1594" t="s">
        <v>2571</v>
      </c>
      <c r="B1594" t="s">
        <v>798</v>
      </c>
      <c r="C1594">
        <v>300277186</v>
      </c>
      <c r="D1594">
        <v>16243161</v>
      </c>
      <c r="E1594" t="s">
        <v>37</v>
      </c>
      <c r="F1594" t="s">
        <v>3217</v>
      </c>
      <c r="G1594">
        <v>1081</v>
      </c>
      <c r="H1594" t="s">
        <v>3437</v>
      </c>
      <c r="K1594" s="11">
        <v>46211.474363425928</v>
      </c>
      <c r="M1594">
        <v>922</v>
      </c>
      <c r="N1594" t="s">
        <v>867</v>
      </c>
      <c r="O1594">
        <v>10000191916</v>
      </c>
      <c r="P1594" s="5"/>
      <c r="Q1594" s="10">
        <f>INT(Tabela1[[#This Row],[DATA]])</f>
        <v>46211</v>
      </c>
      <c r="R1594" s="14" t="str">
        <f ca="1">IF(AND(Q1594&gt;=TODAY()-WEEKDAY(TODAY(),2)+1,Q1594&lt;TODAY()),"SIM","NÃO")</f>
        <v>NÃO</v>
      </c>
    </row>
    <row r="1595" spans="1:18" hidden="1">
      <c r="A1595" t="s">
        <v>2571</v>
      </c>
      <c r="B1595" t="s">
        <v>798</v>
      </c>
      <c r="C1595">
        <v>300277186</v>
      </c>
      <c r="D1595">
        <v>16243161</v>
      </c>
      <c r="E1595" t="s">
        <v>37</v>
      </c>
      <c r="F1595" t="s">
        <v>3438</v>
      </c>
      <c r="G1595">
        <v>376</v>
      </c>
      <c r="H1595" t="s">
        <v>3439</v>
      </c>
      <c r="K1595" s="11">
        <v>46211.476157407407</v>
      </c>
      <c r="M1595">
        <v>923</v>
      </c>
      <c r="N1595" t="s">
        <v>867</v>
      </c>
      <c r="O1595">
        <v>10000191916</v>
      </c>
      <c r="P1595" s="5"/>
      <c r="Q1595" s="10">
        <f>INT(Tabela1[[#This Row],[DATA]])</f>
        <v>46211</v>
      </c>
      <c r="R1595" s="14" t="str">
        <f ca="1">IF(AND(Q1595&gt;=TODAY()-WEEKDAY(TODAY(),2)+1,Q1595&lt;TODAY()),"SIM","NÃO")</f>
        <v>NÃO</v>
      </c>
    </row>
    <row r="1596" spans="1:18" hidden="1">
      <c r="A1596" t="s">
        <v>428</v>
      </c>
      <c r="B1596" t="s">
        <v>429</v>
      </c>
      <c r="C1596">
        <v>300275188</v>
      </c>
      <c r="D1596">
        <v>12438235</v>
      </c>
      <c r="E1596" t="s">
        <v>29</v>
      </c>
      <c r="F1596" t="s">
        <v>2405</v>
      </c>
      <c r="G1596">
        <v>100</v>
      </c>
      <c r="H1596" t="s">
        <v>2709</v>
      </c>
      <c r="K1596" s="11">
        <v>46211.479502314818</v>
      </c>
      <c r="M1596">
        <v>924</v>
      </c>
      <c r="N1596" t="s">
        <v>867</v>
      </c>
      <c r="O1596">
        <v>0</v>
      </c>
      <c r="P1596" s="5"/>
      <c r="Q1596" s="10">
        <f>INT(Tabela1[[#This Row],[DATA]])</f>
        <v>46211</v>
      </c>
      <c r="R1596" s="14" t="str">
        <f ca="1">IF(AND(Q1596&gt;=TODAY()-WEEKDAY(TODAY(),2)+1,Q1596&lt;TODAY()),"SIM","NÃO")</f>
        <v>NÃO</v>
      </c>
    </row>
    <row r="1597" spans="1:18" hidden="1">
      <c r="A1597" t="s">
        <v>2911</v>
      </c>
      <c r="B1597" t="s">
        <v>2912</v>
      </c>
      <c r="C1597">
        <v>300267558</v>
      </c>
      <c r="D1597">
        <v>12416746</v>
      </c>
      <c r="E1597" t="s">
        <v>45</v>
      </c>
      <c r="F1597" t="s">
        <v>2405</v>
      </c>
      <c r="G1597" t="s">
        <v>3440</v>
      </c>
      <c r="H1597" t="s">
        <v>2846</v>
      </c>
      <c r="J1597" t="s">
        <v>3441</v>
      </c>
      <c r="K1597" s="11">
        <v>46211.494560185187</v>
      </c>
      <c r="M1597">
        <v>925</v>
      </c>
      <c r="N1597" t="s">
        <v>867</v>
      </c>
      <c r="O1597">
        <v>220015</v>
      </c>
      <c r="P1597" s="5"/>
      <c r="Q1597" s="10">
        <f>INT(Tabela1[[#This Row],[DATA]])</f>
        <v>46211</v>
      </c>
      <c r="R1597" s="14" t="str">
        <f ca="1">IF(AND(Q1597&gt;=TODAY()-WEEKDAY(TODAY(),2)+1,Q1597&lt;TODAY()),"SIM","NÃO")</f>
        <v>NÃO</v>
      </c>
    </row>
    <row r="1598" spans="1:18" hidden="1">
      <c r="A1598" t="s">
        <v>2713</v>
      </c>
      <c r="B1598" t="s">
        <v>55</v>
      </c>
      <c r="C1598">
        <v>300276345</v>
      </c>
      <c r="D1598">
        <v>15957136</v>
      </c>
      <c r="E1598" t="s">
        <v>45</v>
      </c>
      <c r="F1598" t="s">
        <v>2405</v>
      </c>
      <c r="G1598">
        <v>8</v>
      </c>
      <c r="H1598" t="s">
        <v>2294</v>
      </c>
      <c r="K1598" s="11">
        <v>46211.547731481478</v>
      </c>
      <c r="M1598">
        <v>926</v>
      </c>
      <c r="N1598" t="s">
        <v>878</v>
      </c>
      <c r="O1598" t="s">
        <v>2124</v>
      </c>
      <c r="P1598" s="5"/>
      <c r="Q1598" s="10">
        <f>INT(Tabela1[[#This Row],[DATA]])</f>
        <v>46211</v>
      </c>
      <c r="R1598" s="14" t="str">
        <f ca="1">IF(AND(Q1598&gt;=TODAY()-WEEKDAY(TODAY(),2)+1,Q1598&lt;TODAY()),"SIM","NÃO")</f>
        <v>NÃO</v>
      </c>
    </row>
    <row r="1599" spans="1:18" hidden="1">
      <c r="A1599" t="s">
        <v>332</v>
      </c>
      <c r="B1599" t="s">
        <v>690</v>
      </c>
      <c r="C1599">
        <v>300276889</v>
      </c>
      <c r="D1599">
        <v>16222881</v>
      </c>
      <c r="E1599" t="s">
        <v>45</v>
      </c>
      <c r="F1599" t="s">
        <v>96</v>
      </c>
      <c r="G1599">
        <v>4</v>
      </c>
      <c r="H1599" t="s">
        <v>1966</v>
      </c>
      <c r="K1599" s="11">
        <v>46211.56181712963</v>
      </c>
      <c r="M1599">
        <v>927</v>
      </c>
      <c r="N1599" t="s">
        <v>867</v>
      </c>
      <c r="O1599">
        <v>0</v>
      </c>
      <c r="P1599" s="5"/>
      <c r="Q1599" s="10">
        <f>INT(Tabela1[[#This Row],[DATA]])</f>
        <v>46211</v>
      </c>
      <c r="R1599" s="14" t="str">
        <f ca="1">IF(AND(Q1599&gt;=TODAY()-WEEKDAY(TODAY(),2)+1,Q1599&lt;TODAY()),"SIM","NÃO")</f>
        <v>NÃO</v>
      </c>
    </row>
    <row r="1600" spans="1:18" hidden="1">
      <c r="A1600" t="s">
        <v>163</v>
      </c>
      <c r="B1600" t="s">
        <v>164</v>
      </c>
      <c r="C1600">
        <v>300270875</v>
      </c>
      <c r="D1600">
        <v>16426010</v>
      </c>
      <c r="E1600" t="s">
        <v>45</v>
      </c>
      <c r="F1600" t="s">
        <v>1522</v>
      </c>
      <c r="G1600">
        <v>1363</v>
      </c>
      <c r="H1600" t="s">
        <v>39</v>
      </c>
      <c r="J1600" t="s">
        <v>3442</v>
      </c>
      <c r="K1600" s="11">
        <v>46211.568310185183</v>
      </c>
      <c r="M1600">
        <v>928</v>
      </c>
      <c r="N1600" t="s">
        <v>878</v>
      </c>
      <c r="O1600">
        <v>0</v>
      </c>
      <c r="P1600" s="5"/>
      <c r="Q1600" s="10">
        <f>INT(Tabela1[[#This Row],[DATA]])</f>
        <v>46211</v>
      </c>
      <c r="R1600" s="14" t="str">
        <f ca="1">IF(AND(Q1600&gt;=TODAY()-WEEKDAY(TODAY(),2)+1,Q1600&lt;TODAY()),"SIM","NÃO")</f>
        <v>NÃO</v>
      </c>
    </row>
    <row r="1601" spans="1:18" hidden="1">
      <c r="A1601" t="s">
        <v>3073</v>
      </c>
      <c r="B1601" t="s">
        <v>448</v>
      </c>
      <c r="C1601">
        <v>300274646</v>
      </c>
      <c r="D1601">
        <v>16319249</v>
      </c>
      <c r="E1601" t="s">
        <v>37</v>
      </c>
      <c r="F1601" t="s">
        <v>2405</v>
      </c>
      <c r="G1601">
        <v>50</v>
      </c>
      <c r="H1601" t="s">
        <v>2795</v>
      </c>
      <c r="K1601" s="11">
        <v>46211.572569444441</v>
      </c>
      <c r="M1601">
        <v>929</v>
      </c>
      <c r="N1601" t="s">
        <v>867</v>
      </c>
      <c r="O1601">
        <v>0</v>
      </c>
      <c r="P1601" s="5"/>
      <c r="Q1601" s="10">
        <f>INT(Tabela1[[#This Row],[DATA]])</f>
        <v>46211</v>
      </c>
      <c r="R1601" s="14" t="str">
        <f ca="1">IF(AND(Q1601&gt;=TODAY()-WEEKDAY(TODAY(),2)+1,Q1601&lt;TODAY()),"SIM","NÃO")</f>
        <v>NÃO</v>
      </c>
    </row>
    <row r="1602" spans="1:18" hidden="1">
      <c r="A1602" t="s">
        <v>111</v>
      </c>
      <c r="B1602" t="s">
        <v>112</v>
      </c>
      <c r="C1602">
        <v>300276746</v>
      </c>
      <c r="D1602">
        <v>16210097</v>
      </c>
      <c r="E1602" t="s">
        <v>37</v>
      </c>
      <c r="F1602" t="s">
        <v>2213</v>
      </c>
      <c r="G1602">
        <v>2</v>
      </c>
      <c r="H1602" t="s">
        <v>1335</v>
      </c>
      <c r="K1602" s="11">
        <v>46211.573854166665</v>
      </c>
      <c r="M1602">
        <v>930</v>
      </c>
      <c r="N1602" t="s">
        <v>867</v>
      </c>
      <c r="O1602">
        <v>10000216489</v>
      </c>
      <c r="P1602" s="5"/>
      <c r="Q1602" s="10">
        <f>INT(Tabela1[[#This Row],[DATA]])</f>
        <v>46211</v>
      </c>
      <c r="R1602" s="14" t="str">
        <f ca="1">IF(AND(Q1602&gt;=TODAY()-WEEKDAY(TODAY(),2)+1,Q1602&lt;TODAY()),"SIM","NÃO")</f>
        <v>NÃO</v>
      </c>
    </row>
    <row r="1603" spans="1:18" hidden="1">
      <c r="A1603" t="s">
        <v>185</v>
      </c>
      <c r="B1603" t="s">
        <v>1625</v>
      </c>
      <c r="C1603">
        <v>300272949</v>
      </c>
      <c r="D1603">
        <v>16540000</v>
      </c>
      <c r="E1603" t="s">
        <v>37</v>
      </c>
      <c r="F1603" t="s">
        <v>1904</v>
      </c>
      <c r="G1603">
        <v>10</v>
      </c>
      <c r="H1603" t="s">
        <v>1771</v>
      </c>
      <c r="K1603" s="11">
        <v>46211.582349537035</v>
      </c>
      <c r="M1603">
        <v>931</v>
      </c>
      <c r="N1603" t="s">
        <v>867</v>
      </c>
      <c r="O1603">
        <v>10000063383</v>
      </c>
      <c r="P1603" s="5"/>
      <c r="Q1603" s="10">
        <f>INT(Tabela1[[#This Row],[DATA]])</f>
        <v>46211</v>
      </c>
      <c r="R1603" s="14" t="str">
        <f ca="1">IF(AND(Q1603&gt;=TODAY()-WEEKDAY(TODAY(),2)+1,Q1603&lt;TODAY()),"SIM","NÃO")</f>
        <v>NÃO</v>
      </c>
    </row>
    <row r="1604" spans="1:18" hidden="1">
      <c r="A1604" t="s">
        <v>185</v>
      </c>
      <c r="B1604" t="s">
        <v>1625</v>
      </c>
      <c r="C1604">
        <v>300275014</v>
      </c>
      <c r="D1604">
        <v>16503783</v>
      </c>
      <c r="E1604" t="s">
        <v>37</v>
      </c>
      <c r="F1604" t="s">
        <v>3241</v>
      </c>
      <c r="G1604">
        <v>20</v>
      </c>
      <c r="H1604" t="s">
        <v>1771</v>
      </c>
      <c r="K1604" s="11">
        <v>46211.584386574075</v>
      </c>
      <c r="M1604">
        <v>932</v>
      </c>
      <c r="N1604" t="s">
        <v>867</v>
      </c>
      <c r="O1604" t="s">
        <v>3443</v>
      </c>
      <c r="P1604" s="5"/>
      <c r="Q1604" s="10">
        <f>INT(Tabela1[[#This Row],[DATA]])</f>
        <v>46211</v>
      </c>
      <c r="R1604" s="14" t="str">
        <f ca="1">IF(AND(Q1604&gt;=TODAY()-WEEKDAY(TODAY(),2)+1,Q1604&lt;TODAY()),"SIM","NÃO")</f>
        <v>NÃO</v>
      </c>
    </row>
    <row r="1605" spans="1:18" hidden="1">
      <c r="A1605" t="s">
        <v>2603</v>
      </c>
      <c r="B1605" t="s">
        <v>929</v>
      </c>
      <c r="C1605">
        <v>300271500</v>
      </c>
      <c r="D1605">
        <v>16473825</v>
      </c>
      <c r="E1605" t="s">
        <v>37</v>
      </c>
      <c r="F1605" t="s">
        <v>2405</v>
      </c>
      <c r="G1605">
        <v>2</v>
      </c>
      <c r="H1605" t="s">
        <v>2172</v>
      </c>
      <c r="J1605" t="s">
        <v>2172</v>
      </c>
      <c r="K1605" s="11">
        <v>46211.589120370372</v>
      </c>
      <c r="M1605">
        <v>933</v>
      </c>
      <c r="N1605" t="s">
        <v>867</v>
      </c>
      <c r="O1605">
        <v>0</v>
      </c>
      <c r="P1605" s="5"/>
      <c r="Q1605" s="10">
        <f>INT(Tabela1[[#This Row],[DATA]])</f>
        <v>46211</v>
      </c>
      <c r="R1605" s="14" t="str">
        <f ca="1">IF(AND(Q1605&gt;=TODAY()-WEEKDAY(TODAY(),2)+1,Q1605&lt;TODAY()),"SIM","NÃO")</f>
        <v>NÃO</v>
      </c>
    </row>
    <row r="1606" spans="1:18" hidden="1">
      <c r="A1606" t="s">
        <v>541</v>
      </c>
      <c r="B1606" t="s">
        <v>542</v>
      </c>
      <c r="C1606">
        <v>300279698</v>
      </c>
      <c r="D1606">
        <v>16318455</v>
      </c>
      <c r="E1606" t="s">
        <v>45</v>
      </c>
      <c r="F1606" t="s">
        <v>3212</v>
      </c>
      <c r="G1606">
        <v>282</v>
      </c>
      <c r="H1606" t="s">
        <v>3444</v>
      </c>
      <c r="J1606" t="s">
        <v>3445</v>
      </c>
      <c r="K1606" s="11">
        <v>46211.611793981479</v>
      </c>
      <c r="M1606">
        <v>934</v>
      </c>
      <c r="N1606" t="s">
        <v>867</v>
      </c>
      <c r="O1606">
        <v>0</v>
      </c>
      <c r="P1606" s="5"/>
      <c r="Q1606" s="10">
        <f>INT(Tabela1[[#This Row],[DATA]])</f>
        <v>46211</v>
      </c>
      <c r="R1606" s="14" t="str">
        <f ca="1">IF(AND(Q1606&gt;=TODAY()-WEEKDAY(TODAY(),2)+1,Q1606&lt;TODAY()),"SIM","NÃO")</f>
        <v>NÃO</v>
      </c>
    </row>
    <row r="1607" spans="1:18" hidden="1">
      <c r="A1607" t="s">
        <v>3022</v>
      </c>
      <c r="B1607" t="s">
        <v>3023</v>
      </c>
      <c r="C1607">
        <v>300275906</v>
      </c>
      <c r="D1607">
        <v>16223608</v>
      </c>
      <c r="E1607" t="s">
        <v>45</v>
      </c>
      <c r="F1607" t="s">
        <v>151</v>
      </c>
      <c r="G1607">
        <v>86</v>
      </c>
      <c r="H1607" t="s">
        <v>3446</v>
      </c>
      <c r="K1607" s="11">
        <v>46211.627754629626</v>
      </c>
      <c r="M1607">
        <v>935</v>
      </c>
      <c r="N1607" t="s">
        <v>867</v>
      </c>
      <c r="O1607" t="s">
        <v>3447</v>
      </c>
      <c r="P1607" s="5"/>
      <c r="Q1607" s="10">
        <f>INT(Tabela1[[#This Row],[DATA]])</f>
        <v>46211</v>
      </c>
      <c r="R1607" s="14" t="str">
        <f ca="1">IF(AND(Q1607&gt;=TODAY()-WEEKDAY(TODAY(),2)+1,Q1607&lt;TODAY()),"SIM","NÃO")</f>
        <v>NÃO</v>
      </c>
    </row>
    <row r="1608" spans="1:18" hidden="1">
      <c r="A1608" t="s">
        <v>914</v>
      </c>
      <c r="B1608" t="s">
        <v>2651</v>
      </c>
      <c r="C1608">
        <v>300275037</v>
      </c>
      <c r="D1608">
        <v>16482204</v>
      </c>
      <c r="E1608" t="s">
        <v>37</v>
      </c>
      <c r="F1608" t="s">
        <v>216</v>
      </c>
      <c r="G1608">
        <v>125</v>
      </c>
      <c r="H1608" t="s">
        <v>3448</v>
      </c>
      <c r="J1608" t="s">
        <v>3448</v>
      </c>
      <c r="K1608" s="11">
        <v>46211.671423611115</v>
      </c>
      <c r="M1608">
        <v>936</v>
      </c>
      <c r="N1608" t="s">
        <v>867</v>
      </c>
      <c r="O1608">
        <v>0</v>
      </c>
      <c r="P1608" s="5"/>
      <c r="Q1608" s="10">
        <f>INT(Tabela1[[#This Row],[DATA]])</f>
        <v>46211</v>
      </c>
      <c r="R1608" s="14" t="str">
        <f ca="1">IF(AND(Q1608&gt;=TODAY()-WEEKDAY(TODAY(),2)+1,Q1608&lt;TODAY()),"SIM","NÃO")</f>
        <v>NÃO</v>
      </c>
    </row>
    <row r="1609" spans="1:18" hidden="1">
      <c r="A1609" t="s">
        <v>2562</v>
      </c>
      <c r="B1609" t="s">
        <v>612</v>
      </c>
      <c r="C1609">
        <v>300276803</v>
      </c>
      <c r="D1609">
        <v>16482395</v>
      </c>
      <c r="E1609" t="s">
        <v>37</v>
      </c>
      <c r="F1609" t="s">
        <v>3215</v>
      </c>
      <c r="G1609" t="s">
        <v>2749</v>
      </c>
      <c r="H1609">
        <v>1.095</v>
      </c>
      <c r="J1609" t="s">
        <v>3449</v>
      </c>
      <c r="K1609" s="11">
        <v>46211.681550925925</v>
      </c>
      <c r="M1609">
        <v>937</v>
      </c>
      <c r="N1609" t="s">
        <v>878</v>
      </c>
      <c r="O1609">
        <v>0</v>
      </c>
      <c r="P1609" s="5"/>
      <c r="Q1609" s="10">
        <f>INT(Tabela1[[#This Row],[DATA]])</f>
        <v>46211</v>
      </c>
      <c r="R1609" s="14" t="str">
        <f ca="1">IF(AND(Q1609&gt;=TODAY()-WEEKDAY(TODAY(),2)+1,Q1609&lt;TODAY()),"SIM","NÃO")</f>
        <v>NÃO</v>
      </c>
    </row>
    <row r="1610" spans="1:18" hidden="1">
      <c r="A1610" t="s">
        <v>2562</v>
      </c>
      <c r="B1610" t="s">
        <v>612</v>
      </c>
      <c r="C1610">
        <v>300276803</v>
      </c>
      <c r="D1610">
        <v>16482395</v>
      </c>
      <c r="E1610" t="s">
        <v>37</v>
      </c>
      <c r="F1610" t="s">
        <v>3217</v>
      </c>
      <c r="G1610">
        <v>1.095</v>
      </c>
      <c r="H1610" t="s">
        <v>655</v>
      </c>
      <c r="J1610" t="s">
        <v>655</v>
      </c>
      <c r="K1610" s="11">
        <v>46211.684074074074</v>
      </c>
      <c r="M1610">
        <v>938</v>
      </c>
      <c r="N1610" t="s">
        <v>878</v>
      </c>
      <c r="O1610">
        <v>0</v>
      </c>
      <c r="P1610" s="5"/>
      <c r="Q1610" s="10">
        <f>INT(Tabela1[[#This Row],[DATA]])</f>
        <v>46211</v>
      </c>
      <c r="R1610" s="14" t="str">
        <f ca="1">IF(AND(Q1610&gt;=TODAY()-WEEKDAY(TODAY(),2)+1,Q1610&lt;TODAY()),"SIM","NÃO")</f>
        <v>NÃO</v>
      </c>
    </row>
    <row r="1611" spans="1:18" hidden="1">
      <c r="A1611" t="s">
        <v>305</v>
      </c>
      <c r="B1611" t="s">
        <v>306</v>
      </c>
      <c r="C1611">
        <v>300273713</v>
      </c>
      <c r="D1611">
        <v>16447760</v>
      </c>
      <c r="E1611" t="s">
        <v>37</v>
      </c>
      <c r="F1611" t="s">
        <v>2213</v>
      </c>
      <c r="G1611">
        <v>10</v>
      </c>
      <c r="H1611" t="s">
        <v>3450</v>
      </c>
      <c r="J1611" t="s">
        <v>3451</v>
      </c>
      <c r="K1611" s="11">
        <v>46211.698761574073</v>
      </c>
      <c r="M1611">
        <v>939</v>
      </c>
      <c r="N1611" t="s">
        <v>867</v>
      </c>
      <c r="O1611">
        <v>0</v>
      </c>
      <c r="P1611" s="5"/>
      <c r="Q1611" s="10">
        <f>INT(Tabela1[[#This Row],[DATA]])</f>
        <v>46211</v>
      </c>
      <c r="R1611" s="14" t="str">
        <f ca="1">IF(AND(Q1611&gt;=TODAY()-WEEKDAY(TODAY(),2)+1,Q1611&lt;TODAY()),"SIM","NÃO")</f>
        <v>NÃO</v>
      </c>
    </row>
    <row r="1612" spans="1:18" hidden="1">
      <c r="A1612" t="s">
        <v>2825</v>
      </c>
      <c r="B1612" t="s">
        <v>344</v>
      </c>
      <c r="C1612">
        <v>300275858</v>
      </c>
      <c r="D1612">
        <v>15773434</v>
      </c>
      <c r="E1612" t="s">
        <v>37</v>
      </c>
      <c r="F1612" t="s">
        <v>3241</v>
      </c>
      <c r="G1612">
        <v>6</v>
      </c>
      <c r="H1612" t="s">
        <v>2804</v>
      </c>
      <c r="J1612" t="s">
        <v>3452</v>
      </c>
      <c r="K1612" s="11">
        <v>46211.708877314813</v>
      </c>
      <c r="M1612">
        <v>940</v>
      </c>
      <c r="N1612" t="s">
        <v>878</v>
      </c>
      <c r="O1612">
        <v>10000073407</v>
      </c>
      <c r="P1612" s="5"/>
      <c r="Q1612" s="10">
        <f>INT(Tabela1[[#This Row],[DATA]])</f>
        <v>46211</v>
      </c>
      <c r="R1612" s="14" t="str">
        <f ca="1">IF(AND(Q1612&gt;=TODAY()-WEEKDAY(TODAY(),2)+1,Q1612&lt;TODAY()),"SIM","NÃO")</f>
        <v>NÃO</v>
      </c>
    </row>
    <row r="1613" spans="1:18" hidden="1">
      <c r="A1613" t="s">
        <v>2825</v>
      </c>
      <c r="B1613" t="s">
        <v>344</v>
      </c>
      <c r="C1613">
        <v>300275858</v>
      </c>
      <c r="D1613">
        <v>15773434</v>
      </c>
      <c r="E1613" t="s">
        <v>37</v>
      </c>
      <c r="F1613" t="s">
        <v>3241</v>
      </c>
      <c r="G1613">
        <v>3</v>
      </c>
      <c r="H1613" t="s">
        <v>2804</v>
      </c>
      <c r="J1613" t="s">
        <v>3453</v>
      </c>
      <c r="K1613" s="11">
        <v>46211.711956018517</v>
      </c>
      <c r="M1613">
        <v>941</v>
      </c>
      <c r="N1613" t="s">
        <v>878</v>
      </c>
      <c r="O1613">
        <v>10000073229</v>
      </c>
      <c r="P1613" s="5"/>
      <c r="Q1613" s="10">
        <f>INT(Tabela1[[#This Row],[DATA]])</f>
        <v>46211</v>
      </c>
      <c r="R1613" s="14" t="str">
        <f ca="1">IF(AND(Q1613&gt;=TODAY()-WEEKDAY(TODAY(),2)+1,Q1613&lt;TODAY()),"SIM","NÃO")</f>
        <v>NÃO</v>
      </c>
    </row>
    <row r="1614" spans="1:18" hidden="1">
      <c r="A1614" t="s">
        <v>2578</v>
      </c>
      <c r="B1614" t="s">
        <v>69</v>
      </c>
      <c r="C1614">
        <v>300272643</v>
      </c>
      <c r="D1614">
        <v>16483898</v>
      </c>
      <c r="E1614" t="s">
        <v>45</v>
      </c>
      <c r="F1614" t="s">
        <v>2405</v>
      </c>
      <c r="G1614">
        <v>37</v>
      </c>
      <c r="H1614" t="s">
        <v>2986</v>
      </c>
      <c r="K1614" s="11">
        <v>46211.713912037034</v>
      </c>
      <c r="M1614">
        <v>942</v>
      </c>
      <c r="N1614" t="s">
        <v>867</v>
      </c>
      <c r="O1614">
        <v>16483898</v>
      </c>
      <c r="P1614" s="5"/>
      <c r="Q1614" s="10">
        <f>INT(Tabela1[[#This Row],[DATA]])</f>
        <v>46211</v>
      </c>
      <c r="R1614" s="14" t="str">
        <f ca="1">IF(AND(Q1614&gt;=TODAY()-WEEKDAY(TODAY(),2)+1,Q1614&lt;TODAY()),"SIM","NÃO")</f>
        <v>NÃO</v>
      </c>
    </row>
    <row r="1615" spans="1:18" hidden="1">
      <c r="A1615" t="s">
        <v>493</v>
      </c>
      <c r="B1615" t="s">
        <v>686</v>
      </c>
      <c r="C1615">
        <v>300273320</v>
      </c>
      <c r="D1615">
        <v>15775615</v>
      </c>
      <c r="E1615" t="s">
        <v>37</v>
      </c>
      <c r="F1615" t="s">
        <v>216</v>
      </c>
      <c r="G1615">
        <v>50</v>
      </c>
      <c r="H1615" t="s">
        <v>2937</v>
      </c>
      <c r="K1615" s="11">
        <v>46211.716284722221</v>
      </c>
      <c r="M1615">
        <v>943</v>
      </c>
      <c r="N1615" t="s">
        <v>867</v>
      </c>
      <c r="O1615" t="s">
        <v>138</v>
      </c>
      <c r="P1615" s="5"/>
      <c r="Q1615" s="10">
        <f>INT(Tabela1[[#This Row],[DATA]])</f>
        <v>46211</v>
      </c>
      <c r="R1615" s="14" t="str">
        <f ca="1">IF(AND(Q1615&gt;=TODAY()-WEEKDAY(TODAY(),2)+1,Q1615&lt;TODAY()),"SIM","NÃO")</f>
        <v>NÃO</v>
      </c>
    </row>
    <row r="1616" spans="1:18" hidden="1">
      <c r="A1616" t="s">
        <v>2748</v>
      </c>
      <c r="B1616" t="s">
        <v>3454</v>
      </c>
      <c r="C1616">
        <v>300273008</v>
      </c>
      <c r="D1616">
        <v>16507657</v>
      </c>
      <c r="E1616" t="s">
        <v>37</v>
      </c>
      <c r="F1616" t="s">
        <v>3224</v>
      </c>
      <c r="G1616">
        <v>200</v>
      </c>
      <c r="H1616" t="s">
        <v>2284</v>
      </c>
      <c r="J1616" t="s">
        <v>3455</v>
      </c>
      <c r="K1616" s="11">
        <v>46211.717129629629</v>
      </c>
      <c r="M1616">
        <v>944</v>
      </c>
      <c r="N1616" t="s">
        <v>867</v>
      </c>
      <c r="O1616">
        <v>0</v>
      </c>
      <c r="P1616" s="5"/>
      <c r="Q1616" s="10">
        <f>INT(Tabela1[[#This Row],[DATA]])</f>
        <v>46211</v>
      </c>
      <c r="R1616" s="14" t="str">
        <f ca="1">IF(AND(Q1616&gt;=TODAY()-WEEKDAY(TODAY(),2)+1,Q1616&lt;TODAY()),"SIM","NÃO")</f>
        <v>NÃO</v>
      </c>
    </row>
    <row r="1617" spans="1:18" hidden="1">
      <c r="A1617" t="s">
        <v>2578</v>
      </c>
      <c r="B1617" t="s">
        <v>69</v>
      </c>
      <c r="C1617">
        <v>300277467</v>
      </c>
      <c r="D1617">
        <v>15773469</v>
      </c>
      <c r="E1617" t="s">
        <v>37</v>
      </c>
      <c r="F1617" t="s">
        <v>3215</v>
      </c>
      <c r="G1617">
        <v>5</v>
      </c>
      <c r="H1617" t="s">
        <v>2039</v>
      </c>
      <c r="K1617" s="11">
        <v>46211.719560185185</v>
      </c>
      <c r="M1617">
        <v>945</v>
      </c>
      <c r="N1617" t="s">
        <v>867</v>
      </c>
      <c r="O1617">
        <v>15773469</v>
      </c>
      <c r="P1617" s="5"/>
      <c r="Q1617" s="10">
        <f>INT(Tabela1[[#This Row],[DATA]])</f>
        <v>46211</v>
      </c>
      <c r="R1617" s="14" t="str">
        <f ca="1">IF(AND(Q1617&gt;=TODAY()-WEEKDAY(TODAY(),2)+1,Q1617&lt;TODAY()),"SIM","NÃO")</f>
        <v>NÃO</v>
      </c>
    </row>
    <row r="1618" spans="1:18" hidden="1">
      <c r="A1618" t="s">
        <v>2837</v>
      </c>
      <c r="B1618" t="s">
        <v>226</v>
      </c>
      <c r="C1618">
        <v>300275855</v>
      </c>
      <c r="D1618">
        <v>15773434</v>
      </c>
      <c r="E1618" t="s">
        <v>37</v>
      </c>
      <c r="F1618" t="s">
        <v>3241</v>
      </c>
      <c r="G1618">
        <v>8</v>
      </c>
      <c r="H1618" t="s">
        <v>3456</v>
      </c>
      <c r="J1618" t="s">
        <v>3457</v>
      </c>
      <c r="K1618" s="11">
        <v>46211.720023148147</v>
      </c>
      <c r="M1618">
        <v>946</v>
      </c>
      <c r="N1618" t="s">
        <v>867</v>
      </c>
      <c r="O1618">
        <v>10000073407</v>
      </c>
      <c r="P1618" s="5"/>
      <c r="Q1618" s="10">
        <f>INT(Tabela1[[#This Row],[DATA]])</f>
        <v>46211</v>
      </c>
      <c r="R1618" s="14" t="str">
        <f ca="1">IF(AND(Q1618&gt;=TODAY()-WEEKDAY(TODAY(),2)+1,Q1618&lt;TODAY()),"SIM","NÃO")</f>
        <v>NÃO</v>
      </c>
    </row>
    <row r="1619" spans="1:18" hidden="1">
      <c r="A1619" t="s">
        <v>2837</v>
      </c>
      <c r="B1619" t="s">
        <v>226</v>
      </c>
      <c r="C1619">
        <v>300000000</v>
      </c>
      <c r="D1619">
        <v>0</v>
      </c>
      <c r="E1619" t="s">
        <v>37</v>
      </c>
      <c r="F1619" t="s">
        <v>3217</v>
      </c>
      <c r="G1619">
        <v>0</v>
      </c>
      <c r="H1619">
        <v>0</v>
      </c>
      <c r="J1619" t="s">
        <v>3458</v>
      </c>
      <c r="K1619" s="11">
        <v>46211.721307870372</v>
      </c>
      <c r="M1619">
        <v>947</v>
      </c>
      <c r="N1619" t="s">
        <v>878</v>
      </c>
      <c r="O1619">
        <v>0</v>
      </c>
      <c r="P1619" s="5"/>
      <c r="Q1619" s="10">
        <f>INT(Tabela1[[#This Row],[DATA]])</f>
        <v>46211</v>
      </c>
      <c r="R1619" s="14" t="str">
        <f ca="1">IF(AND(Q1619&gt;=TODAY()-WEEKDAY(TODAY(),2)+1,Q1619&lt;TODAY()),"SIM","NÃO")</f>
        <v>NÃO</v>
      </c>
    </row>
    <row r="1620" spans="1:18" hidden="1">
      <c r="A1620" t="s">
        <v>191</v>
      </c>
      <c r="B1620" t="s">
        <v>192</v>
      </c>
      <c r="C1620">
        <v>300275901</v>
      </c>
      <c r="D1620">
        <v>16223608</v>
      </c>
      <c r="E1620" t="s">
        <v>45</v>
      </c>
      <c r="F1620" t="s">
        <v>323</v>
      </c>
      <c r="G1620">
        <v>98</v>
      </c>
      <c r="H1620" t="s">
        <v>3459</v>
      </c>
      <c r="J1620" t="s">
        <v>3460</v>
      </c>
      <c r="K1620" s="11">
        <v>46211.725636574076</v>
      </c>
      <c r="M1620">
        <v>948</v>
      </c>
      <c r="N1620" t="s">
        <v>867</v>
      </c>
      <c r="O1620">
        <v>0</v>
      </c>
      <c r="P1620" s="5"/>
      <c r="Q1620" s="10">
        <f>INT(Tabela1[[#This Row],[DATA]])</f>
        <v>46211</v>
      </c>
      <c r="R1620" s="14" t="str">
        <f ca="1">IF(AND(Q1620&gt;=TODAY()-WEEKDAY(TODAY(),2)+1,Q1620&lt;TODAY()),"SIM","NÃO")</f>
        <v>NÃO</v>
      </c>
    </row>
    <row r="1621" spans="1:18" hidden="1">
      <c r="A1621" t="s">
        <v>2991</v>
      </c>
      <c r="B1621" t="s">
        <v>534</v>
      </c>
      <c r="C1621">
        <v>300271484</v>
      </c>
      <c r="D1621">
        <v>16380096</v>
      </c>
      <c r="E1621" t="s">
        <v>37</v>
      </c>
      <c r="F1621" t="s">
        <v>3461</v>
      </c>
      <c r="G1621">
        <v>2</v>
      </c>
      <c r="H1621" t="s">
        <v>3462</v>
      </c>
      <c r="J1621" t="s">
        <v>3463</v>
      </c>
      <c r="K1621" s="11">
        <v>46211.755254629628</v>
      </c>
      <c r="M1621">
        <v>949</v>
      </c>
      <c r="N1621" t="s">
        <v>867</v>
      </c>
      <c r="O1621">
        <v>0</v>
      </c>
      <c r="P1621" s="5"/>
      <c r="Q1621" s="10">
        <f>INT(Tabela1[[#This Row],[DATA]])</f>
        <v>46211</v>
      </c>
      <c r="R1621" s="14" t="str">
        <f ca="1">IF(AND(Q1621&gt;=TODAY()-WEEKDAY(TODAY(),2)+1,Q1621&lt;TODAY()),"SIM","NÃO")</f>
        <v>NÃO</v>
      </c>
    </row>
    <row r="1622" spans="1:18" hidden="1">
      <c r="A1622" t="s">
        <v>2991</v>
      </c>
      <c r="B1622" t="s">
        <v>534</v>
      </c>
      <c r="C1622">
        <v>300271484</v>
      </c>
      <c r="D1622">
        <v>300380096</v>
      </c>
      <c r="E1622" t="s">
        <v>37</v>
      </c>
      <c r="F1622" t="s">
        <v>3208</v>
      </c>
      <c r="G1622">
        <v>10</v>
      </c>
      <c r="H1622" t="s">
        <v>2709</v>
      </c>
      <c r="J1622" t="s">
        <v>3464</v>
      </c>
      <c r="K1622" s="11">
        <v>46211.757916666669</v>
      </c>
      <c r="M1622">
        <v>950</v>
      </c>
      <c r="N1622" t="s">
        <v>867</v>
      </c>
      <c r="O1622">
        <v>0</v>
      </c>
      <c r="P1622" s="5"/>
      <c r="Q1622" s="10">
        <f>INT(Tabela1[[#This Row],[DATA]])</f>
        <v>46211</v>
      </c>
      <c r="R1622" s="14" t="str">
        <f ca="1">IF(AND(Q1622&gt;=TODAY()-WEEKDAY(TODAY(),2)+1,Q1622&lt;TODAY()),"SIM","NÃO")</f>
        <v>NÃO</v>
      </c>
    </row>
    <row r="1623" spans="1:18" hidden="1">
      <c r="A1623" t="s">
        <v>2549</v>
      </c>
      <c r="B1623" t="s">
        <v>19</v>
      </c>
      <c r="C1623">
        <v>300275195</v>
      </c>
      <c r="D1623">
        <v>12438235</v>
      </c>
      <c r="E1623" t="s">
        <v>29</v>
      </c>
      <c r="F1623" t="s">
        <v>323</v>
      </c>
      <c r="G1623">
        <v>22</v>
      </c>
      <c r="H1623" t="s">
        <v>3264</v>
      </c>
      <c r="J1623" t="s">
        <v>3465</v>
      </c>
      <c r="K1623" s="11">
        <v>46211.827696759261</v>
      </c>
      <c r="M1623">
        <v>951</v>
      </c>
      <c r="N1623" t="s">
        <v>878</v>
      </c>
      <c r="O1623" t="s">
        <v>2802</v>
      </c>
      <c r="P1623" s="5"/>
      <c r="Q1623" s="10">
        <f>INT(Tabela1[[#This Row],[DATA]])</f>
        <v>46211</v>
      </c>
      <c r="R1623" s="14" t="str">
        <f ca="1">IF(AND(Q1623&gt;=TODAY()-WEEKDAY(TODAY(),2)+1,Q1623&lt;TODAY()),"SIM","NÃO")</f>
        <v>NÃO</v>
      </c>
    </row>
    <row r="1624" spans="1:18" hidden="1">
      <c r="A1624" t="s">
        <v>2549</v>
      </c>
      <c r="B1624" t="s">
        <v>19</v>
      </c>
      <c r="C1624">
        <v>300275195</v>
      </c>
      <c r="D1624">
        <v>12438235</v>
      </c>
      <c r="E1624" t="s">
        <v>29</v>
      </c>
      <c r="F1624" t="s">
        <v>151</v>
      </c>
      <c r="G1624">
        <v>13</v>
      </c>
      <c r="H1624" t="s">
        <v>3171</v>
      </c>
      <c r="J1624" t="s">
        <v>2802</v>
      </c>
      <c r="K1624" s="11">
        <v>46211.83048611111</v>
      </c>
      <c r="M1624">
        <v>952</v>
      </c>
      <c r="N1624" t="s">
        <v>878</v>
      </c>
      <c r="O1624" t="s">
        <v>2802</v>
      </c>
      <c r="P1624" s="5"/>
      <c r="Q1624" s="10">
        <f>INT(Tabela1[[#This Row],[DATA]])</f>
        <v>46211</v>
      </c>
      <c r="R1624" s="14" t="str">
        <f ca="1">IF(AND(Q1624&gt;=TODAY()-WEEKDAY(TODAY(),2)+1,Q1624&lt;TODAY()),"SIM","NÃO")</f>
        <v>NÃO</v>
      </c>
    </row>
    <row r="1625" spans="1:18" hidden="1">
      <c r="A1625" t="s">
        <v>2549</v>
      </c>
      <c r="B1625" t="s">
        <v>19</v>
      </c>
      <c r="C1625">
        <v>300275195</v>
      </c>
      <c r="D1625">
        <v>12438235</v>
      </c>
      <c r="E1625" t="s">
        <v>29</v>
      </c>
      <c r="F1625" t="s">
        <v>2405</v>
      </c>
      <c r="G1625">
        <v>14</v>
      </c>
      <c r="H1625" t="s">
        <v>3172</v>
      </c>
      <c r="J1625" t="s">
        <v>2802</v>
      </c>
      <c r="K1625" s="11">
        <v>46211.83222222222</v>
      </c>
      <c r="M1625">
        <v>953</v>
      </c>
      <c r="N1625" t="s">
        <v>878</v>
      </c>
      <c r="O1625" t="s">
        <v>2802</v>
      </c>
      <c r="P1625" s="5"/>
      <c r="Q1625" s="10">
        <f>INT(Tabela1[[#This Row],[DATA]])</f>
        <v>46211</v>
      </c>
      <c r="R1625" s="14" t="str">
        <f ca="1">IF(AND(Q1625&gt;=TODAY()-WEEKDAY(TODAY(),2)+1,Q1625&lt;TODAY()),"SIM","NÃO")</f>
        <v>NÃO</v>
      </c>
    </row>
    <row r="1626" spans="1:18" hidden="1">
      <c r="A1626" t="s">
        <v>287</v>
      </c>
      <c r="B1626" t="s">
        <v>288</v>
      </c>
      <c r="C1626">
        <v>300273319</v>
      </c>
      <c r="D1626">
        <v>15775615</v>
      </c>
      <c r="E1626" t="s">
        <v>37</v>
      </c>
      <c r="F1626" t="s">
        <v>177</v>
      </c>
      <c r="G1626">
        <v>107</v>
      </c>
      <c r="H1626" t="s">
        <v>3466</v>
      </c>
      <c r="J1626" t="s">
        <v>3467</v>
      </c>
      <c r="K1626" s="11">
        <v>46211.937557870369</v>
      </c>
      <c r="M1626">
        <v>954</v>
      </c>
      <c r="N1626" t="s">
        <v>867</v>
      </c>
      <c r="O1626">
        <v>10000241454</v>
      </c>
      <c r="P1626" s="5"/>
      <c r="Q1626" s="10">
        <f>INT(Tabela1[[#This Row],[DATA]])</f>
        <v>46211</v>
      </c>
      <c r="R1626" s="14" t="str">
        <f ca="1">IF(AND(Q1626&gt;=TODAY()-WEEKDAY(TODAY(),2)+1,Q1626&lt;TODAY()),"SIM","NÃO")</f>
        <v>NÃO</v>
      </c>
    </row>
    <row r="1627" spans="1:18" hidden="1">
      <c r="A1627" t="s">
        <v>287</v>
      </c>
      <c r="B1627" t="s">
        <v>3468</v>
      </c>
      <c r="C1627">
        <v>300273319</v>
      </c>
      <c r="D1627">
        <v>15775615</v>
      </c>
      <c r="E1627" t="s">
        <v>37</v>
      </c>
      <c r="F1627" t="s">
        <v>3297</v>
      </c>
      <c r="G1627">
        <v>65</v>
      </c>
      <c r="H1627" t="s">
        <v>3469</v>
      </c>
      <c r="J1627" t="s">
        <v>3470</v>
      </c>
      <c r="K1627" s="11">
        <v>46211.940243055556</v>
      </c>
      <c r="M1627">
        <v>955</v>
      </c>
      <c r="N1627" t="s">
        <v>867</v>
      </c>
      <c r="O1627">
        <v>0</v>
      </c>
      <c r="P1627" s="5"/>
      <c r="Q1627" s="10">
        <f>INT(Tabela1[[#This Row],[DATA]])</f>
        <v>46211</v>
      </c>
      <c r="R1627" s="14" t="str">
        <f ca="1">IF(AND(Q1627&gt;=TODAY()-WEEKDAY(TODAY(),2)+1,Q1627&lt;TODAY()),"SIM","NÃO")</f>
        <v>NÃO</v>
      </c>
    </row>
    <row r="1628" spans="1:18" hidden="1">
      <c r="A1628" t="s">
        <v>2837</v>
      </c>
      <c r="B1628" t="s">
        <v>226</v>
      </c>
      <c r="C1628">
        <v>300278544</v>
      </c>
      <c r="D1628">
        <v>16240944</v>
      </c>
      <c r="E1628" t="s">
        <v>37</v>
      </c>
      <c r="F1628" t="s">
        <v>3330</v>
      </c>
      <c r="G1628">
        <v>20</v>
      </c>
      <c r="H1628" t="s">
        <v>3471</v>
      </c>
      <c r="J1628" t="s">
        <v>3472</v>
      </c>
      <c r="K1628" s="11">
        <v>46212.300868055558</v>
      </c>
      <c r="M1628">
        <v>956</v>
      </c>
      <c r="N1628" t="s">
        <v>867</v>
      </c>
      <c r="O1628">
        <v>10000228847</v>
      </c>
      <c r="P1628" s="5"/>
      <c r="Q1628" s="10">
        <f>INT(Tabela1[[#This Row],[DATA]])</f>
        <v>46212</v>
      </c>
      <c r="R1628" s="14" t="str">
        <f ca="1">IF(AND(Q1628&gt;=TODAY()-WEEKDAY(TODAY(),2)+1,Q1628&lt;TODAY()),"SIM","NÃO")</f>
        <v>NÃO</v>
      </c>
    </row>
    <row r="1629" spans="1:18" hidden="1">
      <c r="A1629" t="s">
        <v>541</v>
      </c>
      <c r="B1629" t="s">
        <v>542</v>
      </c>
      <c r="C1629">
        <v>300278735</v>
      </c>
      <c r="D1629">
        <v>16441370</v>
      </c>
      <c r="E1629" t="s">
        <v>45</v>
      </c>
      <c r="F1629" t="s">
        <v>3212</v>
      </c>
      <c r="G1629">
        <v>7</v>
      </c>
      <c r="H1629" t="s">
        <v>2284</v>
      </c>
      <c r="J1629" t="s">
        <v>2219</v>
      </c>
      <c r="K1629" s="11">
        <v>46212.317314814813</v>
      </c>
      <c r="M1629">
        <v>957</v>
      </c>
      <c r="N1629" t="s">
        <v>867</v>
      </c>
      <c r="O1629">
        <v>0</v>
      </c>
      <c r="P1629" s="5"/>
      <c r="Q1629" s="10">
        <f>INT(Tabela1[[#This Row],[DATA]])</f>
        <v>46212</v>
      </c>
      <c r="R1629" s="14" t="str">
        <f ca="1">IF(AND(Q1629&gt;=TODAY()-WEEKDAY(TODAY(),2)+1,Q1629&lt;TODAY()),"SIM","NÃO")</f>
        <v>NÃO</v>
      </c>
    </row>
    <row r="1630" spans="1:18" hidden="1">
      <c r="A1630" t="s">
        <v>1096</v>
      </c>
      <c r="B1630" t="s">
        <v>1097</v>
      </c>
      <c r="C1630">
        <v>300273762</v>
      </c>
      <c r="D1630">
        <v>16473604</v>
      </c>
      <c r="E1630" t="s">
        <v>37</v>
      </c>
      <c r="F1630" t="s">
        <v>3215</v>
      </c>
      <c r="G1630" t="s">
        <v>3473</v>
      </c>
      <c r="H1630" t="s">
        <v>3474</v>
      </c>
      <c r="J1630" t="s">
        <v>3475</v>
      </c>
      <c r="K1630" s="11">
        <v>46212.331319444442</v>
      </c>
      <c r="M1630">
        <v>958</v>
      </c>
      <c r="N1630" t="s">
        <v>878</v>
      </c>
      <c r="O1630">
        <v>0</v>
      </c>
      <c r="P1630" s="5"/>
      <c r="Q1630" s="10">
        <f>INT(Tabela1[[#This Row],[DATA]])</f>
        <v>46212</v>
      </c>
      <c r="R1630" s="14" t="str">
        <f ca="1">IF(AND(Q1630&gt;=TODAY()-WEEKDAY(TODAY(),2)+1,Q1630&lt;TODAY()),"SIM","NÃO")</f>
        <v>NÃO</v>
      </c>
    </row>
    <row r="1631" spans="1:18" hidden="1">
      <c r="A1631" t="s">
        <v>1835</v>
      </c>
      <c r="B1631" t="s">
        <v>1836</v>
      </c>
      <c r="C1631">
        <v>300275028</v>
      </c>
      <c r="D1631">
        <v>16482204</v>
      </c>
      <c r="E1631" t="s">
        <v>37</v>
      </c>
      <c r="F1631" t="s">
        <v>216</v>
      </c>
      <c r="G1631">
        <v>63</v>
      </c>
      <c r="H1631" t="s">
        <v>2621</v>
      </c>
      <c r="J1631" t="s">
        <v>3476</v>
      </c>
      <c r="K1631" s="11">
        <v>46212.332881944443</v>
      </c>
      <c r="M1631">
        <v>959</v>
      </c>
      <c r="N1631" t="s">
        <v>878</v>
      </c>
      <c r="O1631">
        <v>10000190447</v>
      </c>
      <c r="P1631" s="5"/>
      <c r="Q1631" s="10">
        <f>INT(Tabela1[[#This Row],[DATA]])</f>
        <v>46212</v>
      </c>
      <c r="R1631" s="14" t="str">
        <f ca="1">IF(AND(Q1631&gt;=TODAY()-WEEKDAY(TODAY(),2)+1,Q1631&lt;TODAY()),"SIM","NÃO")</f>
        <v>NÃO</v>
      </c>
    </row>
    <row r="1632" spans="1:18" hidden="1">
      <c r="A1632" t="s">
        <v>1835</v>
      </c>
      <c r="B1632" t="s">
        <v>1836</v>
      </c>
      <c r="C1632">
        <v>300275028</v>
      </c>
      <c r="D1632">
        <v>16482204</v>
      </c>
      <c r="E1632" t="s">
        <v>37</v>
      </c>
      <c r="F1632" t="s">
        <v>3215</v>
      </c>
      <c r="G1632">
        <v>10</v>
      </c>
      <c r="H1632" t="s">
        <v>3142</v>
      </c>
      <c r="K1632" s="11">
        <v>46212.334467592591</v>
      </c>
      <c r="M1632">
        <v>960</v>
      </c>
      <c r="N1632" t="s">
        <v>878</v>
      </c>
      <c r="O1632">
        <v>10000</v>
      </c>
      <c r="P1632" s="5"/>
      <c r="Q1632" s="10">
        <f>INT(Tabela1[[#This Row],[DATA]])</f>
        <v>46212</v>
      </c>
      <c r="R1632" s="14" t="str">
        <f ca="1">IF(AND(Q1632&gt;=TODAY()-WEEKDAY(TODAY(),2)+1,Q1632&lt;TODAY()),"SIM","NÃO")</f>
        <v>NÃO</v>
      </c>
    </row>
    <row r="1633" spans="1:18" hidden="1">
      <c r="A1633" t="s">
        <v>2748</v>
      </c>
      <c r="B1633" t="s">
        <v>3454</v>
      </c>
      <c r="C1633">
        <v>300273008</v>
      </c>
      <c r="D1633">
        <v>16507657</v>
      </c>
      <c r="E1633" t="s">
        <v>37</v>
      </c>
      <c r="F1633" t="s">
        <v>3224</v>
      </c>
      <c r="G1633">
        <v>70</v>
      </c>
      <c r="H1633" t="s">
        <v>2401</v>
      </c>
      <c r="J1633" t="s">
        <v>3477</v>
      </c>
      <c r="K1633" s="11">
        <v>46212.376180555555</v>
      </c>
      <c r="M1633">
        <v>961</v>
      </c>
      <c r="N1633" t="s">
        <v>867</v>
      </c>
      <c r="O1633">
        <v>0</v>
      </c>
      <c r="P1633" s="5"/>
      <c r="Q1633" s="10">
        <f>INT(Tabela1[[#This Row],[DATA]])</f>
        <v>46212</v>
      </c>
      <c r="R1633" s="14" t="str">
        <f ca="1">IF(AND(Q1633&gt;=TODAY()-WEEKDAY(TODAY(),2)+1,Q1633&lt;TODAY()),"SIM","NÃO")</f>
        <v>NÃO</v>
      </c>
    </row>
    <row r="1634" spans="1:18" hidden="1">
      <c r="A1634" t="s">
        <v>249</v>
      </c>
      <c r="B1634" t="s">
        <v>112</v>
      </c>
      <c r="C1634">
        <v>300278638</v>
      </c>
      <c r="D1634">
        <v>16222326</v>
      </c>
      <c r="E1634" t="s">
        <v>45</v>
      </c>
      <c r="F1634" t="s">
        <v>2405</v>
      </c>
      <c r="G1634">
        <v>3</v>
      </c>
      <c r="H1634" t="s">
        <v>1335</v>
      </c>
      <c r="K1634" s="11">
        <v>46212.377650462964</v>
      </c>
      <c r="M1634">
        <v>962</v>
      </c>
      <c r="N1634" t="s">
        <v>867</v>
      </c>
      <c r="O1634">
        <v>0</v>
      </c>
      <c r="P1634" s="5"/>
      <c r="Q1634" s="10">
        <f>INT(Tabela1[[#This Row],[DATA]])</f>
        <v>46212</v>
      </c>
      <c r="R1634" s="14" t="str">
        <f ca="1">IF(AND(Q1634&gt;=TODAY()-WEEKDAY(TODAY(),2)+1,Q1634&lt;TODAY()),"SIM","NÃO")</f>
        <v>NÃO</v>
      </c>
    </row>
    <row r="1635" spans="1:18" hidden="1">
      <c r="A1635" t="s">
        <v>233</v>
      </c>
      <c r="B1635" t="s">
        <v>234</v>
      </c>
      <c r="C1635">
        <v>300269353</v>
      </c>
      <c r="D1635">
        <v>15773477</v>
      </c>
      <c r="E1635" t="s">
        <v>37</v>
      </c>
      <c r="F1635" t="s">
        <v>216</v>
      </c>
      <c r="G1635">
        <v>100</v>
      </c>
      <c r="H1635" t="s">
        <v>3478</v>
      </c>
      <c r="J1635" t="s">
        <v>3479</v>
      </c>
      <c r="K1635" s="11">
        <v>46212.384456018517</v>
      </c>
      <c r="M1635">
        <v>963</v>
      </c>
      <c r="N1635" t="s">
        <v>867</v>
      </c>
      <c r="O1635">
        <v>0</v>
      </c>
      <c r="P1635" s="5"/>
      <c r="Q1635" s="10">
        <f>INT(Tabela1[[#This Row],[DATA]])</f>
        <v>46212</v>
      </c>
      <c r="R1635" s="14" t="str">
        <f ca="1">IF(AND(Q1635&gt;=TODAY()-WEEKDAY(TODAY(),2)+1,Q1635&lt;TODAY()),"SIM","NÃO")</f>
        <v>NÃO</v>
      </c>
    </row>
    <row r="1636" spans="1:18" hidden="1">
      <c r="A1636" t="s">
        <v>196</v>
      </c>
      <c r="B1636" t="s">
        <v>1625</v>
      </c>
      <c r="C1636">
        <v>300273720</v>
      </c>
      <c r="D1636">
        <v>16447786</v>
      </c>
      <c r="E1636" t="s">
        <v>37</v>
      </c>
      <c r="F1636" t="s">
        <v>2213</v>
      </c>
      <c r="G1636">
        <v>15</v>
      </c>
      <c r="H1636" t="s">
        <v>2137</v>
      </c>
      <c r="K1636" s="11">
        <v>46212.386307870373</v>
      </c>
      <c r="M1636">
        <v>964</v>
      </c>
      <c r="N1636" t="s">
        <v>867</v>
      </c>
      <c r="O1636" t="s">
        <v>3480</v>
      </c>
      <c r="P1636" s="5"/>
      <c r="Q1636" s="10">
        <f>INT(Tabela1[[#This Row],[DATA]])</f>
        <v>46212</v>
      </c>
      <c r="R1636" s="14" t="str">
        <f ca="1">IF(AND(Q1636&gt;=TODAY()-WEEKDAY(TODAY(),2)+1,Q1636&lt;TODAY()),"SIM","NÃO")</f>
        <v>NÃO</v>
      </c>
    </row>
    <row r="1637" spans="1:18" hidden="1">
      <c r="A1637" t="s">
        <v>2543</v>
      </c>
      <c r="B1637" t="s">
        <v>28</v>
      </c>
      <c r="C1637">
        <v>300275796</v>
      </c>
      <c r="D1637">
        <v>16114159</v>
      </c>
      <c r="E1637" t="s">
        <v>37</v>
      </c>
      <c r="F1637" t="s">
        <v>2405</v>
      </c>
      <c r="G1637">
        <v>4</v>
      </c>
      <c r="H1637" t="s">
        <v>3337</v>
      </c>
      <c r="K1637" s="11">
        <v>46212.402118055557</v>
      </c>
      <c r="M1637">
        <v>965</v>
      </c>
      <c r="N1637" t="s">
        <v>867</v>
      </c>
      <c r="O1637" t="s">
        <v>3338</v>
      </c>
      <c r="P1637" s="5"/>
      <c r="Q1637" s="10">
        <f>INT(Tabela1[[#This Row],[DATA]])</f>
        <v>46212</v>
      </c>
      <c r="R1637" s="14" t="str">
        <f ca="1">IF(AND(Q1637&gt;=TODAY()-WEEKDAY(TODAY(),2)+1,Q1637&lt;TODAY()),"SIM","NÃO")</f>
        <v>NÃO</v>
      </c>
    </row>
    <row r="1638" spans="1:18" hidden="1">
      <c r="A1638" t="s">
        <v>2610</v>
      </c>
      <c r="B1638" t="s">
        <v>74</v>
      </c>
      <c r="C1638">
        <v>300272294</v>
      </c>
      <c r="D1638">
        <v>16547926</v>
      </c>
      <c r="E1638" t="s">
        <v>20</v>
      </c>
      <c r="F1638" t="s">
        <v>430</v>
      </c>
      <c r="G1638">
        <v>90</v>
      </c>
      <c r="H1638" t="s">
        <v>3481</v>
      </c>
      <c r="K1638" s="11">
        <v>46212.41097222222</v>
      </c>
      <c r="M1638">
        <v>966</v>
      </c>
      <c r="N1638" t="s">
        <v>867</v>
      </c>
      <c r="O1638">
        <v>10000224580</v>
      </c>
      <c r="P1638" s="5"/>
      <c r="Q1638" s="10">
        <f>INT(Tabela1[[#This Row],[DATA]])</f>
        <v>46212</v>
      </c>
      <c r="R1638" s="14" t="str">
        <f ca="1">IF(AND(Q1638&gt;=TODAY()-WEEKDAY(TODAY(),2)+1,Q1638&lt;TODAY()),"SIM","NÃO")</f>
        <v>NÃO</v>
      </c>
    </row>
    <row r="1639" spans="1:18" hidden="1">
      <c r="A1639" t="s">
        <v>2624</v>
      </c>
      <c r="B1639" t="s">
        <v>50</v>
      </c>
      <c r="C1639">
        <v>300276760</v>
      </c>
      <c r="D1639">
        <v>16493184</v>
      </c>
      <c r="E1639" t="s">
        <v>37</v>
      </c>
      <c r="F1639" t="s">
        <v>2405</v>
      </c>
      <c r="G1639">
        <v>25</v>
      </c>
      <c r="H1639" t="s">
        <v>3482</v>
      </c>
      <c r="J1639" t="s">
        <v>3483</v>
      </c>
      <c r="K1639" s="11">
        <v>46212.417638888888</v>
      </c>
      <c r="M1639">
        <v>967</v>
      </c>
      <c r="N1639" t="s">
        <v>878</v>
      </c>
      <c r="O1639" t="s">
        <v>3484</v>
      </c>
      <c r="P1639" s="5"/>
      <c r="Q1639" s="10">
        <f>INT(Tabela1[[#This Row],[DATA]])</f>
        <v>46212</v>
      </c>
      <c r="R1639" s="14" t="str">
        <f ca="1">IF(AND(Q1639&gt;=TODAY()-WEEKDAY(TODAY(),2)+1,Q1639&lt;TODAY()),"SIM","NÃO")</f>
        <v>NÃO</v>
      </c>
    </row>
    <row r="1640" spans="1:18" hidden="1">
      <c r="A1640" t="s">
        <v>2605</v>
      </c>
      <c r="B1640" t="s">
        <v>2606</v>
      </c>
      <c r="C1640">
        <v>300272580</v>
      </c>
      <c r="D1640">
        <v>16243994</v>
      </c>
      <c r="E1640" t="s">
        <v>37</v>
      </c>
      <c r="F1640" t="s">
        <v>3366</v>
      </c>
      <c r="G1640">
        <v>10</v>
      </c>
      <c r="H1640" t="s">
        <v>3485</v>
      </c>
      <c r="J1640" t="s">
        <v>3485</v>
      </c>
      <c r="K1640" s="11">
        <v>46212.423993055556</v>
      </c>
      <c r="M1640">
        <v>968</v>
      </c>
      <c r="N1640" t="s">
        <v>878</v>
      </c>
      <c r="O1640">
        <v>0</v>
      </c>
      <c r="P1640" s="5"/>
      <c r="Q1640" s="10">
        <f>INT(Tabela1[[#This Row],[DATA]])</f>
        <v>46212</v>
      </c>
      <c r="R1640" s="14" t="str">
        <f ca="1">IF(AND(Q1640&gt;=TODAY()-WEEKDAY(TODAY(),2)+1,Q1640&lt;TODAY()),"SIM","NÃO")</f>
        <v>NÃO</v>
      </c>
    </row>
    <row r="1641" spans="1:18" hidden="1">
      <c r="A1641" t="s">
        <v>2551</v>
      </c>
      <c r="B1641" t="s">
        <v>274</v>
      </c>
      <c r="C1641">
        <v>300278665</v>
      </c>
      <c r="D1641">
        <v>15758249</v>
      </c>
      <c r="E1641" t="s">
        <v>29</v>
      </c>
      <c r="F1641" t="s">
        <v>259</v>
      </c>
      <c r="G1641">
        <v>12</v>
      </c>
      <c r="H1641" t="s">
        <v>555</v>
      </c>
      <c r="K1641" s="11">
        <v>46212.426516203705</v>
      </c>
      <c r="M1641">
        <v>969</v>
      </c>
      <c r="N1641" t="s">
        <v>867</v>
      </c>
      <c r="O1641">
        <v>0</v>
      </c>
      <c r="P1641" s="5"/>
      <c r="Q1641" s="10">
        <f>INT(Tabela1[[#This Row],[DATA]])</f>
        <v>46212</v>
      </c>
      <c r="R1641" s="14" t="str">
        <f ca="1">IF(AND(Q1641&gt;=TODAY()-WEEKDAY(TODAY(),2)+1,Q1641&lt;TODAY()),"SIM","NÃO")</f>
        <v>NÃO</v>
      </c>
    </row>
    <row r="1642" spans="1:18" hidden="1">
      <c r="A1642" t="s">
        <v>2551</v>
      </c>
      <c r="B1642" t="s">
        <v>274</v>
      </c>
      <c r="C1642">
        <v>300278665</v>
      </c>
      <c r="D1642">
        <v>15758249</v>
      </c>
      <c r="E1642" t="s">
        <v>29</v>
      </c>
      <c r="F1642" t="s">
        <v>3241</v>
      </c>
      <c r="G1642">
        <v>3</v>
      </c>
      <c r="H1642" t="s">
        <v>555</v>
      </c>
      <c r="K1642" s="11">
        <v>46212.427893518521</v>
      </c>
      <c r="M1642">
        <v>970</v>
      </c>
      <c r="N1642" t="s">
        <v>867</v>
      </c>
      <c r="O1642">
        <v>0</v>
      </c>
      <c r="P1642" s="5"/>
      <c r="Q1642" s="10">
        <f>INT(Tabela1[[#This Row],[DATA]])</f>
        <v>46212</v>
      </c>
      <c r="R1642" s="14" t="str">
        <f ca="1">IF(AND(Q1642&gt;=TODAY()-WEEKDAY(TODAY(),2)+1,Q1642&lt;TODAY()),"SIM","NÃO")</f>
        <v>NÃO</v>
      </c>
    </row>
    <row r="1643" spans="1:18" hidden="1">
      <c r="A1643" t="s">
        <v>313</v>
      </c>
      <c r="B1643" t="s">
        <v>314</v>
      </c>
      <c r="C1643">
        <v>300279111</v>
      </c>
      <c r="D1643">
        <v>16223780</v>
      </c>
      <c r="E1643" t="s">
        <v>45</v>
      </c>
      <c r="F1643" t="s">
        <v>103</v>
      </c>
      <c r="G1643">
        <v>100</v>
      </c>
      <c r="H1643" t="s">
        <v>657</v>
      </c>
      <c r="J1643">
        <v>0</v>
      </c>
      <c r="K1643" s="11">
        <v>46212.433807870373</v>
      </c>
      <c r="M1643">
        <v>971</v>
      </c>
      <c r="N1643" t="s">
        <v>878</v>
      </c>
      <c r="O1643">
        <v>0</v>
      </c>
      <c r="P1643" s="5"/>
      <c r="Q1643" s="10">
        <f>INT(Tabela1[[#This Row],[DATA]])</f>
        <v>46212</v>
      </c>
      <c r="R1643" s="14" t="str">
        <f ca="1">IF(AND(Q1643&gt;=TODAY()-WEEKDAY(TODAY(),2)+1,Q1643&lt;TODAY()),"SIM","NÃO")</f>
        <v>NÃO</v>
      </c>
    </row>
    <row r="1644" spans="1:18" hidden="1">
      <c r="A1644" t="s">
        <v>2541</v>
      </c>
      <c r="B1644" t="s">
        <v>388</v>
      </c>
      <c r="C1644">
        <v>300277072</v>
      </c>
      <c r="D1644">
        <v>16448430</v>
      </c>
      <c r="E1644" t="s">
        <v>37</v>
      </c>
      <c r="F1644" t="s">
        <v>221</v>
      </c>
      <c r="G1644">
        <v>1050</v>
      </c>
      <c r="H1644" t="s">
        <v>2313</v>
      </c>
      <c r="K1644" s="11">
        <v>46212.434305555558</v>
      </c>
      <c r="M1644">
        <v>972</v>
      </c>
      <c r="N1644" t="s">
        <v>878</v>
      </c>
      <c r="O1644">
        <v>0</v>
      </c>
      <c r="P1644" s="5"/>
      <c r="Q1644" s="10">
        <f>INT(Tabela1[[#This Row],[DATA]])</f>
        <v>46212</v>
      </c>
      <c r="R1644" s="14" t="str">
        <f ca="1">IF(AND(Q1644&gt;=TODAY()-WEEKDAY(TODAY(),2)+1,Q1644&lt;TODAY()),"SIM","NÃO")</f>
        <v>NÃO</v>
      </c>
    </row>
    <row r="1645" spans="1:18" hidden="1">
      <c r="A1645" t="s">
        <v>143</v>
      </c>
      <c r="B1645" t="s">
        <v>144</v>
      </c>
      <c r="C1645">
        <v>300280232</v>
      </c>
      <c r="D1645">
        <v>16441222</v>
      </c>
      <c r="E1645" t="s">
        <v>45</v>
      </c>
      <c r="F1645" t="s">
        <v>3212</v>
      </c>
      <c r="G1645">
        <v>30</v>
      </c>
      <c r="H1645" t="s">
        <v>2313</v>
      </c>
      <c r="K1645" s="11">
        <v>46212.436284722222</v>
      </c>
      <c r="M1645">
        <v>973</v>
      </c>
      <c r="N1645" t="s">
        <v>867</v>
      </c>
      <c r="O1645">
        <v>0</v>
      </c>
      <c r="P1645" s="5"/>
      <c r="Q1645" s="10">
        <f>INT(Tabela1[[#This Row],[DATA]])</f>
        <v>46212</v>
      </c>
      <c r="R1645" s="14" t="str">
        <f ca="1">IF(AND(Q1645&gt;=TODAY()-WEEKDAY(TODAY(),2)+1,Q1645&lt;TODAY()),"SIM","NÃO")</f>
        <v>NÃO</v>
      </c>
    </row>
    <row r="1646" spans="1:18" hidden="1">
      <c r="A1646" t="s">
        <v>101</v>
      </c>
      <c r="B1646" t="s">
        <v>990</v>
      </c>
      <c r="C1646">
        <v>300272972</v>
      </c>
      <c r="D1646">
        <v>15764486</v>
      </c>
      <c r="E1646" t="s">
        <v>37</v>
      </c>
      <c r="F1646" t="s">
        <v>2405</v>
      </c>
      <c r="G1646">
        <v>40</v>
      </c>
      <c r="H1646" t="s">
        <v>3119</v>
      </c>
      <c r="J1646" t="s">
        <v>3486</v>
      </c>
      <c r="K1646" s="11">
        <v>46212.437048611115</v>
      </c>
      <c r="M1646">
        <v>974</v>
      </c>
      <c r="N1646" t="s">
        <v>867</v>
      </c>
      <c r="O1646">
        <v>0</v>
      </c>
      <c r="P1646" s="5"/>
      <c r="Q1646" s="10">
        <f>INT(Tabela1[[#This Row],[DATA]])</f>
        <v>46212</v>
      </c>
      <c r="R1646" s="14" t="str">
        <f ca="1">IF(AND(Q1646&gt;=TODAY()-WEEKDAY(TODAY(),2)+1,Q1646&lt;TODAY()),"SIM","NÃO")</f>
        <v>NÃO</v>
      </c>
    </row>
    <row r="1647" spans="1:18" hidden="1">
      <c r="A1647" t="s">
        <v>233</v>
      </c>
      <c r="B1647" t="s">
        <v>234</v>
      </c>
      <c r="C1647">
        <v>300276227</v>
      </c>
      <c r="D1647">
        <v>15187632</v>
      </c>
      <c r="E1647" t="s">
        <v>37</v>
      </c>
      <c r="F1647" t="s">
        <v>323</v>
      </c>
      <c r="G1647" t="s">
        <v>3487</v>
      </c>
      <c r="H1647" t="s">
        <v>3488</v>
      </c>
      <c r="J1647" t="s">
        <v>3489</v>
      </c>
      <c r="K1647" s="11">
        <v>46212.445</v>
      </c>
      <c r="M1647">
        <v>975</v>
      </c>
      <c r="N1647" t="s">
        <v>867</v>
      </c>
      <c r="O1647" t="s">
        <v>3490</v>
      </c>
      <c r="P1647" s="5"/>
      <c r="Q1647" s="10">
        <f>INT(Tabela1[[#This Row],[DATA]])</f>
        <v>46212</v>
      </c>
      <c r="R1647" s="14" t="str">
        <f ca="1">IF(AND(Q1647&gt;=TODAY()-WEEKDAY(TODAY(),2)+1,Q1647&lt;TODAY()),"SIM","NÃO")</f>
        <v>NÃO</v>
      </c>
    </row>
    <row r="1648" spans="1:18" hidden="1">
      <c r="A1648" t="s">
        <v>159</v>
      </c>
      <c r="B1648" t="s">
        <v>1293</v>
      </c>
      <c r="C1648">
        <v>300278548</v>
      </c>
      <c r="D1648">
        <v>16217802</v>
      </c>
      <c r="E1648" t="s">
        <v>37</v>
      </c>
      <c r="F1648" t="s">
        <v>2213</v>
      </c>
      <c r="G1648">
        <v>18</v>
      </c>
      <c r="H1648" t="s">
        <v>2559</v>
      </c>
      <c r="K1648" s="11">
        <v>46212.457754629628</v>
      </c>
      <c r="M1648">
        <v>976</v>
      </c>
      <c r="N1648" t="s">
        <v>878</v>
      </c>
      <c r="O1648" t="s">
        <v>3491</v>
      </c>
      <c r="P1648" s="5"/>
      <c r="Q1648" s="10">
        <f>INT(Tabela1[[#This Row],[DATA]])</f>
        <v>46212</v>
      </c>
      <c r="R1648" s="14" t="str">
        <f ca="1">IF(AND(Q1648&gt;=TODAY()-WEEKDAY(TODAY(),2)+1,Q1648&lt;TODAY()),"SIM","NÃO")</f>
        <v>NÃO</v>
      </c>
    </row>
    <row r="1649" spans="1:18" hidden="1">
      <c r="A1649" t="s">
        <v>1835</v>
      </c>
      <c r="B1649" t="s">
        <v>1836</v>
      </c>
      <c r="C1649">
        <v>300273006</v>
      </c>
      <c r="D1649">
        <v>16507657</v>
      </c>
      <c r="E1649" t="s">
        <v>37</v>
      </c>
      <c r="F1649" t="s">
        <v>177</v>
      </c>
      <c r="G1649">
        <v>90</v>
      </c>
      <c r="H1649" t="s">
        <v>310</v>
      </c>
      <c r="J1649" t="s">
        <v>2914</v>
      </c>
      <c r="K1649" s="11">
        <v>46212.462164351855</v>
      </c>
      <c r="M1649">
        <v>977</v>
      </c>
      <c r="N1649" t="s">
        <v>878</v>
      </c>
      <c r="O1649">
        <v>10000241454</v>
      </c>
      <c r="P1649" s="5"/>
      <c r="Q1649" s="10">
        <f>INT(Tabela1[[#This Row],[DATA]])</f>
        <v>46212</v>
      </c>
      <c r="R1649" s="14" t="str">
        <f ca="1">IF(AND(Q1649&gt;=TODAY()-WEEKDAY(TODAY(),2)+1,Q1649&lt;TODAY()),"SIM","NÃO")</f>
        <v>NÃO</v>
      </c>
    </row>
    <row r="1650" spans="1:18" hidden="1">
      <c r="A1650" t="s">
        <v>253</v>
      </c>
      <c r="B1650" t="s">
        <v>254</v>
      </c>
      <c r="C1650">
        <v>300276285</v>
      </c>
      <c r="D1650">
        <v>15863387</v>
      </c>
      <c r="E1650" t="s">
        <v>37</v>
      </c>
      <c r="F1650" t="s">
        <v>3333</v>
      </c>
      <c r="G1650">
        <v>20</v>
      </c>
      <c r="H1650" t="s">
        <v>256</v>
      </c>
      <c r="K1650" s="11">
        <v>46212.492951388886</v>
      </c>
      <c r="M1650">
        <v>978</v>
      </c>
      <c r="N1650" t="s">
        <v>867</v>
      </c>
      <c r="O1650">
        <v>10000212591</v>
      </c>
      <c r="P1650" s="5"/>
      <c r="Q1650" s="10">
        <f>INT(Tabela1[[#This Row],[DATA]])</f>
        <v>46212</v>
      </c>
      <c r="R1650" s="14" t="str">
        <f ca="1">IF(AND(Q1650&gt;=TODAY()-WEEKDAY(TODAY(),2)+1,Q1650&lt;TODAY()),"SIM","NÃO")</f>
        <v>NÃO</v>
      </c>
    </row>
    <row r="1651" spans="1:18" hidden="1">
      <c r="A1651" t="s">
        <v>163</v>
      </c>
      <c r="B1651" t="s">
        <v>164</v>
      </c>
      <c r="C1651">
        <v>300277358</v>
      </c>
      <c r="D1651">
        <v>16442857</v>
      </c>
      <c r="E1651" t="s">
        <v>29</v>
      </c>
      <c r="F1651" t="s">
        <v>3212</v>
      </c>
      <c r="G1651">
        <v>792</v>
      </c>
      <c r="H1651" t="s">
        <v>2864</v>
      </c>
      <c r="K1651" s="11">
        <v>46212.523356481484</v>
      </c>
      <c r="M1651">
        <v>979</v>
      </c>
      <c r="N1651" t="s">
        <v>878</v>
      </c>
      <c r="O1651">
        <v>0</v>
      </c>
      <c r="P1651" s="5"/>
      <c r="Q1651" s="10">
        <f>INT(Tabela1[[#This Row],[DATA]])</f>
        <v>46212</v>
      </c>
      <c r="R1651" s="14" t="str">
        <f ca="1">IF(AND(Q1651&gt;=TODAY()-WEEKDAY(TODAY(),2)+1,Q1651&lt;TODAY()),"SIM","NÃO")</f>
        <v>NÃO</v>
      </c>
    </row>
    <row r="1652" spans="1:18" hidden="1">
      <c r="A1652" t="s">
        <v>163</v>
      </c>
      <c r="B1652" t="s">
        <v>164</v>
      </c>
      <c r="C1652">
        <v>300277357</v>
      </c>
      <c r="D1652">
        <v>16442857</v>
      </c>
      <c r="E1652" t="s">
        <v>29</v>
      </c>
      <c r="F1652" t="s">
        <v>3212</v>
      </c>
      <c r="G1652">
        <v>90</v>
      </c>
      <c r="H1652" t="s">
        <v>2292</v>
      </c>
      <c r="K1652" s="11">
        <v>46212.524386574078</v>
      </c>
      <c r="M1652">
        <v>980</v>
      </c>
      <c r="N1652" t="s">
        <v>867</v>
      </c>
      <c r="O1652">
        <v>0</v>
      </c>
      <c r="P1652" s="5"/>
      <c r="Q1652" s="10">
        <f>INT(Tabela1[[#This Row],[DATA]])</f>
        <v>46212</v>
      </c>
      <c r="R1652" s="14" t="str">
        <f ca="1">IF(AND(Q1652&gt;=TODAY()-WEEKDAY(TODAY(),2)+1,Q1652&lt;TODAY()),"SIM","NÃO")</f>
        <v>NÃO</v>
      </c>
    </row>
    <row r="1653" spans="1:18" hidden="1">
      <c r="A1653" t="s">
        <v>3492</v>
      </c>
      <c r="B1653" t="s">
        <v>383</v>
      </c>
      <c r="C1653">
        <v>300276283</v>
      </c>
      <c r="D1653">
        <v>16217780</v>
      </c>
      <c r="E1653" t="s">
        <v>37</v>
      </c>
      <c r="F1653" t="s">
        <v>2405</v>
      </c>
      <c r="G1653">
        <v>2</v>
      </c>
      <c r="H1653" t="s">
        <v>3493</v>
      </c>
      <c r="J1653" t="s">
        <v>3494</v>
      </c>
      <c r="K1653" s="11">
        <v>46212.547025462962</v>
      </c>
      <c r="M1653">
        <v>981</v>
      </c>
      <c r="N1653" t="s">
        <v>867</v>
      </c>
      <c r="O1653" t="s">
        <v>3051</v>
      </c>
      <c r="P1653" s="5"/>
      <c r="Q1653" s="10">
        <f>INT(Tabela1[[#This Row],[DATA]])</f>
        <v>46212</v>
      </c>
      <c r="R1653" s="14" t="str">
        <f ca="1">IF(AND(Q1653&gt;=TODAY()-WEEKDAY(TODAY(),2)+1,Q1653&lt;TODAY()),"SIM","NÃO")</f>
        <v>NÃO</v>
      </c>
    </row>
    <row r="1654" spans="1:18" hidden="1">
      <c r="A1654" t="s">
        <v>3073</v>
      </c>
      <c r="B1654" t="s">
        <v>448</v>
      </c>
      <c r="C1654">
        <v>300274646</v>
      </c>
      <c r="D1654">
        <v>16319249</v>
      </c>
      <c r="E1654" t="s">
        <v>37</v>
      </c>
      <c r="F1654" t="s">
        <v>2405</v>
      </c>
      <c r="G1654">
        <v>100</v>
      </c>
      <c r="H1654" t="s">
        <v>3495</v>
      </c>
      <c r="K1654" s="11">
        <v>46212.549166666664</v>
      </c>
      <c r="M1654">
        <v>982</v>
      </c>
      <c r="N1654" t="s">
        <v>867</v>
      </c>
      <c r="O1654">
        <v>0</v>
      </c>
      <c r="P1654" s="5"/>
      <c r="Q1654" s="10">
        <f>INT(Tabela1[[#This Row],[DATA]])</f>
        <v>46212</v>
      </c>
      <c r="R1654" s="14" t="str">
        <f ca="1">IF(AND(Q1654&gt;=TODAY()-WEEKDAY(TODAY(),2)+1,Q1654&lt;TODAY()),"SIM","NÃO")</f>
        <v>NÃO</v>
      </c>
    </row>
    <row r="1655" spans="1:18" hidden="1">
      <c r="A1655" t="s">
        <v>3132</v>
      </c>
      <c r="B1655" t="s">
        <v>242</v>
      </c>
      <c r="C1655">
        <v>300273772</v>
      </c>
      <c r="D1655">
        <v>16463412</v>
      </c>
      <c r="E1655" t="s">
        <v>37</v>
      </c>
      <c r="F1655" t="s">
        <v>3241</v>
      </c>
      <c r="G1655" t="s">
        <v>3496</v>
      </c>
      <c r="H1655" t="s">
        <v>3497</v>
      </c>
      <c r="J1655" t="s">
        <v>3498</v>
      </c>
      <c r="K1655" s="11">
        <v>46212.572048611109</v>
      </c>
      <c r="M1655">
        <v>983</v>
      </c>
      <c r="N1655" t="s">
        <v>867</v>
      </c>
      <c r="O1655">
        <v>10000073226</v>
      </c>
      <c r="P1655" s="5"/>
      <c r="Q1655" s="10">
        <f>INT(Tabela1[[#This Row],[DATA]])</f>
        <v>46212</v>
      </c>
      <c r="R1655" s="14" t="str">
        <f ca="1">IF(AND(Q1655&gt;=TODAY()-WEEKDAY(TODAY(),2)+1,Q1655&lt;TODAY()),"SIM","NÃO")</f>
        <v>NÃO</v>
      </c>
    </row>
    <row r="1656" spans="1:18" hidden="1">
      <c r="A1656" t="s">
        <v>2649</v>
      </c>
      <c r="B1656" t="s">
        <v>137</v>
      </c>
      <c r="C1656">
        <v>300000000</v>
      </c>
      <c r="D1656">
        <v>0</v>
      </c>
      <c r="E1656" t="s">
        <v>45</v>
      </c>
      <c r="F1656" t="s">
        <v>1904</v>
      </c>
      <c r="G1656">
        <v>4</v>
      </c>
      <c r="H1656" t="s">
        <v>3499</v>
      </c>
      <c r="J1656" t="s">
        <v>3500</v>
      </c>
      <c r="K1656" s="11">
        <v>46212.588379629633</v>
      </c>
      <c r="M1656">
        <v>984</v>
      </c>
      <c r="N1656" t="s">
        <v>878</v>
      </c>
      <c r="O1656" t="s">
        <v>138</v>
      </c>
      <c r="P1656" s="5"/>
      <c r="Q1656" s="10">
        <f>INT(Tabela1[[#This Row],[DATA]])</f>
        <v>46212</v>
      </c>
      <c r="R1656" s="14" t="str">
        <f ca="1">IF(AND(Q1656&gt;=TODAY()-WEEKDAY(TODAY(),2)+1,Q1656&lt;TODAY()),"SIM","NÃO")</f>
        <v>NÃO</v>
      </c>
    </row>
    <row r="1657" spans="1:18" hidden="1">
      <c r="A1657" t="s">
        <v>493</v>
      </c>
      <c r="B1657" t="s">
        <v>686</v>
      </c>
      <c r="C1657">
        <v>300273320</v>
      </c>
      <c r="D1657">
        <v>15775615</v>
      </c>
      <c r="E1657" t="s">
        <v>37</v>
      </c>
      <c r="F1657" t="s">
        <v>216</v>
      </c>
      <c r="G1657">
        <v>80</v>
      </c>
      <c r="H1657" t="s">
        <v>2557</v>
      </c>
      <c r="K1657" s="11">
        <v>46212.615555555552</v>
      </c>
      <c r="M1657">
        <v>985</v>
      </c>
      <c r="N1657" t="s">
        <v>867</v>
      </c>
      <c r="O1657" t="s">
        <v>138</v>
      </c>
      <c r="P1657" s="5"/>
      <c r="Q1657" s="10">
        <f>INT(Tabela1[[#This Row],[DATA]])</f>
        <v>46212</v>
      </c>
      <c r="R1657" s="14" t="str">
        <f ca="1">IF(AND(Q1657&gt;=TODAY()-WEEKDAY(TODAY(),2)+1,Q1657&lt;TODAY()),"SIM","NÃO")</f>
        <v>NÃO</v>
      </c>
    </row>
    <row r="1658" spans="1:18" hidden="1">
      <c r="A1658" t="s">
        <v>253</v>
      </c>
      <c r="B1658" t="s">
        <v>254</v>
      </c>
      <c r="C1658">
        <v>300276271</v>
      </c>
      <c r="D1658">
        <v>15858367</v>
      </c>
      <c r="E1658" t="s">
        <v>37</v>
      </c>
      <c r="F1658" t="s">
        <v>177</v>
      </c>
      <c r="G1658">
        <v>67</v>
      </c>
      <c r="H1658" t="s">
        <v>3501</v>
      </c>
      <c r="K1658" s="11">
        <v>46212.634155092594</v>
      </c>
      <c r="M1658">
        <v>986</v>
      </c>
      <c r="N1658" t="s">
        <v>867</v>
      </c>
      <c r="O1658">
        <v>10000064387</v>
      </c>
      <c r="P1658" s="5"/>
      <c r="Q1658" s="10">
        <f>INT(Tabela1[[#This Row],[DATA]])</f>
        <v>46212</v>
      </c>
      <c r="R1658" s="14" t="str">
        <f ca="1">IF(AND(Q1658&gt;=TODAY()-WEEKDAY(TODAY(),2)+1,Q1658&lt;TODAY()),"SIM","NÃO")</f>
        <v>NÃO</v>
      </c>
    </row>
    <row r="1659" spans="1:18" hidden="1">
      <c r="A1659" t="s">
        <v>787</v>
      </c>
      <c r="B1659" t="s">
        <v>788</v>
      </c>
      <c r="C1659">
        <v>300000000</v>
      </c>
      <c r="D1659">
        <v>0</v>
      </c>
      <c r="E1659" t="s">
        <v>37</v>
      </c>
      <c r="F1659" t="s">
        <v>3215</v>
      </c>
      <c r="G1659">
        <v>10</v>
      </c>
      <c r="H1659" t="s">
        <v>2284</v>
      </c>
      <c r="K1659" s="11">
        <v>46212.638703703706</v>
      </c>
      <c r="M1659">
        <v>987</v>
      </c>
      <c r="N1659" t="s">
        <v>878</v>
      </c>
      <c r="O1659">
        <v>0</v>
      </c>
      <c r="P1659" s="5"/>
      <c r="Q1659" s="10">
        <f>INT(Tabela1[[#This Row],[DATA]])</f>
        <v>46212</v>
      </c>
      <c r="R1659" s="14" t="str">
        <f ca="1">IF(AND(Q1659&gt;=TODAY()-WEEKDAY(TODAY(),2)+1,Q1659&lt;TODAY()),"SIM","NÃO")</f>
        <v>NÃO</v>
      </c>
    </row>
    <row r="1660" spans="1:18" hidden="1">
      <c r="A1660" t="s">
        <v>605</v>
      </c>
      <c r="B1660" t="s">
        <v>606</v>
      </c>
      <c r="C1660">
        <v>300276215</v>
      </c>
      <c r="D1660">
        <v>16508190</v>
      </c>
      <c r="E1660" t="s">
        <v>37</v>
      </c>
      <c r="F1660" t="s">
        <v>3502</v>
      </c>
      <c r="G1660">
        <v>10</v>
      </c>
      <c r="H1660" t="s">
        <v>1831</v>
      </c>
      <c r="J1660" t="s">
        <v>3503</v>
      </c>
      <c r="K1660" s="11">
        <v>46212.640277777777</v>
      </c>
      <c r="M1660">
        <v>988</v>
      </c>
      <c r="N1660" t="s">
        <v>867</v>
      </c>
      <c r="O1660">
        <v>0</v>
      </c>
      <c r="P1660" s="5"/>
      <c r="Q1660" s="10">
        <f>INT(Tabela1[[#This Row],[DATA]])</f>
        <v>46212</v>
      </c>
      <c r="R1660" s="14" t="str">
        <f ca="1">IF(AND(Q1660&gt;=TODAY()-WEEKDAY(TODAY(),2)+1,Q1660&lt;TODAY()),"SIM","NÃO")</f>
        <v>NÃO</v>
      </c>
    </row>
    <row r="1661" spans="1:18" hidden="1">
      <c r="A1661" t="s">
        <v>428</v>
      </c>
      <c r="B1661" t="s">
        <v>429</v>
      </c>
      <c r="C1661">
        <v>300277363</v>
      </c>
      <c r="D1661">
        <v>16448022</v>
      </c>
      <c r="E1661" t="s">
        <v>29</v>
      </c>
      <c r="F1661" t="s">
        <v>259</v>
      </c>
      <c r="G1661">
        <v>10</v>
      </c>
      <c r="H1661" t="s">
        <v>3504</v>
      </c>
      <c r="K1661" s="11">
        <v>46212.650277777779</v>
      </c>
      <c r="M1661">
        <v>989</v>
      </c>
      <c r="N1661" t="s">
        <v>867</v>
      </c>
      <c r="O1661">
        <v>0</v>
      </c>
      <c r="P1661" s="5"/>
      <c r="Q1661" s="10">
        <f>INT(Tabela1[[#This Row],[DATA]])</f>
        <v>46212</v>
      </c>
      <c r="R1661" s="14" t="str">
        <f ca="1">IF(AND(Q1661&gt;=TODAY()-WEEKDAY(TODAY(),2)+1,Q1661&lt;TODAY()),"SIM","NÃO")</f>
        <v>NÃO</v>
      </c>
    </row>
    <row r="1662" spans="1:18" hidden="1">
      <c r="A1662" t="s">
        <v>111</v>
      </c>
      <c r="B1662" t="s">
        <v>112</v>
      </c>
      <c r="C1662">
        <v>300276745</v>
      </c>
      <c r="D1662">
        <v>16510097</v>
      </c>
      <c r="E1662" t="s">
        <v>37</v>
      </c>
      <c r="F1662" t="s">
        <v>2213</v>
      </c>
      <c r="G1662">
        <v>3</v>
      </c>
      <c r="H1662" t="s">
        <v>1335</v>
      </c>
      <c r="J1662" t="s">
        <v>2174</v>
      </c>
      <c r="K1662" s="11">
        <v>46212.650810185187</v>
      </c>
      <c r="M1662">
        <v>990</v>
      </c>
      <c r="N1662" t="s">
        <v>867</v>
      </c>
      <c r="O1662">
        <v>10000216487</v>
      </c>
      <c r="P1662" s="5"/>
      <c r="Q1662" s="10">
        <f>INT(Tabela1[[#This Row],[DATA]])</f>
        <v>46212</v>
      </c>
      <c r="R1662" s="14" t="str">
        <f ca="1">IF(AND(Q1662&gt;=TODAY()-WEEKDAY(TODAY(),2)+1,Q1662&lt;TODAY()),"SIM","NÃO")</f>
        <v>NÃO</v>
      </c>
    </row>
    <row r="1663" spans="1:18" hidden="1">
      <c r="A1663" t="s">
        <v>497</v>
      </c>
      <c r="B1663" t="s">
        <v>498</v>
      </c>
      <c r="C1663">
        <v>300274125</v>
      </c>
      <c r="D1663">
        <v>15359492</v>
      </c>
      <c r="E1663" t="s">
        <v>29</v>
      </c>
      <c r="F1663" t="s">
        <v>151</v>
      </c>
      <c r="G1663">
        <v>208</v>
      </c>
      <c r="H1663" t="s">
        <v>2284</v>
      </c>
      <c r="J1663" t="s">
        <v>2284</v>
      </c>
      <c r="K1663" s="11">
        <v>46212.65084490741</v>
      </c>
      <c r="M1663">
        <v>991</v>
      </c>
      <c r="N1663" t="s">
        <v>867</v>
      </c>
      <c r="O1663">
        <v>150</v>
      </c>
      <c r="P1663" s="5"/>
      <c r="Q1663" s="10">
        <f>INT(Tabela1[[#This Row],[DATA]])</f>
        <v>46212</v>
      </c>
      <c r="R1663" s="14" t="str">
        <f ca="1">IF(AND(Q1663&gt;=TODAY()-WEEKDAY(TODAY(),2)+1,Q1663&lt;TODAY()),"SIM","NÃO")</f>
        <v>NÃO</v>
      </c>
    </row>
    <row r="1664" spans="1:18" hidden="1">
      <c r="A1664" t="s">
        <v>428</v>
      </c>
      <c r="B1664" t="s">
        <v>429</v>
      </c>
      <c r="C1664">
        <v>300277363</v>
      </c>
      <c r="D1664">
        <v>16448022</v>
      </c>
      <c r="E1664" t="s">
        <v>29</v>
      </c>
      <c r="F1664" t="s">
        <v>3241</v>
      </c>
      <c r="G1664">
        <v>10</v>
      </c>
      <c r="H1664" t="s">
        <v>3505</v>
      </c>
      <c r="K1664" s="11">
        <v>46212.65148148148</v>
      </c>
      <c r="M1664">
        <v>992</v>
      </c>
      <c r="N1664" t="s">
        <v>867</v>
      </c>
      <c r="O1664">
        <v>0</v>
      </c>
      <c r="P1664" s="5"/>
      <c r="Q1664" s="10">
        <f>INT(Tabela1[[#This Row],[DATA]])</f>
        <v>46212</v>
      </c>
      <c r="R1664" s="14" t="str">
        <f ca="1">IF(AND(Q1664&gt;=TODAY()-WEEKDAY(TODAY(),2)+1,Q1664&lt;TODAY()),"SIM","NÃO")</f>
        <v>NÃO</v>
      </c>
    </row>
    <row r="1665" spans="1:18" hidden="1">
      <c r="A1665" t="s">
        <v>497</v>
      </c>
      <c r="B1665" t="s">
        <v>498</v>
      </c>
      <c r="C1665">
        <v>300274125</v>
      </c>
      <c r="D1665">
        <v>1539492</v>
      </c>
      <c r="E1665" t="s">
        <v>29</v>
      </c>
      <c r="F1665" t="s">
        <v>525</v>
      </c>
      <c r="G1665">
        <v>208</v>
      </c>
      <c r="H1665" t="s">
        <v>2284</v>
      </c>
      <c r="J1665" t="s">
        <v>2284</v>
      </c>
      <c r="K1665" s="11">
        <v>46212.651805555557</v>
      </c>
      <c r="M1665">
        <v>993</v>
      </c>
      <c r="N1665" t="s">
        <v>867</v>
      </c>
      <c r="O1665">
        <v>150</v>
      </c>
      <c r="P1665" s="5"/>
      <c r="Q1665" s="10">
        <f>INT(Tabela1[[#This Row],[DATA]])</f>
        <v>46212</v>
      </c>
      <c r="R1665" s="14" t="str">
        <f ca="1">IF(AND(Q1665&gt;=TODAY()-WEEKDAY(TODAY(),2)+1,Q1665&lt;TODAY()),"SIM","NÃO")</f>
        <v>NÃO</v>
      </c>
    </row>
    <row r="1666" spans="1:18" hidden="1">
      <c r="A1666" t="s">
        <v>2578</v>
      </c>
      <c r="B1666" t="s">
        <v>69</v>
      </c>
      <c r="C1666">
        <v>300272644</v>
      </c>
      <c r="D1666">
        <v>16483898</v>
      </c>
      <c r="E1666" t="s">
        <v>45</v>
      </c>
      <c r="F1666" t="s">
        <v>1904</v>
      </c>
      <c r="G1666">
        <v>5</v>
      </c>
      <c r="H1666" t="s">
        <v>3506</v>
      </c>
      <c r="K1666" s="11">
        <v>46212.666122685187</v>
      </c>
      <c r="M1666">
        <v>994</v>
      </c>
      <c r="N1666" t="s">
        <v>867</v>
      </c>
      <c r="O1666">
        <v>16483898</v>
      </c>
      <c r="P1666" s="5"/>
      <c r="Q1666" s="10">
        <f>INT(Tabela1[[#This Row],[DATA]])</f>
        <v>46212</v>
      </c>
      <c r="R1666" s="14" t="str">
        <f ca="1">IF(AND(Q1666&gt;=TODAY()-WEEKDAY(TODAY(),2)+1,Q1666&lt;TODAY()),"SIM","NÃO")</f>
        <v>NÃO</v>
      </c>
    </row>
    <row r="1667" spans="1:18" hidden="1">
      <c r="A1667" t="s">
        <v>2671</v>
      </c>
      <c r="B1667" t="s">
        <v>89</v>
      </c>
      <c r="C1667">
        <v>300273315</v>
      </c>
      <c r="D1667">
        <v>15775615</v>
      </c>
      <c r="E1667" t="s">
        <v>37</v>
      </c>
      <c r="F1667" t="s">
        <v>3502</v>
      </c>
      <c r="G1667">
        <v>10</v>
      </c>
      <c r="H1667" t="s">
        <v>3507</v>
      </c>
      <c r="J1667" t="s">
        <v>3508</v>
      </c>
      <c r="K1667" s="11">
        <v>46212.696481481478</v>
      </c>
      <c r="M1667">
        <v>995</v>
      </c>
      <c r="N1667" t="s">
        <v>878</v>
      </c>
      <c r="O1667">
        <v>0</v>
      </c>
      <c r="P1667" s="5"/>
      <c r="Q1667" s="10">
        <f>INT(Tabela1[[#This Row],[DATA]])</f>
        <v>46212</v>
      </c>
      <c r="R1667" s="14" t="str">
        <f ca="1">IF(AND(Q1667&gt;=TODAY()-WEEKDAY(TODAY(),2)+1,Q1667&lt;TODAY()),"SIM","NÃO")</f>
        <v>NÃO</v>
      </c>
    </row>
    <row r="1668" spans="1:18" hidden="1">
      <c r="A1668" t="s">
        <v>313</v>
      </c>
      <c r="B1668" t="s">
        <v>314</v>
      </c>
      <c r="C1668">
        <v>300279113</v>
      </c>
      <c r="D1668">
        <v>16223780</v>
      </c>
      <c r="E1668" t="s">
        <v>45</v>
      </c>
      <c r="F1668" t="s">
        <v>3212</v>
      </c>
      <c r="G1668">
        <v>220</v>
      </c>
      <c r="H1668" t="s">
        <v>3509</v>
      </c>
      <c r="J1668" t="s">
        <v>3510</v>
      </c>
      <c r="K1668" s="11">
        <v>46212.696493055555</v>
      </c>
      <c r="M1668">
        <v>996</v>
      </c>
      <c r="N1668" t="s">
        <v>867</v>
      </c>
      <c r="O1668">
        <v>0</v>
      </c>
      <c r="P1668" s="5"/>
      <c r="Q1668" s="10">
        <f>INT(Tabela1[[#This Row],[DATA]])</f>
        <v>46212</v>
      </c>
      <c r="R1668" s="14" t="str">
        <f ca="1">IF(AND(Q1668&gt;=TODAY()-WEEKDAY(TODAY(),2)+1,Q1668&lt;TODAY()),"SIM","NÃO")</f>
        <v>NÃO</v>
      </c>
    </row>
    <row r="1669" spans="1:18" hidden="1">
      <c r="A1669" t="s">
        <v>313</v>
      </c>
      <c r="B1669" t="s">
        <v>314</v>
      </c>
      <c r="C1669">
        <v>300279113</v>
      </c>
      <c r="D1669">
        <v>16223780</v>
      </c>
      <c r="E1669" t="s">
        <v>45</v>
      </c>
      <c r="F1669" t="s">
        <v>1904</v>
      </c>
      <c r="G1669">
        <v>5</v>
      </c>
      <c r="H1669" t="s">
        <v>3511</v>
      </c>
      <c r="J1669">
        <v>0</v>
      </c>
      <c r="K1669" s="11">
        <v>46212.698379629626</v>
      </c>
      <c r="M1669">
        <v>997</v>
      </c>
      <c r="N1669" t="s">
        <v>878</v>
      </c>
      <c r="O1669">
        <v>0</v>
      </c>
      <c r="P1669" s="5"/>
      <c r="Q1669" s="10">
        <f>INT(Tabela1[[#This Row],[DATA]])</f>
        <v>46212</v>
      </c>
      <c r="R1669" s="14" t="str">
        <f ca="1">IF(AND(Q1669&gt;=TODAY()-WEEKDAY(TODAY(),2)+1,Q1669&lt;TODAY()),"SIM","NÃO")</f>
        <v>NÃO</v>
      </c>
    </row>
    <row r="1670" spans="1:18" hidden="1">
      <c r="A1670" t="s">
        <v>2624</v>
      </c>
      <c r="B1670" t="s">
        <v>50</v>
      </c>
      <c r="C1670">
        <v>300273270</v>
      </c>
      <c r="D1670">
        <v>16520050</v>
      </c>
      <c r="E1670" t="s">
        <v>37</v>
      </c>
      <c r="F1670" t="s">
        <v>177</v>
      </c>
      <c r="G1670">
        <v>476</v>
      </c>
      <c r="H1670" t="s">
        <v>2625</v>
      </c>
      <c r="J1670" t="s">
        <v>3512</v>
      </c>
      <c r="K1670" s="11">
        <v>46212.700543981482</v>
      </c>
      <c r="M1670">
        <v>998</v>
      </c>
      <c r="N1670" t="s">
        <v>878</v>
      </c>
      <c r="O1670">
        <v>10000241456</v>
      </c>
      <c r="P1670" s="5"/>
      <c r="Q1670" s="10">
        <f>INT(Tabela1[[#This Row],[DATA]])</f>
        <v>46212</v>
      </c>
      <c r="R1670" s="14" t="str">
        <f ca="1">IF(AND(Q1670&gt;=TODAY()-WEEKDAY(TODAY(),2)+1,Q1670&lt;TODAY()),"SIM","NÃO")</f>
        <v>NÃO</v>
      </c>
    </row>
    <row r="1671" spans="1:18" hidden="1">
      <c r="A1671" t="s">
        <v>3513</v>
      </c>
      <c r="B1671" t="s">
        <v>3514</v>
      </c>
      <c r="C1671">
        <v>300268058</v>
      </c>
      <c r="D1671">
        <v>16473604</v>
      </c>
      <c r="E1671" t="s">
        <v>37</v>
      </c>
      <c r="F1671" t="s">
        <v>177</v>
      </c>
      <c r="G1671">
        <v>110</v>
      </c>
      <c r="H1671" t="s">
        <v>3515</v>
      </c>
      <c r="J1671" t="s">
        <v>3516</v>
      </c>
      <c r="K1671" s="11">
        <v>46212.709120370368</v>
      </c>
      <c r="M1671">
        <v>999</v>
      </c>
      <c r="N1671" t="s">
        <v>867</v>
      </c>
      <c r="O1671">
        <v>0</v>
      </c>
      <c r="P1671" s="5"/>
      <c r="Q1671" s="10">
        <f>INT(Tabela1[[#This Row],[DATA]])</f>
        <v>46212</v>
      </c>
      <c r="R1671" s="14" t="str">
        <f ca="1">IF(AND(Q1671&gt;=TODAY()-WEEKDAY(TODAY(),2)+1,Q1671&lt;TODAY()),"SIM","NÃO")</f>
        <v>NÃO</v>
      </c>
    </row>
    <row r="1672" spans="1:18" hidden="1">
      <c r="A1672" t="s">
        <v>332</v>
      </c>
      <c r="B1672" t="s">
        <v>28</v>
      </c>
      <c r="C1672">
        <v>300277277</v>
      </c>
      <c r="D1672">
        <v>16462980</v>
      </c>
      <c r="E1672" t="s">
        <v>45</v>
      </c>
      <c r="F1672" t="s">
        <v>2405</v>
      </c>
      <c r="G1672">
        <v>1</v>
      </c>
      <c r="H1672" t="s">
        <v>1958</v>
      </c>
      <c r="K1672" s="11">
        <v>46213.327118055553</v>
      </c>
      <c r="M1672">
        <v>1000</v>
      </c>
      <c r="N1672" t="s">
        <v>867</v>
      </c>
      <c r="O1672">
        <v>0</v>
      </c>
      <c r="P1672" s="5"/>
      <c r="Q1672" s="10">
        <f>INT(Tabela1[[#This Row],[DATA]])</f>
        <v>46213</v>
      </c>
      <c r="R1672" s="14" t="str">
        <f ca="1">IF(AND(Q1672&gt;=TODAY()-WEEKDAY(TODAY(),2)+1,Q1672&lt;TODAY()),"SIM","NÃO")</f>
        <v>NÃO</v>
      </c>
    </row>
    <row r="1673" spans="1:18" hidden="1">
      <c r="A1673" t="s">
        <v>3517</v>
      </c>
      <c r="B1673" t="s">
        <v>3518</v>
      </c>
      <c r="C1673">
        <v>300275904</v>
      </c>
      <c r="D1673">
        <v>16223608</v>
      </c>
      <c r="E1673" t="s">
        <v>45</v>
      </c>
      <c r="F1673" t="s">
        <v>96</v>
      </c>
      <c r="G1673">
        <v>508</v>
      </c>
      <c r="H1673" t="s">
        <v>3504</v>
      </c>
      <c r="J1673" t="s">
        <v>3519</v>
      </c>
      <c r="K1673" s="11">
        <v>46213.347766203704</v>
      </c>
      <c r="M1673">
        <v>1001</v>
      </c>
      <c r="N1673" t="s">
        <v>867</v>
      </c>
      <c r="O1673">
        <v>314</v>
      </c>
      <c r="P1673" s="5"/>
      <c r="Q1673" s="10">
        <f>INT(Tabela1[[#This Row],[DATA]])</f>
        <v>46213</v>
      </c>
      <c r="R1673" s="14" t="str">
        <f ca="1">IF(AND(Q1673&gt;=TODAY()-WEEKDAY(TODAY(),2)+1,Q1673&lt;TODAY()),"SIM","NÃO")</f>
        <v>NÃO</v>
      </c>
    </row>
    <row r="1674" spans="1:18" hidden="1">
      <c r="A1674" t="s">
        <v>3517</v>
      </c>
      <c r="B1674" t="s">
        <v>3518</v>
      </c>
      <c r="C1674">
        <v>300275904</v>
      </c>
      <c r="D1674">
        <v>16223608</v>
      </c>
      <c r="E1674" t="s">
        <v>45</v>
      </c>
      <c r="F1674" t="s">
        <v>2405</v>
      </c>
      <c r="G1674">
        <v>72</v>
      </c>
      <c r="H1674" t="s">
        <v>3520</v>
      </c>
      <c r="J1674" t="s">
        <v>3521</v>
      </c>
      <c r="K1674" s="11">
        <v>46213.361921296295</v>
      </c>
      <c r="M1674">
        <v>1002</v>
      </c>
      <c r="N1674" t="s">
        <v>867</v>
      </c>
      <c r="O1674">
        <v>314</v>
      </c>
      <c r="P1674" s="5"/>
      <c r="Q1674" s="10">
        <f>INT(Tabela1[[#This Row],[DATA]])</f>
        <v>46213</v>
      </c>
      <c r="R1674" s="14" t="str">
        <f ca="1">IF(AND(Q1674&gt;=TODAY()-WEEKDAY(TODAY(),2)+1,Q1674&lt;TODAY()),"SIM","NÃO")</f>
        <v>NÃO</v>
      </c>
    </row>
    <row r="1675" spans="1:18" hidden="1">
      <c r="A1675" t="s">
        <v>191</v>
      </c>
      <c r="B1675" t="s">
        <v>192</v>
      </c>
      <c r="C1675">
        <v>300277018</v>
      </c>
      <c r="D1675">
        <v>13132547</v>
      </c>
      <c r="E1675" t="s">
        <v>29</v>
      </c>
      <c r="F1675" t="s">
        <v>259</v>
      </c>
      <c r="G1675">
        <v>10</v>
      </c>
      <c r="H1675" t="s">
        <v>3026</v>
      </c>
      <c r="K1675" s="11">
        <v>46213.364120370374</v>
      </c>
      <c r="M1675">
        <v>1003</v>
      </c>
      <c r="N1675" t="s">
        <v>867</v>
      </c>
      <c r="O1675">
        <v>10000071850</v>
      </c>
      <c r="P1675" s="5"/>
      <c r="Q1675" s="10">
        <f>INT(Tabela1[[#This Row],[DATA]])</f>
        <v>46213</v>
      </c>
      <c r="R1675" s="14" t="str">
        <f ca="1">IF(AND(Q1675&gt;=TODAY()-WEEKDAY(TODAY(),2)+1,Q1675&lt;TODAY()),"SIM","NÃO")</f>
        <v>NÃO</v>
      </c>
    </row>
    <row r="1676" spans="1:18" hidden="1">
      <c r="A1676" t="s">
        <v>191</v>
      </c>
      <c r="B1676" t="s">
        <v>192</v>
      </c>
      <c r="C1676">
        <v>300277018</v>
      </c>
      <c r="D1676">
        <v>13132547</v>
      </c>
      <c r="E1676" t="s">
        <v>29</v>
      </c>
      <c r="F1676" t="s">
        <v>3241</v>
      </c>
      <c r="G1676">
        <v>10</v>
      </c>
      <c r="H1676" t="s">
        <v>3026</v>
      </c>
      <c r="K1676" s="11">
        <v>46213.365613425929</v>
      </c>
      <c r="M1676">
        <v>1004</v>
      </c>
      <c r="N1676" t="s">
        <v>867</v>
      </c>
      <c r="O1676">
        <v>10000072609</v>
      </c>
      <c r="P1676" s="5"/>
      <c r="Q1676" s="10">
        <f>INT(Tabela1[[#This Row],[DATA]])</f>
        <v>46213</v>
      </c>
      <c r="R1676" s="14" t="str">
        <f ca="1">IF(AND(Q1676&gt;=TODAY()-WEEKDAY(TODAY(),2)+1,Q1676&lt;TODAY()),"SIM","NÃO")</f>
        <v>NÃO</v>
      </c>
    </row>
    <row r="1677" spans="1:18" hidden="1">
      <c r="A1677" t="s">
        <v>2578</v>
      </c>
      <c r="B1677" t="s">
        <v>69</v>
      </c>
      <c r="C1677">
        <v>300275626</v>
      </c>
      <c r="D1677">
        <v>16480457</v>
      </c>
      <c r="E1677" t="s">
        <v>45</v>
      </c>
      <c r="F1677" t="s">
        <v>221</v>
      </c>
      <c r="G1677">
        <v>1155</v>
      </c>
      <c r="H1677" t="s">
        <v>2137</v>
      </c>
      <c r="J1677" t="s">
        <v>3522</v>
      </c>
      <c r="K1677" s="11">
        <v>46213.370081018518</v>
      </c>
      <c r="M1677">
        <v>1005</v>
      </c>
      <c r="N1677" t="s">
        <v>878</v>
      </c>
      <c r="O1677" t="s">
        <v>3523</v>
      </c>
      <c r="P1677" s="5"/>
      <c r="Q1677" s="10">
        <f>INT(Tabela1[[#This Row],[DATA]])</f>
        <v>46213</v>
      </c>
      <c r="R1677" s="14" t="str">
        <f ca="1">IF(AND(Q1677&gt;=TODAY()-WEEKDAY(TODAY(),2)+1,Q1677&lt;TODAY()),"SIM","NÃO")</f>
        <v>NÃO</v>
      </c>
    </row>
    <row r="1678" spans="1:18" hidden="1">
      <c r="A1678" t="s">
        <v>2578</v>
      </c>
      <c r="B1678" t="s">
        <v>69</v>
      </c>
      <c r="C1678">
        <v>300275626</v>
      </c>
      <c r="D1678">
        <v>16480457</v>
      </c>
      <c r="E1678" t="s">
        <v>45</v>
      </c>
      <c r="F1678" t="s">
        <v>329</v>
      </c>
      <c r="G1678">
        <v>1155</v>
      </c>
      <c r="H1678" t="s">
        <v>2137</v>
      </c>
      <c r="J1678" t="s">
        <v>3524</v>
      </c>
      <c r="K1678" s="11">
        <v>46213.371168981481</v>
      </c>
      <c r="M1678">
        <v>1006</v>
      </c>
      <c r="N1678" t="s">
        <v>878</v>
      </c>
      <c r="O1678" t="s">
        <v>3525</v>
      </c>
      <c r="P1678" s="5"/>
      <c r="Q1678" s="10">
        <f>INT(Tabela1[[#This Row],[DATA]])</f>
        <v>46213</v>
      </c>
      <c r="R1678" s="14" t="str">
        <f ca="1">IF(AND(Q1678&gt;=TODAY()-WEEKDAY(TODAY(),2)+1,Q1678&lt;TODAY()),"SIM","NÃO")</f>
        <v>NÃO</v>
      </c>
    </row>
    <row r="1679" spans="1:18" hidden="1">
      <c r="A1679" t="s">
        <v>2774</v>
      </c>
      <c r="B1679" t="s">
        <v>3301</v>
      </c>
      <c r="C1679">
        <v>300000000</v>
      </c>
      <c r="D1679">
        <v>0</v>
      </c>
      <c r="E1679" t="s">
        <v>37</v>
      </c>
      <c r="F1679" t="s">
        <v>1904</v>
      </c>
      <c r="G1679">
        <v>0</v>
      </c>
      <c r="H1679" t="s">
        <v>3229</v>
      </c>
      <c r="J1679" t="s">
        <v>3229</v>
      </c>
      <c r="K1679" s="11">
        <v>46213.382060185184</v>
      </c>
      <c r="M1679">
        <v>1007</v>
      </c>
      <c r="N1679" t="s">
        <v>878</v>
      </c>
      <c r="O1679">
        <v>0</v>
      </c>
      <c r="P1679" s="5"/>
      <c r="Q1679" s="10">
        <f>INT(Tabela1[[#This Row],[DATA]])</f>
        <v>46213</v>
      </c>
      <c r="R1679" s="14" t="str">
        <f ca="1">IF(AND(Q1679&gt;=TODAY()-WEEKDAY(TODAY(),2)+1,Q1679&lt;TODAY()),"SIM","NÃO")</f>
        <v>NÃO</v>
      </c>
    </row>
    <row r="1680" spans="1:18" hidden="1">
      <c r="A1680" t="s">
        <v>2774</v>
      </c>
      <c r="B1680" t="s">
        <v>3301</v>
      </c>
      <c r="C1680">
        <v>300000000</v>
      </c>
      <c r="D1680">
        <v>0</v>
      </c>
      <c r="E1680" t="s">
        <v>37</v>
      </c>
      <c r="F1680" t="s">
        <v>1904</v>
      </c>
      <c r="G1680">
        <v>0</v>
      </c>
      <c r="H1680" t="s">
        <v>3229</v>
      </c>
      <c r="J1680" t="s">
        <v>3229</v>
      </c>
      <c r="K1680" s="11">
        <v>46213.384039351855</v>
      </c>
      <c r="M1680">
        <v>1008</v>
      </c>
      <c r="N1680" t="s">
        <v>878</v>
      </c>
      <c r="O1680">
        <v>0</v>
      </c>
      <c r="P1680" s="5"/>
      <c r="Q1680" s="10">
        <f>INT(Tabela1[[#This Row],[DATA]])</f>
        <v>46213</v>
      </c>
      <c r="R1680" s="14" t="str">
        <f ca="1">IF(AND(Q1680&gt;=TODAY()-WEEKDAY(TODAY(),2)+1,Q1680&lt;TODAY()),"SIM","NÃO")</f>
        <v>NÃO</v>
      </c>
    </row>
    <row r="1681" spans="1:18" hidden="1">
      <c r="A1681" t="s">
        <v>2662</v>
      </c>
      <c r="B1681" t="s">
        <v>471</v>
      </c>
      <c r="C1681">
        <v>300242232</v>
      </c>
      <c r="D1681">
        <v>16223462</v>
      </c>
      <c r="E1681" t="s">
        <v>45</v>
      </c>
      <c r="F1681" t="s">
        <v>3212</v>
      </c>
      <c r="G1681">
        <v>277</v>
      </c>
      <c r="H1681" t="s">
        <v>3526</v>
      </c>
      <c r="K1681" s="11">
        <v>46213.397199074076</v>
      </c>
      <c r="M1681">
        <v>1009</v>
      </c>
      <c r="N1681" t="s">
        <v>867</v>
      </c>
      <c r="O1681">
        <v>150</v>
      </c>
      <c r="P1681" s="5"/>
      <c r="Q1681" s="10">
        <f>INT(Tabela1[[#This Row],[DATA]])</f>
        <v>46213</v>
      </c>
      <c r="R1681" s="14" t="str">
        <f ca="1">IF(AND(Q1681&gt;=TODAY()-WEEKDAY(TODAY(),2)+1,Q1681&lt;TODAY()),"SIM","NÃO")</f>
        <v>NÃO</v>
      </c>
    </row>
    <row r="1682" spans="1:18" hidden="1">
      <c r="A1682" t="s">
        <v>111</v>
      </c>
      <c r="B1682" t="s">
        <v>112</v>
      </c>
      <c r="C1682">
        <v>300273676</v>
      </c>
      <c r="D1682">
        <v>16547950</v>
      </c>
      <c r="E1682" t="s">
        <v>20</v>
      </c>
      <c r="F1682" t="s">
        <v>430</v>
      </c>
      <c r="G1682">
        <v>120</v>
      </c>
      <c r="H1682" t="s">
        <v>1335</v>
      </c>
      <c r="K1682" s="11">
        <v>46213.398101851853</v>
      </c>
      <c r="M1682">
        <v>1010</v>
      </c>
      <c r="N1682" t="s">
        <v>867</v>
      </c>
      <c r="O1682">
        <v>10000156345</v>
      </c>
      <c r="P1682" s="5"/>
      <c r="Q1682" s="10">
        <f>INT(Tabela1[[#This Row],[DATA]])</f>
        <v>46213</v>
      </c>
      <c r="R1682" s="14" t="str">
        <f ca="1">IF(AND(Q1682&gt;=TODAY()-WEEKDAY(TODAY(),2)+1,Q1682&lt;TODAY()),"SIM","NÃO")</f>
        <v>NÃO</v>
      </c>
    </row>
    <row r="1683" spans="1:18" hidden="1">
      <c r="A1683" t="s">
        <v>305</v>
      </c>
      <c r="B1683" t="s">
        <v>306</v>
      </c>
      <c r="C1683">
        <v>300273713</v>
      </c>
      <c r="D1683">
        <v>16447760</v>
      </c>
      <c r="E1683" t="s">
        <v>37</v>
      </c>
      <c r="F1683" t="s">
        <v>216</v>
      </c>
      <c r="G1683">
        <v>55</v>
      </c>
      <c r="H1683" t="s">
        <v>2884</v>
      </c>
      <c r="J1683" t="s">
        <v>3527</v>
      </c>
      <c r="K1683" s="11">
        <v>46213.406111111108</v>
      </c>
      <c r="M1683">
        <v>1011</v>
      </c>
      <c r="N1683" t="s">
        <v>867</v>
      </c>
      <c r="O1683">
        <v>0</v>
      </c>
      <c r="P1683" s="5"/>
      <c r="Q1683" s="10">
        <f>INT(Tabela1[[#This Row],[DATA]])</f>
        <v>46213</v>
      </c>
      <c r="R1683" s="14" t="str">
        <f ca="1">IF(AND(Q1683&gt;=TODAY()-WEEKDAY(TODAY(),2)+1,Q1683&lt;TODAY()),"SIM","NÃO")</f>
        <v>NÃO</v>
      </c>
    </row>
    <row r="1684" spans="1:18" hidden="1">
      <c r="A1684" t="s">
        <v>2774</v>
      </c>
      <c r="B1684" t="s">
        <v>3301</v>
      </c>
      <c r="C1684">
        <v>300000000</v>
      </c>
      <c r="D1684">
        <v>0</v>
      </c>
      <c r="E1684" t="s">
        <v>37</v>
      </c>
      <c r="F1684" t="s">
        <v>1904</v>
      </c>
      <c r="G1684">
        <v>0</v>
      </c>
      <c r="H1684" t="s">
        <v>3229</v>
      </c>
      <c r="J1684" t="s">
        <v>3229</v>
      </c>
      <c r="K1684" s="11">
        <v>46213.407002314816</v>
      </c>
      <c r="M1684">
        <v>1012</v>
      </c>
      <c r="N1684" t="s">
        <v>878</v>
      </c>
      <c r="O1684">
        <v>0</v>
      </c>
      <c r="P1684" s="5"/>
      <c r="Q1684" s="10">
        <f>INT(Tabela1[[#This Row],[DATA]])</f>
        <v>46213</v>
      </c>
      <c r="R1684" s="14" t="str">
        <f ca="1">IF(AND(Q1684&gt;=TODAY()-WEEKDAY(TODAY(),2)+1,Q1684&lt;TODAY()),"SIM","NÃO")</f>
        <v>NÃO</v>
      </c>
    </row>
    <row r="1685" spans="1:18" hidden="1">
      <c r="A1685" t="s">
        <v>2774</v>
      </c>
      <c r="B1685" t="s">
        <v>3528</v>
      </c>
      <c r="C1685">
        <v>300000000</v>
      </c>
      <c r="D1685">
        <v>0</v>
      </c>
      <c r="E1685" t="s">
        <v>37</v>
      </c>
      <c r="F1685" t="s">
        <v>1904</v>
      </c>
      <c r="G1685">
        <v>0</v>
      </c>
      <c r="H1685">
        <v>0</v>
      </c>
      <c r="J1685">
        <v>0</v>
      </c>
      <c r="K1685" s="11">
        <v>46213.408368055556</v>
      </c>
      <c r="M1685">
        <v>1013</v>
      </c>
      <c r="N1685" t="s">
        <v>878</v>
      </c>
      <c r="O1685">
        <v>0</v>
      </c>
      <c r="P1685" s="5"/>
      <c r="Q1685" s="10">
        <f>INT(Tabela1[[#This Row],[DATA]])</f>
        <v>46213</v>
      </c>
      <c r="R1685" s="14" t="str">
        <f ca="1">IF(AND(Q1685&gt;=TODAY()-WEEKDAY(TODAY(),2)+1,Q1685&lt;TODAY()),"SIM","NÃO")</f>
        <v>NÃO</v>
      </c>
    </row>
    <row r="1686" spans="1:18" hidden="1">
      <c r="A1686" t="s">
        <v>2754</v>
      </c>
      <c r="B1686" t="s">
        <v>822</v>
      </c>
      <c r="C1686">
        <v>300278566</v>
      </c>
      <c r="D1686">
        <v>15773485</v>
      </c>
      <c r="E1686" t="s">
        <v>37</v>
      </c>
      <c r="F1686" t="s">
        <v>3241</v>
      </c>
      <c r="G1686">
        <v>5</v>
      </c>
      <c r="H1686" t="s">
        <v>2804</v>
      </c>
      <c r="K1686" s="11">
        <v>46213.410601851851</v>
      </c>
      <c r="M1686">
        <v>1014</v>
      </c>
      <c r="N1686" t="s">
        <v>867</v>
      </c>
      <c r="O1686" t="s">
        <v>3529</v>
      </c>
      <c r="P1686" s="5"/>
      <c r="Q1686" s="10">
        <f>INT(Tabela1[[#This Row],[DATA]])</f>
        <v>46213</v>
      </c>
      <c r="R1686" s="14" t="str">
        <f ca="1">IF(AND(Q1686&gt;=TODAY()-WEEKDAY(TODAY(),2)+1,Q1686&lt;TODAY()),"SIM","NÃO")</f>
        <v>NÃO</v>
      </c>
    </row>
    <row r="1687" spans="1:18" hidden="1">
      <c r="A1687" t="s">
        <v>2774</v>
      </c>
      <c r="B1687" t="s">
        <v>3301</v>
      </c>
      <c r="C1687">
        <v>300000000</v>
      </c>
      <c r="D1687">
        <v>0</v>
      </c>
      <c r="E1687" t="s">
        <v>37</v>
      </c>
      <c r="F1687" t="s">
        <v>1904</v>
      </c>
      <c r="G1687">
        <v>0</v>
      </c>
      <c r="H1687">
        <v>0</v>
      </c>
      <c r="J1687">
        <v>0</v>
      </c>
      <c r="K1687" s="11">
        <v>46213.428287037037</v>
      </c>
      <c r="M1687">
        <v>1015</v>
      </c>
      <c r="N1687" t="s">
        <v>878</v>
      </c>
      <c r="O1687">
        <v>0</v>
      </c>
      <c r="P1687" s="5"/>
      <c r="Q1687" s="10">
        <f>INT(Tabela1[[#This Row],[DATA]])</f>
        <v>46213</v>
      </c>
      <c r="R1687" s="14" t="str">
        <f ca="1">IF(AND(Q1687&gt;=TODAY()-WEEKDAY(TODAY(),2)+1,Q1687&lt;TODAY()),"SIM","NÃO")</f>
        <v>NÃO</v>
      </c>
    </row>
    <row r="1688" spans="1:18" hidden="1">
      <c r="A1688" t="s">
        <v>2774</v>
      </c>
      <c r="B1688" t="s">
        <v>3301</v>
      </c>
      <c r="C1688">
        <v>300000000</v>
      </c>
      <c r="D1688">
        <v>0</v>
      </c>
      <c r="E1688" t="s">
        <v>37</v>
      </c>
      <c r="F1688" t="s">
        <v>1904</v>
      </c>
      <c r="G1688">
        <v>0</v>
      </c>
      <c r="H1688">
        <v>0</v>
      </c>
      <c r="J1688">
        <v>0</v>
      </c>
      <c r="K1688" s="11">
        <v>46213.430601851855</v>
      </c>
      <c r="M1688">
        <v>1016</v>
      </c>
      <c r="N1688" t="s">
        <v>878</v>
      </c>
      <c r="O1688">
        <v>0</v>
      </c>
      <c r="P1688" s="5"/>
      <c r="Q1688" s="10">
        <f>INT(Tabela1[[#This Row],[DATA]])</f>
        <v>46213</v>
      </c>
      <c r="R1688" s="14" t="str">
        <f ca="1">IF(AND(Q1688&gt;=TODAY()-WEEKDAY(TODAY(),2)+1,Q1688&lt;TODAY()),"SIM","NÃO")</f>
        <v>NÃO</v>
      </c>
    </row>
    <row r="1689" spans="1:18" hidden="1">
      <c r="A1689" t="s">
        <v>2549</v>
      </c>
      <c r="B1689" t="s">
        <v>19</v>
      </c>
      <c r="C1689">
        <v>300273873</v>
      </c>
      <c r="D1689">
        <v>16546490</v>
      </c>
      <c r="E1689" t="s">
        <v>20</v>
      </c>
      <c r="F1689" t="s">
        <v>2405</v>
      </c>
      <c r="G1689">
        <v>3</v>
      </c>
      <c r="H1689" t="s">
        <v>3171</v>
      </c>
      <c r="J1689" t="s">
        <v>2802</v>
      </c>
      <c r="K1689" s="11">
        <v>46213.431423611109</v>
      </c>
      <c r="M1689">
        <v>1017</v>
      </c>
      <c r="N1689" t="s">
        <v>878</v>
      </c>
      <c r="O1689" t="s">
        <v>2802</v>
      </c>
      <c r="P1689" s="5"/>
      <c r="Q1689" s="10">
        <f>INT(Tabela1[[#This Row],[DATA]])</f>
        <v>46213</v>
      </c>
      <c r="R1689" s="14" t="str">
        <f ca="1">IF(AND(Q1689&gt;=TODAY()-WEEKDAY(TODAY(),2)+1,Q1689&lt;TODAY()),"SIM","NÃO")</f>
        <v>NÃO</v>
      </c>
    </row>
    <row r="1690" spans="1:18" hidden="1">
      <c r="A1690" t="s">
        <v>2774</v>
      </c>
      <c r="B1690" t="s">
        <v>3301</v>
      </c>
      <c r="C1690">
        <v>300000000</v>
      </c>
      <c r="D1690">
        <v>0</v>
      </c>
      <c r="E1690" t="s">
        <v>37</v>
      </c>
      <c r="F1690" t="s">
        <v>1904</v>
      </c>
      <c r="G1690">
        <v>0</v>
      </c>
      <c r="H1690">
        <v>0</v>
      </c>
      <c r="J1690">
        <v>0</v>
      </c>
      <c r="K1690" s="11">
        <v>46213.437372685185</v>
      </c>
      <c r="M1690">
        <v>1018</v>
      </c>
      <c r="N1690" t="s">
        <v>878</v>
      </c>
      <c r="O1690">
        <v>0</v>
      </c>
      <c r="P1690" s="5"/>
      <c r="Q1690" s="10">
        <f>INT(Tabela1[[#This Row],[DATA]])</f>
        <v>46213</v>
      </c>
      <c r="R1690" s="14" t="str">
        <f ca="1">IF(AND(Q1690&gt;=TODAY()-WEEKDAY(TODAY(),2)+1,Q1690&lt;TODAY()),"SIM","NÃO")</f>
        <v>NÃO</v>
      </c>
    </row>
    <row r="1691" spans="1:18" hidden="1">
      <c r="A1691" t="s">
        <v>2571</v>
      </c>
      <c r="B1691" t="s">
        <v>798</v>
      </c>
      <c r="C1691">
        <v>300275874</v>
      </c>
      <c r="D1691">
        <v>15773450</v>
      </c>
      <c r="E1691" t="s">
        <v>37</v>
      </c>
      <c r="F1691" t="s">
        <v>3438</v>
      </c>
      <c r="G1691">
        <v>208</v>
      </c>
      <c r="H1691" t="s">
        <v>3530</v>
      </c>
      <c r="J1691" t="s">
        <v>3531</v>
      </c>
      <c r="K1691" s="11">
        <v>46213.443726851852</v>
      </c>
      <c r="M1691">
        <v>1019</v>
      </c>
      <c r="N1691" t="s">
        <v>867</v>
      </c>
      <c r="O1691">
        <v>10000073272</v>
      </c>
      <c r="P1691" s="5"/>
      <c r="Q1691" s="10">
        <f>INT(Tabela1[[#This Row],[DATA]])</f>
        <v>46213</v>
      </c>
      <c r="R1691" s="14" t="str">
        <f ca="1">IF(AND(Q1691&gt;=TODAY()-WEEKDAY(TODAY(),2)+1,Q1691&lt;TODAY()),"SIM","NÃO")</f>
        <v>NÃO</v>
      </c>
    </row>
    <row r="1692" spans="1:18" hidden="1">
      <c r="A1692" t="s">
        <v>2774</v>
      </c>
      <c r="B1692" t="s">
        <v>3301</v>
      </c>
      <c r="C1692">
        <v>300000000</v>
      </c>
      <c r="D1692">
        <v>0</v>
      </c>
      <c r="E1692" t="s">
        <v>37</v>
      </c>
      <c r="F1692" t="s">
        <v>1904</v>
      </c>
      <c r="G1692">
        <v>0</v>
      </c>
      <c r="H1692">
        <v>0</v>
      </c>
      <c r="J1692">
        <v>0</v>
      </c>
      <c r="K1692" s="11">
        <v>46213.44604166667</v>
      </c>
      <c r="M1692">
        <v>1020</v>
      </c>
      <c r="N1692" t="s">
        <v>878</v>
      </c>
      <c r="O1692">
        <v>0</v>
      </c>
      <c r="P1692" s="5"/>
      <c r="Q1692" s="10">
        <f>INT(Tabela1[[#This Row],[DATA]])</f>
        <v>46213</v>
      </c>
      <c r="R1692" s="14" t="str">
        <f ca="1">IF(AND(Q1692&gt;=TODAY()-WEEKDAY(TODAY(),2)+1,Q1692&lt;TODAY()),"SIM","NÃO")</f>
        <v>NÃO</v>
      </c>
    </row>
    <row r="1693" spans="1:18" hidden="1">
      <c r="A1693" t="s">
        <v>2774</v>
      </c>
      <c r="B1693" t="s">
        <v>3301</v>
      </c>
      <c r="C1693">
        <v>300000000</v>
      </c>
      <c r="D1693">
        <v>0</v>
      </c>
      <c r="E1693" t="s">
        <v>37</v>
      </c>
      <c r="F1693" t="s">
        <v>1904</v>
      </c>
      <c r="G1693">
        <v>0</v>
      </c>
      <c r="H1693">
        <v>0</v>
      </c>
      <c r="J1693">
        <v>0</v>
      </c>
      <c r="K1693" s="11">
        <v>46213.450613425928</v>
      </c>
      <c r="M1693">
        <v>1021</v>
      </c>
      <c r="N1693" t="s">
        <v>878</v>
      </c>
      <c r="O1693">
        <v>0</v>
      </c>
      <c r="P1693" s="5"/>
      <c r="Q1693" s="10">
        <f>INT(Tabela1[[#This Row],[DATA]])</f>
        <v>46213</v>
      </c>
      <c r="R1693" s="14" t="str">
        <f ca="1">IF(AND(Q1693&gt;=TODAY()-WEEKDAY(TODAY(),2)+1,Q1693&lt;TODAY()),"SIM","NÃO")</f>
        <v>NÃO</v>
      </c>
    </row>
    <row r="1694" spans="1:18" hidden="1">
      <c r="A1694" t="s">
        <v>2774</v>
      </c>
      <c r="B1694" t="s">
        <v>3301</v>
      </c>
      <c r="C1694">
        <v>300000000</v>
      </c>
      <c r="D1694">
        <v>0</v>
      </c>
      <c r="E1694" t="s">
        <v>37</v>
      </c>
      <c r="F1694" t="s">
        <v>1904</v>
      </c>
      <c r="G1694">
        <v>0</v>
      </c>
      <c r="H1694">
        <v>0</v>
      </c>
      <c r="J1694">
        <v>0</v>
      </c>
      <c r="K1694" s="11">
        <v>46213.451064814813</v>
      </c>
      <c r="M1694">
        <v>1022</v>
      </c>
      <c r="N1694" t="s">
        <v>878</v>
      </c>
      <c r="O1694">
        <v>0</v>
      </c>
      <c r="P1694" s="5"/>
      <c r="Q1694" s="10">
        <f>INT(Tabela1[[#This Row],[DATA]])</f>
        <v>46213</v>
      </c>
      <c r="R1694" s="14" t="str">
        <f ca="1">IF(AND(Q1694&gt;=TODAY()-WEEKDAY(TODAY(),2)+1,Q1694&lt;TODAY()),"SIM","NÃO")</f>
        <v>NÃO</v>
      </c>
    </row>
    <row r="1695" spans="1:18" hidden="1">
      <c r="A1695" t="s">
        <v>2774</v>
      </c>
      <c r="B1695" t="s">
        <v>3301</v>
      </c>
      <c r="C1695">
        <v>300000000</v>
      </c>
      <c r="D1695">
        <v>0</v>
      </c>
      <c r="E1695" t="s">
        <v>37</v>
      </c>
      <c r="F1695" t="s">
        <v>1904</v>
      </c>
      <c r="G1695">
        <v>0</v>
      </c>
      <c r="H1695" t="s">
        <v>3229</v>
      </c>
      <c r="J1695">
        <v>0</v>
      </c>
      <c r="K1695" s="11">
        <v>46213.455243055556</v>
      </c>
      <c r="M1695">
        <v>1023</v>
      </c>
      <c r="N1695" t="s">
        <v>878</v>
      </c>
      <c r="O1695">
        <v>0</v>
      </c>
      <c r="P1695" s="5"/>
      <c r="Q1695" s="10">
        <f>INT(Tabela1[[#This Row],[DATA]])</f>
        <v>46213</v>
      </c>
      <c r="R1695" s="14" t="str">
        <f ca="1">IF(AND(Q1695&gt;=TODAY()-WEEKDAY(TODAY(),2)+1,Q1695&lt;TODAY()),"SIM","NÃO")</f>
        <v>NÃO</v>
      </c>
    </row>
    <row r="1696" spans="1:18" hidden="1">
      <c r="A1696" t="s">
        <v>3285</v>
      </c>
      <c r="B1696" t="s">
        <v>306</v>
      </c>
      <c r="C1696">
        <v>300273713</v>
      </c>
      <c r="D1696">
        <v>16447760</v>
      </c>
      <c r="E1696" t="s">
        <v>37</v>
      </c>
      <c r="F1696" t="s">
        <v>2213</v>
      </c>
      <c r="G1696">
        <v>45</v>
      </c>
      <c r="H1696" t="s">
        <v>3532</v>
      </c>
      <c r="J1696" t="s">
        <v>3533</v>
      </c>
      <c r="K1696" s="11">
        <v>46213.456909722219</v>
      </c>
      <c r="M1696">
        <v>1024</v>
      </c>
      <c r="N1696" t="s">
        <v>867</v>
      </c>
      <c r="O1696">
        <v>0</v>
      </c>
      <c r="P1696" s="5"/>
      <c r="Q1696" s="10">
        <f>INT(Tabela1[[#This Row],[DATA]])</f>
        <v>46213</v>
      </c>
      <c r="R1696" s="14" t="str">
        <f ca="1">IF(AND(Q1696&gt;=TODAY()-WEEKDAY(TODAY(),2)+1,Q1696&lt;TODAY()),"SIM","NÃO")</f>
        <v>NÃO</v>
      </c>
    </row>
    <row r="1697" spans="1:18" hidden="1">
      <c r="A1697" t="s">
        <v>2774</v>
      </c>
      <c r="B1697" t="s">
        <v>3301</v>
      </c>
      <c r="C1697">
        <v>300000000</v>
      </c>
      <c r="D1697">
        <v>0</v>
      </c>
      <c r="E1697" t="s">
        <v>37</v>
      </c>
      <c r="F1697" t="s">
        <v>1904</v>
      </c>
      <c r="G1697">
        <v>0</v>
      </c>
      <c r="H1697">
        <v>0</v>
      </c>
      <c r="J1697">
        <v>0</v>
      </c>
      <c r="K1697" s="11">
        <v>46213.458773148152</v>
      </c>
      <c r="M1697">
        <v>1025</v>
      </c>
      <c r="N1697" t="s">
        <v>878</v>
      </c>
      <c r="O1697">
        <v>0</v>
      </c>
      <c r="P1697" s="5"/>
      <c r="Q1697" s="10">
        <f>INT(Tabela1[[#This Row],[DATA]])</f>
        <v>46213</v>
      </c>
      <c r="R1697" s="14" t="str">
        <f ca="1">IF(AND(Q1697&gt;=TODAY()-WEEKDAY(TODAY(),2)+1,Q1697&lt;TODAY()),"SIM","NÃO")</f>
        <v>NÃO</v>
      </c>
    </row>
    <row r="1698" spans="1:18" hidden="1">
      <c r="A1698" t="s">
        <v>111</v>
      </c>
      <c r="B1698" t="s">
        <v>112</v>
      </c>
      <c r="C1698">
        <v>300280237</v>
      </c>
      <c r="D1698">
        <v>16481127</v>
      </c>
      <c r="E1698" t="s">
        <v>20</v>
      </c>
      <c r="F1698" t="s">
        <v>2405</v>
      </c>
      <c r="G1698">
        <v>10</v>
      </c>
      <c r="H1698" t="s">
        <v>3534</v>
      </c>
      <c r="K1698" s="11">
        <v>46213.459409722222</v>
      </c>
      <c r="M1698">
        <v>1026</v>
      </c>
      <c r="N1698" t="s">
        <v>867</v>
      </c>
      <c r="O1698">
        <v>0</v>
      </c>
      <c r="P1698" s="5"/>
      <c r="Q1698" s="10">
        <f>INT(Tabela1[[#This Row],[DATA]])</f>
        <v>46213</v>
      </c>
      <c r="R1698" s="14" t="str">
        <f ca="1">IF(AND(Q1698&gt;=TODAY()-WEEKDAY(TODAY(),2)+1,Q1698&lt;TODAY()),"SIM","NÃO")</f>
        <v>NÃO</v>
      </c>
    </row>
    <row r="1699" spans="1:18" hidden="1">
      <c r="A1699" t="s">
        <v>2774</v>
      </c>
      <c r="B1699" t="s">
        <v>3301</v>
      </c>
      <c r="C1699">
        <v>300000000</v>
      </c>
      <c r="D1699">
        <v>0</v>
      </c>
      <c r="E1699" t="s">
        <v>37</v>
      </c>
      <c r="F1699" t="s">
        <v>1904</v>
      </c>
      <c r="G1699">
        <v>0</v>
      </c>
      <c r="H1699">
        <v>0</v>
      </c>
      <c r="J1699">
        <v>0</v>
      </c>
      <c r="K1699" s="11">
        <v>46213.540300925924</v>
      </c>
      <c r="M1699">
        <v>1027</v>
      </c>
      <c r="N1699" t="s">
        <v>878</v>
      </c>
      <c r="O1699">
        <v>0</v>
      </c>
      <c r="P1699" s="5"/>
      <c r="Q1699" s="10">
        <f>INT(Tabela1[[#This Row],[DATA]])</f>
        <v>46213</v>
      </c>
      <c r="R1699" s="14" t="str">
        <f ca="1">IF(AND(Q1699&gt;=TODAY()-WEEKDAY(TODAY(),2)+1,Q1699&lt;TODAY()),"SIM","NÃO")</f>
        <v>NÃO</v>
      </c>
    </row>
    <row r="1700" spans="1:18" hidden="1">
      <c r="A1700" t="s">
        <v>2774</v>
      </c>
      <c r="B1700" t="s">
        <v>3301</v>
      </c>
      <c r="C1700">
        <v>300000000</v>
      </c>
      <c r="D1700">
        <v>0</v>
      </c>
      <c r="E1700" t="s">
        <v>37</v>
      </c>
      <c r="F1700" t="s">
        <v>1904</v>
      </c>
      <c r="G1700">
        <v>0</v>
      </c>
      <c r="H1700">
        <v>0</v>
      </c>
      <c r="J1700">
        <v>0</v>
      </c>
      <c r="K1700" s="11">
        <v>46213.56591435185</v>
      </c>
      <c r="M1700">
        <v>1028</v>
      </c>
      <c r="N1700" t="s">
        <v>878</v>
      </c>
      <c r="O1700">
        <v>0</v>
      </c>
      <c r="P1700" s="5"/>
      <c r="Q1700" s="10">
        <f>INT(Tabela1[[#This Row],[DATA]])</f>
        <v>46213</v>
      </c>
      <c r="R1700" s="14" t="str">
        <f ca="1">IF(AND(Q1700&gt;=TODAY()-WEEKDAY(TODAY(),2)+1,Q1700&lt;TODAY()),"SIM","NÃO")</f>
        <v>NÃO</v>
      </c>
    </row>
    <row r="1701" spans="1:18" hidden="1">
      <c r="A1701" t="s">
        <v>332</v>
      </c>
      <c r="B1701" t="s">
        <v>28</v>
      </c>
      <c r="C1701">
        <v>300277277</v>
      </c>
      <c r="D1701">
        <v>16462980</v>
      </c>
      <c r="E1701" t="s">
        <v>45</v>
      </c>
      <c r="F1701" t="s">
        <v>3212</v>
      </c>
      <c r="G1701">
        <v>175</v>
      </c>
      <c r="H1701" t="s">
        <v>1966</v>
      </c>
      <c r="K1701" s="11">
        <v>46213.570347222223</v>
      </c>
      <c r="M1701">
        <v>1029</v>
      </c>
      <c r="N1701" t="s">
        <v>867</v>
      </c>
      <c r="O1701">
        <v>0</v>
      </c>
      <c r="P1701" s="5"/>
      <c r="Q1701" s="10">
        <f>INT(Tabela1[[#This Row],[DATA]])</f>
        <v>46213</v>
      </c>
      <c r="R1701" s="14" t="str">
        <f ca="1">IF(AND(Q1701&gt;=TODAY()-WEEKDAY(TODAY(),2)+1,Q1701&lt;TODAY()),"SIM","NÃO")</f>
        <v>NÃO</v>
      </c>
    </row>
    <row r="1702" spans="1:18" hidden="1">
      <c r="A1702" t="s">
        <v>332</v>
      </c>
      <c r="B1702" t="s">
        <v>690</v>
      </c>
      <c r="C1702">
        <v>300277578</v>
      </c>
      <c r="D1702">
        <v>15260828</v>
      </c>
      <c r="E1702" t="s">
        <v>45</v>
      </c>
      <c r="F1702" t="s">
        <v>2405</v>
      </c>
      <c r="G1702">
        <v>11</v>
      </c>
      <c r="H1702" t="s">
        <v>1966</v>
      </c>
      <c r="K1702" s="11">
        <v>46213.571388888886</v>
      </c>
      <c r="M1702">
        <v>1030</v>
      </c>
      <c r="N1702" t="s">
        <v>867</v>
      </c>
      <c r="O1702">
        <v>0</v>
      </c>
      <c r="P1702" s="5"/>
      <c r="Q1702" s="10">
        <f>INT(Tabela1[[#This Row],[DATA]])</f>
        <v>46213</v>
      </c>
      <c r="R1702" s="14" t="str">
        <f ca="1">IF(AND(Q1702&gt;=TODAY()-WEEKDAY(TODAY(),2)+1,Q1702&lt;TODAY()),"SIM","NÃO")</f>
        <v>NÃO</v>
      </c>
    </row>
    <row r="1703" spans="1:18" hidden="1">
      <c r="A1703" t="s">
        <v>3022</v>
      </c>
      <c r="B1703" t="s">
        <v>3023</v>
      </c>
      <c r="C1703">
        <v>300270795</v>
      </c>
      <c r="D1703">
        <v>16223608</v>
      </c>
      <c r="E1703" t="s">
        <v>45</v>
      </c>
      <c r="F1703" t="s">
        <v>525</v>
      </c>
      <c r="G1703">
        <v>24</v>
      </c>
      <c r="H1703" t="s">
        <v>3535</v>
      </c>
      <c r="K1703" s="11">
        <v>46213.596747685187</v>
      </c>
      <c r="M1703">
        <v>1031</v>
      </c>
      <c r="N1703" t="s">
        <v>867</v>
      </c>
      <c r="O1703" t="s">
        <v>3153</v>
      </c>
      <c r="P1703" s="5"/>
      <c r="Q1703" s="10">
        <f>INT(Tabela1[[#This Row],[DATA]])</f>
        <v>46213</v>
      </c>
      <c r="R1703" s="14" t="str">
        <f ca="1">IF(AND(Q1703&gt;=TODAY()-WEEKDAY(TODAY(),2)+1,Q1703&lt;TODAY()),"SIM","NÃO")</f>
        <v>NÃO</v>
      </c>
    </row>
    <row r="1704" spans="1:18" hidden="1">
      <c r="A1704" t="s">
        <v>493</v>
      </c>
      <c r="B1704" t="s">
        <v>686</v>
      </c>
      <c r="C1704">
        <v>300273327</v>
      </c>
      <c r="D1704">
        <v>16523741</v>
      </c>
      <c r="E1704" t="s">
        <v>37</v>
      </c>
      <c r="F1704" t="s">
        <v>216</v>
      </c>
      <c r="G1704">
        <v>132</v>
      </c>
      <c r="H1704" t="s">
        <v>2318</v>
      </c>
      <c r="K1704" s="11">
        <v>46213.596979166665</v>
      </c>
      <c r="M1704">
        <v>1032</v>
      </c>
      <c r="N1704" t="s">
        <v>867</v>
      </c>
      <c r="O1704" t="s">
        <v>138</v>
      </c>
      <c r="P1704" s="5"/>
      <c r="Q1704" s="10">
        <f>INT(Tabela1[[#This Row],[DATA]])</f>
        <v>46213</v>
      </c>
      <c r="R1704" s="14" t="str">
        <f ca="1">IF(AND(Q1704&gt;=TODAY()-WEEKDAY(TODAY(),2)+1,Q1704&lt;TODAY()),"SIM","NÃO")</f>
        <v>NÃO</v>
      </c>
    </row>
    <row r="1705" spans="1:18" hidden="1">
      <c r="A1705" t="s">
        <v>2551</v>
      </c>
      <c r="B1705" t="s">
        <v>274</v>
      </c>
      <c r="C1705">
        <v>300274661</v>
      </c>
      <c r="D1705">
        <v>15774104</v>
      </c>
      <c r="E1705" t="s">
        <v>37</v>
      </c>
      <c r="F1705" t="s">
        <v>2405</v>
      </c>
      <c r="G1705">
        <v>40</v>
      </c>
      <c r="H1705" t="s">
        <v>2094</v>
      </c>
      <c r="K1705" s="11">
        <v>46213.602453703701</v>
      </c>
      <c r="M1705">
        <v>1033</v>
      </c>
      <c r="N1705" t="s">
        <v>867</v>
      </c>
      <c r="O1705">
        <v>0</v>
      </c>
      <c r="P1705" s="5"/>
      <c r="Q1705" s="10">
        <f>INT(Tabela1[[#This Row],[DATA]])</f>
        <v>46213</v>
      </c>
      <c r="R1705" s="14" t="str">
        <f ca="1">IF(AND(Q1705&gt;=TODAY()-WEEKDAY(TODAY(),2)+1,Q1705&lt;TODAY()),"SIM","NÃO")</f>
        <v>NÃO</v>
      </c>
    </row>
    <row r="1706" spans="1:18" hidden="1">
      <c r="A1706" t="s">
        <v>111</v>
      </c>
      <c r="B1706" t="s">
        <v>112</v>
      </c>
      <c r="C1706">
        <v>300278648</v>
      </c>
      <c r="D1706">
        <v>16223403</v>
      </c>
      <c r="E1706" t="s">
        <v>45</v>
      </c>
      <c r="F1706" t="s">
        <v>2405</v>
      </c>
      <c r="G1706">
        <v>10</v>
      </c>
      <c r="H1706" t="s">
        <v>1335</v>
      </c>
      <c r="K1706" s="11">
        <v>46213.612395833334</v>
      </c>
      <c r="M1706">
        <v>1034</v>
      </c>
      <c r="N1706" t="s">
        <v>867</v>
      </c>
      <c r="O1706">
        <v>0</v>
      </c>
      <c r="P1706" s="5"/>
      <c r="Q1706" s="10">
        <f>INT(Tabela1[[#This Row],[DATA]])</f>
        <v>46213</v>
      </c>
      <c r="R1706" s="14" t="str">
        <f ca="1">IF(AND(Q1706&gt;=TODAY()-WEEKDAY(TODAY(),2)+1,Q1706&lt;TODAY()),"SIM","NÃO")</f>
        <v>NÃO</v>
      </c>
    </row>
    <row r="1707" spans="1:18" hidden="1">
      <c r="A1707" t="s">
        <v>2639</v>
      </c>
      <c r="B1707" t="s">
        <v>2640</v>
      </c>
      <c r="C1707">
        <v>300278802</v>
      </c>
      <c r="D1707">
        <v>16474570</v>
      </c>
      <c r="E1707" t="s">
        <v>37</v>
      </c>
      <c r="F1707" t="s">
        <v>323</v>
      </c>
      <c r="G1707">
        <v>50</v>
      </c>
      <c r="H1707" t="s">
        <v>3536</v>
      </c>
      <c r="J1707" t="s">
        <v>3537</v>
      </c>
      <c r="K1707" s="11">
        <v>46213.617789351854</v>
      </c>
      <c r="M1707">
        <v>1035</v>
      </c>
      <c r="N1707" t="s">
        <v>867</v>
      </c>
      <c r="O1707" t="s">
        <v>3538</v>
      </c>
      <c r="P1707" s="5"/>
      <c r="Q1707" s="10">
        <f>INT(Tabela1[[#This Row],[DATA]])</f>
        <v>46213</v>
      </c>
      <c r="R1707" s="14" t="str">
        <f ca="1">IF(AND(Q1707&gt;=TODAY()-WEEKDAY(TODAY(),2)+1,Q1707&lt;TODAY()),"SIM","NÃO")</f>
        <v>NÃO</v>
      </c>
    </row>
    <row r="1708" spans="1:18" hidden="1">
      <c r="A1708" t="s">
        <v>101</v>
      </c>
      <c r="B1708" t="s">
        <v>990</v>
      </c>
      <c r="C1708">
        <v>300272972</v>
      </c>
      <c r="D1708">
        <v>15764486</v>
      </c>
      <c r="E1708" t="s">
        <v>37</v>
      </c>
      <c r="F1708" t="s">
        <v>2405</v>
      </c>
      <c r="G1708">
        <v>40</v>
      </c>
      <c r="H1708" t="s">
        <v>3116</v>
      </c>
      <c r="J1708" t="s">
        <v>3539</v>
      </c>
      <c r="K1708" s="11">
        <v>46213.623715277776</v>
      </c>
      <c r="M1708">
        <v>1036</v>
      </c>
      <c r="N1708" t="s">
        <v>867</v>
      </c>
      <c r="O1708">
        <v>0</v>
      </c>
      <c r="P1708" s="5"/>
      <c r="Q1708" s="10">
        <f>INT(Tabela1[[#This Row],[DATA]])</f>
        <v>46213</v>
      </c>
      <c r="R1708" s="14" t="str">
        <f ca="1">IF(AND(Q1708&gt;=TODAY()-WEEKDAY(TODAY(),2)+1,Q1708&lt;TODAY()),"SIM","NÃO")</f>
        <v>NÃO</v>
      </c>
    </row>
    <row r="1709" spans="1:18" hidden="1">
      <c r="A1709" t="s">
        <v>111</v>
      </c>
      <c r="B1709" t="s">
        <v>112</v>
      </c>
      <c r="C1709">
        <v>300264323</v>
      </c>
      <c r="D1709">
        <v>16212878</v>
      </c>
      <c r="E1709" t="s">
        <v>37</v>
      </c>
      <c r="F1709" t="s">
        <v>2213</v>
      </c>
      <c r="G1709">
        <v>50</v>
      </c>
      <c r="H1709" t="s">
        <v>1335</v>
      </c>
      <c r="J1709" t="s">
        <v>3540</v>
      </c>
      <c r="K1709" s="11">
        <v>46213.638344907406</v>
      </c>
      <c r="M1709">
        <v>1037</v>
      </c>
      <c r="N1709" t="s">
        <v>867</v>
      </c>
      <c r="O1709">
        <v>10000120172</v>
      </c>
      <c r="P1709" s="5"/>
      <c r="Q1709" s="10">
        <f>INT(Tabela1[[#This Row],[DATA]])</f>
        <v>46213</v>
      </c>
      <c r="R1709" s="14" t="str">
        <f ca="1">IF(AND(Q1709&gt;=TODAY()-WEEKDAY(TODAY(),2)+1,Q1709&lt;TODAY()),"SIM","NÃO")</f>
        <v>NÃO</v>
      </c>
    </row>
    <row r="1710" spans="1:18" hidden="1">
      <c r="A1710" t="s">
        <v>249</v>
      </c>
      <c r="B1710" t="s">
        <v>112</v>
      </c>
      <c r="C1710">
        <v>300277528</v>
      </c>
      <c r="D1710">
        <v>16318404</v>
      </c>
      <c r="E1710" t="s">
        <v>37</v>
      </c>
      <c r="F1710" t="s">
        <v>3330</v>
      </c>
      <c r="G1710">
        <v>21</v>
      </c>
      <c r="H1710" t="s">
        <v>2843</v>
      </c>
      <c r="J1710" t="s">
        <v>2049</v>
      </c>
      <c r="K1710" s="11">
        <v>46213.640300925923</v>
      </c>
      <c r="M1710">
        <v>1038</v>
      </c>
      <c r="N1710" t="s">
        <v>867</v>
      </c>
      <c r="O1710" t="s">
        <v>3541</v>
      </c>
      <c r="P1710" s="5"/>
      <c r="Q1710" s="10">
        <f>INT(Tabela1[[#This Row],[DATA]])</f>
        <v>46213</v>
      </c>
      <c r="R1710" s="14" t="str">
        <f ca="1">IF(AND(Q1710&gt;=TODAY()-WEEKDAY(TODAY(),2)+1,Q1710&lt;TODAY()),"SIM","NÃO")</f>
        <v>NÃO</v>
      </c>
    </row>
    <row r="1711" spans="1:18" hidden="1">
      <c r="A1711" t="s">
        <v>249</v>
      </c>
      <c r="B1711" t="s">
        <v>112</v>
      </c>
      <c r="C1711">
        <v>300277528</v>
      </c>
      <c r="D1711">
        <v>16318404</v>
      </c>
      <c r="E1711" t="s">
        <v>37</v>
      </c>
      <c r="F1711" t="s">
        <v>2405</v>
      </c>
      <c r="G1711">
        <v>2</v>
      </c>
      <c r="H1711" t="s">
        <v>1335</v>
      </c>
      <c r="K1711" s="11">
        <v>46213.640960648147</v>
      </c>
      <c r="M1711">
        <v>1039</v>
      </c>
      <c r="N1711" t="s">
        <v>867</v>
      </c>
      <c r="O1711">
        <v>0</v>
      </c>
      <c r="P1711" s="5"/>
      <c r="Q1711" s="10">
        <f>INT(Tabela1[[#This Row],[DATA]])</f>
        <v>46213</v>
      </c>
      <c r="R1711" s="14" t="str">
        <f ca="1">IF(AND(Q1711&gt;=TODAY()-WEEKDAY(TODAY(),2)+1,Q1711&lt;TODAY()),"SIM","NÃO")</f>
        <v>NÃO</v>
      </c>
    </row>
    <row r="1712" spans="1:18" hidden="1">
      <c r="A1712" t="s">
        <v>233</v>
      </c>
      <c r="B1712" t="s">
        <v>234</v>
      </c>
      <c r="C1712">
        <v>300276636</v>
      </c>
      <c r="D1712">
        <v>16292898</v>
      </c>
      <c r="E1712" t="s">
        <v>37</v>
      </c>
      <c r="F1712" t="s">
        <v>3215</v>
      </c>
      <c r="G1712">
        <v>0</v>
      </c>
      <c r="H1712" t="s">
        <v>3542</v>
      </c>
      <c r="J1712" t="s">
        <v>3543</v>
      </c>
      <c r="K1712" s="11">
        <v>46213.647719907407</v>
      </c>
      <c r="M1712">
        <v>1040</v>
      </c>
      <c r="N1712" t="s">
        <v>878</v>
      </c>
      <c r="O1712">
        <v>0</v>
      </c>
      <c r="P1712" s="5"/>
      <c r="Q1712" s="10">
        <f>INT(Tabela1[[#This Row],[DATA]])</f>
        <v>46213</v>
      </c>
      <c r="R1712" s="14" t="str">
        <f ca="1">IF(AND(Q1712&gt;=TODAY()-WEEKDAY(TODAY(),2)+1,Q1712&lt;TODAY()),"SIM","NÃO")</f>
        <v>NÃO</v>
      </c>
    </row>
    <row r="1713" spans="1:18" hidden="1">
      <c r="A1713" t="s">
        <v>1175</v>
      </c>
      <c r="B1713" t="s">
        <v>1176</v>
      </c>
      <c r="C1713">
        <v>300272967</v>
      </c>
      <c r="D1713">
        <v>15711854</v>
      </c>
      <c r="E1713" t="s">
        <v>37</v>
      </c>
      <c r="F1713" t="s">
        <v>216</v>
      </c>
      <c r="G1713">
        <v>608</v>
      </c>
      <c r="H1713" t="s">
        <v>3544</v>
      </c>
      <c r="J1713" t="s">
        <v>3545</v>
      </c>
      <c r="K1713" s="11">
        <v>46213.656469907408</v>
      </c>
      <c r="M1713">
        <v>1041</v>
      </c>
      <c r="N1713" t="s">
        <v>878</v>
      </c>
      <c r="O1713" t="s">
        <v>3546</v>
      </c>
      <c r="P1713" s="5"/>
      <c r="Q1713" s="10">
        <f>INT(Tabela1[[#This Row],[DATA]])</f>
        <v>46213</v>
      </c>
      <c r="R1713" s="14" t="str">
        <f ca="1">IF(AND(Q1713&gt;=TODAY()-WEEKDAY(TODAY(),2)+1,Q1713&lt;TODAY()),"SIM","NÃO")</f>
        <v>NÃO</v>
      </c>
    </row>
    <row r="1714" spans="1:18" hidden="1">
      <c r="A1714" t="s">
        <v>1175</v>
      </c>
      <c r="B1714" t="s">
        <v>1176</v>
      </c>
      <c r="C1714">
        <v>300269759</v>
      </c>
      <c r="D1714">
        <v>15864448</v>
      </c>
      <c r="E1714" t="s">
        <v>37</v>
      </c>
      <c r="F1714" t="s">
        <v>3330</v>
      </c>
      <c r="G1714">
        <v>834</v>
      </c>
      <c r="H1714" t="s">
        <v>3547</v>
      </c>
      <c r="K1714" s="11">
        <v>46213.659884259258</v>
      </c>
      <c r="M1714">
        <v>1042</v>
      </c>
      <c r="N1714" t="s">
        <v>878</v>
      </c>
      <c r="O1714">
        <v>1000021259</v>
      </c>
      <c r="P1714" s="5"/>
      <c r="Q1714" s="10">
        <f>INT(Tabela1[[#This Row],[DATA]])</f>
        <v>46213</v>
      </c>
      <c r="R1714" s="14" t="str">
        <f ca="1">IF(AND(Q1714&gt;=TODAY()-WEEKDAY(TODAY(),2)+1,Q1714&lt;TODAY()),"SIM","NÃO")</f>
        <v>NÃO</v>
      </c>
    </row>
    <row r="1715" spans="1:18" hidden="1">
      <c r="A1715" t="s">
        <v>163</v>
      </c>
      <c r="B1715" t="s">
        <v>164</v>
      </c>
      <c r="C1715">
        <v>300279127</v>
      </c>
      <c r="D1715">
        <v>16223780</v>
      </c>
      <c r="E1715" t="s">
        <v>45</v>
      </c>
      <c r="F1715" t="s">
        <v>96</v>
      </c>
      <c r="G1715">
        <v>150</v>
      </c>
      <c r="H1715" t="s">
        <v>3276</v>
      </c>
      <c r="J1715" t="s">
        <v>3548</v>
      </c>
      <c r="K1715" s="11">
        <v>46213.677939814814</v>
      </c>
      <c r="M1715">
        <v>1043</v>
      </c>
      <c r="N1715" t="s">
        <v>867</v>
      </c>
      <c r="O1715">
        <v>0</v>
      </c>
      <c r="P1715" s="5"/>
      <c r="Q1715" s="10">
        <f>INT(Tabela1[[#This Row],[DATA]])</f>
        <v>46213</v>
      </c>
      <c r="R1715" s="14" t="str">
        <f ca="1">IF(AND(Q1715&gt;=TODAY()-WEEKDAY(TODAY(),2)+1,Q1715&lt;TODAY()),"SIM","NÃO")</f>
        <v>NÃO</v>
      </c>
    </row>
    <row r="1716" spans="1:18" hidden="1">
      <c r="A1716" t="s">
        <v>185</v>
      </c>
      <c r="B1716" t="s">
        <v>1625</v>
      </c>
      <c r="C1716">
        <v>300273720</v>
      </c>
      <c r="D1716">
        <v>16447786</v>
      </c>
      <c r="E1716" t="s">
        <v>37</v>
      </c>
      <c r="F1716" t="s">
        <v>2213</v>
      </c>
      <c r="G1716">
        <v>15</v>
      </c>
      <c r="H1716" t="s">
        <v>1771</v>
      </c>
      <c r="J1716" t="s">
        <v>3549</v>
      </c>
      <c r="K1716" s="11">
        <v>46213.776296296295</v>
      </c>
      <c r="M1716">
        <v>1044</v>
      </c>
      <c r="N1716" t="s">
        <v>867</v>
      </c>
      <c r="O1716" t="s">
        <v>3480</v>
      </c>
      <c r="P1716" s="5"/>
      <c r="Q1716" s="10">
        <f>INT(Tabela1[[#This Row],[DATA]])</f>
        <v>46213</v>
      </c>
      <c r="R1716" s="14" t="str">
        <f ca="1">IF(AND(Q1716&gt;=TODAY()-WEEKDAY(TODAY(),2)+1,Q1716&lt;TODAY()),"SIM","NÃO")</f>
        <v>NÃO</v>
      </c>
    </row>
    <row r="1717" spans="1:18" hidden="1">
      <c r="A1717" t="s">
        <v>1175</v>
      </c>
      <c r="B1717" t="s">
        <v>1176</v>
      </c>
      <c r="C1717">
        <v>300276222</v>
      </c>
      <c r="D1717">
        <v>15859177</v>
      </c>
      <c r="E1717" t="s">
        <v>37</v>
      </c>
      <c r="F1717" t="s">
        <v>216</v>
      </c>
      <c r="G1717">
        <v>322</v>
      </c>
      <c r="H1717" t="s">
        <v>3550</v>
      </c>
      <c r="J1717" t="s">
        <v>3551</v>
      </c>
      <c r="K1717" s="11">
        <v>46214.362638888888</v>
      </c>
      <c r="M1717">
        <v>1045</v>
      </c>
      <c r="N1717" t="s">
        <v>878</v>
      </c>
      <c r="O1717">
        <v>0</v>
      </c>
      <c r="P1717" s="5"/>
      <c r="Q1717" s="10">
        <f>INT(Tabela1[[#This Row],[DATA]])</f>
        <v>46214</v>
      </c>
      <c r="R1717" s="14" t="str">
        <f ca="1">IF(AND(Q1717&gt;=TODAY()-WEEKDAY(TODAY(),2)+1,Q1717&lt;TODAY()),"SIM","NÃO")</f>
        <v>NÃO</v>
      </c>
    </row>
    <row r="1718" spans="1:18" hidden="1">
      <c r="A1718" t="s">
        <v>2659</v>
      </c>
      <c r="B1718" t="s">
        <v>677</v>
      </c>
      <c r="C1718">
        <v>300277495</v>
      </c>
      <c r="D1718">
        <v>16474090</v>
      </c>
      <c r="E1718" t="s">
        <v>37</v>
      </c>
      <c r="F1718" t="s">
        <v>2405</v>
      </c>
      <c r="G1718">
        <v>26</v>
      </c>
      <c r="H1718" t="s">
        <v>3552</v>
      </c>
      <c r="J1718" t="s">
        <v>3553</v>
      </c>
      <c r="K1718" s="11">
        <v>46214.377314814818</v>
      </c>
      <c r="M1718">
        <v>1046</v>
      </c>
      <c r="N1718" t="s">
        <v>867</v>
      </c>
      <c r="O1718" t="s">
        <v>2778</v>
      </c>
      <c r="P1718" s="5"/>
      <c r="Q1718" s="10">
        <f>INT(Tabela1[[#This Row],[DATA]])</f>
        <v>46214</v>
      </c>
      <c r="R1718" s="14" t="str">
        <f ca="1">IF(AND(Q1718&gt;=TODAY()-WEEKDAY(TODAY(),2)+1,Q1718&lt;TODAY()),"SIM","NÃO")</f>
        <v>NÃO</v>
      </c>
    </row>
    <row r="1719" spans="1:18" hidden="1">
      <c r="A1719" t="s">
        <v>1175</v>
      </c>
      <c r="B1719" t="s">
        <v>1176</v>
      </c>
      <c r="C1719">
        <v>300276229</v>
      </c>
      <c r="D1719">
        <v>15858367</v>
      </c>
      <c r="E1719" t="s">
        <v>37</v>
      </c>
      <c r="F1719" t="s">
        <v>3215</v>
      </c>
      <c r="G1719">
        <v>407</v>
      </c>
      <c r="H1719" t="s">
        <v>3554</v>
      </c>
      <c r="J1719" t="s">
        <v>3554</v>
      </c>
      <c r="K1719" s="11">
        <v>46214.415648148148</v>
      </c>
      <c r="M1719">
        <v>1047</v>
      </c>
      <c r="N1719" t="s">
        <v>878</v>
      </c>
      <c r="O1719">
        <v>0</v>
      </c>
      <c r="P1719" s="5"/>
      <c r="Q1719" s="10">
        <f>INT(Tabela1[[#This Row],[DATA]])</f>
        <v>46214</v>
      </c>
      <c r="R1719" s="14" t="str">
        <f ca="1">IF(AND(Q1719&gt;=TODAY()-WEEKDAY(TODAY(),2)+1,Q1719&lt;TODAY()),"SIM","NÃO")</f>
        <v>NÃO</v>
      </c>
    </row>
    <row r="1720" spans="1:18" hidden="1">
      <c r="A1720" t="s">
        <v>2775</v>
      </c>
      <c r="B1720" t="s">
        <v>512</v>
      </c>
      <c r="C1720">
        <v>300273861</v>
      </c>
      <c r="D1720">
        <v>16224116</v>
      </c>
      <c r="E1720" t="s">
        <v>45</v>
      </c>
      <c r="F1720" t="s">
        <v>3212</v>
      </c>
      <c r="G1720">
        <v>26</v>
      </c>
      <c r="H1720" t="s">
        <v>3555</v>
      </c>
      <c r="J1720" t="s">
        <v>3556</v>
      </c>
      <c r="K1720" s="11">
        <v>46214.426006944443</v>
      </c>
      <c r="M1720">
        <v>1048</v>
      </c>
      <c r="N1720" t="s">
        <v>867</v>
      </c>
      <c r="O1720" t="s">
        <v>2778</v>
      </c>
      <c r="P1720" s="5"/>
      <c r="Q1720" s="10">
        <f>INT(Tabela1[[#This Row],[DATA]])</f>
        <v>46214</v>
      </c>
      <c r="R1720" s="14" t="str">
        <f ca="1">IF(AND(Q1720&gt;=TODAY()-WEEKDAY(TODAY(),2)+1,Q1720&lt;TODAY()),"SIM","NÃO")</f>
        <v>NÃO</v>
      </c>
    </row>
    <row r="1721" spans="1:18" hidden="1">
      <c r="A1721" t="s">
        <v>1236</v>
      </c>
      <c r="B1721" t="s">
        <v>1237</v>
      </c>
      <c r="C1721">
        <v>300273317</v>
      </c>
      <c r="D1721">
        <v>15775615</v>
      </c>
      <c r="E1721" t="s">
        <v>37</v>
      </c>
      <c r="F1721" t="s">
        <v>216</v>
      </c>
      <c r="G1721" t="s">
        <v>3557</v>
      </c>
      <c r="H1721" t="s">
        <v>3558</v>
      </c>
      <c r="K1721" s="11">
        <v>46214.457453703704</v>
      </c>
      <c r="M1721">
        <v>1049</v>
      </c>
      <c r="N1721" t="s">
        <v>867</v>
      </c>
      <c r="O1721" t="s">
        <v>3559</v>
      </c>
      <c r="P1721" s="5"/>
      <c r="Q1721" s="10">
        <f>INT(Tabela1[[#This Row],[DATA]])</f>
        <v>46214</v>
      </c>
      <c r="R1721" s="14" t="str">
        <f ca="1">IF(AND(Q1721&gt;=TODAY()-WEEKDAY(TODAY(),2)+1,Q1721&lt;TODAY()),"SIM","NÃO")</f>
        <v>NÃO</v>
      </c>
    </row>
    <row r="1722" spans="1:18" hidden="1">
      <c r="A1722" t="s">
        <v>2748</v>
      </c>
      <c r="B1722" t="s">
        <v>3454</v>
      </c>
      <c r="C1722">
        <v>300273008</v>
      </c>
      <c r="D1722">
        <v>16507657</v>
      </c>
      <c r="E1722" t="s">
        <v>37</v>
      </c>
      <c r="F1722" t="s">
        <v>216</v>
      </c>
      <c r="G1722" t="s">
        <v>3560</v>
      </c>
      <c r="H1722" t="s">
        <v>2284</v>
      </c>
      <c r="J1722" t="s">
        <v>3561</v>
      </c>
      <c r="K1722" s="11">
        <v>46216.310613425929</v>
      </c>
      <c r="M1722">
        <v>1050</v>
      </c>
      <c r="N1722" t="s">
        <v>867</v>
      </c>
      <c r="O1722">
        <v>0</v>
      </c>
      <c r="P1722" s="5"/>
      <c r="Q1722" s="10">
        <f>INT(Tabela1[[#This Row],[DATA]])</f>
        <v>46216</v>
      </c>
      <c r="R1722" s="14" t="str">
        <f ca="1">IF(AND(Q1722&gt;=TODAY()-WEEKDAY(TODAY(),2)+1,Q1722&lt;TODAY()),"SIM","NÃO")</f>
        <v>NÃO</v>
      </c>
    </row>
    <row r="1723" spans="1:18" hidden="1">
      <c r="A1723" t="s">
        <v>3285</v>
      </c>
      <c r="B1723" t="s">
        <v>306</v>
      </c>
      <c r="C1723">
        <v>300276766</v>
      </c>
      <c r="D1723">
        <v>16217683</v>
      </c>
      <c r="E1723" t="s">
        <v>37</v>
      </c>
      <c r="F1723" t="s">
        <v>3366</v>
      </c>
      <c r="G1723">
        <v>30</v>
      </c>
      <c r="H1723" t="s">
        <v>307</v>
      </c>
      <c r="J1723" t="s">
        <v>3562</v>
      </c>
      <c r="K1723" s="11">
        <v>46216.343414351853</v>
      </c>
      <c r="M1723">
        <v>1051</v>
      </c>
      <c r="N1723" t="s">
        <v>867</v>
      </c>
      <c r="O1723">
        <v>0</v>
      </c>
      <c r="P1723" s="5"/>
      <c r="Q1723" s="10">
        <f>INT(Tabela1[[#This Row],[DATA]])</f>
        <v>46216</v>
      </c>
      <c r="R1723" s="14" t="str">
        <f ca="1">IF(AND(Q1723&gt;=TODAY()-WEEKDAY(TODAY(),2)+1,Q1723&lt;TODAY()),"SIM","NÃO")</f>
        <v>NÃO</v>
      </c>
    </row>
    <row r="1724" spans="1:18" hidden="1">
      <c r="A1724" t="s">
        <v>313</v>
      </c>
      <c r="B1724" t="s">
        <v>314</v>
      </c>
      <c r="C1724">
        <v>300281186</v>
      </c>
      <c r="D1724">
        <v>16223462</v>
      </c>
      <c r="E1724" t="s">
        <v>45</v>
      </c>
      <c r="F1724" t="s">
        <v>3241</v>
      </c>
      <c r="G1724">
        <v>100</v>
      </c>
      <c r="H1724" t="s">
        <v>2137</v>
      </c>
      <c r="J1724" t="s">
        <v>3563</v>
      </c>
      <c r="K1724" s="11">
        <v>46216.346284722225</v>
      </c>
      <c r="M1724">
        <v>1052</v>
      </c>
      <c r="N1724" t="s">
        <v>878</v>
      </c>
      <c r="O1724">
        <v>0</v>
      </c>
      <c r="P1724" s="5"/>
      <c r="Q1724" s="10">
        <f>INT(Tabela1[[#This Row],[DATA]])</f>
        <v>46216</v>
      </c>
      <c r="R1724" s="14" t="str">
        <f ca="1">IF(AND(Q1724&gt;=TODAY()-WEEKDAY(TODAY(),2)+1,Q1724&lt;TODAY()),"SIM","NÃO")</f>
        <v>NÃO</v>
      </c>
    </row>
    <row r="1725" spans="1:18" hidden="1">
      <c r="A1725" t="s">
        <v>313</v>
      </c>
      <c r="B1725" t="s">
        <v>314</v>
      </c>
      <c r="C1725">
        <v>300281186</v>
      </c>
      <c r="D1725">
        <v>16223462</v>
      </c>
      <c r="E1725" t="s">
        <v>45</v>
      </c>
      <c r="F1725" t="s">
        <v>259</v>
      </c>
      <c r="G1725">
        <v>100</v>
      </c>
      <c r="H1725" t="s">
        <v>2313</v>
      </c>
      <c r="J1725" t="s">
        <v>3563</v>
      </c>
      <c r="K1725" s="11">
        <v>46216.347037037034</v>
      </c>
      <c r="M1725">
        <v>1053</v>
      </c>
      <c r="N1725" t="s">
        <v>878</v>
      </c>
      <c r="O1725">
        <v>0</v>
      </c>
      <c r="P1725" s="5"/>
      <c r="Q1725" s="10">
        <f>INT(Tabela1[[#This Row],[DATA]])</f>
        <v>46216</v>
      </c>
      <c r="R1725" s="14" t="str">
        <f ca="1">IF(AND(Q1725&gt;=TODAY()-WEEKDAY(TODAY(),2)+1,Q1725&lt;TODAY()),"SIM","NÃO")</f>
        <v>NÃO</v>
      </c>
    </row>
    <row r="1726" spans="1:18" hidden="1">
      <c r="A1726" t="s">
        <v>313</v>
      </c>
      <c r="B1726" t="s">
        <v>314</v>
      </c>
      <c r="C1726">
        <v>300281186</v>
      </c>
      <c r="D1726">
        <v>16223462</v>
      </c>
      <c r="E1726" t="s">
        <v>45</v>
      </c>
      <c r="F1726" t="s">
        <v>3212</v>
      </c>
      <c r="G1726">
        <v>1320</v>
      </c>
      <c r="H1726" t="s">
        <v>2888</v>
      </c>
      <c r="J1726" t="s">
        <v>3563</v>
      </c>
      <c r="K1726" s="11">
        <v>46216.34784722222</v>
      </c>
      <c r="M1726">
        <v>1054</v>
      </c>
      <c r="N1726" t="s">
        <v>878</v>
      </c>
      <c r="O1726">
        <v>0</v>
      </c>
      <c r="P1726" s="5"/>
      <c r="Q1726" s="10">
        <f>INT(Tabela1[[#This Row],[DATA]])</f>
        <v>46216</v>
      </c>
      <c r="R1726" s="14" t="str">
        <f ca="1">IF(AND(Q1726&gt;=TODAY()-WEEKDAY(TODAY(),2)+1,Q1726&lt;TODAY()),"SIM","NÃO")</f>
        <v>NÃO</v>
      </c>
    </row>
    <row r="1727" spans="1:18" hidden="1">
      <c r="A1727" t="s">
        <v>143</v>
      </c>
      <c r="B1727" t="s">
        <v>144</v>
      </c>
      <c r="C1727">
        <v>300276886</v>
      </c>
      <c r="D1727">
        <v>16222954</v>
      </c>
      <c r="E1727" t="s">
        <v>45</v>
      </c>
      <c r="F1727" t="s">
        <v>145</v>
      </c>
      <c r="G1727">
        <v>3</v>
      </c>
      <c r="H1727" t="s">
        <v>884</v>
      </c>
      <c r="K1727" s="11">
        <v>46216.349629629629</v>
      </c>
      <c r="M1727">
        <v>1055</v>
      </c>
      <c r="N1727" t="s">
        <v>878</v>
      </c>
      <c r="O1727">
        <v>0</v>
      </c>
      <c r="P1727" s="5"/>
      <c r="Q1727" s="10">
        <f>INT(Tabela1[[#This Row],[DATA]])</f>
        <v>46216</v>
      </c>
      <c r="R1727" s="14" t="str">
        <f ca="1">IF(AND(Q1727&gt;=TODAY()-WEEKDAY(TODAY(),2)+1,Q1727&lt;TODAY()),"SIM","NÃO")</f>
        <v>NÃO</v>
      </c>
    </row>
    <row r="1728" spans="1:18" hidden="1">
      <c r="A1728" t="s">
        <v>3564</v>
      </c>
      <c r="B1728" t="s">
        <v>3565</v>
      </c>
      <c r="C1728">
        <v>300276414</v>
      </c>
      <c r="D1728">
        <v>16441630</v>
      </c>
      <c r="E1728" t="s">
        <v>45</v>
      </c>
      <c r="F1728" t="s">
        <v>96</v>
      </c>
      <c r="G1728">
        <v>35</v>
      </c>
      <c r="H1728" t="s">
        <v>3566</v>
      </c>
      <c r="K1728" s="11">
        <v>46216.369513888887</v>
      </c>
      <c r="M1728">
        <v>1056</v>
      </c>
      <c r="N1728" t="s">
        <v>867</v>
      </c>
      <c r="O1728">
        <v>100002320</v>
      </c>
      <c r="P1728" s="5"/>
      <c r="Q1728" s="10">
        <f>INT(Tabela1[[#This Row],[DATA]])</f>
        <v>46216</v>
      </c>
      <c r="R1728" s="14" t="str">
        <f ca="1">IF(AND(Q1728&gt;=TODAY()-WEEKDAY(TODAY(),2)+1,Q1728&lt;TODAY()),"SIM","NÃO")</f>
        <v>NÃO</v>
      </c>
    </row>
    <row r="1729" spans="1:18" hidden="1">
      <c r="A1729" t="s">
        <v>185</v>
      </c>
      <c r="B1729" t="s">
        <v>1625</v>
      </c>
      <c r="C1729">
        <v>300275426</v>
      </c>
      <c r="D1729">
        <v>16217861</v>
      </c>
      <c r="E1729" t="s">
        <v>37</v>
      </c>
      <c r="F1729" t="s">
        <v>2405</v>
      </c>
      <c r="G1729">
        <v>25</v>
      </c>
      <c r="H1729" t="s">
        <v>2137</v>
      </c>
      <c r="K1729" s="11">
        <v>46216.384513888886</v>
      </c>
      <c r="M1729">
        <v>1057</v>
      </c>
      <c r="N1729" t="s">
        <v>867</v>
      </c>
      <c r="O1729">
        <v>0</v>
      </c>
      <c r="P1729" s="5"/>
      <c r="Q1729" s="10">
        <f>INT(Tabela1[[#This Row],[DATA]])</f>
        <v>46216</v>
      </c>
      <c r="R1729" s="14" t="str">
        <f ca="1">IF(AND(Q1729&gt;=TODAY()-WEEKDAY(TODAY(),2)+1,Q1729&lt;TODAY()),"SIM","NÃO")</f>
        <v>NÃO</v>
      </c>
    </row>
    <row r="1730" spans="1:18" hidden="1">
      <c r="A1730" t="s">
        <v>2765</v>
      </c>
      <c r="B1730" t="s">
        <v>107</v>
      </c>
      <c r="C1730">
        <v>300279343</v>
      </c>
      <c r="D1730">
        <v>16229347</v>
      </c>
      <c r="E1730" t="s">
        <v>45</v>
      </c>
      <c r="F1730" t="s">
        <v>2405</v>
      </c>
      <c r="G1730">
        <v>19</v>
      </c>
      <c r="H1730" t="s">
        <v>2766</v>
      </c>
      <c r="K1730" s="11">
        <v>46216.386006944442</v>
      </c>
      <c r="M1730">
        <v>1058</v>
      </c>
      <c r="N1730" t="s">
        <v>867</v>
      </c>
      <c r="O1730">
        <v>0</v>
      </c>
      <c r="P1730" s="5"/>
      <c r="Q1730" s="10">
        <f>INT(Tabela1[[#This Row],[DATA]])</f>
        <v>46216</v>
      </c>
      <c r="R1730" s="14" t="str">
        <f ca="1">IF(AND(Q1730&gt;=TODAY()-WEEKDAY(TODAY(),2)+1,Q1730&lt;TODAY()),"SIM","NÃO")</f>
        <v>NÃO</v>
      </c>
    </row>
    <row r="1731" spans="1:18" hidden="1">
      <c r="A1731" t="s">
        <v>2774</v>
      </c>
      <c r="B1731" t="s">
        <v>3301</v>
      </c>
      <c r="C1731">
        <v>300000000</v>
      </c>
      <c r="D1731">
        <v>0</v>
      </c>
      <c r="E1731" t="s">
        <v>37</v>
      </c>
      <c r="F1731" t="s">
        <v>1904</v>
      </c>
      <c r="G1731">
        <v>0</v>
      </c>
      <c r="H1731" t="s">
        <v>3229</v>
      </c>
      <c r="J1731">
        <v>0</v>
      </c>
      <c r="K1731" s="11">
        <v>46216.389143518521</v>
      </c>
      <c r="M1731">
        <v>1059</v>
      </c>
      <c r="N1731" t="s">
        <v>878</v>
      </c>
      <c r="O1731">
        <v>0</v>
      </c>
      <c r="P1731" s="5"/>
      <c r="Q1731" s="10">
        <f>INT(Tabela1[[#This Row],[DATA]])</f>
        <v>46216</v>
      </c>
      <c r="R1731" s="14" t="str">
        <f ca="1">IF(AND(Q1731&gt;=TODAY()-WEEKDAY(TODAY(),2)+1,Q1731&lt;TODAY()),"SIM","NÃO")</f>
        <v>NÃO</v>
      </c>
    </row>
    <row r="1732" spans="1:18" hidden="1">
      <c r="A1732" t="s">
        <v>287</v>
      </c>
      <c r="B1732" t="s">
        <v>288</v>
      </c>
      <c r="C1732">
        <v>300273319</v>
      </c>
      <c r="D1732">
        <v>15775615</v>
      </c>
      <c r="E1732" t="s">
        <v>37</v>
      </c>
      <c r="F1732" t="s">
        <v>3297</v>
      </c>
      <c r="G1732">
        <v>160</v>
      </c>
      <c r="H1732" t="s">
        <v>3567</v>
      </c>
      <c r="J1732" t="s">
        <v>3568</v>
      </c>
      <c r="K1732" s="11">
        <v>46216.393159722225</v>
      </c>
      <c r="M1732">
        <v>1060</v>
      </c>
      <c r="N1732" t="s">
        <v>867</v>
      </c>
      <c r="O1732">
        <v>0</v>
      </c>
      <c r="P1732" s="5"/>
      <c r="Q1732" s="10">
        <f>INT(Tabela1[[#This Row],[DATA]])</f>
        <v>46216</v>
      </c>
      <c r="R1732" s="14" t="str">
        <f ca="1">IF(AND(Q1732&gt;=TODAY()-WEEKDAY(TODAY(),2)+1,Q1732&lt;TODAY()),"SIM","NÃO")</f>
        <v>NÃO</v>
      </c>
    </row>
    <row r="1733" spans="1:18" hidden="1">
      <c r="A1733" t="s">
        <v>163</v>
      </c>
      <c r="B1733" t="s">
        <v>164</v>
      </c>
      <c r="C1733">
        <v>300273701</v>
      </c>
      <c r="D1733">
        <v>16450280</v>
      </c>
      <c r="E1733" t="s">
        <v>37</v>
      </c>
      <c r="F1733" t="s">
        <v>2405</v>
      </c>
      <c r="G1733">
        <v>20</v>
      </c>
      <c r="H1733" t="s">
        <v>2292</v>
      </c>
      <c r="K1733" s="11">
        <v>46216.393321759257</v>
      </c>
      <c r="M1733">
        <v>1061</v>
      </c>
      <c r="N1733" t="s">
        <v>867</v>
      </c>
      <c r="O1733">
        <v>0</v>
      </c>
      <c r="P1733" s="5"/>
      <c r="Q1733" s="10">
        <f>INT(Tabela1[[#This Row],[DATA]])</f>
        <v>46216</v>
      </c>
      <c r="R1733" s="14" t="str">
        <f ca="1">IF(AND(Q1733&gt;=TODAY()-WEEKDAY(TODAY(),2)+1,Q1733&lt;TODAY()),"SIM","NÃO")</f>
        <v>NÃO</v>
      </c>
    </row>
    <row r="1734" spans="1:18" hidden="1">
      <c r="A1734" t="s">
        <v>2774</v>
      </c>
      <c r="B1734" t="s">
        <v>3301</v>
      </c>
      <c r="C1734">
        <v>300000000</v>
      </c>
      <c r="D1734">
        <v>0</v>
      </c>
      <c r="E1734" t="s">
        <v>37</v>
      </c>
      <c r="F1734" t="s">
        <v>1904</v>
      </c>
      <c r="G1734">
        <v>0</v>
      </c>
      <c r="H1734" t="s">
        <v>3229</v>
      </c>
      <c r="J1734">
        <v>0</v>
      </c>
      <c r="K1734" s="11">
        <v>46216.397546296299</v>
      </c>
      <c r="M1734">
        <v>1062</v>
      </c>
      <c r="N1734" t="s">
        <v>878</v>
      </c>
      <c r="O1734">
        <v>0</v>
      </c>
      <c r="P1734" s="5"/>
      <c r="Q1734" s="10">
        <f>INT(Tabela1[[#This Row],[DATA]])</f>
        <v>46216</v>
      </c>
      <c r="R1734" s="14" t="str">
        <f ca="1">IF(AND(Q1734&gt;=TODAY()-WEEKDAY(TODAY(),2)+1,Q1734&lt;TODAY()),"SIM","NÃO")</f>
        <v>NÃO</v>
      </c>
    </row>
    <row r="1735" spans="1:18" hidden="1">
      <c r="A1735" t="s">
        <v>2774</v>
      </c>
      <c r="B1735" t="s">
        <v>3301</v>
      </c>
      <c r="C1735">
        <v>300000000</v>
      </c>
      <c r="D1735">
        <v>0</v>
      </c>
      <c r="E1735" t="s">
        <v>37</v>
      </c>
      <c r="F1735" t="s">
        <v>1904</v>
      </c>
      <c r="G1735">
        <v>0</v>
      </c>
      <c r="H1735" t="s">
        <v>3229</v>
      </c>
      <c r="J1735" t="s">
        <v>3229</v>
      </c>
      <c r="K1735" s="11">
        <v>46216.406192129631</v>
      </c>
      <c r="M1735">
        <v>1063</v>
      </c>
      <c r="N1735" t="s">
        <v>878</v>
      </c>
      <c r="O1735">
        <v>0</v>
      </c>
      <c r="P1735" s="5"/>
      <c r="Q1735" s="10">
        <f>INT(Tabela1[[#This Row],[DATA]])</f>
        <v>46216</v>
      </c>
      <c r="R1735" s="14" t="str">
        <f ca="1">IF(AND(Q1735&gt;=TODAY()-WEEKDAY(TODAY(),2)+1,Q1735&lt;TODAY()),"SIM","NÃO")</f>
        <v>NÃO</v>
      </c>
    </row>
    <row r="1736" spans="1:18" hidden="1">
      <c r="A1736" t="s">
        <v>201</v>
      </c>
      <c r="B1736" t="s">
        <v>202</v>
      </c>
      <c r="C1736">
        <v>300276639</v>
      </c>
      <c r="D1736">
        <v>16292898</v>
      </c>
      <c r="E1736" t="s">
        <v>37</v>
      </c>
      <c r="F1736" t="s">
        <v>2213</v>
      </c>
      <c r="G1736">
        <v>160</v>
      </c>
      <c r="H1736" t="s">
        <v>3569</v>
      </c>
      <c r="J1736" t="s">
        <v>3570</v>
      </c>
      <c r="K1736" s="11">
        <v>46216.407314814816</v>
      </c>
      <c r="M1736">
        <v>1064</v>
      </c>
      <c r="N1736" t="s">
        <v>867</v>
      </c>
      <c r="O1736">
        <v>10000214511</v>
      </c>
      <c r="P1736" s="5"/>
      <c r="Q1736" s="10">
        <f>INT(Tabela1[[#This Row],[DATA]])</f>
        <v>46216</v>
      </c>
      <c r="R1736" s="14" t="str">
        <f ca="1">IF(AND(Q1736&gt;=TODAY()-WEEKDAY(TODAY(),2)+1,Q1736&lt;TODAY()),"SIM","NÃO")</f>
        <v>NÃO</v>
      </c>
    </row>
    <row r="1737" spans="1:18" hidden="1">
      <c r="A1737" t="s">
        <v>2551</v>
      </c>
      <c r="B1737" t="s">
        <v>274</v>
      </c>
      <c r="C1737">
        <v>300277092</v>
      </c>
      <c r="D1737">
        <v>15774112</v>
      </c>
      <c r="E1737" t="s">
        <v>37</v>
      </c>
      <c r="F1737" t="s">
        <v>2405</v>
      </c>
      <c r="G1737">
        <v>40</v>
      </c>
      <c r="H1737" t="s">
        <v>555</v>
      </c>
      <c r="K1737" s="11">
        <v>46216.409872685188</v>
      </c>
      <c r="M1737">
        <v>1065</v>
      </c>
      <c r="N1737" t="s">
        <v>867</v>
      </c>
      <c r="O1737">
        <v>0</v>
      </c>
      <c r="P1737" s="5"/>
      <c r="Q1737" s="10">
        <f>INT(Tabela1[[#This Row],[DATA]])</f>
        <v>46216</v>
      </c>
      <c r="R1737" s="14" t="str">
        <f ca="1">IF(AND(Q1737&gt;=TODAY()-WEEKDAY(TODAY(),2)+1,Q1737&lt;TODAY()),"SIM","NÃO")</f>
        <v>NÃO</v>
      </c>
    </row>
    <row r="1738" spans="1:18" hidden="1">
      <c r="A1738" t="s">
        <v>2774</v>
      </c>
      <c r="B1738" t="s">
        <v>3301</v>
      </c>
      <c r="C1738">
        <v>300000000</v>
      </c>
      <c r="D1738">
        <v>0</v>
      </c>
      <c r="E1738" t="s">
        <v>37</v>
      </c>
      <c r="F1738" t="s">
        <v>1904</v>
      </c>
      <c r="G1738">
        <v>0</v>
      </c>
      <c r="H1738">
        <v>0</v>
      </c>
      <c r="J1738">
        <v>0</v>
      </c>
      <c r="K1738" s="11">
        <v>46216.416458333333</v>
      </c>
      <c r="M1738">
        <v>1066</v>
      </c>
      <c r="N1738" t="s">
        <v>878</v>
      </c>
      <c r="O1738">
        <v>0</v>
      </c>
      <c r="P1738" s="5"/>
      <c r="Q1738" s="10">
        <f>INT(Tabela1[[#This Row],[DATA]])</f>
        <v>46216</v>
      </c>
      <c r="R1738" s="14" t="str">
        <f ca="1">IF(AND(Q1738&gt;=TODAY()-WEEKDAY(TODAY(),2)+1,Q1738&lt;TODAY()),"SIM","NÃO")</f>
        <v>NÃO</v>
      </c>
    </row>
    <row r="1739" spans="1:18" hidden="1">
      <c r="A1739" t="s">
        <v>2775</v>
      </c>
      <c r="B1739" t="s">
        <v>512</v>
      </c>
      <c r="C1739">
        <v>300274682</v>
      </c>
      <c r="D1739">
        <v>16017013</v>
      </c>
      <c r="E1739" t="s">
        <v>45</v>
      </c>
      <c r="F1739" t="s">
        <v>2405</v>
      </c>
      <c r="G1739">
        <v>126</v>
      </c>
      <c r="H1739" t="s">
        <v>3571</v>
      </c>
      <c r="J1739" t="s">
        <v>3572</v>
      </c>
      <c r="K1739" s="11">
        <v>46216.425219907411</v>
      </c>
      <c r="M1739">
        <v>1067</v>
      </c>
      <c r="N1739" t="s">
        <v>867</v>
      </c>
      <c r="O1739" t="s">
        <v>2778</v>
      </c>
      <c r="P1739" s="5"/>
      <c r="Q1739" s="10">
        <f>INT(Tabela1[[#This Row],[DATA]])</f>
        <v>46216</v>
      </c>
      <c r="R1739" s="14" t="str">
        <f ca="1">IF(AND(Q1739&gt;=TODAY()-WEEKDAY(TODAY(),2)+1,Q1739&lt;TODAY()),"SIM","NÃO")</f>
        <v>NÃO</v>
      </c>
    </row>
    <row r="1740" spans="1:18" hidden="1">
      <c r="A1740" t="s">
        <v>2775</v>
      </c>
      <c r="B1740" t="s">
        <v>512</v>
      </c>
      <c r="C1740">
        <v>300274683</v>
      </c>
      <c r="D1740">
        <v>16017013</v>
      </c>
      <c r="E1740" t="s">
        <v>45</v>
      </c>
      <c r="F1740" t="s">
        <v>3438</v>
      </c>
      <c r="G1740">
        <v>274</v>
      </c>
      <c r="H1740" t="s">
        <v>2914</v>
      </c>
      <c r="J1740" t="s">
        <v>3572</v>
      </c>
      <c r="K1740" s="11">
        <v>46216.428136574075</v>
      </c>
      <c r="M1740">
        <v>1068</v>
      </c>
      <c r="N1740" t="s">
        <v>878</v>
      </c>
      <c r="O1740" t="s">
        <v>2778</v>
      </c>
      <c r="P1740" s="5"/>
      <c r="Q1740" s="10">
        <f>INT(Tabela1[[#This Row],[DATA]])</f>
        <v>46216</v>
      </c>
      <c r="R1740" s="14" t="str">
        <f ca="1">IF(AND(Q1740&gt;=TODAY()-WEEKDAY(TODAY(),2)+1,Q1740&lt;TODAY()),"SIM","NÃO")</f>
        <v>NÃO</v>
      </c>
    </row>
    <row r="1741" spans="1:18" hidden="1">
      <c r="A1741" t="s">
        <v>2774</v>
      </c>
      <c r="B1741" t="s">
        <v>3301</v>
      </c>
      <c r="C1741">
        <v>300000000</v>
      </c>
      <c r="D1741">
        <v>0</v>
      </c>
      <c r="E1741" t="s">
        <v>37</v>
      </c>
      <c r="F1741" t="s">
        <v>1904</v>
      </c>
      <c r="G1741">
        <v>0</v>
      </c>
      <c r="H1741" t="s">
        <v>3229</v>
      </c>
      <c r="J1741" t="s">
        <v>3229</v>
      </c>
      <c r="K1741" s="11">
        <v>46216.441342592596</v>
      </c>
      <c r="M1741">
        <v>1070</v>
      </c>
      <c r="N1741" t="s">
        <v>878</v>
      </c>
      <c r="O1741">
        <v>0</v>
      </c>
      <c r="P1741" s="5"/>
      <c r="Q1741" s="10">
        <f>INT(Tabela1[[#This Row],[DATA]])</f>
        <v>46216</v>
      </c>
      <c r="R1741" s="14" t="str">
        <f ca="1">IF(AND(Q1741&gt;=TODAY()-WEEKDAY(TODAY(),2)+1,Q1741&lt;TODAY()),"SIM","NÃO")</f>
        <v>NÃO</v>
      </c>
    </row>
    <row r="1742" spans="1:18" hidden="1">
      <c r="A1742" t="s">
        <v>253</v>
      </c>
      <c r="B1742" t="s">
        <v>254</v>
      </c>
      <c r="C1742">
        <v>300276273</v>
      </c>
      <c r="D1742">
        <v>15858367</v>
      </c>
      <c r="E1742" t="s">
        <v>37</v>
      </c>
      <c r="F1742" t="s">
        <v>177</v>
      </c>
      <c r="G1742">
        <v>100</v>
      </c>
      <c r="H1742" t="s">
        <v>2228</v>
      </c>
      <c r="K1742" s="11">
        <v>46216.442280092589</v>
      </c>
      <c r="M1742">
        <v>1071</v>
      </c>
      <c r="N1742" t="s">
        <v>867</v>
      </c>
      <c r="O1742">
        <v>10000064387</v>
      </c>
      <c r="P1742" s="5"/>
      <c r="Q1742" s="10">
        <f>INT(Tabela1[[#This Row],[DATA]])</f>
        <v>46216</v>
      </c>
      <c r="R1742" s="14" t="str">
        <f ca="1">IF(AND(Q1742&gt;=TODAY()-WEEKDAY(TODAY(),2)+1,Q1742&lt;TODAY()),"SIM","NÃO")</f>
        <v>NÃO</v>
      </c>
    </row>
    <row r="1743" spans="1:18" hidden="1">
      <c r="A1743" t="s">
        <v>2775</v>
      </c>
      <c r="B1743" t="s">
        <v>512</v>
      </c>
      <c r="C1743">
        <v>300274589</v>
      </c>
      <c r="D1743">
        <v>16017013</v>
      </c>
      <c r="E1743" t="s">
        <v>45</v>
      </c>
      <c r="F1743" t="s">
        <v>2405</v>
      </c>
      <c r="G1743">
        <v>10</v>
      </c>
      <c r="H1743" t="s">
        <v>3573</v>
      </c>
      <c r="J1743" t="s">
        <v>3574</v>
      </c>
      <c r="K1743" s="11">
        <v>46216.450578703705</v>
      </c>
      <c r="M1743">
        <v>1072</v>
      </c>
      <c r="N1743" t="s">
        <v>867</v>
      </c>
      <c r="O1743" t="s">
        <v>2778</v>
      </c>
      <c r="P1743" s="5"/>
      <c r="Q1743" s="10">
        <f>INT(Tabela1[[#This Row],[DATA]])</f>
        <v>46216</v>
      </c>
      <c r="R1743" s="14" t="str">
        <f ca="1">IF(AND(Q1743&gt;=TODAY()-WEEKDAY(TODAY(),2)+1,Q1743&lt;TODAY()),"SIM","NÃO")</f>
        <v>NÃO</v>
      </c>
    </row>
    <row r="1744" spans="1:18" hidden="1">
      <c r="A1744" t="s">
        <v>2610</v>
      </c>
      <c r="B1744" t="s">
        <v>74</v>
      </c>
      <c r="C1744">
        <v>300279736</v>
      </c>
      <c r="D1744">
        <v>16373049</v>
      </c>
      <c r="E1744" t="s">
        <v>20</v>
      </c>
      <c r="F1744" t="s">
        <v>430</v>
      </c>
      <c r="G1744">
        <v>150</v>
      </c>
      <c r="H1744" t="s">
        <v>555</v>
      </c>
      <c r="K1744" s="11">
        <v>46216.460717592592</v>
      </c>
      <c r="M1744">
        <v>1073</v>
      </c>
      <c r="N1744" t="s">
        <v>867</v>
      </c>
      <c r="O1744">
        <v>10000222731</v>
      </c>
      <c r="P1744" s="5"/>
      <c r="Q1744" s="10">
        <f>INT(Tabela1[[#This Row],[DATA]])</f>
        <v>46216</v>
      </c>
      <c r="R1744" s="14" t="str">
        <f ca="1">IF(AND(Q1744&gt;=TODAY()-WEEKDAY(TODAY(),2)+1,Q1744&lt;TODAY()),"SIM","NÃO")</f>
        <v>NÃO</v>
      </c>
    </row>
    <row r="1745" spans="1:18" hidden="1">
      <c r="A1745" t="s">
        <v>143</v>
      </c>
      <c r="B1745" t="s">
        <v>144</v>
      </c>
      <c r="C1745">
        <v>300280739</v>
      </c>
      <c r="D1745">
        <v>16441303</v>
      </c>
      <c r="E1745" t="s">
        <v>45</v>
      </c>
      <c r="F1745" t="s">
        <v>3212</v>
      </c>
      <c r="G1745">
        <v>986</v>
      </c>
      <c r="H1745" t="s">
        <v>3575</v>
      </c>
      <c r="K1745" s="11">
        <v>46216.471979166665</v>
      </c>
      <c r="M1745">
        <v>1074</v>
      </c>
      <c r="N1745" t="s">
        <v>867</v>
      </c>
      <c r="O1745">
        <v>0</v>
      </c>
      <c r="P1745" s="5"/>
      <c r="Q1745" s="10">
        <f>INT(Tabela1[[#This Row],[DATA]])</f>
        <v>46216</v>
      </c>
      <c r="R1745" s="14" t="str">
        <f ca="1">IF(AND(Q1745&gt;=TODAY()-WEEKDAY(TODAY(),2)+1,Q1745&lt;TODAY()),"SIM","NÃO")</f>
        <v>NÃO</v>
      </c>
    </row>
    <row r="1746" spans="1:18" hidden="1">
      <c r="A1746" t="s">
        <v>661</v>
      </c>
      <c r="B1746" t="s">
        <v>662</v>
      </c>
      <c r="C1746">
        <v>300269315</v>
      </c>
      <c r="D1746">
        <v>16470834</v>
      </c>
      <c r="E1746" t="s">
        <v>37</v>
      </c>
      <c r="F1746" t="s">
        <v>436</v>
      </c>
      <c r="G1746">
        <v>117</v>
      </c>
      <c r="H1746" t="s">
        <v>3337</v>
      </c>
      <c r="J1746" t="s">
        <v>3576</v>
      </c>
      <c r="K1746" s="11">
        <v>46216.555798611109</v>
      </c>
      <c r="M1746">
        <v>1075</v>
      </c>
      <c r="N1746" t="s">
        <v>867</v>
      </c>
      <c r="O1746">
        <v>0</v>
      </c>
      <c r="P1746" s="5"/>
      <c r="Q1746" s="10">
        <f>INT(Tabela1[[#This Row],[DATA]])</f>
        <v>46216</v>
      </c>
      <c r="R1746" s="14" t="str">
        <f ca="1">IF(AND(Q1746&gt;=TODAY()-WEEKDAY(TODAY(),2)+1,Q1746&lt;TODAY()),"SIM","NÃO")</f>
        <v>NÃO</v>
      </c>
    </row>
    <row r="1747" spans="1:18" hidden="1">
      <c r="A1747" t="s">
        <v>493</v>
      </c>
      <c r="B1747" t="s">
        <v>686</v>
      </c>
      <c r="C1747">
        <v>300273729</v>
      </c>
      <c r="D1747">
        <v>16474570</v>
      </c>
      <c r="E1747" t="s">
        <v>37</v>
      </c>
      <c r="F1747" t="s">
        <v>3502</v>
      </c>
      <c r="G1747">
        <v>954</v>
      </c>
      <c r="H1747" t="s">
        <v>2137</v>
      </c>
      <c r="J1747" t="s">
        <v>3577</v>
      </c>
      <c r="K1747" s="11">
        <v>46216.556180555555</v>
      </c>
      <c r="M1747">
        <v>1076</v>
      </c>
      <c r="N1747" t="s">
        <v>878</v>
      </c>
      <c r="O1747" t="s">
        <v>138</v>
      </c>
      <c r="P1747" s="5"/>
      <c r="Q1747" s="10">
        <f>INT(Tabela1[[#This Row],[DATA]])</f>
        <v>46216</v>
      </c>
      <c r="R1747" s="14" t="str">
        <f ca="1">IF(AND(Q1747&gt;=TODAY()-WEEKDAY(TODAY(),2)+1,Q1747&lt;TODAY()),"SIM","NÃO")</f>
        <v>NÃO</v>
      </c>
    </row>
    <row r="1748" spans="1:18" hidden="1">
      <c r="A1748" t="s">
        <v>2656</v>
      </c>
      <c r="B1748" t="s">
        <v>119</v>
      </c>
      <c r="C1748">
        <v>300276213</v>
      </c>
      <c r="D1748">
        <v>16217799</v>
      </c>
      <c r="E1748" t="s">
        <v>37</v>
      </c>
      <c r="F1748" t="s">
        <v>2405</v>
      </c>
      <c r="G1748">
        <v>11</v>
      </c>
      <c r="H1748" t="s">
        <v>2559</v>
      </c>
      <c r="J1748" t="s">
        <v>82</v>
      </c>
      <c r="K1748" s="11">
        <v>46216.56354166667</v>
      </c>
      <c r="M1748">
        <v>1077</v>
      </c>
      <c r="N1748" t="s">
        <v>867</v>
      </c>
      <c r="O1748">
        <v>0</v>
      </c>
      <c r="P1748" s="5"/>
      <c r="Q1748" s="10">
        <f>INT(Tabela1[[#This Row],[DATA]])</f>
        <v>46216</v>
      </c>
      <c r="R1748" s="14" t="str">
        <f ca="1">IF(AND(Q1748&gt;=TODAY()-WEEKDAY(TODAY(),2)+1,Q1748&lt;TODAY()),"SIM","NÃO")</f>
        <v>NÃO</v>
      </c>
    </row>
    <row r="1749" spans="1:18" hidden="1">
      <c r="A1749" t="s">
        <v>305</v>
      </c>
      <c r="B1749" t="s">
        <v>306</v>
      </c>
      <c r="C1749">
        <v>300276765</v>
      </c>
      <c r="D1749">
        <v>16217683</v>
      </c>
      <c r="E1749" t="s">
        <v>37</v>
      </c>
      <c r="F1749" t="s">
        <v>177</v>
      </c>
      <c r="G1749">
        <v>15</v>
      </c>
      <c r="H1749" t="s">
        <v>3578</v>
      </c>
      <c r="J1749" t="s">
        <v>3579</v>
      </c>
      <c r="K1749" s="11">
        <v>46216.567604166667</v>
      </c>
      <c r="M1749">
        <v>1078</v>
      </c>
      <c r="N1749" t="s">
        <v>867</v>
      </c>
      <c r="O1749">
        <v>100000247151</v>
      </c>
      <c r="P1749" s="5"/>
      <c r="Q1749" s="10">
        <f>INT(Tabela1[[#This Row],[DATA]])</f>
        <v>46216</v>
      </c>
      <c r="R1749" s="14" t="str">
        <f ca="1">IF(AND(Q1749&gt;=TODAY()-WEEKDAY(TODAY(),2)+1,Q1749&lt;TODAY()),"SIM","NÃO")</f>
        <v>NÃO</v>
      </c>
    </row>
    <row r="1750" spans="1:18" hidden="1">
      <c r="A1750" t="s">
        <v>1439</v>
      </c>
      <c r="B1750" t="s">
        <v>1440</v>
      </c>
      <c r="C1750">
        <v>300269503</v>
      </c>
      <c r="D1750">
        <v>16462947</v>
      </c>
      <c r="E1750" t="s">
        <v>45</v>
      </c>
      <c r="F1750" t="s">
        <v>2405</v>
      </c>
      <c r="G1750">
        <v>171</v>
      </c>
      <c r="H1750" t="s">
        <v>3580</v>
      </c>
      <c r="K1750" s="11">
        <v>46216.569097222222</v>
      </c>
      <c r="M1750">
        <v>1079</v>
      </c>
      <c r="N1750" t="s">
        <v>867</v>
      </c>
      <c r="O1750">
        <v>0</v>
      </c>
      <c r="P1750" s="5"/>
      <c r="Q1750" s="10">
        <f>INT(Tabela1[[#This Row],[DATA]])</f>
        <v>46216</v>
      </c>
      <c r="R1750" s="14" t="str">
        <f ca="1">IF(AND(Q1750&gt;=TODAY()-WEEKDAY(TODAY(),2)+1,Q1750&lt;TODAY()),"SIM","NÃO")</f>
        <v>NÃO</v>
      </c>
    </row>
    <row r="1751" spans="1:18" hidden="1">
      <c r="A1751" t="s">
        <v>1154</v>
      </c>
      <c r="B1751" t="s">
        <v>1155</v>
      </c>
      <c r="C1751">
        <v>300274638</v>
      </c>
      <c r="D1751">
        <v>16183886</v>
      </c>
      <c r="E1751" t="s">
        <v>37</v>
      </c>
      <c r="F1751" t="s">
        <v>2213</v>
      </c>
      <c r="G1751">
        <v>40</v>
      </c>
      <c r="H1751" t="s">
        <v>2559</v>
      </c>
      <c r="J1751" t="s">
        <v>3581</v>
      </c>
      <c r="K1751" s="11">
        <v>46216.578761574077</v>
      </c>
      <c r="M1751">
        <v>1080</v>
      </c>
      <c r="N1751" t="s">
        <v>867</v>
      </c>
      <c r="O1751">
        <v>10000214496</v>
      </c>
      <c r="P1751" s="5"/>
      <c r="Q1751" s="10">
        <f>INT(Tabela1[[#This Row],[DATA]])</f>
        <v>46216</v>
      </c>
      <c r="R1751" s="14" t="str">
        <f ca="1">IF(AND(Q1751&gt;=TODAY()-WEEKDAY(TODAY(),2)+1,Q1751&lt;TODAY()),"SIM","NÃO")</f>
        <v>NÃO</v>
      </c>
    </row>
    <row r="1752" spans="1:18" hidden="1">
      <c r="A1752" t="s">
        <v>2654</v>
      </c>
      <c r="B1752" t="s">
        <v>2655</v>
      </c>
      <c r="C1752">
        <v>300276640</v>
      </c>
      <c r="D1752">
        <v>16292898</v>
      </c>
      <c r="E1752" t="s">
        <v>37</v>
      </c>
      <c r="F1752" t="s">
        <v>177</v>
      </c>
      <c r="G1752">
        <v>50</v>
      </c>
      <c r="H1752" t="s">
        <v>3582</v>
      </c>
      <c r="J1752" t="s">
        <v>3582</v>
      </c>
      <c r="K1752" s="11">
        <v>46216.624201388891</v>
      </c>
      <c r="M1752">
        <v>1081</v>
      </c>
      <c r="N1752" t="s">
        <v>867</v>
      </c>
      <c r="O1752">
        <v>10000065169</v>
      </c>
      <c r="P1752" s="5"/>
      <c r="Q1752" s="10">
        <f>INT(Tabela1[[#This Row],[DATA]])</f>
        <v>46216</v>
      </c>
      <c r="R1752" s="14" t="str">
        <f ca="1">IF(AND(Q1752&gt;=TODAY()-WEEKDAY(TODAY(),2)+1,Q1752&lt;TODAY()),"SIM","NÃO")</f>
        <v>NÃO</v>
      </c>
    </row>
    <row r="1753" spans="1:18" hidden="1">
      <c r="A1753" t="s">
        <v>787</v>
      </c>
      <c r="B1753" t="s">
        <v>788</v>
      </c>
      <c r="C1753">
        <v>300271746</v>
      </c>
      <c r="D1753">
        <v>15690210</v>
      </c>
      <c r="E1753" t="s">
        <v>37</v>
      </c>
      <c r="F1753" t="s">
        <v>177</v>
      </c>
      <c r="G1753">
        <v>884</v>
      </c>
      <c r="H1753" t="s">
        <v>3583</v>
      </c>
      <c r="J1753" t="s">
        <v>3584</v>
      </c>
      <c r="K1753" s="11">
        <v>46216.642407407409</v>
      </c>
      <c r="M1753">
        <v>1082</v>
      </c>
      <c r="N1753" t="s">
        <v>867</v>
      </c>
      <c r="O1753" t="s">
        <v>3585</v>
      </c>
      <c r="P1753" s="5"/>
      <c r="Q1753" s="10">
        <f>INT(Tabela1[[#This Row],[DATA]])</f>
        <v>46216</v>
      </c>
      <c r="R1753" s="14" t="str">
        <f ca="1">IF(AND(Q1753&gt;=TODAY()-WEEKDAY(TODAY(),2)+1,Q1753&lt;TODAY()),"SIM","NÃO")</f>
        <v>NÃO</v>
      </c>
    </row>
    <row r="1754" spans="1:18" hidden="1">
      <c r="A1754" t="s">
        <v>787</v>
      </c>
      <c r="B1754" t="s">
        <v>788</v>
      </c>
      <c r="C1754">
        <v>300271746</v>
      </c>
      <c r="D1754">
        <v>15690210</v>
      </c>
      <c r="E1754" t="s">
        <v>37</v>
      </c>
      <c r="F1754" t="s">
        <v>2213</v>
      </c>
      <c r="G1754">
        <v>936</v>
      </c>
      <c r="H1754" t="s">
        <v>3583</v>
      </c>
      <c r="J1754" t="s">
        <v>3586</v>
      </c>
      <c r="K1754" s="11">
        <v>46216.64472222222</v>
      </c>
      <c r="M1754">
        <v>1083</v>
      </c>
      <c r="N1754" t="s">
        <v>878</v>
      </c>
      <c r="O1754" t="s">
        <v>3587</v>
      </c>
      <c r="P1754" s="5"/>
      <c r="Q1754" s="10">
        <f>INT(Tabela1[[#This Row],[DATA]])</f>
        <v>46216</v>
      </c>
      <c r="R1754" s="14" t="str">
        <f ca="1">IF(AND(Q1754&gt;=TODAY()-WEEKDAY(TODAY(),2)+1,Q1754&lt;TODAY()),"SIM","NÃO")</f>
        <v>NÃO</v>
      </c>
    </row>
    <row r="1755" spans="1:18" hidden="1">
      <c r="A1755" t="s">
        <v>787</v>
      </c>
      <c r="B1755" t="s">
        <v>788</v>
      </c>
      <c r="C1755">
        <v>300271746</v>
      </c>
      <c r="D1755">
        <v>15690210</v>
      </c>
      <c r="E1755" t="s">
        <v>37</v>
      </c>
      <c r="F1755" t="s">
        <v>3330</v>
      </c>
      <c r="G1755">
        <v>936</v>
      </c>
      <c r="H1755" t="s">
        <v>3583</v>
      </c>
      <c r="J1755" t="s">
        <v>3588</v>
      </c>
      <c r="K1755" s="11">
        <v>46216.646562499998</v>
      </c>
      <c r="M1755">
        <v>1084</v>
      </c>
      <c r="N1755" t="s">
        <v>878</v>
      </c>
      <c r="O1755" t="s">
        <v>3589</v>
      </c>
      <c r="P1755" s="5"/>
      <c r="Q1755" s="10">
        <f>INT(Tabela1[[#This Row],[DATA]])</f>
        <v>46216</v>
      </c>
      <c r="R1755" s="14" t="str">
        <f ca="1">IF(AND(Q1755&gt;=TODAY()-WEEKDAY(TODAY(),2)+1,Q1755&lt;TODAY()),"SIM","NÃO")</f>
        <v>NÃO</v>
      </c>
    </row>
    <row r="1756" spans="1:18" hidden="1">
      <c r="A1756" t="s">
        <v>2549</v>
      </c>
      <c r="B1756" t="s">
        <v>19</v>
      </c>
      <c r="C1756">
        <v>300271211</v>
      </c>
      <c r="D1756">
        <v>13044826</v>
      </c>
      <c r="E1756" t="s">
        <v>29</v>
      </c>
      <c r="F1756" t="s">
        <v>323</v>
      </c>
      <c r="G1756">
        <v>80</v>
      </c>
      <c r="H1756" t="s">
        <v>3590</v>
      </c>
      <c r="J1756" t="s">
        <v>3591</v>
      </c>
      <c r="K1756" s="11">
        <v>46216.671307870369</v>
      </c>
      <c r="M1756">
        <v>1085</v>
      </c>
      <c r="N1756" t="s">
        <v>867</v>
      </c>
      <c r="O1756" t="s">
        <v>2802</v>
      </c>
      <c r="P1756" s="5"/>
      <c r="Q1756" s="10">
        <f>INT(Tabela1[[#This Row],[DATA]])</f>
        <v>46216</v>
      </c>
      <c r="R1756" s="14" t="str">
        <f ca="1">IF(AND(Q1756&gt;=TODAY()-WEEKDAY(TODAY(),2)+1,Q1756&lt;TODAY()),"SIM","NÃO")</f>
        <v>NÃO</v>
      </c>
    </row>
    <row r="1757" spans="1:18" hidden="1">
      <c r="A1757" t="s">
        <v>2177</v>
      </c>
      <c r="B1757" t="s">
        <v>1073</v>
      </c>
      <c r="C1757">
        <v>300276046</v>
      </c>
      <c r="D1757">
        <v>16473825</v>
      </c>
      <c r="E1757" t="s">
        <v>37</v>
      </c>
      <c r="F1757" t="s">
        <v>2405</v>
      </c>
      <c r="G1757">
        <v>16</v>
      </c>
      <c r="H1757" t="s">
        <v>3592</v>
      </c>
      <c r="J1757" t="s">
        <v>3593</v>
      </c>
      <c r="K1757" s="11">
        <v>46216.673773148148</v>
      </c>
      <c r="M1757">
        <v>1086</v>
      </c>
      <c r="N1757" t="s">
        <v>867</v>
      </c>
      <c r="O1757" t="s">
        <v>3594</v>
      </c>
      <c r="P1757" s="5"/>
      <c r="Q1757" s="10">
        <f>INT(Tabela1[[#This Row],[DATA]])</f>
        <v>46216</v>
      </c>
      <c r="R1757" s="14" t="str">
        <f ca="1">IF(AND(Q1757&gt;=TODAY()-WEEKDAY(TODAY(),2)+1,Q1757&lt;TODAY()),"SIM","NÃO")</f>
        <v>NÃO</v>
      </c>
    </row>
    <row r="1758" spans="1:18" hidden="1">
      <c r="A1758" t="s">
        <v>2551</v>
      </c>
      <c r="B1758" t="s">
        <v>274</v>
      </c>
      <c r="C1758">
        <v>300279771</v>
      </c>
      <c r="D1758">
        <v>16186621</v>
      </c>
      <c r="E1758" t="s">
        <v>37</v>
      </c>
      <c r="F1758" t="s">
        <v>2405</v>
      </c>
      <c r="G1758">
        <v>45</v>
      </c>
      <c r="H1758" t="s">
        <v>555</v>
      </c>
      <c r="K1758" s="11">
        <v>46216.676087962966</v>
      </c>
      <c r="M1758">
        <v>1087</v>
      </c>
      <c r="N1758" t="s">
        <v>867</v>
      </c>
      <c r="O1758">
        <v>0</v>
      </c>
      <c r="P1758" s="5"/>
      <c r="Q1758" s="10">
        <f>INT(Tabela1[[#This Row],[DATA]])</f>
        <v>46216</v>
      </c>
      <c r="R1758" s="14" t="str">
        <f ca="1">IF(AND(Q1758&gt;=TODAY()-WEEKDAY(TODAY(),2)+1,Q1758&lt;TODAY()),"SIM","NÃO")</f>
        <v>NÃO</v>
      </c>
    </row>
    <row r="1759" spans="1:18" hidden="1">
      <c r="A1759" t="s">
        <v>111</v>
      </c>
      <c r="B1759" t="s">
        <v>112</v>
      </c>
      <c r="C1759">
        <v>300281209</v>
      </c>
      <c r="D1759">
        <v>16545540</v>
      </c>
      <c r="E1759" t="s">
        <v>20</v>
      </c>
      <c r="F1759" t="s">
        <v>3595</v>
      </c>
      <c r="G1759">
        <v>1</v>
      </c>
      <c r="H1759" t="s">
        <v>2843</v>
      </c>
      <c r="J1759" t="s">
        <v>2174</v>
      </c>
      <c r="K1759" s="11">
        <v>46216.689282407409</v>
      </c>
      <c r="M1759">
        <v>1088</v>
      </c>
      <c r="N1759" t="s">
        <v>867</v>
      </c>
      <c r="O1759">
        <v>10000249359</v>
      </c>
      <c r="P1759" s="5"/>
      <c r="Q1759" s="10">
        <f>INT(Tabela1[[#This Row],[DATA]])</f>
        <v>46216</v>
      </c>
      <c r="R1759" s="14" t="str">
        <f ca="1">IF(AND(Q1759&gt;=TODAY()-WEEKDAY(TODAY(),2)+1,Q1759&lt;TODAY()),"SIM","NÃO")</f>
        <v>NÃO</v>
      </c>
    </row>
    <row r="1760" spans="1:18" hidden="1">
      <c r="A1760" t="s">
        <v>2662</v>
      </c>
      <c r="B1760" t="s">
        <v>471</v>
      </c>
      <c r="C1760">
        <v>300280758</v>
      </c>
      <c r="D1760">
        <v>15724344</v>
      </c>
      <c r="E1760" t="s">
        <v>45</v>
      </c>
      <c r="F1760" t="s">
        <v>96</v>
      </c>
      <c r="G1760">
        <v>79</v>
      </c>
      <c r="H1760" t="s">
        <v>2313</v>
      </c>
      <c r="K1760" s="11">
        <v>46216.700335648151</v>
      </c>
      <c r="M1760">
        <v>1089</v>
      </c>
      <c r="N1760" t="s">
        <v>867</v>
      </c>
      <c r="O1760">
        <v>150</v>
      </c>
      <c r="P1760" s="5"/>
      <c r="Q1760" s="10">
        <f>INT(Tabela1[[#This Row],[DATA]])</f>
        <v>46216</v>
      </c>
      <c r="R1760" s="14" t="str">
        <f ca="1">IF(AND(Q1760&gt;=TODAY()-WEEKDAY(TODAY(),2)+1,Q1760&lt;TODAY()),"SIM","NÃO")</f>
        <v>NÃO</v>
      </c>
    </row>
    <row r="1761" spans="1:18" hidden="1">
      <c r="A1761" t="s">
        <v>2662</v>
      </c>
      <c r="B1761" t="s">
        <v>471</v>
      </c>
      <c r="C1761">
        <v>300280751</v>
      </c>
      <c r="D1761">
        <v>15724344</v>
      </c>
      <c r="E1761" t="s">
        <v>45</v>
      </c>
      <c r="F1761" t="s">
        <v>96</v>
      </c>
      <c r="G1761">
        <v>169</v>
      </c>
      <c r="H1761" t="s">
        <v>3596</v>
      </c>
      <c r="K1761" s="11">
        <v>46216.700335648151</v>
      </c>
      <c r="M1761">
        <v>1090</v>
      </c>
      <c r="N1761" t="s">
        <v>867</v>
      </c>
      <c r="O1761">
        <v>150</v>
      </c>
      <c r="P1761" s="5"/>
      <c r="Q1761" s="10">
        <f>INT(Tabela1[[#This Row],[DATA]])</f>
        <v>46216</v>
      </c>
      <c r="R1761" s="14" t="str">
        <f ca="1">IF(AND(Q1761&gt;=TODAY()-WEEKDAY(TODAY(),2)+1,Q1761&lt;TODAY()),"SIM","NÃO")</f>
        <v>NÃO</v>
      </c>
    </row>
    <row r="1762" spans="1:18" hidden="1">
      <c r="A1762" t="s">
        <v>2967</v>
      </c>
      <c r="B1762" t="s">
        <v>2968</v>
      </c>
      <c r="C1762">
        <v>300273766</v>
      </c>
      <c r="D1762">
        <v>16474147</v>
      </c>
      <c r="E1762" t="s">
        <v>37</v>
      </c>
      <c r="F1762" t="s">
        <v>3215</v>
      </c>
      <c r="G1762">
        <v>20</v>
      </c>
      <c r="H1762" t="s">
        <v>2380</v>
      </c>
      <c r="K1762" s="11">
        <v>46216.701863425929</v>
      </c>
      <c r="M1762">
        <v>1091</v>
      </c>
      <c r="N1762" t="s">
        <v>878</v>
      </c>
      <c r="O1762">
        <v>260</v>
      </c>
      <c r="P1762" s="5"/>
      <c r="Q1762" s="10">
        <f>INT(Tabela1[[#This Row],[DATA]])</f>
        <v>46216</v>
      </c>
      <c r="R1762" s="14" t="str">
        <f ca="1">IF(AND(Q1762&gt;=TODAY()-WEEKDAY(TODAY(),2)+1,Q1762&lt;TODAY()),"SIM","NÃO")</f>
        <v>NÃO</v>
      </c>
    </row>
    <row r="1763" spans="1:18" hidden="1">
      <c r="A1763" t="s">
        <v>2541</v>
      </c>
      <c r="B1763" t="s">
        <v>388</v>
      </c>
      <c r="C1763">
        <v>300266682</v>
      </c>
      <c r="D1763">
        <v>16444876</v>
      </c>
      <c r="E1763" t="s">
        <v>37</v>
      </c>
      <c r="F1763" t="s">
        <v>2213</v>
      </c>
      <c r="G1763">
        <v>840</v>
      </c>
      <c r="H1763" t="s">
        <v>3597</v>
      </c>
      <c r="K1763" s="11">
        <v>46216.711365740739</v>
      </c>
      <c r="M1763">
        <v>1092</v>
      </c>
      <c r="N1763" t="s">
        <v>867</v>
      </c>
      <c r="O1763">
        <v>0</v>
      </c>
      <c r="P1763" s="5"/>
      <c r="Q1763" s="10">
        <f>INT(Tabela1[[#This Row],[DATA]])</f>
        <v>46216</v>
      </c>
      <c r="R1763" s="14" t="str">
        <f ca="1">IF(AND(Q1763&gt;=TODAY()-WEEKDAY(TODAY(),2)+1,Q1763&lt;TODAY()),"SIM","NÃO")</f>
        <v>NÃO</v>
      </c>
    </row>
    <row r="1764" spans="1:18" hidden="1">
      <c r="A1764" t="s">
        <v>253</v>
      </c>
      <c r="B1764" t="s">
        <v>254</v>
      </c>
      <c r="C1764">
        <v>300279752</v>
      </c>
      <c r="D1764">
        <v>16222954</v>
      </c>
      <c r="E1764" t="s">
        <v>45</v>
      </c>
      <c r="F1764" t="s">
        <v>96</v>
      </c>
      <c r="G1764">
        <v>45</v>
      </c>
      <c r="H1764" t="s">
        <v>2228</v>
      </c>
      <c r="J1764" t="s">
        <v>3598</v>
      </c>
      <c r="K1764" s="11">
        <v>46216.728067129632</v>
      </c>
      <c r="M1764">
        <v>1093</v>
      </c>
      <c r="N1764" t="s">
        <v>867</v>
      </c>
      <c r="O1764">
        <v>0</v>
      </c>
      <c r="P1764" s="5"/>
      <c r="Q1764" s="10">
        <f>INT(Tabela1[[#This Row],[DATA]])</f>
        <v>46216</v>
      </c>
      <c r="R1764" s="14" t="str">
        <f ca="1">IF(AND(Q1764&gt;=TODAY()-WEEKDAY(TODAY(),2)+1,Q1764&lt;TODAY()),"SIM","NÃO")</f>
        <v>NÃO</v>
      </c>
    </row>
    <row r="1765" spans="1:18" hidden="1">
      <c r="A1765" t="s">
        <v>541</v>
      </c>
      <c r="B1765" t="s">
        <v>542</v>
      </c>
      <c r="C1765">
        <v>300280762</v>
      </c>
      <c r="D1765">
        <v>16224116</v>
      </c>
      <c r="E1765" t="s">
        <v>45</v>
      </c>
      <c r="F1765" t="s">
        <v>2405</v>
      </c>
      <c r="G1765">
        <v>60</v>
      </c>
      <c r="H1765" t="s">
        <v>3599</v>
      </c>
      <c r="J1765" t="s">
        <v>3599</v>
      </c>
      <c r="K1765" s="11">
        <v>46216.72824074074</v>
      </c>
      <c r="M1765">
        <v>1094</v>
      </c>
      <c r="N1765" t="s">
        <v>867</v>
      </c>
      <c r="O1765">
        <v>0</v>
      </c>
      <c r="P1765" s="5"/>
      <c r="Q1765" s="10">
        <f>INT(Tabela1[[#This Row],[DATA]])</f>
        <v>46216</v>
      </c>
      <c r="R1765" s="14" t="str">
        <f ca="1">IF(AND(Q1765&gt;=TODAY()-WEEKDAY(TODAY(),2)+1,Q1765&lt;TODAY()),"SIM","NÃO")</f>
        <v>NÃO</v>
      </c>
    </row>
    <row r="1766" spans="1:18" hidden="1">
      <c r="A1766" t="s">
        <v>2681</v>
      </c>
      <c r="B1766" t="s">
        <v>1284</v>
      </c>
      <c r="C1766">
        <v>300277463</v>
      </c>
      <c r="D1766">
        <v>15773469</v>
      </c>
      <c r="E1766" t="s">
        <v>37</v>
      </c>
      <c r="F1766" t="s">
        <v>3502</v>
      </c>
      <c r="G1766" t="s">
        <v>3600</v>
      </c>
      <c r="H1766" t="s">
        <v>3601</v>
      </c>
      <c r="J1766" t="s">
        <v>3602</v>
      </c>
      <c r="K1766" s="11">
        <v>46216.732152777775</v>
      </c>
      <c r="M1766">
        <v>1095</v>
      </c>
      <c r="N1766" t="s">
        <v>867</v>
      </c>
      <c r="O1766">
        <v>350</v>
      </c>
      <c r="P1766" s="5"/>
      <c r="Q1766" s="10">
        <f>INT(Tabela1[[#This Row],[DATA]])</f>
        <v>46216</v>
      </c>
      <c r="R1766" s="14" t="str">
        <f ca="1">IF(AND(Q1766&gt;=TODAY()-WEEKDAY(TODAY(),2)+1,Q1766&lt;TODAY()),"SIM","NÃO")</f>
        <v>NÃO</v>
      </c>
    </row>
    <row r="1767" spans="1:18" hidden="1">
      <c r="A1767" t="s">
        <v>2547</v>
      </c>
      <c r="B1767" t="s">
        <v>1582</v>
      </c>
      <c r="C1767">
        <v>300271262</v>
      </c>
      <c r="D1767">
        <v>16320042</v>
      </c>
      <c r="E1767" t="s">
        <v>45</v>
      </c>
      <c r="F1767" t="s">
        <v>525</v>
      </c>
      <c r="G1767">
        <v>46</v>
      </c>
      <c r="H1767" t="s">
        <v>3603</v>
      </c>
      <c r="J1767" t="s">
        <v>3603</v>
      </c>
      <c r="K1767" s="11">
        <v>46216.737083333333</v>
      </c>
      <c r="M1767">
        <v>1096</v>
      </c>
      <c r="N1767" t="s">
        <v>878</v>
      </c>
      <c r="O1767">
        <v>0</v>
      </c>
      <c r="P1767" s="5"/>
      <c r="Q1767" s="10">
        <f>INT(Tabela1[[#This Row],[DATA]])</f>
        <v>46216</v>
      </c>
      <c r="R1767" s="14" t="str">
        <f ca="1">IF(AND(Q1767&gt;=TODAY()-WEEKDAY(TODAY(),2)+1,Q1767&lt;TODAY()),"SIM","NÃO")</f>
        <v>NÃO</v>
      </c>
    </row>
    <row r="1768" spans="1:18" hidden="1">
      <c r="A1768" t="s">
        <v>2547</v>
      </c>
      <c r="B1768" t="s">
        <v>1582</v>
      </c>
      <c r="C1768">
        <v>300271262</v>
      </c>
      <c r="D1768">
        <v>16320042</v>
      </c>
      <c r="E1768" t="s">
        <v>45</v>
      </c>
      <c r="F1768" t="s">
        <v>2405</v>
      </c>
      <c r="G1768">
        <v>2</v>
      </c>
      <c r="H1768" t="s">
        <v>3604</v>
      </c>
      <c r="J1768" t="s">
        <v>3604</v>
      </c>
      <c r="K1768" s="11">
        <v>46216.737847222219</v>
      </c>
      <c r="M1768">
        <v>1097</v>
      </c>
      <c r="N1768" t="s">
        <v>867</v>
      </c>
      <c r="O1768">
        <v>0</v>
      </c>
      <c r="P1768" s="5"/>
      <c r="Q1768" s="10">
        <f>INT(Tabela1[[#This Row],[DATA]])</f>
        <v>46216</v>
      </c>
      <c r="R1768" s="14" t="str">
        <f ca="1">IF(AND(Q1768&gt;=TODAY()-WEEKDAY(TODAY(),2)+1,Q1768&lt;TODAY()),"SIM","NÃO")</f>
        <v>NÃO</v>
      </c>
    </row>
    <row r="1769" spans="1:18" hidden="1">
      <c r="A1769" t="s">
        <v>2554</v>
      </c>
      <c r="B1769" t="s">
        <v>150</v>
      </c>
      <c r="C1769">
        <v>300277871</v>
      </c>
      <c r="D1769">
        <v>16474058</v>
      </c>
      <c r="E1769" t="s">
        <v>37</v>
      </c>
      <c r="F1769" t="s">
        <v>3215</v>
      </c>
      <c r="G1769">
        <v>1</v>
      </c>
      <c r="H1769" t="s">
        <v>655</v>
      </c>
      <c r="J1769" t="s">
        <v>3605</v>
      </c>
      <c r="K1769" s="11">
        <v>46217.295706018522</v>
      </c>
      <c r="M1769">
        <v>1098</v>
      </c>
      <c r="N1769" t="s">
        <v>878</v>
      </c>
      <c r="O1769">
        <v>1</v>
      </c>
      <c r="P1769" s="5"/>
      <c r="Q1769" s="10">
        <f>INT(Tabela1[[#This Row],[DATA]])</f>
        <v>46217</v>
      </c>
      <c r="R1769" s="14" t="str">
        <f ca="1">IF(AND(Q1769&gt;=TODAY()-WEEKDAY(TODAY(),2)+1,Q1769&lt;TODAY()),"SIM","NÃO")</f>
        <v>NÃO</v>
      </c>
    </row>
    <row r="1770" spans="1:18" hidden="1">
      <c r="A1770" t="s">
        <v>201</v>
      </c>
      <c r="B1770" t="s">
        <v>202</v>
      </c>
      <c r="C1770">
        <v>300278808</v>
      </c>
      <c r="D1770">
        <v>16218140</v>
      </c>
      <c r="E1770" t="s">
        <v>37</v>
      </c>
      <c r="F1770" t="s">
        <v>3215</v>
      </c>
      <c r="G1770">
        <v>5</v>
      </c>
      <c r="H1770" t="s">
        <v>13</v>
      </c>
      <c r="J1770" t="s">
        <v>13</v>
      </c>
      <c r="K1770" s="11">
        <v>46217.306527777779</v>
      </c>
      <c r="M1770">
        <v>1099</v>
      </c>
      <c r="N1770" t="s">
        <v>878</v>
      </c>
      <c r="O1770">
        <v>0</v>
      </c>
      <c r="P1770" s="5"/>
      <c r="Q1770" s="10">
        <f>INT(Tabela1[[#This Row],[DATA]])</f>
        <v>46217</v>
      </c>
      <c r="R1770" s="14" t="str">
        <f ca="1">IF(AND(Q1770&gt;=TODAY()-WEEKDAY(TODAY(),2)+1,Q1770&lt;TODAY()),"SIM","NÃO")</f>
        <v>NÃO</v>
      </c>
    </row>
    <row r="1771" spans="1:18" hidden="1">
      <c r="A1771" t="s">
        <v>2549</v>
      </c>
      <c r="B1771" t="s">
        <v>19</v>
      </c>
      <c r="C1771">
        <v>300273731</v>
      </c>
      <c r="D1771">
        <v>16448243</v>
      </c>
      <c r="E1771" t="s">
        <v>37</v>
      </c>
      <c r="F1771" t="s">
        <v>2405</v>
      </c>
      <c r="G1771">
        <v>31</v>
      </c>
      <c r="H1771" t="s">
        <v>3606</v>
      </c>
      <c r="J1771" t="s">
        <v>2802</v>
      </c>
      <c r="K1771" s="11">
        <v>46217.311701388891</v>
      </c>
      <c r="M1771">
        <v>1100</v>
      </c>
      <c r="N1771" t="s">
        <v>867</v>
      </c>
      <c r="O1771" t="s">
        <v>2802</v>
      </c>
      <c r="P1771" s="5"/>
      <c r="Q1771" s="10">
        <f>INT(Tabela1[[#This Row],[DATA]])</f>
        <v>46217</v>
      </c>
      <c r="R1771" s="14" t="str">
        <f ca="1">IF(AND(Q1771&gt;=TODAY()-WEEKDAY(TODAY(),2)+1,Q1771&lt;TODAY()),"SIM","NÃO")</f>
        <v>NÃO</v>
      </c>
    </row>
    <row r="1772" spans="1:18" hidden="1">
      <c r="A1772" t="s">
        <v>332</v>
      </c>
      <c r="B1772" t="s">
        <v>28</v>
      </c>
      <c r="C1772">
        <v>300280718</v>
      </c>
      <c r="D1772">
        <v>16491963</v>
      </c>
      <c r="E1772" t="s">
        <v>45</v>
      </c>
      <c r="F1772" t="s">
        <v>2405</v>
      </c>
      <c r="G1772">
        <v>6</v>
      </c>
      <c r="H1772" t="s">
        <v>1966</v>
      </c>
      <c r="K1772" s="11">
        <v>46217.33153935185</v>
      </c>
      <c r="M1772">
        <v>1101</v>
      </c>
      <c r="N1772" t="s">
        <v>867</v>
      </c>
      <c r="O1772">
        <v>0</v>
      </c>
      <c r="P1772" s="5"/>
      <c r="Q1772" s="10">
        <f>INT(Tabela1[[#This Row],[DATA]])</f>
        <v>46217</v>
      </c>
      <c r="R1772" s="14" t="str">
        <f ca="1">IF(AND(Q1772&gt;=TODAY()-WEEKDAY(TODAY(),2)+1,Q1772&lt;TODAY()),"SIM","NÃO")</f>
        <v>NÃO</v>
      </c>
    </row>
    <row r="1773" spans="1:18" hidden="1">
      <c r="A1773" t="s">
        <v>1110</v>
      </c>
      <c r="B1773" t="s">
        <v>1111</v>
      </c>
      <c r="C1773">
        <v>300277497</v>
      </c>
      <c r="D1773">
        <v>16474090</v>
      </c>
      <c r="E1773" t="s">
        <v>37</v>
      </c>
      <c r="F1773" t="s">
        <v>177</v>
      </c>
      <c r="G1773">
        <v>200</v>
      </c>
      <c r="H1773" t="s">
        <v>1117</v>
      </c>
      <c r="J1773" t="s">
        <v>1117</v>
      </c>
      <c r="K1773" s="11">
        <v>46217.337453703702</v>
      </c>
      <c r="M1773">
        <v>1102</v>
      </c>
      <c r="N1773" t="s">
        <v>867</v>
      </c>
      <c r="O1773">
        <v>10000065700</v>
      </c>
      <c r="P1773" s="5"/>
      <c r="Q1773" s="10">
        <f>INT(Tabela1[[#This Row],[DATA]])</f>
        <v>46217</v>
      </c>
      <c r="R1773" s="14" t="str">
        <f ca="1">IF(AND(Q1773&gt;=TODAY()-WEEKDAY(TODAY(),2)+1,Q1773&lt;TODAY()),"SIM","NÃO")</f>
        <v>NÃO</v>
      </c>
    </row>
    <row r="1774" spans="1:18" hidden="1">
      <c r="A1774" t="s">
        <v>163</v>
      </c>
      <c r="B1774" t="s">
        <v>164</v>
      </c>
      <c r="C1774">
        <v>300279289</v>
      </c>
      <c r="D1774">
        <v>16027213</v>
      </c>
      <c r="E1774" t="s">
        <v>37</v>
      </c>
      <c r="F1774" t="s">
        <v>221</v>
      </c>
      <c r="G1774">
        <v>1048</v>
      </c>
      <c r="H1774" t="s">
        <v>2864</v>
      </c>
      <c r="K1774" s="11">
        <v>46217.358993055554</v>
      </c>
      <c r="M1774">
        <v>1103</v>
      </c>
      <c r="N1774" t="s">
        <v>878</v>
      </c>
      <c r="O1774">
        <v>10000195771</v>
      </c>
      <c r="P1774" s="5"/>
      <c r="Q1774" s="10">
        <f>INT(Tabela1[[#This Row],[DATA]])</f>
        <v>46217</v>
      </c>
      <c r="R1774" s="14" t="str">
        <f ca="1">IF(AND(Q1774&gt;=TODAY()-WEEKDAY(TODAY(),2)+1,Q1774&lt;TODAY()),"SIM","NÃO")</f>
        <v>NÃO</v>
      </c>
    </row>
    <row r="1775" spans="1:18" hidden="1">
      <c r="A1775" t="s">
        <v>163</v>
      </c>
      <c r="B1775" t="s">
        <v>164</v>
      </c>
      <c r="C1775">
        <v>300274233</v>
      </c>
      <c r="D1775">
        <v>16445422</v>
      </c>
      <c r="E1775" t="s">
        <v>37</v>
      </c>
      <c r="F1775" t="s">
        <v>3241</v>
      </c>
      <c r="G1775">
        <v>620</v>
      </c>
      <c r="H1775" t="s">
        <v>2679</v>
      </c>
      <c r="J1775" t="s">
        <v>3607</v>
      </c>
      <c r="K1775" s="11">
        <v>46217.36037037037</v>
      </c>
      <c r="M1775">
        <v>1104</v>
      </c>
      <c r="N1775" t="s">
        <v>878</v>
      </c>
      <c r="O1775">
        <v>10000073317</v>
      </c>
      <c r="P1775" s="5"/>
      <c r="Q1775" s="10">
        <f>INT(Tabela1[[#This Row],[DATA]])</f>
        <v>46217</v>
      </c>
      <c r="R1775" s="14" t="str">
        <f ca="1">IF(AND(Q1775&gt;=TODAY()-WEEKDAY(TODAY(),2)+1,Q1775&lt;TODAY()),"SIM","NÃO")</f>
        <v>NÃO</v>
      </c>
    </row>
    <row r="1776" spans="1:18" hidden="1">
      <c r="A1776" t="s">
        <v>3492</v>
      </c>
      <c r="B1776" t="s">
        <v>383</v>
      </c>
      <c r="C1776">
        <v>300277172</v>
      </c>
      <c r="D1776">
        <v>16472209</v>
      </c>
      <c r="E1776" t="s">
        <v>37</v>
      </c>
      <c r="F1776" t="s">
        <v>3502</v>
      </c>
      <c r="G1776">
        <v>1250</v>
      </c>
      <c r="H1776" t="s">
        <v>3608</v>
      </c>
      <c r="J1776" t="s">
        <v>3609</v>
      </c>
      <c r="K1776" s="11">
        <v>46217.364050925928</v>
      </c>
      <c r="M1776">
        <v>1105</v>
      </c>
      <c r="N1776" t="s">
        <v>878</v>
      </c>
      <c r="O1776">
        <v>0</v>
      </c>
      <c r="P1776" s="5"/>
      <c r="Q1776" s="10">
        <f>INT(Tabela1[[#This Row],[DATA]])</f>
        <v>46217</v>
      </c>
      <c r="R1776" s="14" t="str">
        <f ca="1">IF(AND(Q1776&gt;=TODAY()-WEEKDAY(TODAY(),2)+1,Q1776&lt;TODAY()),"SIM","NÃO")</f>
        <v>NÃO</v>
      </c>
    </row>
    <row r="1777" spans="1:18" hidden="1">
      <c r="A1777" t="s">
        <v>2610</v>
      </c>
      <c r="B1777" t="s">
        <v>74</v>
      </c>
      <c r="C1777">
        <v>300279736</v>
      </c>
      <c r="D1777">
        <v>16373049</v>
      </c>
      <c r="E1777" t="s">
        <v>20</v>
      </c>
      <c r="F1777" t="s">
        <v>323</v>
      </c>
      <c r="G1777">
        <v>26</v>
      </c>
      <c r="H1777" t="s">
        <v>3610</v>
      </c>
      <c r="J1777" t="s">
        <v>3611</v>
      </c>
      <c r="K1777" s="11">
        <v>46217.364803240744</v>
      </c>
      <c r="M1777">
        <v>1106</v>
      </c>
      <c r="N1777" t="s">
        <v>867</v>
      </c>
      <c r="O1777">
        <v>0</v>
      </c>
      <c r="P1777" s="5"/>
      <c r="Q1777" s="10">
        <f>INT(Tabela1[[#This Row],[DATA]])</f>
        <v>46217</v>
      </c>
      <c r="R1777" s="14" t="str">
        <f ca="1">IF(AND(Q1777&gt;=TODAY()-WEEKDAY(TODAY(),2)+1,Q1777&lt;TODAY()),"SIM","NÃO")</f>
        <v>NÃO</v>
      </c>
    </row>
    <row r="1778" spans="1:18" hidden="1">
      <c r="A1778" t="s">
        <v>2610</v>
      </c>
      <c r="B1778" t="s">
        <v>74</v>
      </c>
      <c r="C1778">
        <v>300279736</v>
      </c>
      <c r="D1778">
        <v>16373049</v>
      </c>
      <c r="E1778" t="s">
        <v>20</v>
      </c>
      <c r="F1778" t="s">
        <v>151</v>
      </c>
      <c r="G1778">
        <v>26</v>
      </c>
      <c r="H1778" t="s">
        <v>3612</v>
      </c>
      <c r="J1778" t="s">
        <v>3613</v>
      </c>
      <c r="K1778" s="11">
        <v>46217.365590277775</v>
      </c>
      <c r="M1778">
        <v>1107</v>
      </c>
      <c r="N1778" t="s">
        <v>867</v>
      </c>
      <c r="O1778">
        <v>0</v>
      </c>
      <c r="P1778" s="5"/>
      <c r="Q1778" s="10">
        <f>INT(Tabela1[[#This Row],[DATA]])</f>
        <v>46217</v>
      </c>
      <c r="R1778" s="14" t="str">
        <f ca="1">IF(AND(Q1778&gt;=TODAY()-WEEKDAY(TODAY(),2)+1,Q1778&lt;TODAY()),"SIM","NÃO")</f>
        <v>NÃO</v>
      </c>
    </row>
    <row r="1779" spans="1:18" hidden="1">
      <c r="A1779" t="s">
        <v>2662</v>
      </c>
      <c r="B1779" t="s">
        <v>471</v>
      </c>
      <c r="C1779">
        <v>300280758</v>
      </c>
      <c r="D1779">
        <v>15724344</v>
      </c>
      <c r="E1779" t="s">
        <v>45</v>
      </c>
      <c r="F1779" t="s">
        <v>103</v>
      </c>
      <c r="G1779">
        <v>100</v>
      </c>
      <c r="H1779" t="s">
        <v>2313</v>
      </c>
      <c r="K1779" s="11">
        <v>46217.367337962962</v>
      </c>
      <c r="M1779">
        <v>1108</v>
      </c>
      <c r="N1779" t="s">
        <v>867</v>
      </c>
      <c r="O1779">
        <v>150</v>
      </c>
      <c r="P1779" s="5"/>
      <c r="Q1779" s="10">
        <f>INT(Tabela1[[#This Row],[DATA]])</f>
        <v>46217</v>
      </c>
      <c r="R1779" s="14" t="str">
        <f ca="1">IF(AND(Q1779&gt;=TODAY()-WEEKDAY(TODAY(),2)+1,Q1779&lt;TODAY()),"SIM","NÃO")</f>
        <v>NÃO</v>
      </c>
    </row>
    <row r="1780" spans="1:18" hidden="1">
      <c r="A1780" t="s">
        <v>163</v>
      </c>
      <c r="B1780" t="s">
        <v>164</v>
      </c>
      <c r="C1780">
        <v>300277056</v>
      </c>
      <c r="D1780">
        <v>16217420</v>
      </c>
      <c r="E1780" t="s">
        <v>37</v>
      </c>
      <c r="F1780" t="s">
        <v>221</v>
      </c>
      <c r="G1780">
        <v>812</v>
      </c>
      <c r="H1780" t="s">
        <v>2880</v>
      </c>
      <c r="K1780" s="11">
        <v>46217.370532407411</v>
      </c>
      <c r="M1780">
        <v>1109</v>
      </c>
      <c r="N1780" t="s">
        <v>878</v>
      </c>
      <c r="O1780">
        <v>10000195771</v>
      </c>
      <c r="P1780" s="5"/>
      <c r="Q1780" s="10">
        <f>INT(Tabela1[[#This Row],[DATA]])</f>
        <v>46217</v>
      </c>
      <c r="R1780" s="14" t="str">
        <f ca="1">IF(AND(Q1780&gt;=TODAY()-WEEKDAY(TODAY(),2)+1,Q1780&lt;TODAY()),"SIM","NÃO")</f>
        <v>NÃO</v>
      </c>
    </row>
    <row r="1781" spans="1:18" hidden="1">
      <c r="A1781" t="s">
        <v>2610</v>
      </c>
      <c r="B1781" t="s">
        <v>74</v>
      </c>
      <c r="C1781">
        <v>300279736</v>
      </c>
      <c r="D1781">
        <v>16373049</v>
      </c>
      <c r="E1781" t="s">
        <v>20</v>
      </c>
      <c r="F1781" t="s">
        <v>436</v>
      </c>
      <c r="G1781">
        <v>56</v>
      </c>
      <c r="H1781" t="s">
        <v>3614</v>
      </c>
      <c r="K1781" s="11">
        <v>46217.371817129628</v>
      </c>
      <c r="M1781">
        <v>1110</v>
      </c>
      <c r="N1781" t="s">
        <v>867</v>
      </c>
      <c r="O1781">
        <v>0</v>
      </c>
      <c r="P1781" s="5"/>
      <c r="Q1781" s="10">
        <f>INT(Tabela1[[#This Row],[DATA]])</f>
        <v>46217</v>
      </c>
      <c r="R1781" s="14" t="str">
        <f ca="1">IF(AND(Q1781&gt;=TODAY()-WEEKDAY(TODAY(),2)+1,Q1781&lt;TODAY()),"SIM","NÃO")</f>
        <v>NÃO</v>
      </c>
    </row>
    <row r="1782" spans="1:18" hidden="1">
      <c r="A1782" t="s">
        <v>2610</v>
      </c>
      <c r="B1782" t="s">
        <v>74</v>
      </c>
      <c r="C1782">
        <v>300279736</v>
      </c>
      <c r="D1782">
        <v>16373049</v>
      </c>
      <c r="E1782" t="s">
        <v>20</v>
      </c>
      <c r="F1782" t="s">
        <v>436</v>
      </c>
      <c r="G1782">
        <v>26</v>
      </c>
      <c r="H1782" t="s">
        <v>3615</v>
      </c>
      <c r="K1782" s="11">
        <v>46217.373611111114</v>
      </c>
      <c r="M1782">
        <v>1111</v>
      </c>
      <c r="N1782" t="s">
        <v>867</v>
      </c>
      <c r="O1782">
        <v>0</v>
      </c>
      <c r="P1782" s="5"/>
      <c r="Q1782" s="10">
        <f>INT(Tabela1[[#This Row],[DATA]])</f>
        <v>46217</v>
      </c>
      <c r="R1782" s="14" t="str">
        <f ca="1">IF(AND(Q1782&gt;=TODAY()-WEEKDAY(TODAY(),2)+1,Q1782&lt;TODAY()),"SIM","NÃO")</f>
        <v>NÃO</v>
      </c>
    </row>
    <row r="1783" spans="1:18" hidden="1">
      <c r="A1783" t="s">
        <v>2610</v>
      </c>
      <c r="B1783" t="s">
        <v>74</v>
      </c>
      <c r="C1783">
        <v>300279736</v>
      </c>
      <c r="D1783">
        <v>16373049</v>
      </c>
      <c r="E1783" t="s">
        <v>20</v>
      </c>
      <c r="F1783" t="s">
        <v>3438</v>
      </c>
      <c r="G1783">
        <v>26</v>
      </c>
      <c r="H1783" t="s">
        <v>3616</v>
      </c>
      <c r="J1783" t="s">
        <v>3617</v>
      </c>
      <c r="K1783" s="11">
        <v>46217.377314814818</v>
      </c>
      <c r="M1783">
        <v>1112</v>
      </c>
      <c r="N1783" t="s">
        <v>878</v>
      </c>
      <c r="O1783">
        <v>0</v>
      </c>
      <c r="P1783" s="5"/>
      <c r="Q1783" s="10">
        <f>INT(Tabela1[[#This Row],[DATA]])</f>
        <v>46217</v>
      </c>
      <c r="R1783" s="14" t="str">
        <f ca="1">IF(AND(Q1783&gt;=TODAY()-WEEKDAY(TODAY(),2)+1,Q1783&lt;TODAY()),"SIM","NÃO")</f>
        <v>NÃO</v>
      </c>
    </row>
    <row r="1784" spans="1:18" hidden="1">
      <c r="A1784" t="s">
        <v>2610</v>
      </c>
      <c r="B1784" t="s">
        <v>74</v>
      </c>
      <c r="C1784">
        <v>300273736</v>
      </c>
      <c r="D1784">
        <v>16373049</v>
      </c>
      <c r="E1784" t="s">
        <v>20</v>
      </c>
      <c r="F1784" t="s">
        <v>417</v>
      </c>
      <c r="G1784">
        <v>26</v>
      </c>
      <c r="H1784" t="s">
        <v>3618</v>
      </c>
      <c r="J1784" t="s">
        <v>3619</v>
      </c>
      <c r="K1784" s="11">
        <v>46217.381226851852</v>
      </c>
      <c r="M1784">
        <v>1113</v>
      </c>
      <c r="N1784" t="s">
        <v>867</v>
      </c>
      <c r="O1784">
        <v>0</v>
      </c>
      <c r="P1784" s="5"/>
      <c r="Q1784" s="10">
        <f>INT(Tabela1[[#This Row],[DATA]])</f>
        <v>46217</v>
      </c>
      <c r="R1784" s="14" t="str">
        <f ca="1">IF(AND(Q1784&gt;=TODAY()-WEEKDAY(TODAY(),2)+1,Q1784&lt;TODAY()),"SIM","NÃO")</f>
        <v>NÃO</v>
      </c>
    </row>
    <row r="1785" spans="1:18" hidden="1">
      <c r="A1785" t="s">
        <v>755</v>
      </c>
      <c r="B1785" t="s">
        <v>756</v>
      </c>
      <c r="C1785">
        <v>300279293</v>
      </c>
      <c r="D1785">
        <v>16027213</v>
      </c>
      <c r="E1785" t="s">
        <v>37</v>
      </c>
      <c r="F1785" t="s">
        <v>221</v>
      </c>
      <c r="G1785">
        <v>1350</v>
      </c>
      <c r="H1785" t="s">
        <v>827</v>
      </c>
      <c r="J1785" t="s">
        <v>3620</v>
      </c>
      <c r="K1785" s="11">
        <v>46217.395439814813</v>
      </c>
      <c r="M1785">
        <v>1114</v>
      </c>
      <c r="N1785" t="s">
        <v>878</v>
      </c>
      <c r="O1785" t="s">
        <v>2664</v>
      </c>
      <c r="P1785" s="5"/>
      <c r="Q1785" s="10">
        <f>INT(Tabela1[[#This Row],[DATA]])</f>
        <v>46217</v>
      </c>
      <c r="R1785" s="14" t="str">
        <f ca="1">IF(AND(Q1785&gt;=TODAY()-WEEKDAY(TODAY(),2)+1,Q1785&lt;TODAY()),"SIM","NÃO")</f>
        <v>NÃO</v>
      </c>
    </row>
    <row r="1786" spans="1:18" hidden="1">
      <c r="A1786" t="s">
        <v>332</v>
      </c>
      <c r="B1786" t="s">
        <v>690</v>
      </c>
      <c r="C1786">
        <v>300279357</v>
      </c>
      <c r="D1786">
        <v>16526422</v>
      </c>
      <c r="E1786" t="s">
        <v>45</v>
      </c>
      <c r="F1786" t="s">
        <v>3212</v>
      </c>
      <c r="G1786">
        <v>945</v>
      </c>
      <c r="H1786" t="s">
        <v>3621</v>
      </c>
      <c r="J1786" t="s">
        <v>3622</v>
      </c>
      <c r="K1786" s="11">
        <v>46217.437025462961</v>
      </c>
      <c r="M1786">
        <v>1115</v>
      </c>
      <c r="N1786" t="s">
        <v>878</v>
      </c>
      <c r="O1786">
        <v>0</v>
      </c>
      <c r="P1786" s="5"/>
      <c r="Q1786" s="10">
        <f>INT(Tabela1[[#This Row],[DATA]])</f>
        <v>46217</v>
      </c>
      <c r="R1786" s="14" t="str">
        <f ca="1">IF(AND(Q1786&gt;=TODAY()-WEEKDAY(TODAY(),2)+1,Q1786&lt;TODAY()),"SIM","NÃO")</f>
        <v>NÃO</v>
      </c>
    </row>
    <row r="1787" spans="1:18" hidden="1">
      <c r="A1787" t="s">
        <v>2571</v>
      </c>
      <c r="B1787" t="s">
        <v>1487</v>
      </c>
      <c r="C1787">
        <v>300278637</v>
      </c>
      <c r="D1787">
        <v>16222326</v>
      </c>
      <c r="E1787" t="s">
        <v>45</v>
      </c>
      <c r="F1787" t="s">
        <v>3212</v>
      </c>
      <c r="G1787">
        <v>40</v>
      </c>
      <c r="H1787" t="s">
        <v>3623</v>
      </c>
      <c r="J1787" t="s">
        <v>3624</v>
      </c>
      <c r="K1787" s="11">
        <v>46217.437881944446</v>
      </c>
      <c r="M1787">
        <v>1116</v>
      </c>
      <c r="N1787" t="s">
        <v>867</v>
      </c>
      <c r="O1787" t="s">
        <v>3625</v>
      </c>
      <c r="P1787" s="5"/>
      <c r="Q1787" s="10">
        <f>INT(Tabela1[[#This Row],[DATA]])</f>
        <v>46217</v>
      </c>
      <c r="R1787" s="14" t="str">
        <f ca="1">IF(AND(Q1787&gt;=TODAY()-WEEKDAY(TODAY(),2)+1,Q1787&lt;TODAY()),"SIM","NÃO")</f>
        <v>NÃO</v>
      </c>
    </row>
    <row r="1788" spans="1:18" hidden="1">
      <c r="A1788" t="s">
        <v>332</v>
      </c>
      <c r="B1788" t="s">
        <v>690</v>
      </c>
      <c r="C1788">
        <v>300280226</v>
      </c>
      <c r="D1788">
        <v>16474228</v>
      </c>
      <c r="E1788" t="s">
        <v>45</v>
      </c>
      <c r="F1788" t="s">
        <v>2405</v>
      </c>
      <c r="G1788">
        <v>1</v>
      </c>
      <c r="H1788" t="s">
        <v>1966</v>
      </c>
      <c r="K1788" s="11">
        <v>46217.439398148148</v>
      </c>
      <c r="M1788">
        <v>1117</v>
      </c>
      <c r="N1788" t="s">
        <v>867</v>
      </c>
      <c r="O1788">
        <v>0</v>
      </c>
      <c r="P1788" s="5"/>
      <c r="Q1788" s="10">
        <f>INT(Tabela1[[#This Row],[DATA]])</f>
        <v>46217</v>
      </c>
      <c r="R1788" s="14" t="str">
        <f ca="1">IF(AND(Q1788&gt;=TODAY()-WEEKDAY(TODAY(),2)+1,Q1788&lt;TODAY()),"SIM","NÃO")</f>
        <v>NÃO</v>
      </c>
    </row>
    <row r="1789" spans="1:18" hidden="1">
      <c r="A1789" t="s">
        <v>807</v>
      </c>
      <c r="B1789" t="s">
        <v>1390</v>
      </c>
      <c r="C1789">
        <v>300277951</v>
      </c>
      <c r="D1789">
        <v>16441630</v>
      </c>
      <c r="E1789" t="s">
        <v>45</v>
      </c>
      <c r="F1789" t="s">
        <v>2405</v>
      </c>
      <c r="G1789">
        <v>168</v>
      </c>
      <c r="H1789" t="s">
        <v>3626</v>
      </c>
      <c r="J1789" t="s">
        <v>3627</v>
      </c>
      <c r="K1789" s="11">
        <v>46217.455810185187</v>
      </c>
      <c r="M1789">
        <v>1118</v>
      </c>
      <c r="N1789" t="s">
        <v>867</v>
      </c>
      <c r="O1789">
        <v>16441630</v>
      </c>
      <c r="P1789" s="5"/>
      <c r="Q1789" s="10">
        <f>INT(Tabela1[[#This Row],[DATA]])</f>
        <v>46217</v>
      </c>
      <c r="R1789" s="14" t="str">
        <f ca="1">IF(AND(Q1789&gt;=TODAY()-WEEKDAY(TODAY(),2)+1,Q1789&lt;TODAY()),"SIM","NÃO")</f>
        <v>NÃO</v>
      </c>
    </row>
    <row r="1790" spans="1:18" hidden="1">
      <c r="A1790" t="s">
        <v>2671</v>
      </c>
      <c r="B1790" t="s">
        <v>89</v>
      </c>
      <c r="C1790">
        <v>300277860</v>
      </c>
      <c r="D1790">
        <v>15950123</v>
      </c>
      <c r="E1790" t="s">
        <v>37</v>
      </c>
      <c r="F1790" t="s">
        <v>3215</v>
      </c>
      <c r="G1790">
        <v>10</v>
      </c>
      <c r="H1790" t="s">
        <v>2751</v>
      </c>
      <c r="J1790" t="s">
        <v>3628</v>
      </c>
      <c r="K1790" s="11">
        <v>46217.458761574075</v>
      </c>
      <c r="M1790">
        <v>1119</v>
      </c>
      <c r="N1790" t="s">
        <v>878</v>
      </c>
      <c r="O1790">
        <v>0</v>
      </c>
      <c r="P1790" s="5"/>
      <c r="Q1790" s="10">
        <f>INT(Tabela1[[#This Row],[DATA]])</f>
        <v>46217</v>
      </c>
      <c r="R1790" s="14" t="str">
        <f ca="1">IF(AND(Q1790&gt;=TODAY()-WEEKDAY(TODAY(),2)+1,Q1790&lt;TODAY()),"SIM","NÃO")</f>
        <v>NÃO</v>
      </c>
    </row>
    <row r="1791" spans="1:18" hidden="1">
      <c r="A1791" t="s">
        <v>79</v>
      </c>
      <c r="B1791" t="s">
        <v>3629</v>
      </c>
      <c r="C1791">
        <v>300277113</v>
      </c>
      <c r="D1791">
        <v>16442709</v>
      </c>
      <c r="E1791" t="s">
        <v>29</v>
      </c>
      <c r="F1791" t="s">
        <v>323</v>
      </c>
      <c r="G1791">
        <v>7</v>
      </c>
      <c r="H1791" t="s">
        <v>3630</v>
      </c>
      <c r="K1791" s="11">
        <v>46217.509837962964</v>
      </c>
      <c r="M1791">
        <v>1120</v>
      </c>
      <c r="N1791" t="s">
        <v>867</v>
      </c>
      <c r="O1791">
        <v>0</v>
      </c>
      <c r="P1791" s="5"/>
      <c r="Q1791" s="10">
        <f>INT(Tabela1[[#This Row],[DATA]])</f>
        <v>46217</v>
      </c>
      <c r="R1791" s="14" t="str">
        <f ca="1">IF(AND(Q1791&gt;=TODAY()-WEEKDAY(TODAY(),2)+1,Q1791&lt;TODAY()),"SIM","NÃO")</f>
        <v>NÃO</v>
      </c>
    </row>
    <row r="1792" spans="1:18" hidden="1">
      <c r="A1792" t="s">
        <v>2571</v>
      </c>
      <c r="B1792" t="s">
        <v>798</v>
      </c>
      <c r="C1792">
        <v>300278639</v>
      </c>
      <c r="D1792">
        <v>16222326</v>
      </c>
      <c r="E1792" t="s">
        <v>45</v>
      </c>
      <c r="F1792" t="s">
        <v>3212</v>
      </c>
      <c r="G1792">
        <v>40</v>
      </c>
      <c r="H1792" t="s">
        <v>3448</v>
      </c>
      <c r="J1792" t="s">
        <v>3284</v>
      </c>
      <c r="K1792" s="11">
        <v>46217.556122685186</v>
      </c>
      <c r="M1792">
        <v>1121</v>
      </c>
      <c r="N1792" t="s">
        <v>867</v>
      </c>
      <c r="O1792" t="s">
        <v>3631</v>
      </c>
      <c r="P1792" s="5"/>
      <c r="Q1792" s="10">
        <f>INT(Tabela1[[#This Row],[DATA]])</f>
        <v>46217</v>
      </c>
      <c r="R1792" s="14" t="str">
        <f ca="1">IF(AND(Q1792&gt;=TODAY()-WEEKDAY(TODAY(),2)+1,Q1792&lt;TODAY()),"SIM","NÃO")</f>
        <v>NÃO</v>
      </c>
    </row>
    <row r="1793" spans="1:18" hidden="1">
      <c r="A1793" t="s">
        <v>2177</v>
      </c>
      <c r="B1793" t="s">
        <v>1073</v>
      </c>
      <c r="C1793">
        <v>300276046</v>
      </c>
      <c r="D1793">
        <v>16473825</v>
      </c>
      <c r="E1793" t="s">
        <v>37</v>
      </c>
      <c r="F1793" t="s">
        <v>2405</v>
      </c>
      <c r="G1793">
        <v>20</v>
      </c>
      <c r="H1793" t="s">
        <v>3632</v>
      </c>
      <c r="J1793" t="s">
        <v>3633</v>
      </c>
      <c r="K1793" s="11">
        <v>46217.55667824074</v>
      </c>
      <c r="M1793">
        <v>1122</v>
      </c>
      <c r="N1793" t="s">
        <v>867</v>
      </c>
      <c r="O1793" t="s">
        <v>3634</v>
      </c>
      <c r="P1793" s="5"/>
      <c r="Q1793" s="10">
        <f>INT(Tabela1[[#This Row],[DATA]])</f>
        <v>46217</v>
      </c>
      <c r="R1793" s="14" t="str">
        <f ca="1">IF(AND(Q1793&gt;=TODAY()-WEEKDAY(TODAY(),2)+1,Q1793&lt;TODAY()),"SIM","NÃO")</f>
        <v>NÃO</v>
      </c>
    </row>
    <row r="1794" spans="1:18" hidden="1">
      <c r="A1794" t="s">
        <v>2571</v>
      </c>
      <c r="B1794" t="s">
        <v>798</v>
      </c>
      <c r="C1794">
        <v>300278640</v>
      </c>
      <c r="D1794">
        <v>16222326</v>
      </c>
      <c r="E1794" t="s">
        <v>45</v>
      </c>
      <c r="F1794" t="s">
        <v>3212</v>
      </c>
      <c r="G1794">
        <v>40</v>
      </c>
      <c r="H1794" t="s">
        <v>3448</v>
      </c>
      <c r="K1794" s="11">
        <v>46217.56009259259</v>
      </c>
      <c r="M1794">
        <v>1123</v>
      </c>
      <c r="N1794" t="s">
        <v>867</v>
      </c>
      <c r="O1794" t="s">
        <v>3635</v>
      </c>
      <c r="P1794" s="5"/>
      <c r="Q1794" s="10">
        <f>INT(Tabela1[[#This Row],[DATA]])</f>
        <v>46217</v>
      </c>
      <c r="R1794" s="14" t="str">
        <f ca="1">IF(AND(Q1794&gt;=TODAY()-WEEKDAY(TODAY(),2)+1,Q1794&lt;TODAY()),"SIM","NÃO")</f>
        <v>NÃO</v>
      </c>
    </row>
    <row r="1795" spans="1:18" hidden="1">
      <c r="A1795" t="s">
        <v>2541</v>
      </c>
      <c r="B1795" t="s">
        <v>388</v>
      </c>
      <c r="C1795">
        <v>300274223</v>
      </c>
      <c r="D1795">
        <v>16448421</v>
      </c>
      <c r="E1795" t="s">
        <v>37</v>
      </c>
      <c r="F1795" t="s">
        <v>2405</v>
      </c>
      <c r="G1795">
        <v>20</v>
      </c>
      <c r="H1795" t="s">
        <v>2313</v>
      </c>
      <c r="K1795" s="11">
        <v>46217.598368055558</v>
      </c>
      <c r="M1795">
        <v>1124</v>
      </c>
      <c r="N1795" t="s">
        <v>867</v>
      </c>
      <c r="O1795">
        <v>0</v>
      </c>
      <c r="P1795" s="5"/>
      <c r="Q1795" s="10">
        <f>INT(Tabela1[[#This Row],[DATA]])</f>
        <v>46217</v>
      </c>
      <c r="R1795" s="14" t="str">
        <f ca="1">IF(AND(Q1795&gt;=TODAY()-WEEKDAY(TODAY(),2)+1,Q1795&lt;TODAY()),"SIM","NÃO")</f>
        <v>NÃO</v>
      </c>
    </row>
    <row r="1796" spans="1:18" hidden="1">
      <c r="A1796" t="s">
        <v>2774</v>
      </c>
      <c r="B1796" t="s">
        <v>1910</v>
      </c>
      <c r="C1796">
        <v>300000000</v>
      </c>
      <c r="D1796">
        <v>0</v>
      </c>
      <c r="E1796" t="s">
        <v>37</v>
      </c>
      <c r="F1796" t="s">
        <v>3215</v>
      </c>
      <c r="G1796">
        <v>0</v>
      </c>
      <c r="H1796" t="s">
        <v>2492</v>
      </c>
      <c r="J1796" t="s">
        <v>3636</v>
      </c>
      <c r="K1796" s="11">
        <v>46217.601643518516</v>
      </c>
      <c r="M1796">
        <v>1125</v>
      </c>
      <c r="N1796" t="s">
        <v>878</v>
      </c>
      <c r="O1796">
        <v>0</v>
      </c>
      <c r="P1796" s="5"/>
      <c r="Q1796" s="10">
        <f>INT(Tabela1[[#This Row],[DATA]])</f>
        <v>46217</v>
      </c>
      <c r="R1796" s="14" t="str">
        <f ca="1">IF(AND(Q1796&gt;=TODAY()-WEEKDAY(TODAY(),2)+1,Q1796&lt;TODAY()),"SIM","NÃO")</f>
        <v>NÃO</v>
      </c>
    </row>
    <row r="1797" spans="1:18" hidden="1">
      <c r="A1797" t="s">
        <v>2639</v>
      </c>
      <c r="B1797" t="s">
        <v>2640</v>
      </c>
      <c r="C1797">
        <v>300278802</v>
      </c>
      <c r="D1797">
        <v>16474570</v>
      </c>
      <c r="E1797" t="s">
        <v>37</v>
      </c>
      <c r="F1797" t="s">
        <v>323</v>
      </c>
      <c r="G1797" t="s">
        <v>3637</v>
      </c>
      <c r="H1797" t="s">
        <v>3638</v>
      </c>
      <c r="J1797" t="s">
        <v>3639</v>
      </c>
      <c r="K1797" s="11">
        <v>46217.601655092592</v>
      </c>
      <c r="M1797">
        <v>1126</v>
      </c>
      <c r="N1797" t="s">
        <v>867</v>
      </c>
      <c r="O1797">
        <v>0</v>
      </c>
      <c r="P1797" s="5"/>
      <c r="Q1797" s="10">
        <f>INT(Tabela1[[#This Row],[DATA]])</f>
        <v>46217</v>
      </c>
      <c r="R1797" s="14" t="str">
        <f ca="1">IF(AND(Q1797&gt;=TODAY()-WEEKDAY(TODAY(),2)+1,Q1797&lt;TODAY()),"SIM","NÃO")</f>
        <v>NÃO</v>
      </c>
    </row>
    <row r="1798" spans="1:18" hidden="1">
      <c r="A1798" t="s">
        <v>2754</v>
      </c>
      <c r="B1798" t="s">
        <v>822</v>
      </c>
      <c r="C1798">
        <v>300277863</v>
      </c>
      <c r="D1798">
        <v>15950123</v>
      </c>
      <c r="E1798" t="s">
        <v>37</v>
      </c>
      <c r="F1798" t="s">
        <v>3502</v>
      </c>
      <c r="G1798">
        <v>981</v>
      </c>
      <c r="H1798" t="s">
        <v>3640</v>
      </c>
      <c r="J1798" t="s">
        <v>3641</v>
      </c>
      <c r="K1798" s="11">
        <v>46217.614652777775</v>
      </c>
      <c r="M1798">
        <v>1127</v>
      </c>
      <c r="N1798" t="s">
        <v>878</v>
      </c>
      <c r="O1798">
        <v>0</v>
      </c>
      <c r="P1798" s="5"/>
      <c r="Q1798" s="10">
        <f>INT(Tabela1[[#This Row],[DATA]])</f>
        <v>46217</v>
      </c>
      <c r="R1798" s="14" t="str">
        <f ca="1">IF(AND(Q1798&gt;=TODAY()-WEEKDAY(TODAY(),2)+1,Q1798&lt;TODAY()),"SIM","NÃO")</f>
        <v>NÃO</v>
      </c>
    </row>
    <row r="1799" spans="1:18" hidden="1">
      <c r="A1799" t="s">
        <v>287</v>
      </c>
      <c r="B1799" t="s">
        <v>288</v>
      </c>
      <c r="C1799">
        <v>300273319</v>
      </c>
      <c r="D1799">
        <v>155775615</v>
      </c>
      <c r="E1799" t="s">
        <v>37</v>
      </c>
      <c r="F1799" t="s">
        <v>216</v>
      </c>
      <c r="G1799">
        <v>79</v>
      </c>
      <c r="H1799" t="s">
        <v>3642</v>
      </c>
      <c r="J1799" t="s">
        <v>3643</v>
      </c>
      <c r="K1799" s="11">
        <v>46217.618518518517</v>
      </c>
      <c r="M1799">
        <v>1128</v>
      </c>
      <c r="N1799" t="s">
        <v>867</v>
      </c>
      <c r="O1799">
        <v>0</v>
      </c>
      <c r="P1799" s="5"/>
      <c r="Q1799" s="10">
        <f>INT(Tabela1[[#This Row],[DATA]])</f>
        <v>46217</v>
      </c>
      <c r="R1799" s="14" t="str">
        <f ca="1">IF(AND(Q1799&gt;=TODAY()-WEEKDAY(TODAY(),2)+1,Q1799&lt;TODAY()),"SIM","NÃO")</f>
        <v>NÃO</v>
      </c>
    </row>
    <row r="1800" spans="1:18" hidden="1">
      <c r="A1800" t="s">
        <v>163</v>
      </c>
      <c r="B1800" t="s">
        <v>164</v>
      </c>
      <c r="C1800">
        <v>300271538</v>
      </c>
      <c r="D1800">
        <v>16430301</v>
      </c>
      <c r="E1800" t="s">
        <v>37</v>
      </c>
      <c r="F1800" t="s">
        <v>221</v>
      </c>
      <c r="G1800">
        <v>1232</v>
      </c>
      <c r="H1800" t="s">
        <v>2920</v>
      </c>
      <c r="K1800" s="11">
        <v>46217.63177083333</v>
      </c>
      <c r="M1800">
        <v>1129</v>
      </c>
      <c r="N1800" t="s">
        <v>878</v>
      </c>
      <c r="O1800">
        <v>10000195771</v>
      </c>
      <c r="P1800" s="5"/>
      <c r="Q1800" s="10">
        <f>INT(Tabela1[[#This Row],[DATA]])</f>
        <v>46217</v>
      </c>
      <c r="R1800" s="14" t="str">
        <f ca="1">IF(AND(Q1800&gt;=TODAY()-WEEKDAY(TODAY(),2)+1,Q1800&lt;TODAY()),"SIM","NÃO")</f>
        <v>NÃO</v>
      </c>
    </row>
    <row r="1801" spans="1:18" hidden="1">
      <c r="A1801" t="s">
        <v>130</v>
      </c>
      <c r="B1801" t="s">
        <v>131</v>
      </c>
      <c r="C1801">
        <v>300276281</v>
      </c>
      <c r="D1801">
        <v>16291077</v>
      </c>
      <c r="E1801" t="s">
        <v>37</v>
      </c>
      <c r="F1801" t="s">
        <v>323</v>
      </c>
      <c r="G1801">
        <v>20</v>
      </c>
      <c r="H1801" t="s">
        <v>3644</v>
      </c>
      <c r="J1801" t="s">
        <v>3645</v>
      </c>
      <c r="K1801" s="11">
        <v>46217.64949074074</v>
      </c>
      <c r="M1801">
        <v>1130</v>
      </c>
      <c r="N1801" t="s">
        <v>867</v>
      </c>
      <c r="O1801">
        <v>0</v>
      </c>
      <c r="P1801" s="5"/>
      <c r="Q1801" s="10">
        <f>INT(Tabela1[[#This Row],[DATA]])</f>
        <v>46217</v>
      </c>
      <c r="R1801" s="14" t="str">
        <f ca="1">IF(AND(Q1801&gt;=TODAY()-WEEKDAY(TODAY(),2)+1,Q1801&lt;TODAY()),"SIM","NÃO")</f>
        <v>NÃO</v>
      </c>
    </row>
    <row r="1802" spans="1:18" hidden="1">
      <c r="A1802" t="s">
        <v>163</v>
      </c>
      <c r="B1802" t="s">
        <v>164</v>
      </c>
      <c r="C1802">
        <v>300273782</v>
      </c>
      <c r="D1802">
        <v>15359492</v>
      </c>
      <c r="E1802" t="s">
        <v>29</v>
      </c>
      <c r="F1802" t="s">
        <v>2405</v>
      </c>
      <c r="G1802">
        <v>8</v>
      </c>
      <c r="H1802" t="s">
        <v>2517</v>
      </c>
      <c r="K1802" s="11">
        <v>46217.651724537034</v>
      </c>
      <c r="M1802">
        <v>1131</v>
      </c>
      <c r="N1802" t="s">
        <v>867</v>
      </c>
      <c r="O1802">
        <v>0</v>
      </c>
      <c r="P1802" s="5"/>
      <c r="Q1802" s="10">
        <f>INT(Tabela1[[#This Row],[DATA]])</f>
        <v>46217</v>
      </c>
      <c r="R1802" s="14" t="str">
        <f ca="1">IF(AND(Q1802&gt;=TODAY()-WEEKDAY(TODAY(),2)+1,Q1802&lt;TODAY()),"SIM","NÃO")</f>
        <v>NÃO</v>
      </c>
    </row>
    <row r="1803" spans="1:18" hidden="1">
      <c r="A1803" t="s">
        <v>163</v>
      </c>
      <c r="B1803" t="s">
        <v>164</v>
      </c>
      <c r="C1803">
        <v>300271538</v>
      </c>
      <c r="D1803">
        <v>16430301</v>
      </c>
      <c r="E1803" t="s">
        <v>37</v>
      </c>
      <c r="F1803" t="s">
        <v>2213</v>
      </c>
      <c r="G1803">
        <v>264</v>
      </c>
      <c r="H1803" t="s">
        <v>3390</v>
      </c>
      <c r="K1803" s="11">
        <v>46217.653773148151</v>
      </c>
      <c r="M1803">
        <v>1132</v>
      </c>
      <c r="N1803" t="s">
        <v>878</v>
      </c>
      <c r="O1803">
        <v>10000247807</v>
      </c>
      <c r="P1803" s="5"/>
      <c r="Q1803" s="10">
        <f>INT(Tabela1[[#This Row],[DATA]])</f>
        <v>46217</v>
      </c>
      <c r="R1803" s="14" t="str">
        <f ca="1">IF(AND(Q1803&gt;=TODAY()-WEEKDAY(TODAY(),2)+1,Q1803&lt;TODAY()),"SIM","NÃO")</f>
        <v>NÃO</v>
      </c>
    </row>
    <row r="1804" spans="1:18" hidden="1">
      <c r="A1804" t="s">
        <v>163</v>
      </c>
      <c r="B1804" t="s">
        <v>164</v>
      </c>
      <c r="C1804">
        <v>300271538</v>
      </c>
      <c r="D1804">
        <v>16430301</v>
      </c>
      <c r="E1804" t="s">
        <v>37</v>
      </c>
      <c r="F1804" t="s">
        <v>2213</v>
      </c>
      <c r="G1804">
        <v>264</v>
      </c>
      <c r="H1804" t="s">
        <v>2920</v>
      </c>
      <c r="K1804" s="11">
        <v>46217.656921296293</v>
      </c>
      <c r="M1804">
        <v>1133</v>
      </c>
      <c r="N1804" t="s">
        <v>878</v>
      </c>
      <c r="O1804">
        <v>10000247811</v>
      </c>
      <c r="P1804" s="5"/>
      <c r="Q1804" s="10">
        <f>INT(Tabela1[[#This Row],[DATA]])</f>
        <v>46217</v>
      </c>
      <c r="R1804" s="14" t="str">
        <f ca="1">IF(AND(Q1804&gt;=TODAY()-WEEKDAY(TODAY(),2)+1,Q1804&lt;TODAY()),"SIM","NÃO")</f>
        <v>NÃO</v>
      </c>
    </row>
    <row r="1805" spans="1:18" hidden="1">
      <c r="A1805" t="s">
        <v>163</v>
      </c>
      <c r="B1805" t="s">
        <v>164</v>
      </c>
      <c r="C1805">
        <v>300271538</v>
      </c>
      <c r="D1805">
        <v>16430301</v>
      </c>
      <c r="E1805" t="s">
        <v>37</v>
      </c>
      <c r="F1805" t="s">
        <v>216</v>
      </c>
      <c r="G1805">
        <v>1232</v>
      </c>
      <c r="H1805" t="s">
        <v>2920</v>
      </c>
      <c r="K1805" s="11">
        <v>46217.657997685186</v>
      </c>
      <c r="M1805">
        <v>1134</v>
      </c>
      <c r="N1805" t="s">
        <v>878</v>
      </c>
      <c r="O1805">
        <v>0</v>
      </c>
      <c r="P1805" s="5"/>
      <c r="Q1805" s="10">
        <f>INT(Tabela1[[#This Row],[DATA]])</f>
        <v>46217</v>
      </c>
      <c r="R1805" s="14" t="str">
        <f ca="1">IF(AND(Q1805&gt;=TODAY()-WEEKDAY(TODAY(),2)+1,Q1805&lt;TODAY()),"SIM","NÃO")</f>
        <v>NÃO</v>
      </c>
    </row>
    <row r="1806" spans="1:18" hidden="1">
      <c r="A1806" t="s">
        <v>163</v>
      </c>
      <c r="B1806" t="s">
        <v>164</v>
      </c>
      <c r="C1806">
        <v>300271538</v>
      </c>
      <c r="D1806">
        <v>16430301</v>
      </c>
      <c r="E1806" t="s">
        <v>37</v>
      </c>
      <c r="F1806" t="s">
        <v>2213</v>
      </c>
      <c r="G1806">
        <v>176</v>
      </c>
      <c r="H1806" t="s">
        <v>3390</v>
      </c>
      <c r="K1806" s="11">
        <v>46217.65902777778</v>
      </c>
      <c r="M1806">
        <v>1135</v>
      </c>
      <c r="N1806" t="s">
        <v>878</v>
      </c>
      <c r="O1806">
        <v>10000247752</v>
      </c>
      <c r="P1806" s="5"/>
      <c r="Q1806" s="10">
        <f>INT(Tabela1[[#This Row],[DATA]])</f>
        <v>46217</v>
      </c>
      <c r="R1806" s="14" t="str">
        <f ca="1">IF(AND(Q1806&gt;=TODAY()-WEEKDAY(TODAY(),2)+1,Q1806&lt;TODAY()),"SIM","NÃO")</f>
        <v>NÃO</v>
      </c>
    </row>
    <row r="1807" spans="1:18" hidden="1">
      <c r="A1807" t="s">
        <v>605</v>
      </c>
      <c r="B1807" t="s">
        <v>606</v>
      </c>
      <c r="C1807">
        <v>300281472</v>
      </c>
      <c r="D1807">
        <v>13044826</v>
      </c>
      <c r="E1807" t="s">
        <v>29</v>
      </c>
      <c r="F1807" t="s">
        <v>323</v>
      </c>
      <c r="G1807">
        <v>31</v>
      </c>
      <c r="H1807" t="s">
        <v>1112</v>
      </c>
      <c r="K1807" s="11">
        <v>46217.659479166665</v>
      </c>
      <c r="M1807">
        <v>1136</v>
      </c>
      <c r="N1807" t="s">
        <v>867</v>
      </c>
      <c r="O1807">
        <v>0</v>
      </c>
      <c r="P1807" s="5"/>
      <c r="Q1807" s="10">
        <f>INT(Tabela1[[#This Row],[DATA]])</f>
        <v>46217</v>
      </c>
      <c r="R1807" s="14" t="str">
        <f ca="1">IF(AND(Q1807&gt;=TODAY()-WEEKDAY(TODAY(),2)+1,Q1807&lt;TODAY()),"SIM","NÃO")</f>
        <v>NÃO</v>
      </c>
    </row>
    <row r="1808" spans="1:18" hidden="1">
      <c r="A1808" t="s">
        <v>163</v>
      </c>
      <c r="B1808" t="s">
        <v>164</v>
      </c>
      <c r="C1808">
        <v>300271538</v>
      </c>
      <c r="D1808">
        <v>16430301</v>
      </c>
      <c r="E1808" t="s">
        <v>37</v>
      </c>
      <c r="F1808" t="s">
        <v>2213</v>
      </c>
      <c r="G1808">
        <v>264</v>
      </c>
      <c r="H1808" t="s">
        <v>2920</v>
      </c>
      <c r="K1808" s="11">
        <v>46217.659814814811</v>
      </c>
      <c r="M1808">
        <v>1137</v>
      </c>
      <c r="N1808" t="s">
        <v>878</v>
      </c>
      <c r="O1808">
        <v>10000247753</v>
      </c>
      <c r="P1808" s="5"/>
      <c r="Q1808" s="10">
        <f>INT(Tabela1[[#This Row],[DATA]])</f>
        <v>46217</v>
      </c>
      <c r="R1808" s="14" t="str">
        <f ca="1">IF(AND(Q1808&gt;=TODAY()-WEEKDAY(TODAY(),2)+1,Q1808&lt;TODAY()),"SIM","NÃO")</f>
        <v>NÃO</v>
      </c>
    </row>
    <row r="1809" spans="1:18" hidden="1">
      <c r="A1809" t="s">
        <v>163</v>
      </c>
      <c r="B1809" t="s">
        <v>164</v>
      </c>
      <c r="C1809">
        <v>300271538</v>
      </c>
      <c r="D1809">
        <v>16430301</v>
      </c>
      <c r="E1809" t="s">
        <v>37</v>
      </c>
      <c r="F1809" t="s">
        <v>2213</v>
      </c>
      <c r="G1809">
        <v>264</v>
      </c>
      <c r="H1809" t="s">
        <v>2920</v>
      </c>
      <c r="K1809" s="11">
        <v>46217.66064814815</v>
      </c>
      <c r="M1809">
        <v>1138</v>
      </c>
      <c r="N1809" t="s">
        <v>878</v>
      </c>
      <c r="O1809">
        <v>10000247754</v>
      </c>
      <c r="P1809" s="5"/>
      <c r="Q1809" s="10">
        <f>INT(Tabela1[[#This Row],[DATA]])</f>
        <v>46217</v>
      </c>
      <c r="R1809" s="14" t="str">
        <f ca="1">IF(AND(Q1809&gt;=TODAY()-WEEKDAY(TODAY(),2)+1,Q1809&lt;TODAY()),"SIM","NÃO")</f>
        <v>NÃO</v>
      </c>
    </row>
    <row r="1810" spans="1:18" hidden="1">
      <c r="A1810" t="s">
        <v>605</v>
      </c>
      <c r="B1810" t="s">
        <v>606</v>
      </c>
      <c r="C1810">
        <v>300281472</v>
      </c>
      <c r="D1810">
        <v>13044826</v>
      </c>
      <c r="E1810" t="s">
        <v>29</v>
      </c>
      <c r="F1810" t="s">
        <v>3212</v>
      </c>
      <c r="G1810" t="s">
        <v>3646</v>
      </c>
      <c r="H1810" t="s">
        <v>1112</v>
      </c>
      <c r="K1810" s="11">
        <v>46217.661215277774</v>
      </c>
      <c r="M1810">
        <v>1139</v>
      </c>
      <c r="N1810" t="s">
        <v>867</v>
      </c>
      <c r="O1810">
        <v>0</v>
      </c>
      <c r="P1810" s="5"/>
      <c r="Q1810" s="10">
        <f>INT(Tabela1[[#This Row],[DATA]])</f>
        <v>46217</v>
      </c>
      <c r="R1810" s="14" t="str">
        <f ca="1">IF(AND(Q1810&gt;=TODAY()-WEEKDAY(TODAY(),2)+1,Q1810&lt;TODAY()),"SIM","NÃO")</f>
        <v>NÃO</v>
      </c>
    </row>
    <row r="1811" spans="1:18" hidden="1">
      <c r="A1811" t="s">
        <v>163</v>
      </c>
      <c r="B1811" t="s">
        <v>164</v>
      </c>
      <c r="C1811">
        <v>300269799</v>
      </c>
      <c r="D1811">
        <v>16218230</v>
      </c>
      <c r="E1811" t="s">
        <v>37</v>
      </c>
      <c r="F1811" t="s">
        <v>216</v>
      </c>
      <c r="G1811">
        <v>1078</v>
      </c>
      <c r="H1811" t="s">
        <v>3390</v>
      </c>
      <c r="K1811" s="11">
        <v>46217.66269675926</v>
      </c>
      <c r="M1811">
        <v>1140</v>
      </c>
      <c r="N1811" t="s">
        <v>878</v>
      </c>
      <c r="O1811">
        <v>0</v>
      </c>
      <c r="P1811" s="5"/>
      <c r="Q1811" s="10">
        <f>INT(Tabela1[[#This Row],[DATA]])</f>
        <v>46217</v>
      </c>
      <c r="R1811" s="14" t="str">
        <f ca="1">IF(AND(Q1811&gt;=TODAY()-WEEKDAY(TODAY(),2)+1,Q1811&lt;TODAY()),"SIM","NÃO")</f>
        <v>NÃO</v>
      </c>
    </row>
    <row r="1812" spans="1:18" hidden="1">
      <c r="A1812" t="s">
        <v>605</v>
      </c>
      <c r="B1812" t="s">
        <v>606</v>
      </c>
      <c r="C1812">
        <v>300281472</v>
      </c>
      <c r="D1812">
        <v>13044826</v>
      </c>
      <c r="E1812" t="s">
        <v>29</v>
      </c>
      <c r="F1812" t="s">
        <v>259</v>
      </c>
      <c r="G1812" t="s">
        <v>2208</v>
      </c>
      <c r="H1812" t="s">
        <v>2843</v>
      </c>
      <c r="K1812" s="11">
        <v>46217.663240740738</v>
      </c>
      <c r="M1812">
        <v>1141</v>
      </c>
      <c r="N1812" t="s">
        <v>867</v>
      </c>
      <c r="O1812">
        <v>72001</v>
      </c>
      <c r="P1812" s="5"/>
      <c r="Q1812" s="10">
        <f>INT(Tabela1[[#This Row],[DATA]])</f>
        <v>46217</v>
      </c>
      <c r="R1812" s="14" t="str">
        <f ca="1">IF(AND(Q1812&gt;=TODAY()-WEEKDAY(TODAY(),2)+1,Q1812&lt;TODAY()),"SIM","NÃO")</f>
        <v>NÃO</v>
      </c>
    </row>
    <row r="1813" spans="1:18" hidden="1">
      <c r="A1813" t="s">
        <v>253</v>
      </c>
      <c r="B1813" t="s">
        <v>254</v>
      </c>
      <c r="C1813">
        <v>300280229</v>
      </c>
      <c r="D1813">
        <v>16441222</v>
      </c>
      <c r="E1813" t="s">
        <v>45</v>
      </c>
      <c r="F1813" t="s">
        <v>259</v>
      </c>
      <c r="G1813">
        <v>4</v>
      </c>
      <c r="H1813" t="s">
        <v>2228</v>
      </c>
      <c r="K1813" s="11">
        <v>46217.66337962963</v>
      </c>
      <c r="M1813">
        <v>1142</v>
      </c>
      <c r="N1813" t="s">
        <v>867</v>
      </c>
      <c r="O1813">
        <v>10000071727</v>
      </c>
      <c r="P1813" s="5"/>
      <c r="Q1813" s="10">
        <f>INT(Tabela1[[#This Row],[DATA]])</f>
        <v>46217</v>
      </c>
      <c r="R1813" s="14" t="str">
        <f ca="1">IF(AND(Q1813&gt;=TODAY()-WEEKDAY(TODAY(),2)+1,Q1813&lt;TODAY()),"SIM","NÃO")</f>
        <v>NÃO</v>
      </c>
    </row>
    <row r="1814" spans="1:18" hidden="1">
      <c r="A1814" t="s">
        <v>163</v>
      </c>
      <c r="B1814" t="s">
        <v>164</v>
      </c>
      <c r="C1814">
        <v>300269799</v>
      </c>
      <c r="D1814">
        <v>16218230</v>
      </c>
      <c r="E1814" t="s">
        <v>37</v>
      </c>
      <c r="F1814" t="s">
        <v>221</v>
      </c>
      <c r="G1814">
        <v>1078</v>
      </c>
      <c r="H1814" t="s">
        <v>3390</v>
      </c>
      <c r="K1814" s="11">
        <v>46217.664155092592</v>
      </c>
      <c r="M1814">
        <v>1143</v>
      </c>
      <c r="N1814" t="s">
        <v>878</v>
      </c>
      <c r="O1814">
        <v>10000170337</v>
      </c>
      <c r="P1814" s="5"/>
      <c r="Q1814" s="10">
        <f>INT(Tabela1[[#This Row],[DATA]])</f>
        <v>46217</v>
      </c>
      <c r="R1814" s="14" t="str">
        <f ca="1">IF(AND(Q1814&gt;=TODAY()-WEEKDAY(TODAY(),2)+1,Q1814&lt;TODAY()),"SIM","NÃO")</f>
        <v>NÃO</v>
      </c>
    </row>
    <row r="1815" spans="1:18" hidden="1">
      <c r="A1815" t="s">
        <v>253</v>
      </c>
      <c r="B1815" t="s">
        <v>254</v>
      </c>
      <c r="C1815">
        <v>300280229</v>
      </c>
      <c r="D1815">
        <v>16441222</v>
      </c>
      <c r="E1815" t="s">
        <v>45</v>
      </c>
      <c r="F1815" t="s">
        <v>3241</v>
      </c>
      <c r="G1815">
        <v>4</v>
      </c>
      <c r="H1815" t="s">
        <v>2228</v>
      </c>
      <c r="K1815" s="11">
        <v>46217.664236111108</v>
      </c>
      <c r="M1815">
        <v>1144</v>
      </c>
      <c r="N1815" t="s">
        <v>867</v>
      </c>
      <c r="O1815">
        <v>10000072671</v>
      </c>
      <c r="P1815" s="5"/>
      <c r="Q1815" s="10">
        <f>INT(Tabela1[[#This Row],[DATA]])</f>
        <v>46217</v>
      </c>
      <c r="R1815" s="14" t="str">
        <f ca="1">IF(AND(Q1815&gt;=TODAY()-WEEKDAY(TODAY(),2)+1,Q1815&lt;TODAY()),"SIM","NÃO")</f>
        <v>NÃO</v>
      </c>
    </row>
    <row r="1816" spans="1:18" hidden="1">
      <c r="A1816" t="s">
        <v>111</v>
      </c>
      <c r="B1816" t="s">
        <v>112</v>
      </c>
      <c r="C1816">
        <v>300280237</v>
      </c>
      <c r="D1816">
        <v>16481127</v>
      </c>
      <c r="E1816" t="s">
        <v>20</v>
      </c>
      <c r="F1816" t="s">
        <v>2405</v>
      </c>
      <c r="G1816">
        <v>15</v>
      </c>
      <c r="H1816" t="s">
        <v>1335</v>
      </c>
      <c r="K1816" s="11">
        <v>46217.665729166663</v>
      </c>
      <c r="M1816">
        <v>1145</v>
      </c>
      <c r="N1816" t="s">
        <v>867</v>
      </c>
      <c r="O1816">
        <v>0</v>
      </c>
      <c r="P1816" s="5"/>
      <c r="Q1816" s="10">
        <f>INT(Tabela1[[#This Row],[DATA]])</f>
        <v>46217</v>
      </c>
      <c r="R1816" s="14" t="str">
        <f ca="1">IF(AND(Q1816&gt;=TODAY()-WEEKDAY(TODAY(),2)+1,Q1816&lt;TODAY()),"SIM","NÃO")</f>
        <v>NÃO</v>
      </c>
    </row>
    <row r="1817" spans="1:18" hidden="1">
      <c r="A1817" t="s">
        <v>2543</v>
      </c>
      <c r="B1817" t="s">
        <v>28</v>
      </c>
      <c r="C1817">
        <v>300277071</v>
      </c>
      <c r="D1817">
        <v>16218957</v>
      </c>
      <c r="E1817" t="s">
        <v>37</v>
      </c>
      <c r="F1817" t="s">
        <v>221</v>
      </c>
      <c r="G1817">
        <v>550</v>
      </c>
      <c r="H1817" t="s">
        <v>2807</v>
      </c>
      <c r="K1817" s="11">
        <v>46217.665891203702</v>
      </c>
      <c r="M1817">
        <v>1146</v>
      </c>
      <c r="N1817" t="s">
        <v>878</v>
      </c>
      <c r="O1817">
        <v>10000073317</v>
      </c>
      <c r="P1817" s="5"/>
      <c r="Q1817" s="10">
        <f>INT(Tabela1[[#This Row],[DATA]])</f>
        <v>46217</v>
      </c>
      <c r="R1817" s="14" t="str">
        <f ca="1">IF(AND(Q1817&gt;=TODAY()-WEEKDAY(TODAY(),2)+1,Q1817&lt;TODAY()),"SIM","NÃO")</f>
        <v>NÃO</v>
      </c>
    </row>
    <row r="1818" spans="1:18" hidden="1">
      <c r="A1818" t="s">
        <v>163</v>
      </c>
      <c r="B1818" t="s">
        <v>164</v>
      </c>
      <c r="C1818">
        <v>300269799</v>
      </c>
      <c r="D1818">
        <v>16218230</v>
      </c>
      <c r="E1818" t="s">
        <v>37</v>
      </c>
      <c r="F1818" t="s">
        <v>2213</v>
      </c>
      <c r="G1818">
        <v>147</v>
      </c>
      <c r="H1818" t="s">
        <v>3390</v>
      </c>
      <c r="K1818" s="11">
        <v>46217.667696759258</v>
      </c>
      <c r="M1818">
        <v>1147</v>
      </c>
      <c r="N1818" t="s">
        <v>878</v>
      </c>
      <c r="O1818">
        <v>10000247752</v>
      </c>
      <c r="P1818" s="5"/>
      <c r="Q1818" s="10">
        <f>INT(Tabela1[[#This Row],[DATA]])</f>
        <v>46217</v>
      </c>
      <c r="R1818" s="14" t="str">
        <f ca="1">IF(AND(Q1818&gt;=TODAY()-WEEKDAY(TODAY(),2)+1,Q1818&lt;TODAY()),"SIM","NÃO")</f>
        <v>NÃO</v>
      </c>
    </row>
    <row r="1819" spans="1:18" hidden="1">
      <c r="A1819" t="s">
        <v>163</v>
      </c>
      <c r="B1819" t="s">
        <v>164</v>
      </c>
      <c r="C1819">
        <v>300269799</v>
      </c>
      <c r="D1819">
        <v>16218230</v>
      </c>
      <c r="E1819" t="s">
        <v>37</v>
      </c>
      <c r="F1819" t="s">
        <v>2213</v>
      </c>
      <c r="G1819">
        <v>245</v>
      </c>
      <c r="H1819" t="s">
        <v>3390</v>
      </c>
      <c r="K1819" s="11">
        <v>46217.669351851851</v>
      </c>
      <c r="M1819">
        <v>1148</v>
      </c>
      <c r="N1819" t="s">
        <v>878</v>
      </c>
      <c r="O1819">
        <v>10000247753</v>
      </c>
      <c r="P1819" s="5"/>
      <c r="Q1819" s="10">
        <f>INT(Tabela1[[#This Row],[DATA]])</f>
        <v>46217</v>
      </c>
      <c r="R1819" s="14" t="str">
        <f ca="1">IF(AND(Q1819&gt;=TODAY()-WEEKDAY(TODAY(),2)+1,Q1819&lt;TODAY()),"SIM","NÃO")</f>
        <v>NÃO</v>
      </c>
    </row>
    <row r="1820" spans="1:18" hidden="1">
      <c r="A1820" t="s">
        <v>163</v>
      </c>
      <c r="B1820" t="s">
        <v>164</v>
      </c>
      <c r="C1820">
        <v>300269799</v>
      </c>
      <c r="D1820">
        <v>16218230</v>
      </c>
      <c r="E1820" t="s">
        <v>37</v>
      </c>
      <c r="F1820" t="s">
        <v>2213</v>
      </c>
      <c r="G1820">
        <v>245</v>
      </c>
      <c r="H1820" t="s">
        <v>3390</v>
      </c>
      <c r="K1820" s="11">
        <v>46217.670416666668</v>
      </c>
      <c r="M1820">
        <v>1149</v>
      </c>
      <c r="N1820" t="s">
        <v>878</v>
      </c>
      <c r="O1820">
        <v>10000247754</v>
      </c>
      <c r="P1820" s="5"/>
      <c r="Q1820" s="10">
        <f>INT(Tabela1[[#This Row],[DATA]])</f>
        <v>46217</v>
      </c>
      <c r="R1820" s="14" t="str">
        <f ca="1">IF(AND(Q1820&gt;=TODAY()-WEEKDAY(TODAY(),2)+1,Q1820&lt;TODAY()),"SIM","NÃO")</f>
        <v>NÃO</v>
      </c>
    </row>
    <row r="1821" spans="1:18" hidden="1">
      <c r="A1821" t="s">
        <v>1439</v>
      </c>
      <c r="B1821" t="s">
        <v>1440</v>
      </c>
      <c r="C1821">
        <v>300278090</v>
      </c>
      <c r="D1821">
        <v>16488040</v>
      </c>
      <c r="E1821" t="s">
        <v>45</v>
      </c>
      <c r="F1821" t="s">
        <v>103</v>
      </c>
      <c r="G1821">
        <v>100</v>
      </c>
      <c r="H1821" t="s">
        <v>644</v>
      </c>
      <c r="K1821" s="11">
        <v>46217.671539351853</v>
      </c>
      <c r="M1821">
        <v>1150</v>
      </c>
      <c r="N1821" t="s">
        <v>878</v>
      </c>
      <c r="O1821">
        <v>0</v>
      </c>
      <c r="P1821" s="5"/>
      <c r="Q1821" s="10">
        <f>INT(Tabela1[[#This Row],[DATA]])</f>
        <v>46217</v>
      </c>
      <c r="R1821" s="14" t="str">
        <f ca="1">IF(AND(Q1821&gt;=TODAY()-WEEKDAY(TODAY(),2)+1,Q1821&lt;TODAY()),"SIM","NÃO")</f>
        <v>NÃO</v>
      </c>
    </row>
    <row r="1822" spans="1:18" hidden="1">
      <c r="A1822" t="s">
        <v>163</v>
      </c>
      <c r="B1822" t="s">
        <v>164</v>
      </c>
      <c r="C1822">
        <v>300269799</v>
      </c>
      <c r="D1822">
        <v>16218230</v>
      </c>
      <c r="E1822" t="s">
        <v>37</v>
      </c>
      <c r="F1822" t="s">
        <v>2405</v>
      </c>
      <c r="G1822">
        <v>245</v>
      </c>
      <c r="H1822" t="s">
        <v>2920</v>
      </c>
      <c r="K1822" s="11">
        <v>46217.671620370369</v>
      </c>
      <c r="M1822">
        <v>1151</v>
      </c>
      <c r="N1822" t="s">
        <v>878</v>
      </c>
      <c r="O1822">
        <v>10000247807</v>
      </c>
      <c r="P1822" s="5"/>
      <c r="Q1822" s="10">
        <f>INT(Tabela1[[#This Row],[DATA]])</f>
        <v>46217</v>
      </c>
      <c r="R1822" s="14" t="str">
        <f ca="1">IF(AND(Q1822&gt;=TODAY()-WEEKDAY(TODAY(),2)+1,Q1822&lt;TODAY()),"SIM","NÃO")</f>
        <v>NÃO</v>
      </c>
    </row>
    <row r="1823" spans="1:18" hidden="1">
      <c r="A1823" t="s">
        <v>163</v>
      </c>
      <c r="B1823" t="s">
        <v>164</v>
      </c>
      <c r="C1823">
        <v>300269799</v>
      </c>
      <c r="D1823">
        <v>16218230</v>
      </c>
      <c r="E1823" t="s">
        <v>37</v>
      </c>
      <c r="F1823" t="s">
        <v>2213</v>
      </c>
      <c r="G1823">
        <v>196</v>
      </c>
      <c r="H1823" t="s">
        <v>2920</v>
      </c>
      <c r="K1823" s="11">
        <v>46217.672465277778</v>
      </c>
      <c r="M1823">
        <v>1152</v>
      </c>
      <c r="N1823" t="s">
        <v>878</v>
      </c>
      <c r="O1823">
        <v>10000247811</v>
      </c>
      <c r="P1823" s="5"/>
      <c r="Q1823" s="10">
        <f>INT(Tabela1[[#This Row],[DATA]])</f>
        <v>46217</v>
      </c>
      <c r="R1823" s="14" t="str">
        <f ca="1">IF(AND(Q1823&gt;=TODAY()-WEEKDAY(TODAY(),2)+1,Q1823&lt;TODAY()),"SIM","NÃO")</f>
        <v>NÃO</v>
      </c>
    </row>
    <row r="1824" spans="1:18" hidden="1">
      <c r="A1824" t="s">
        <v>1439</v>
      </c>
      <c r="B1824" t="s">
        <v>1440</v>
      </c>
      <c r="C1824">
        <v>300278094</v>
      </c>
      <c r="D1824">
        <v>16488040</v>
      </c>
      <c r="E1824" t="s">
        <v>45</v>
      </c>
      <c r="F1824" t="s">
        <v>3502</v>
      </c>
      <c r="G1824">
        <v>423</v>
      </c>
      <c r="H1824" t="s">
        <v>2632</v>
      </c>
      <c r="J1824" t="s">
        <v>3647</v>
      </c>
      <c r="K1824" s="11">
        <v>46217.677395833336</v>
      </c>
      <c r="M1824">
        <v>1153</v>
      </c>
      <c r="N1824" t="s">
        <v>867</v>
      </c>
      <c r="O1824">
        <v>0</v>
      </c>
      <c r="P1824" s="5"/>
      <c r="Q1824" s="10">
        <f>INT(Tabela1[[#This Row],[DATA]])</f>
        <v>46217</v>
      </c>
      <c r="R1824" s="14" t="str">
        <f ca="1">IF(AND(Q1824&gt;=TODAY()-WEEKDAY(TODAY(),2)+1,Q1824&lt;TODAY()),"SIM","NÃO")</f>
        <v>NÃO</v>
      </c>
    </row>
    <row r="1825" spans="1:18" hidden="1">
      <c r="A1825" t="s">
        <v>3122</v>
      </c>
      <c r="B1825" t="s">
        <v>344</v>
      </c>
      <c r="C1825">
        <v>300278588</v>
      </c>
      <c r="D1825">
        <v>16299213</v>
      </c>
      <c r="E1825" t="s">
        <v>37</v>
      </c>
      <c r="F1825" t="s">
        <v>2405</v>
      </c>
      <c r="G1825">
        <v>130</v>
      </c>
      <c r="H1825" t="s">
        <v>2515</v>
      </c>
      <c r="J1825" t="s">
        <v>3648</v>
      </c>
      <c r="K1825" s="11">
        <v>46217.677974537037</v>
      </c>
      <c r="M1825">
        <v>1154</v>
      </c>
      <c r="N1825" t="s">
        <v>867</v>
      </c>
      <c r="O1825">
        <v>0</v>
      </c>
      <c r="P1825" s="5"/>
      <c r="Q1825" s="10">
        <f>INT(Tabela1[[#This Row],[DATA]])</f>
        <v>46217</v>
      </c>
      <c r="R1825" s="14" t="str">
        <f ca="1">IF(AND(Q1825&gt;=TODAY()-WEEKDAY(TODAY(),2)+1,Q1825&lt;TODAY()),"SIM","NÃO")</f>
        <v>NÃO</v>
      </c>
    </row>
    <row r="1826" spans="1:18" hidden="1">
      <c r="A1826" t="s">
        <v>541</v>
      </c>
      <c r="B1826" t="s">
        <v>542</v>
      </c>
      <c r="C1826">
        <v>300279698</v>
      </c>
      <c r="D1826">
        <v>16318455</v>
      </c>
      <c r="E1826" t="s">
        <v>45</v>
      </c>
      <c r="F1826" t="s">
        <v>3212</v>
      </c>
      <c r="G1826">
        <v>15</v>
      </c>
      <c r="H1826" t="s">
        <v>1966</v>
      </c>
      <c r="J1826" t="s">
        <v>2219</v>
      </c>
      <c r="K1826" s="11">
        <v>46217.678819444445</v>
      </c>
      <c r="M1826">
        <v>1155</v>
      </c>
      <c r="N1826" t="s">
        <v>867</v>
      </c>
      <c r="O1826">
        <v>0</v>
      </c>
      <c r="P1826" s="5"/>
      <c r="Q1826" s="10">
        <f>INT(Tabela1[[#This Row],[DATA]])</f>
        <v>46217</v>
      </c>
      <c r="R1826" s="14" t="str">
        <f ca="1">IF(AND(Q1826&gt;=TODAY()-WEEKDAY(TODAY(),2)+1,Q1826&lt;TODAY()),"SIM","NÃO")</f>
        <v>NÃO</v>
      </c>
    </row>
    <row r="1827" spans="1:18" hidden="1">
      <c r="A1827" t="s">
        <v>3122</v>
      </c>
      <c r="B1827" t="s">
        <v>344</v>
      </c>
      <c r="C1827">
        <v>300278588</v>
      </c>
      <c r="D1827">
        <v>16299213</v>
      </c>
      <c r="E1827" t="s">
        <v>37</v>
      </c>
      <c r="F1827" t="s">
        <v>177</v>
      </c>
      <c r="G1827">
        <v>130</v>
      </c>
      <c r="H1827" t="s">
        <v>3649</v>
      </c>
      <c r="J1827" t="s">
        <v>3650</v>
      </c>
      <c r="K1827" s="11">
        <v>46217.682337962964</v>
      </c>
      <c r="M1827">
        <v>1156</v>
      </c>
      <c r="N1827" t="s">
        <v>867</v>
      </c>
      <c r="O1827">
        <v>10000189901</v>
      </c>
      <c r="P1827" s="5"/>
      <c r="Q1827" s="10">
        <f>INT(Tabela1[[#This Row],[DATA]])</f>
        <v>46217</v>
      </c>
      <c r="R1827" s="14" t="str">
        <f ca="1">IF(AND(Q1827&gt;=TODAY()-WEEKDAY(TODAY(),2)+1,Q1827&lt;TODAY()),"SIM","NÃO")</f>
        <v>NÃO</v>
      </c>
    </row>
    <row r="1828" spans="1:18" hidden="1">
      <c r="A1828" t="s">
        <v>3122</v>
      </c>
      <c r="B1828" t="s">
        <v>344</v>
      </c>
      <c r="C1828">
        <v>300278588</v>
      </c>
      <c r="D1828">
        <v>16299213</v>
      </c>
      <c r="E1828" t="s">
        <v>37</v>
      </c>
      <c r="F1828" t="s">
        <v>2213</v>
      </c>
      <c r="G1828">
        <v>130</v>
      </c>
      <c r="H1828" t="s">
        <v>2515</v>
      </c>
      <c r="J1828" t="s">
        <v>3651</v>
      </c>
      <c r="K1828" s="11">
        <v>46217.685312499998</v>
      </c>
      <c r="M1828">
        <v>1157</v>
      </c>
      <c r="N1828" t="s">
        <v>867</v>
      </c>
      <c r="O1828" t="s">
        <v>3652</v>
      </c>
      <c r="P1828" s="5"/>
      <c r="Q1828" s="10">
        <f>INT(Tabela1[[#This Row],[DATA]])</f>
        <v>46217</v>
      </c>
      <c r="R1828" s="14" t="str">
        <f ca="1">IF(AND(Q1828&gt;=TODAY()-WEEKDAY(TODAY(),2)+1,Q1828&lt;TODAY()),"SIM","NÃO")</f>
        <v>NÃO</v>
      </c>
    </row>
    <row r="1829" spans="1:18" hidden="1">
      <c r="A1829" t="s">
        <v>2707</v>
      </c>
      <c r="B1829" t="s">
        <v>181</v>
      </c>
      <c r="C1829">
        <v>300276767</v>
      </c>
      <c r="D1829">
        <v>16507649</v>
      </c>
      <c r="E1829" t="s">
        <v>37</v>
      </c>
      <c r="F1829" t="s">
        <v>3502</v>
      </c>
      <c r="G1829">
        <v>12</v>
      </c>
      <c r="H1829" t="s">
        <v>3653</v>
      </c>
      <c r="J1829" t="s">
        <v>3654</v>
      </c>
      <c r="K1829" s="11">
        <v>46217.694756944446</v>
      </c>
      <c r="M1829">
        <v>1158</v>
      </c>
      <c r="N1829" t="s">
        <v>867</v>
      </c>
      <c r="O1829">
        <v>0</v>
      </c>
      <c r="P1829" s="5"/>
      <c r="Q1829" s="10">
        <f>INT(Tabela1[[#This Row],[DATA]])</f>
        <v>46217</v>
      </c>
      <c r="R1829" s="14" t="str">
        <f ca="1">IF(AND(Q1829&gt;=TODAY()-WEEKDAY(TODAY(),2)+1,Q1829&lt;TODAY()),"SIM","NÃO")</f>
        <v>NÃO</v>
      </c>
    </row>
    <row r="1830" spans="1:18" hidden="1">
      <c r="A1830" t="s">
        <v>685</v>
      </c>
      <c r="B1830" t="s">
        <v>686</v>
      </c>
      <c r="C1830">
        <v>300281067</v>
      </c>
      <c r="D1830">
        <v>16218990</v>
      </c>
      <c r="E1830" t="s">
        <v>37</v>
      </c>
      <c r="F1830" t="s">
        <v>221</v>
      </c>
      <c r="G1830">
        <v>1056</v>
      </c>
      <c r="H1830" t="s">
        <v>2137</v>
      </c>
      <c r="K1830" s="11">
        <v>46217.703356481485</v>
      </c>
      <c r="M1830">
        <v>1159</v>
      </c>
      <c r="N1830" t="s">
        <v>878</v>
      </c>
      <c r="O1830" t="s">
        <v>138</v>
      </c>
      <c r="P1830" s="5"/>
      <c r="Q1830" s="10">
        <f>INT(Tabela1[[#This Row],[DATA]])</f>
        <v>46217</v>
      </c>
      <c r="R1830" s="14" t="str">
        <f ca="1">IF(AND(Q1830&gt;=TODAY()-WEEKDAY(TODAY(),2)+1,Q1830&lt;TODAY()),"SIM","NÃO")</f>
        <v>NÃO</v>
      </c>
    </row>
    <row r="1831" spans="1:18" hidden="1">
      <c r="A1831" t="s">
        <v>143</v>
      </c>
      <c r="B1831" t="s">
        <v>144</v>
      </c>
      <c r="C1831">
        <v>300280739</v>
      </c>
      <c r="D1831">
        <v>16441303</v>
      </c>
      <c r="E1831" t="s">
        <v>45</v>
      </c>
      <c r="F1831" t="s">
        <v>3502</v>
      </c>
      <c r="G1831">
        <v>992</v>
      </c>
      <c r="H1831" t="s">
        <v>2313</v>
      </c>
      <c r="K1831" s="11">
        <v>46217.709155092591</v>
      </c>
      <c r="M1831">
        <v>1160</v>
      </c>
      <c r="N1831" t="s">
        <v>867</v>
      </c>
      <c r="O1831">
        <v>0</v>
      </c>
      <c r="P1831" s="5"/>
      <c r="Q1831" s="10">
        <f>INT(Tabela1[[#This Row],[DATA]])</f>
        <v>46217</v>
      </c>
      <c r="R1831" s="14" t="str">
        <f ca="1">IF(AND(Q1831&gt;=TODAY()-WEEKDAY(TODAY(),2)+1,Q1831&lt;TODAY()),"SIM","NÃO")</f>
        <v>NÃO</v>
      </c>
    </row>
    <row r="1832" spans="1:18" hidden="1">
      <c r="A1832" t="s">
        <v>2551</v>
      </c>
      <c r="B1832" t="s">
        <v>274</v>
      </c>
      <c r="C1832">
        <v>300281401</v>
      </c>
      <c r="D1832">
        <v>13044826</v>
      </c>
      <c r="E1832" t="s">
        <v>29</v>
      </c>
      <c r="F1832" t="s">
        <v>3212</v>
      </c>
      <c r="G1832">
        <v>1.1439999999999999</v>
      </c>
      <c r="H1832" t="s">
        <v>2917</v>
      </c>
      <c r="K1832" s="11">
        <v>46217.711354166669</v>
      </c>
      <c r="M1832">
        <v>1161</v>
      </c>
      <c r="N1832" t="s">
        <v>867</v>
      </c>
      <c r="O1832">
        <v>0</v>
      </c>
      <c r="P1832" s="5"/>
      <c r="Q1832" s="10">
        <f>INT(Tabela1[[#This Row],[DATA]])</f>
        <v>46217</v>
      </c>
      <c r="R1832" s="14" t="str">
        <f ca="1">IF(AND(Q1832&gt;=TODAY()-WEEKDAY(TODAY(),2)+1,Q1832&lt;TODAY()),"SIM","NÃO")</f>
        <v>NÃO</v>
      </c>
    </row>
    <row r="1833" spans="1:18" hidden="1">
      <c r="A1833" t="s">
        <v>2551</v>
      </c>
      <c r="B1833" t="s">
        <v>3655</v>
      </c>
      <c r="C1833">
        <v>300281014</v>
      </c>
      <c r="D1833">
        <v>16442660</v>
      </c>
      <c r="E1833" t="s">
        <v>29</v>
      </c>
      <c r="F1833" t="s">
        <v>259</v>
      </c>
      <c r="G1833" t="s">
        <v>3656</v>
      </c>
      <c r="H1833" t="s">
        <v>2094</v>
      </c>
      <c r="K1833" s="11">
        <v>46217.713819444441</v>
      </c>
      <c r="M1833">
        <v>1162</v>
      </c>
      <c r="N1833" t="s">
        <v>867</v>
      </c>
      <c r="O1833" t="s">
        <v>3657</v>
      </c>
      <c r="P1833" s="5"/>
      <c r="Q1833" s="10">
        <f>INT(Tabela1[[#This Row],[DATA]])</f>
        <v>46217</v>
      </c>
      <c r="R1833" s="14" t="str">
        <f ca="1">IF(AND(Q1833&gt;=TODAY()-WEEKDAY(TODAY(),2)+1,Q1833&lt;TODAY()),"SIM","NÃO")</f>
        <v>NÃO</v>
      </c>
    </row>
    <row r="1834" spans="1:18" hidden="1">
      <c r="A1834" t="s">
        <v>2765</v>
      </c>
      <c r="B1834" t="s">
        <v>107</v>
      </c>
      <c r="C1834">
        <v>300277695</v>
      </c>
      <c r="D1834">
        <v>16311639</v>
      </c>
      <c r="E1834" t="s">
        <v>45</v>
      </c>
      <c r="F1834" t="s">
        <v>3212</v>
      </c>
      <c r="G1834">
        <v>9</v>
      </c>
      <c r="H1834" t="s">
        <v>2292</v>
      </c>
      <c r="K1834" s="11">
        <v>46217.714895833335</v>
      </c>
      <c r="M1834">
        <v>1163</v>
      </c>
      <c r="N1834" t="s">
        <v>867</v>
      </c>
      <c r="O1834">
        <v>0</v>
      </c>
      <c r="P1834" s="5"/>
      <c r="Q1834" s="10">
        <f>INT(Tabela1[[#This Row],[DATA]])</f>
        <v>46217</v>
      </c>
      <c r="R1834" s="14" t="str">
        <f ca="1">IF(AND(Q1834&gt;=TODAY()-WEEKDAY(TODAY(),2)+1,Q1834&lt;TODAY()),"SIM","NÃO")</f>
        <v>NÃO</v>
      </c>
    </row>
    <row r="1835" spans="1:18" hidden="1">
      <c r="A1835" t="s">
        <v>2551</v>
      </c>
      <c r="B1835" t="s">
        <v>274</v>
      </c>
      <c r="C1835">
        <v>300281014</v>
      </c>
      <c r="D1835">
        <v>16442660</v>
      </c>
      <c r="E1835" t="s">
        <v>29</v>
      </c>
      <c r="F1835" t="s">
        <v>3241</v>
      </c>
      <c r="G1835" t="s">
        <v>3658</v>
      </c>
      <c r="H1835" t="s">
        <v>2094</v>
      </c>
      <c r="K1835" s="11">
        <v>46217.715243055558</v>
      </c>
      <c r="M1835">
        <v>1164</v>
      </c>
      <c r="N1835" t="s">
        <v>867</v>
      </c>
      <c r="O1835" t="s">
        <v>3659</v>
      </c>
      <c r="P1835" s="5"/>
      <c r="Q1835" s="10">
        <f>INT(Tabela1[[#This Row],[DATA]])</f>
        <v>46217</v>
      </c>
      <c r="R1835" s="14" t="str">
        <f ca="1">IF(AND(Q1835&gt;=TODAY()-WEEKDAY(TODAY(),2)+1,Q1835&lt;TODAY()),"SIM","NÃO")</f>
        <v>NÃO</v>
      </c>
    </row>
    <row r="1836" spans="1:18" hidden="1">
      <c r="A1836" t="s">
        <v>2551</v>
      </c>
      <c r="B1836" t="s">
        <v>274</v>
      </c>
      <c r="C1836">
        <v>300281014</v>
      </c>
      <c r="D1836">
        <v>16442660</v>
      </c>
      <c r="E1836" t="s">
        <v>29</v>
      </c>
      <c r="F1836" t="s">
        <v>3212</v>
      </c>
      <c r="G1836">
        <v>238</v>
      </c>
      <c r="H1836" t="s">
        <v>2094</v>
      </c>
      <c r="K1836" s="11">
        <v>46217.716689814813</v>
      </c>
      <c r="M1836">
        <v>1165</v>
      </c>
      <c r="N1836" t="s">
        <v>867</v>
      </c>
      <c r="O1836">
        <v>0</v>
      </c>
      <c r="P1836" s="5"/>
      <c r="Q1836" s="10">
        <f>INT(Tabela1[[#This Row],[DATA]])</f>
        <v>46217</v>
      </c>
      <c r="R1836" s="14" t="str">
        <f ca="1">IF(AND(Q1836&gt;=TODAY()-WEEKDAY(TODAY(),2)+1,Q1836&lt;TODAY()),"SIM","NÃO")</f>
        <v>NÃO</v>
      </c>
    </row>
    <row r="1837" spans="1:18" hidden="1">
      <c r="A1837" t="s">
        <v>2649</v>
      </c>
      <c r="B1837" t="s">
        <v>137</v>
      </c>
      <c r="C1837">
        <v>300280201</v>
      </c>
      <c r="D1837">
        <v>16243340</v>
      </c>
      <c r="E1837" t="s">
        <v>37</v>
      </c>
      <c r="F1837" t="s">
        <v>2213</v>
      </c>
      <c r="G1837">
        <v>340</v>
      </c>
      <c r="H1837" t="s">
        <v>3660</v>
      </c>
      <c r="K1837" s="11">
        <v>46217.734097222223</v>
      </c>
      <c r="M1837">
        <v>1166</v>
      </c>
      <c r="N1837" t="s">
        <v>867</v>
      </c>
      <c r="O1837" t="s">
        <v>3661</v>
      </c>
      <c r="P1837" s="5"/>
      <c r="Q1837" s="10">
        <f>INT(Tabela1[[#This Row],[DATA]])</f>
        <v>46217</v>
      </c>
      <c r="R1837" s="14" t="str">
        <f ca="1">IF(AND(Q1837&gt;=TODAY()-WEEKDAY(TODAY(),2)+1,Q1837&lt;TODAY()),"SIM","NÃO")</f>
        <v>NÃO</v>
      </c>
    </row>
    <row r="1838" spans="1:18" hidden="1">
      <c r="A1838" t="s">
        <v>1175</v>
      </c>
      <c r="B1838" t="s">
        <v>1176</v>
      </c>
      <c r="C1838">
        <v>300276220</v>
      </c>
      <c r="D1838">
        <v>15859177</v>
      </c>
      <c r="E1838" t="s">
        <v>37</v>
      </c>
      <c r="F1838" t="s">
        <v>151</v>
      </c>
      <c r="G1838">
        <v>28</v>
      </c>
      <c r="H1838" t="s">
        <v>3662</v>
      </c>
      <c r="J1838" t="s">
        <v>3662</v>
      </c>
      <c r="K1838" s="11">
        <v>46217.754537037035</v>
      </c>
      <c r="M1838">
        <v>1167</v>
      </c>
      <c r="N1838" t="s">
        <v>867</v>
      </c>
      <c r="O1838">
        <v>0</v>
      </c>
      <c r="P1838" s="5"/>
      <c r="Q1838" s="10">
        <f>INT(Tabela1[[#This Row],[DATA]])</f>
        <v>46217</v>
      </c>
      <c r="R1838" s="14" t="str">
        <f ca="1">IF(AND(Q1838&gt;=TODAY()-WEEKDAY(TODAY(),2)+1,Q1838&lt;TODAY()),"SIM","NÃO")</f>
        <v>NÃO</v>
      </c>
    </row>
    <row r="1839" spans="1:18" hidden="1">
      <c r="A1839" t="s">
        <v>1175</v>
      </c>
      <c r="B1839" t="s">
        <v>1176</v>
      </c>
      <c r="C1839">
        <v>300276219</v>
      </c>
      <c r="D1839">
        <v>15859177</v>
      </c>
      <c r="E1839" t="s">
        <v>37</v>
      </c>
      <c r="F1839" t="s">
        <v>151</v>
      </c>
      <c r="G1839">
        <v>24</v>
      </c>
      <c r="H1839" t="s">
        <v>555</v>
      </c>
      <c r="J1839" t="s">
        <v>555</v>
      </c>
      <c r="K1839" s="11">
        <v>46217.755949074075</v>
      </c>
      <c r="M1839">
        <v>1168</v>
      </c>
      <c r="N1839" t="s">
        <v>867</v>
      </c>
      <c r="O1839">
        <v>0</v>
      </c>
      <c r="P1839" s="5"/>
      <c r="Q1839" s="10">
        <f>INT(Tabela1[[#This Row],[DATA]])</f>
        <v>46217</v>
      </c>
      <c r="R1839" s="14" t="str">
        <f ca="1">IF(AND(Q1839&gt;=TODAY()-WEEKDAY(TODAY(),2)+1,Q1839&lt;TODAY()),"SIM","NÃO")</f>
        <v>NÃO</v>
      </c>
    </row>
    <row r="1840" spans="1:18" hidden="1">
      <c r="A1840" t="s">
        <v>2565</v>
      </c>
      <c r="B1840" t="s">
        <v>95</v>
      </c>
      <c r="C1840">
        <v>300270841</v>
      </c>
      <c r="D1840">
        <v>16442679</v>
      </c>
      <c r="E1840" t="s">
        <v>29</v>
      </c>
      <c r="F1840" t="s">
        <v>3502</v>
      </c>
      <c r="G1840">
        <v>200</v>
      </c>
      <c r="H1840" t="s">
        <v>3663</v>
      </c>
      <c r="J1840" t="s">
        <v>3664</v>
      </c>
      <c r="K1840" s="11">
        <v>46218.32366898148</v>
      </c>
      <c r="M1840">
        <v>1169</v>
      </c>
      <c r="N1840" t="s">
        <v>867</v>
      </c>
      <c r="O1840" t="s">
        <v>848</v>
      </c>
      <c r="P1840" s="5"/>
      <c r="Q1840" s="10">
        <f>INT(Tabela1[[#This Row],[DATA]])</f>
        <v>46218</v>
      </c>
      <c r="R1840" s="14" t="str">
        <f ca="1">IF(AND(Q1840&gt;=TODAY()-WEEKDAY(TODAY(),2)+1,Q1840&lt;TODAY()),"SIM","NÃO")</f>
        <v>NÃO</v>
      </c>
    </row>
    <row r="1841" spans="1:18" hidden="1">
      <c r="A1841" t="s">
        <v>111</v>
      </c>
      <c r="B1841" t="s">
        <v>112</v>
      </c>
      <c r="C1841">
        <v>300279221</v>
      </c>
      <c r="D1841">
        <v>16223780</v>
      </c>
      <c r="E1841" t="s">
        <v>45</v>
      </c>
      <c r="F1841" t="s">
        <v>2405</v>
      </c>
      <c r="G1841">
        <v>8</v>
      </c>
      <c r="H1841" t="s">
        <v>1335</v>
      </c>
      <c r="K1841" s="11">
        <v>46218.331817129627</v>
      </c>
      <c r="M1841">
        <v>1170</v>
      </c>
      <c r="N1841" t="s">
        <v>867</v>
      </c>
      <c r="O1841">
        <v>0</v>
      </c>
      <c r="P1841" s="5"/>
      <c r="Q1841" s="10">
        <f>INT(Tabela1[[#This Row],[DATA]])</f>
        <v>46218</v>
      </c>
      <c r="R1841" s="14" t="str">
        <f ca="1">IF(AND(Q1841&gt;=TODAY()-WEEKDAY(TODAY(),2)+1,Q1841&lt;TODAY()),"SIM","NÃO")</f>
        <v>NÃO</v>
      </c>
    </row>
    <row r="1842" spans="1:18" hidden="1">
      <c r="A1842" t="s">
        <v>143</v>
      </c>
      <c r="B1842" t="s">
        <v>144</v>
      </c>
      <c r="C1842">
        <v>300275205</v>
      </c>
      <c r="D1842">
        <v>16320034</v>
      </c>
      <c r="E1842" t="s">
        <v>45</v>
      </c>
      <c r="F1842" t="s">
        <v>1287</v>
      </c>
      <c r="G1842">
        <v>3</v>
      </c>
      <c r="H1842" t="s">
        <v>644</v>
      </c>
      <c r="K1842" s="11">
        <v>46218.352858796294</v>
      </c>
      <c r="M1842">
        <v>1171</v>
      </c>
      <c r="N1842" t="s">
        <v>878</v>
      </c>
      <c r="O1842">
        <v>0</v>
      </c>
      <c r="P1842" s="5"/>
      <c r="Q1842" s="10">
        <f>INT(Tabela1[[#This Row],[DATA]])</f>
        <v>46218</v>
      </c>
      <c r="R1842" s="14" t="str">
        <f ca="1">IF(AND(Q1842&gt;=TODAY()-WEEKDAY(TODAY(),2)+1,Q1842&lt;TODAY()),"SIM","NÃO")</f>
        <v>NÃO</v>
      </c>
    </row>
    <row r="1843" spans="1:18" hidden="1">
      <c r="A1843" t="s">
        <v>2713</v>
      </c>
      <c r="B1843" t="s">
        <v>55</v>
      </c>
      <c r="C1843">
        <v>300273870</v>
      </c>
      <c r="D1843">
        <v>15893650</v>
      </c>
      <c r="E1843" t="s">
        <v>45</v>
      </c>
      <c r="F1843" t="s">
        <v>2405</v>
      </c>
      <c r="G1843">
        <v>5</v>
      </c>
      <c r="H1843" t="s">
        <v>2294</v>
      </c>
      <c r="K1843" s="11">
        <v>46218.358229166668</v>
      </c>
      <c r="M1843">
        <v>1172</v>
      </c>
      <c r="N1843" t="s">
        <v>878</v>
      </c>
      <c r="O1843" t="s">
        <v>2124</v>
      </c>
      <c r="P1843" s="5"/>
      <c r="Q1843" s="10">
        <f>INT(Tabela1[[#This Row],[DATA]])</f>
        <v>46218</v>
      </c>
      <c r="R1843" s="14" t="str">
        <f ca="1">IF(AND(Q1843&gt;=TODAY()-WEEKDAY(TODAY(),2)+1,Q1843&lt;TODAY()),"SIM","NÃO")</f>
        <v>NÃO</v>
      </c>
    </row>
    <row r="1844" spans="1:18" hidden="1">
      <c r="A1844" t="s">
        <v>428</v>
      </c>
      <c r="B1844" t="s">
        <v>429</v>
      </c>
      <c r="C1844">
        <v>300281017</v>
      </c>
      <c r="D1844">
        <v>13044826</v>
      </c>
      <c r="E1844" t="s">
        <v>29</v>
      </c>
      <c r="F1844" t="s">
        <v>2405</v>
      </c>
      <c r="G1844">
        <v>40</v>
      </c>
      <c r="H1844" t="s">
        <v>3665</v>
      </c>
      <c r="K1844" s="11">
        <v>46218.370995370373</v>
      </c>
      <c r="M1844">
        <v>1173</v>
      </c>
      <c r="N1844" t="s">
        <v>867</v>
      </c>
      <c r="O1844">
        <v>0</v>
      </c>
      <c r="P1844" s="5"/>
      <c r="Q1844" s="10">
        <f>INT(Tabela1[[#This Row],[DATA]])</f>
        <v>46218</v>
      </c>
      <c r="R1844" s="14" t="str">
        <f ca="1">IF(AND(Q1844&gt;=TODAY()-WEEKDAY(TODAY(),2)+1,Q1844&lt;TODAY()),"SIM","NÃO")</f>
        <v>NÃO</v>
      </c>
    </row>
    <row r="1845" spans="1:18" hidden="1">
      <c r="A1845" t="s">
        <v>2541</v>
      </c>
      <c r="B1845" t="s">
        <v>388</v>
      </c>
      <c r="C1845">
        <v>300277059</v>
      </c>
      <c r="D1845">
        <v>16217420</v>
      </c>
      <c r="E1845" t="s">
        <v>37</v>
      </c>
      <c r="F1845" t="s">
        <v>2213</v>
      </c>
      <c r="G1845">
        <v>738</v>
      </c>
      <c r="H1845" t="s">
        <v>2313</v>
      </c>
      <c r="J1845" t="s">
        <v>3666</v>
      </c>
      <c r="K1845" s="11">
        <v>46218.372013888889</v>
      </c>
      <c r="M1845">
        <v>1174</v>
      </c>
      <c r="N1845" t="s">
        <v>867</v>
      </c>
      <c r="O1845">
        <v>0</v>
      </c>
      <c r="P1845" s="5"/>
      <c r="Q1845" s="10">
        <f>INT(Tabela1[[#This Row],[DATA]])</f>
        <v>46218</v>
      </c>
      <c r="R1845" s="14" t="str">
        <f ca="1">IF(AND(Q1845&gt;=TODAY()-WEEKDAY(TODAY(),2)+1,Q1845&lt;TODAY()),"SIM","NÃO")</f>
        <v>NÃO</v>
      </c>
    </row>
    <row r="1846" spans="1:18" hidden="1">
      <c r="A1846" t="s">
        <v>2662</v>
      </c>
      <c r="B1846" t="s">
        <v>471</v>
      </c>
      <c r="C1846">
        <v>300281847</v>
      </c>
      <c r="D1846">
        <v>16441400</v>
      </c>
      <c r="E1846" t="s">
        <v>45</v>
      </c>
      <c r="F1846" t="s">
        <v>259</v>
      </c>
      <c r="G1846">
        <v>1287</v>
      </c>
      <c r="H1846" t="s">
        <v>3596</v>
      </c>
      <c r="K1846" s="11">
        <v>46218.385879629626</v>
      </c>
      <c r="M1846">
        <v>1175</v>
      </c>
      <c r="N1846" t="s">
        <v>878</v>
      </c>
      <c r="O1846">
        <v>10000072688</v>
      </c>
      <c r="P1846" s="5"/>
      <c r="Q1846" s="10">
        <f>INT(Tabela1[[#This Row],[DATA]])</f>
        <v>46218</v>
      </c>
      <c r="R1846" s="14" t="str">
        <f ca="1">IF(AND(Q1846&gt;=TODAY()-WEEKDAY(TODAY(),2)+1,Q1846&lt;TODAY()),"SIM","NÃO")</f>
        <v>NÃO</v>
      </c>
    </row>
    <row r="1847" spans="1:18" hidden="1">
      <c r="A1847" t="s">
        <v>2610</v>
      </c>
      <c r="B1847" t="s">
        <v>74</v>
      </c>
      <c r="C1847">
        <v>300279739</v>
      </c>
      <c r="D1847">
        <v>16373049</v>
      </c>
      <c r="E1847" t="s">
        <v>20</v>
      </c>
      <c r="F1847" t="s">
        <v>2405</v>
      </c>
      <c r="G1847">
        <v>30</v>
      </c>
      <c r="H1847" t="s">
        <v>3667</v>
      </c>
      <c r="K1847" s="11">
        <v>46218.434108796297</v>
      </c>
      <c r="M1847">
        <v>1176</v>
      </c>
      <c r="N1847" t="s">
        <v>867</v>
      </c>
      <c r="O1847">
        <v>0</v>
      </c>
      <c r="P1847" s="5"/>
      <c r="Q1847" s="10">
        <f>INT(Tabela1[[#This Row],[DATA]])</f>
        <v>46218</v>
      </c>
      <c r="R1847" s="14" t="str">
        <f ca="1">IF(AND(Q1847&gt;=TODAY()-WEEKDAY(TODAY(),2)+1,Q1847&lt;TODAY()),"SIM","NÃO")</f>
        <v>NÃO</v>
      </c>
    </row>
    <row r="1848" spans="1:18" hidden="1">
      <c r="A1848" t="s">
        <v>3564</v>
      </c>
      <c r="B1848" t="s">
        <v>3565</v>
      </c>
      <c r="C1848">
        <v>300275900</v>
      </c>
      <c r="D1848">
        <v>16223608</v>
      </c>
      <c r="E1848" t="s">
        <v>45</v>
      </c>
      <c r="F1848" t="s">
        <v>151</v>
      </c>
      <c r="G1848">
        <v>64</v>
      </c>
      <c r="H1848" t="s">
        <v>3668</v>
      </c>
      <c r="K1848" s="11">
        <v>46218.44327546296</v>
      </c>
      <c r="M1848">
        <v>1177</v>
      </c>
      <c r="N1848" t="s">
        <v>867</v>
      </c>
      <c r="O1848">
        <v>1000014782</v>
      </c>
      <c r="P1848" s="5"/>
      <c r="Q1848" s="10">
        <f>INT(Tabela1[[#This Row],[DATA]])</f>
        <v>46218</v>
      </c>
      <c r="R1848" s="14" t="str">
        <f ca="1">IF(AND(Q1848&gt;=TODAY()-WEEKDAY(TODAY(),2)+1,Q1848&lt;TODAY()),"SIM","NÃO")</f>
        <v>NÃO</v>
      </c>
    </row>
    <row r="1849" spans="1:18" hidden="1">
      <c r="A1849" t="s">
        <v>2565</v>
      </c>
      <c r="B1849" t="s">
        <v>95</v>
      </c>
      <c r="C1849">
        <v>300270841</v>
      </c>
      <c r="D1849">
        <v>16442679</v>
      </c>
      <c r="E1849" t="s">
        <v>29</v>
      </c>
      <c r="F1849" t="s">
        <v>291</v>
      </c>
      <c r="G1849">
        <v>200</v>
      </c>
      <c r="H1849" t="s">
        <v>3669</v>
      </c>
      <c r="J1849" t="s">
        <v>3670</v>
      </c>
      <c r="K1849" s="11">
        <v>46218.451226851852</v>
      </c>
      <c r="M1849">
        <v>1178</v>
      </c>
      <c r="N1849" t="s">
        <v>867</v>
      </c>
      <c r="O1849">
        <v>1</v>
      </c>
      <c r="P1849" s="5"/>
      <c r="Q1849" s="10">
        <f>INT(Tabela1[[#This Row],[DATA]])</f>
        <v>46218</v>
      </c>
      <c r="R1849" s="14" t="str">
        <f ca="1">IF(AND(Q1849&gt;=TODAY()-WEEKDAY(TODAY(),2)+1,Q1849&lt;TODAY()),"SIM","NÃO")</f>
        <v>NÃO</v>
      </c>
    </row>
    <row r="1850" spans="1:18" hidden="1">
      <c r="A1850" t="s">
        <v>605</v>
      </c>
      <c r="B1850" t="s">
        <v>606</v>
      </c>
      <c r="C1850">
        <v>300281473</v>
      </c>
      <c r="D1850">
        <v>13044826</v>
      </c>
      <c r="E1850" t="s">
        <v>29</v>
      </c>
      <c r="F1850" t="s">
        <v>2405</v>
      </c>
      <c r="G1850">
        <v>12</v>
      </c>
      <c r="H1850" t="s">
        <v>2559</v>
      </c>
      <c r="K1850" s="11">
        <v>46218.483634259261</v>
      </c>
      <c r="M1850">
        <v>1179</v>
      </c>
      <c r="N1850" t="s">
        <v>867</v>
      </c>
      <c r="O1850">
        <v>0</v>
      </c>
      <c r="P1850" s="5"/>
      <c r="Q1850" s="10">
        <f>INT(Tabela1[[#This Row],[DATA]])</f>
        <v>46218</v>
      </c>
      <c r="R1850" s="14" t="str">
        <f ca="1">IF(AND(Q1850&gt;=TODAY()-WEEKDAY(TODAY(),2)+1,Q1850&lt;TODAY()),"SIM","NÃO")</f>
        <v>NÃO</v>
      </c>
    </row>
    <row r="1851" spans="1:18" hidden="1">
      <c r="A1851" t="s">
        <v>2998</v>
      </c>
      <c r="B1851" t="s">
        <v>383</v>
      </c>
      <c r="C1851">
        <v>300275428</v>
      </c>
      <c r="D1851">
        <v>16373685</v>
      </c>
      <c r="E1851" t="s">
        <v>37</v>
      </c>
      <c r="F1851" t="s">
        <v>3333</v>
      </c>
      <c r="G1851">
        <v>60</v>
      </c>
      <c r="H1851" t="s">
        <v>3671</v>
      </c>
      <c r="J1851" t="s">
        <v>3672</v>
      </c>
      <c r="K1851" s="11">
        <v>46218.537314814814</v>
      </c>
      <c r="M1851">
        <v>1180</v>
      </c>
      <c r="N1851" t="s">
        <v>867</v>
      </c>
      <c r="O1851" t="s">
        <v>3673</v>
      </c>
      <c r="P1851" s="5"/>
      <c r="Q1851" s="10">
        <f>INT(Tabela1[[#This Row],[DATA]])</f>
        <v>46218</v>
      </c>
      <c r="R1851" s="14" t="str">
        <f ca="1">IF(AND(Q1851&gt;=TODAY()-WEEKDAY(TODAY(),2)+1,Q1851&lt;TODAY()),"SIM","NÃO")</f>
        <v>NÃO</v>
      </c>
    </row>
    <row r="1852" spans="1:18" hidden="1">
      <c r="A1852" t="s">
        <v>79</v>
      </c>
      <c r="B1852" t="s">
        <v>80</v>
      </c>
      <c r="C1852">
        <v>300281474</v>
      </c>
      <c r="D1852">
        <v>13044826</v>
      </c>
      <c r="E1852" t="s">
        <v>29</v>
      </c>
      <c r="F1852" t="s">
        <v>323</v>
      </c>
      <c r="G1852">
        <v>27</v>
      </c>
      <c r="H1852" t="s">
        <v>1418</v>
      </c>
      <c r="J1852" t="s">
        <v>3674</v>
      </c>
      <c r="K1852" s="11">
        <v>46218.538310185184</v>
      </c>
      <c r="M1852">
        <v>1181</v>
      </c>
      <c r="N1852" t="s">
        <v>867</v>
      </c>
      <c r="O1852">
        <v>0</v>
      </c>
      <c r="P1852" s="5"/>
      <c r="Q1852" s="10">
        <f>INT(Tabela1[[#This Row],[DATA]])</f>
        <v>46218</v>
      </c>
      <c r="R1852" s="14" t="str">
        <f ca="1">IF(AND(Q1852&gt;=TODAY()-WEEKDAY(TODAY(),2)+1,Q1852&lt;TODAY()),"SIM","NÃO")</f>
        <v>NÃO</v>
      </c>
    </row>
    <row r="1853" spans="1:18" hidden="1">
      <c r="A1853" t="s">
        <v>2541</v>
      </c>
      <c r="B1853" t="s">
        <v>388</v>
      </c>
      <c r="C1853">
        <v>300275049</v>
      </c>
      <c r="D1853">
        <v>16429559</v>
      </c>
      <c r="E1853" t="s">
        <v>37</v>
      </c>
      <c r="F1853" t="s">
        <v>323</v>
      </c>
      <c r="G1853">
        <v>3</v>
      </c>
      <c r="H1853" t="s">
        <v>2313</v>
      </c>
      <c r="K1853" s="11">
        <v>46218.552731481483</v>
      </c>
      <c r="M1853">
        <v>1182</v>
      </c>
      <c r="N1853" t="s">
        <v>867</v>
      </c>
      <c r="O1853">
        <v>0</v>
      </c>
      <c r="P1853" s="5"/>
      <c r="Q1853" s="10">
        <f>INT(Tabela1[[#This Row],[DATA]])</f>
        <v>46218</v>
      </c>
      <c r="R1853" s="14" t="str">
        <f ca="1">IF(AND(Q1853&gt;=TODAY()-WEEKDAY(TODAY(),2)+1,Q1853&lt;TODAY()),"SIM","NÃO")</f>
        <v>NÃO</v>
      </c>
    </row>
    <row r="1854" spans="1:18" hidden="1">
      <c r="A1854" t="s">
        <v>332</v>
      </c>
      <c r="B1854" t="s">
        <v>28</v>
      </c>
      <c r="C1854">
        <v>300279350</v>
      </c>
      <c r="D1854">
        <v>16426010</v>
      </c>
      <c r="E1854" t="s">
        <v>45</v>
      </c>
      <c r="F1854" t="s">
        <v>2405</v>
      </c>
      <c r="G1854">
        <v>2</v>
      </c>
      <c r="H1854" t="s">
        <v>1966</v>
      </c>
      <c r="K1854" s="11">
        <v>46218.575648148151</v>
      </c>
      <c r="M1854">
        <v>1183</v>
      </c>
      <c r="N1854" t="s">
        <v>867</v>
      </c>
      <c r="O1854">
        <v>0</v>
      </c>
      <c r="P1854" s="5"/>
      <c r="Q1854" s="10">
        <f>INT(Tabela1[[#This Row],[DATA]])</f>
        <v>46218</v>
      </c>
      <c r="R1854" s="14" t="str">
        <f ca="1">IF(AND(Q1854&gt;=TODAY()-WEEKDAY(TODAY(),2)+1,Q1854&lt;TODAY()),"SIM","NÃO")</f>
        <v>NÃO</v>
      </c>
    </row>
    <row r="1855" spans="1:18" hidden="1">
      <c r="A1855" t="s">
        <v>163</v>
      </c>
      <c r="B1855" t="s">
        <v>164</v>
      </c>
      <c r="C1855">
        <v>300281370</v>
      </c>
      <c r="D1855">
        <v>15359492</v>
      </c>
      <c r="E1855" t="s">
        <v>29</v>
      </c>
      <c r="F1855" t="s">
        <v>430</v>
      </c>
      <c r="G1855">
        <v>100</v>
      </c>
      <c r="H1855" t="s">
        <v>3675</v>
      </c>
      <c r="K1855" s="11">
        <v>46218.629699074074</v>
      </c>
      <c r="M1855">
        <v>1184</v>
      </c>
      <c r="N1855" t="s">
        <v>867</v>
      </c>
      <c r="O1855">
        <v>10000216131</v>
      </c>
      <c r="P1855" s="5"/>
      <c r="Q1855" s="10">
        <f>INT(Tabela1[[#This Row],[DATA]])</f>
        <v>46218</v>
      </c>
      <c r="R1855" s="14" t="str">
        <f ca="1">IF(AND(Q1855&gt;=TODAY()-WEEKDAY(TODAY(),2)+1,Q1855&lt;TODAY()),"SIM","NÃO")</f>
        <v>NÃO</v>
      </c>
    </row>
    <row r="1856" spans="1:18" hidden="1">
      <c r="A1856" t="s">
        <v>111</v>
      </c>
      <c r="B1856" t="s">
        <v>112</v>
      </c>
      <c r="C1856">
        <v>300265955</v>
      </c>
      <c r="D1856">
        <v>16487575</v>
      </c>
      <c r="E1856" t="s">
        <v>45</v>
      </c>
      <c r="F1856" t="s">
        <v>151</v>
      </c>
      <c r="G1856">
        <v>23</v>
      </c>
      <c r="H1856" t="s">
        <v>3676</v>
      </c>
      <c r="K1856" s="11">
        <v>46218.667974537035</v>
      </c>
      <c r="M1856">
        <v>1185</v>
      </c>
      <c r="N1856" t="s">
        <v>867</v>
      </c>
      <c r="O1856">
        <v>0</v>
      </c>
      <c r="P1856" s="5"/>
      <c r="Q1856" s="10">
        <f>INT(Tabela1[[#This Row],[DATA]])</f>
        <v>46218</v>
      </c>
      <c r="R1856" s="14" t="str">
        <f ca="1">IF(AND(Q1856&gt;=TODAY()-WEEKDAY(TODAY(),2)+1,Q1856&lt;TODAY()),"SIM","NÃO")</f>
        <v>NÃO</v>
      </c>
    </row>
    <row r="1857" spans="1:18" hidden="1">
      <c r="A1857" t="s">
        <v>111</v>
      </c>
      <c r="B1857" t="s">
        <v>112</v>
      </c>
      <c r="C1857">
        <v>300265955</v>
      </c>
      <c r="D1857">
        <v>16487575</v>
      </c>
      <c r="E1857" t="s">
        <v>45</v>
      </c>
      <c r="F1857" t="s">
        <v>525</v>
      </c>
      <c r="G1857" t="s">
        <v>3677</v>
      </c>
      <c r="H1857" t="s">
        <v>1335</v>
      </c>
      <c r="J1857" t="s">
        <v>3678</v>
      </c>
      <c r="K1857" s="11">
        <v>46218.66878472222</v>
      </c>
      <c r="M1857">
        <v>1186</v>
      </c>
      <c r="N1857" t="s">
        <v>867</v>
      </c>
      <c r="O1857">
        <v>0</v>
      </c>
      <c r="P1857" s="5"/>
      <c r="Q1857" s="10">
        <f>INT(Tabela1[[#This Row],[DATA]])</f>
        <v>46218</v>
      </c>
      <c r="R1857" s="14" t="str">
        <f ca="1">IF(AND(Q1857&gt;=TODAY()-WEEKDAY(TODAY(),2)+1,Q1857&lt;TODAY()),"SIM","NÃO")</f>
        <v>NÃO</v>
      </c>
    </row>
    <row r="1858" spans="1:18" hidden="1">
      <c r="A1858" t="s">
        <v>111</v>
      </c>
      <c r="B1858" t="s">
        <v>112</v>
      </c>
      <c r="C1858">
        <v>300279221</v>
      </c>
      <c r="D1858">
        <v>16223780</v>
      </c>
      <c r="E1858" t="s">
        <v>45</v>
      </c>
      <c r="F1858" t="s">
        <v>2405</v>
      </c>
      <c r="G1858">
        <v>7</v>
      </c>
      <c r="H1858" t="s">
        <v>1335</v>
      </c>
      <c r="K1858" s="11">
        <v>46218.690289351849</v>
      </c>
      <c r="M1858">
        <v>1187</v>
      </c>
      <c r="N1858" t="s">
        <v>867</v>
      </c>
      <c r="O1858">
        <v>0</v>
      </c>
      <c r="P1858" s="5"/>
      <c r="Q1858" s="10">
        <f>INT(Tabela1[[#This Row],[DATA]])</f>
        <v>46218</v>
      </c>
      <c r="R1858" s="14" t="str">
        <f ca="1">IF(AND(Q1858&gt;=TODAY()-WEEKDAY(TODAY(),2)+1,Q1858&lt;TODAY()),"SIM","NÃO")</f>
        <v>NÃO</v>
      </c>
    </row>
    <row r="1859" spans="1:18" hidden="1">
      <c r="A1859" t="s">
        <v>2571</v>
      </c>
      <c r="B1859" t="s">
        <v>798</v>
      </c>
      <c r="C1859">
        <v>300277500</v>
      </c>
      <c r="D1859">
        <v>16473825</v>
      </c>
      <c r="E1859" t="s">
        <v>37</v>
      </c>
      <c r="F1859" t="s">
        <v>2405</v>
      </c>
      <c r="G1859">
        <v>50</v>
      </c>
      <c r="H1859" t="s">
        <v>3679</v>
      </c>
      <c r="K1859" s="11">
        <v>46218.710405092592</v>
      </c>
      <c r="M1859">
        <v>1188</v>
      </c>
      <c r="N1859" t="s">
        <v>867</v>
      </c>
      <c r="O1859" t="s">
        <v>3680</v>
      </c>
      <c r="P1859" s="5"/>
      <c r="Q1859" s="10">
        <f>INT(Tabela1[[#This Row],[DATA]])</f>
        <v>46218</v>
      </c>
      <c r="R1859" s="14" t="str">
        <f ca="1">IF(AND(Q1859&gt;=TODAY()-WEEKDAY(TODAY(),2)+1,Q1859&lt;TODAY()),"SIM","NÃO")</f>
        <v>NÃO</v>
      </c>
    </row>
    <row r="1860" spans="1:18" hidden="1">
      <c r="A1860" t="s">
        <v>2656</v>
      </c>
      <c r="B1860" t="s">
        <v>119</v>
      </c>
      <c r="C1860">
        <v>300275035</v>
      </c>
      <c r="D1860">
        <v>16482204</v>
      </c>
      <c r="E1860" t="s">
        <v>37</v>
      </c>
      <c r="F1860" t="s">
        <v>177</v>
      </c>
      <c r="G1860">
        <v>5</v>
      </c>
      <c r="H1860" t="s">
        <v>3091</v>
      </c>
      <c r="J1860" t="s">
        <v>3681</v>
      </c>
      <c r="K1860" s="11">
        <v>46218.719224537039</v>
      </c>
      <c r="M1860">
        <v>1189</v>
      </c>
      <c r="N1860" t="s">
        <v>867</v>
      </c>
      <c r="O1860">
        <v>10000064458</v>
      </c>
      <c r="P1860" s="5"/>
      <c r="Q1860" s="10">
        <f>INT(Tabela1[[#This Row],[DATA]])</f>
        <v>46218</v>
      </c>
      <c r="R1860" s="14" t="str">
        <f ca="1">IF(AND(Q1860&gt;=TODAY()-WEEKDAY(TODAY(),2)+1,Q1860&lt;TODAY()),"SIM","NÃO")</f>
        <v>NÃO</v>
      </c>
    </row>
    <row r="1861" spans="1:18" hidden="1">
      <c r="A1861" t="s">
        <v>111</v>
      </c>
      <c r="B1861" t="s">
        <v>112</v>
      </c>
      <c r="C1861">
        <v>300276746</v>
      </c>
      <c r="D1861">
        <v>16510097</v>
      </c>
      <c r="E1861" t="s">
        <v>37</v>
      </c>
      <c r="F1861" t="s">
        <v>3330</v>
      </c>
      <c r="G1861">
        <v>65</v>
      </c>
      <c r="H1861" t="s">
        <v>1335</v>
      </c>
      <c r="K1861" s="11">
        <v>46219.321886574071</v>
      </c>
      <c r="M1861">
        <v>1190</v>
      </c>
      <c r="N1861" t="s">
        <v>867</v>
      </c>
      <c r="O1861">
        <v>10000170337</v>
      </c>
      <c r="P1861" s="5"/>
      <c r="Q1861" s="10">
        <f>INT(Tabela1[[#This Row],[DATA]])</f>
        <v>46219</v>
      </c>
      <c r="R1861" s="14" t="str">
        <f ca="1">IF(AND(Q1861&gt;=TODAY()-WEEKDAY(TODAY(),2)+1,Q1861&lt;TODAY()),"SIM","NÃO")</f>
        <v>NÃO</v>
      </c>
    </row>
    <row r="1862" spans="1:18" hidden="1">
      <c r="A1862" t="s">
        <v>1439</v>
      </c>
      <c r="B1862" t="s">
        <v>1440</v>
      </c>
      <c r="C1862">
        <v>300280716</v>
      </c>
      <c r="D1862">
        <v>16491963</v>
      </c>
      <c r="E1862" t="s">
        <v>45</v>
      </c>
      <c r="F1862" t="s">
        <v>3241</v>
      </c>
      <c r="G1862">
        <v>5</v>
      </c>
      <c r="H1862" t="s">
        <v>3682</v>
      </c>
      <c r="J1862" t="s">
        <v>3683</v>
      </c>
      <c r="K1862" s="11">
        <v>46219.324212962965</v>
      </c>
      <c r="M1862">
        <v>1191</v>
      </c>
      <c r="N1862" t="s">
        <v>867</v>
      </c>
      <c r="O1862" t="s">
        <v>3684</v>
      </c>
      <c r="P1862" s="5"/>
      <c r="Q1862" s="10">
        <f>INT(Tabela1[[#This Row],[DATA]])</f>
        <v>46219</v>
      </c>
      <c r="R1862" s="14" t="str">
        <f ca="1">IF(AND(Q1862&gt;=TODAY()-WEEKDAY(TODAY(),2)+1,Q1862&lt;TODAY()),"SIM","NÃO")</f>
        <v>NÃO</v>
      </c>
    </row>
    <row r="1863" spans="1:18" hidden="1">
      <c r="A1863" t="s">
        <v>111</v>
      </c>
      <c r="B1863" t="s">
        <v>112</v>
      </c>
      <c r="C1863">
        <v>300278428</v>
      </c>
      <c r="D1863">
        <v>15699811</v>
      </c>
      <c r="E1863" t="s">
        <v>37</v>
      </c>
      <c r="F1863" t="s">
        <v>3330</v>
      </c>
      <c r="G1863">
        <v>200</v>
      </c>
      <c r="H1863" t="s">
        <v>1335</v>
      </c>
      <c r="K1863" s="11">
        <v>46219.33253472222</v>
      </c>
      <c r="M1863">
        <v>1192</v>
      </c>
      <c r="N1863" t="s">
        <v>867</v>
      </c>
      <c r="O1863">
        <v>10000228848</v>
      </c>
      <c r="P1863" s="5"/>
      <c r="Q1863" s="10">
        <f>INT(Tabela1[[#This Row],[DATA]])</f>
        <v>46219</v>
      </c>
      <c r="R1863" s="14" t="str">
        <f ca="1">IF(AND(Q1863&gt;=TODAY()-WEEKDAY(TODAY(),2)+1,Q1863&lt;TODAY()),"SIM","NÃO")</f>
        <v>NÃO</v>
      </c>
    </row>
    <row r="1864" spans="1:18" hidden="1">
      <c r="A1864" t="s">
        <v>111</v>
      </c>
      <c r="B1864" t="s">
        <v>112</v>
      </c>
      <c r="C1864">
        <v>300278428</v>
      </c>
      <c r="D1864">
        <v>15699811</v>
      </c>
      <c r="E1864" t="s">
        <v>37</v>
      </c>
      <c r="F1864" t="s">
        <v>2405</v>
      </c>
      <c r="G1864">
        <v>4</v>
      </c>
      <c r="H1864" t="s">
        <v>1335</v>
      </c>
      <c r="K1864" s="11">
        <v>46219.333703703705</v>
      </c>
      <c r="M1864">
        <v>1193</v>
      </c>
      <c r="N1864" t="s">
        <v>867</v>
      </c>
      <c r="O1864">
        <v>0</v>
      </c>
      <c r="P1864" s="5"/>
      <c r="Q1864" s="10">
        <f>INT(Tabela1[[#This Row],[DATA]])</f>
        <v>46219</v>
      </c>
      <c r="R1864" s="14" t="str">
        <f ca="1">IF(AND(Q1864&gt;=TODAY()-WEEKDAY(TODAY(),2)+1,Q1864&lt;TODAY()),"SIM","NÃO")</f>
        <v>NÃO</v>
      </c>
    </row>
    <row r="1865" spans="1:18" hidden="1">
      <c r="A1865" t="s">
        <v>2610</v>
      </c>
      <c r="B1865" t="s">
        <v>74</v>
      </c>
      <c r="C1865">
        <v>300279696</v>
      </c>
      <c r="D1865">
        <v>16417216</v>
      </c>
      <c r="E1865" t="s">
        <v>45</v>
      </c>
      <c r="F1865" t="s">
        <v>2405</v>
      </c>
      <c r="G1865">
        <v>60</v>
      </c>
      <c r="H1865" t="s">
        <v>3685</v>
      </c>
      <c r="J1865" t="s">
        <v>3685</v>
      </c>
      <c r="K1865" s="11">
        <v>46219.345497685186</v>
      </c>
      <c r="M1865">
        <v>1194</v>
      </c>
      <c r="N1865" t="s">
        <v>867</v>
      </c>
      <c r="O1865">
        <v>0</v>
      </c>
      <c r="P1865" s="5"/>
      <c r="Q1865" s="10">
        <f>INT(Tabela1[[#This Row],[DATA]])</f>
        <v>46219</v>
      </c>
      <c r="R1865" s="14" t="str">
        <f ca="1">IF(AND(Q1865&gt;=TODAY()-WEEKDAY(TODAY(),2)+1,Q1865&lt;TODAY()),"SIM","NÃO")</f>
        <v>NÃO</v>
      </c>
    </row>
    <row r="1866" spans="1:18" hidden="1">
      <c r="A1866" t="s">
        <v>111</v>
      </c>
      <c r="B1866" t="s">
        <v>112</v>
      </c>
      <c r="C1866">
        <v>300281204</v>
      </c>
      <c r="D1866">
        <v>16543084</v>
      </c>
      <c r="E1866" t="s">
        <v>20</v>
      </c>
      <c r="F1866" t="s">
        <v>3330</v>
      </c>
      <c r="G1866">
        <v>1</v>
      </c>
      <c r="H1866" t="s">
        <v>1335</v>
      </c>
      <c r="K1866" s="11">
        <v>46219.352754629632</v>
      </c>
      <c r="M1866">
        <v>1195</v>
      </c>
      <c r="N1866" t="s">
        <v>867</v>
      </c>
      <c r="O1866">
        <v>10000209527</v>
      </c>
      <c r="P1866" s="5"/>
      <c r="Q1866" s="10">
        <f>INT(Tabela1[[#This Row],[DATA]])</f>
        <v>46219</v>
      </c>
      <c r="R1866" s="14" t="str">
        <f ca="1">IF(AND(Q1866&gt;=TODAY()-WEEKDAY(TODAY(),2)+1,Q1866&lt;TODAY()),"SIM","NÃO")</f>
        <v>NÃO</v>
      </c>
    </row>
    <row r="1867" spans="1:18" hidden="1">
      <c r="A1867" t="s">
        <v>2541</v>
      </c>
      <c r="B1867" t="s">
        <v>388</v>
      </c>
      <c r="C1867">
        <v>300275800</v>
      </c>
      <c r="D1867">
        <v>16218949</v>
      </c>
      <c r="E1867" t="s">
        <v>37</v>
      </c>
      <c r="F1867" t="s">
        <v>2405</v>
      </c>
      <c r="G1867">
        <v>1</v>
      </c>
      <c r="H1867" t="s">
        <v>2101</v>
      </c>
      <c r="K1867" s="11">
        <v>46219.356076388889</v>
      </c>
      <c r="M1867">
        <v>1196</v>
      </c>
      <c r="N1867" t="s">
        <v>867</v>
      </c>
      <c r="O1867" t="s">
        <v>3686</v>
      </c>
      <c r="P1867" s="5"/>
      <c r="Q1867" s="10">
        <f>INT(Tabela1[[#This Row],[DATA]])</f>
        <v>46219</v>
      </c>
      <c r="R1867" s="14" t="str">
        <f ca="1">IF(AND(Q1867&gt;=TODAY()-WEEKDAY(TODAY(),2)+1,Q1867&lt;TODAY()),"SIM","NÃO")</f>
        <v>NÃO</v>
      </c>
    </row>
    <row r="1868" spans="1:18" hidden="1">
      <c r="A1868" t="s">
        <v>1175</v>
      </c>
      <c r="B1868" t="s">
        <v>1176</v>
      </c>
      <c r="C1868">
        <v>300276288</v>
      </c>
      <c r="D1868">
        <v>15863387</v>
      </c>
      <c r="E1868" t="s">
        <v>37</v>
      </c>
      <c r="F1868" t="s">
        <v>3241</v>
      </c>
      <c r="G1868">
        <v>1254</v>
      </c>
      <c r="H1868" t="s">
        <v>2155</v>
      </c>
      <c r="J1868" t="s">
        <v>3687</v>
      </c>
      <c r="K1868" s="11">
        <v>46219.368587962963</v>
      </c>
      <c r="M1868">
        <v>1197</v>
      </c>
      <c r="N1868" t="s">
        <v>878</v>
      </c>
      <c r="O1868">
        <v>0</v>
      </c>
      <c r="P1868" s="5"/>
      <c r="Q1868" s="10">
        <f>INT(Tabela1[[#This Row],[DATA]])</f>
        <v>46219</v>
      </c>
      <c r="R1868" s="14" t="str">
        <f ca="1">IF(AND(Q1868&gt;=TODAY()-WEEKDAY(TODAY(),2)+1,Q1868&lt;TODAY()),"SIM","NÃO")</f>
        <v>NÃO</v>
      </c>
    </row>
    <row r="1869" spans="1:18" hidden="1">
      <c r="A1869" t="s">
        <v>3513</v>
      </c>
      <c r="B1869" t="s">
        <v>3688</v>
      </c>
      <c r="C1869">
        <v>300275767</v>
      </c>
      <c r="D1869">
        <v>16523741</v>
      </c>
      <c r="E1869" t="s">
        <v>37</v>
      </c>
      <c r="F1869" t="s">
        <v>3502</v>
      </c>
      <c r="G1869">
        <v>10</v>
      </c>
      <c r="H1869" t="s">
        <v>2804</v>
      </c>
      <c r="J1869" t="s">
        <v>3689</v>
      </c>
      <c r="K1869" s="11">
        <v>46219.375115740739</v>
      </c>
      <c r="M1869">
        <v>1198</v>
      </c>
      <c r="N1869" t="s">
        <v>867</v>
      </c>
      <c r="O1869">
        <v>0</v>
      </c>
      <c r="P1869" s="5"/>
      <c r="Q1869" s="10">
        <f>INT(Tabela1[[#This Row],[DATA]])</f>
        <v>46219</v>
      </c>
      <c r="R1869" s="14" t="str">
        <f ca="1">IF(AND(Q1869&gt;=TODAY()-WEEKDAY(TODAY(),2)+1,Q1869&lt;TODAY()),"SIM","NÃO")</f>
        <v>NÃO</v>
      </c>
    </row>
    <row r="1870" spans="1:18" hidden="1">
      <c r="A1870" t="s">
        <v>185</v>
      </c>
      <c r="B1870" t="s">
        <v>1625</v>
      </c>
      <c r="C1870">
        <v>300272178</v>
      </c>
      <c r="D1870">
        <v>16548710</v>
      </c>
      <c r="E1870" t="s">
        <v>37</v>
      </c>
      <c r="F1870" t="s">
        <v>3241</v>
      </c>
      <c r="G1870">
        <v>20</v>
      </c>
      <c r="H1870" t="s">
        <v>1771</v>
      </c>
      <c r="K1870" s="11">
        <v>46219.377025462964</v>
      </c>
      <c r="M1870">
        <v>1199</v>
      </c>
      <c r="N1870" t="s">
        <v>867</v>
      </c>
      <c r="O1870" t="s">
        <v>3690</v>
      </c>
      <c r="P1870" s="5"/>
      <c r="Q1870" s="10">
        <f>INT(Tabela1[[#This Row],[DATA]])</f>
        <v>46219</v>
      </c>
      <c r="R1870" s="14" t="str">
        <f ca="1">IF(AND(Q1870&gt;=TODAY()-WEEKDAY(TODAY(),2)+1,Q1870&lt;TODAY()),"SIM","NÃO")</f>
        <v>NÃO</v>
      </c>
    </row>
    <row r="1871" spans="1:18" hidden="1">
      <c r="A1871" t="s">
        <v>807</v>
      </c>
      <c r="B1871" t="s">
        <v>808</v>
      </c>
      <c r="C1871">
        <v>300277951</v>
      </c>
      <c r="D1871">
        <v>16441630</v>
      </c>
      <c r="E1871" t="s">
        <v>45</v>
      </c>
      <c r="F1871" t="s">
        <v>3212</v>
      </c>
      <c r="G1871">
        <v>160</v>
      </c>
      <c r="H1871" t="s">
        <v>3691</v>
      </c>
      <c r="J1871" t="s">
        <v>3692</v>
      </c>
      <c r="K1871" s="11">
        <v>46219.410775462966</v>
      </c>
      <c r="M1871">
        <v>1200</v>
      </c>
      <c r="N1871" t="s">
        <v>867</v>
      </c>
      <c r="O1871">
        <v>0</v>
      </c>
      <c r="P1871" s="5"/>
      <c r="Q1871" s="10">
        <f>INT(Tabela1[[#This Row],[DATA]])</f>
        <v>46219</v>
      </c>
      <c r="R1871" s="14" t="str">
        <f ca="1">IF(AND(Q1871&gt;=TODAY()-WEEKDAY(TODAY(),2)+1,Q1871&lt;TODAY()),"SIM","NÃO")</f>
        <v>NÃO</v>
      </c>
    </row>
    <row r="1872" spans="1:18" hidden="1">
      <c r="A1872" t="s">
        <v>2551</v>
      </c>
      <c r="B1872" t="s">
        <v>274</v>
      </c>
      <c r="C1872">
        <v>300274218</v>
      </c>
      <c r="D1872">
        <v>15865614</v>
      </c>
      <c r="E1872" t="s">
        <v>37</v>
      </c>
      <c r="F1872" t="s">
        <v>2213</v>
      </c>
      <c r="G1872">
        <v>20</v>
      </c>
      <c r="H1872" t="s">
        <v>555</v>
      </c>
      <c r="J1872" t="s">
        <v>3693</v>
      </c>
      <c r="K1872" s="11">
        <v>46219.430127314816</v>
      </c>
      <c r="M1872">
        <v>1201</v>
      </c>
      <c r="N1872" t="s">
        <v>867</v>
      </c>
      <c r="O1872">
        <v>10000212591</v>
      </c>
      <c r="P1872" s="5"/>
      <c r="Q1872" s="10">
        <f>INT(Tabela1[[#This Row],[DATA]])</f>
        <v>46219</v>
      </c>
      <c r="R1872" s="14" t="str">
        <f ca="1">IF(AND(Q1872&gt;=TODAY()-WEEKDAY(TODAY(),2)+1,Q1872&lt;TODAY()),"SIM","NÃO")</f>
        <v>NÃO</v>
      </c>
    </row>
    <row r="1873" spans="1:18" hidden="1">
      <c r="A1873" t="s">
        <v>2671</v>
      </c>
      <c r="B1873" t="s">
        <v>89</v>
      </c>
      <c r="C1873">
        <v>300278590</v>
      </c>
      <c r="D1873">
        <v>16299213</v>
      </c>
      <c r="E1873" t="s">
        <v>37</v>
      </c>
      <c r="F1873" t="s">
        <v>3461</v>
      </c>
      <c r="G1873">
        <v>4</v>
      </c>
      <c r="H1873" t="s">
        <v>3694</v>
      </c>
      <c r="J1873" t="s">
        <v>3695</v>
      </c>
      <c r="K1873" s="11">
        <v>46219.439664351848</v>
      </c>
      <c r="M1873">
        <v>1202</v>
      </c>
      <c r="N1873" t="s">
        <v>878</v>
      </c>
      <c r="O1873">
        <v>0</v>
      </c>
      <c r="P1873" s="5"/>
      <c r="Q1873" s="10">
        <f>INT(Tabela1[[#This Row],[DATA]])</f>
        <v>46219</v>
      </c>
      <c r="R1873" s="14" t="str">
        <f ca="1">IF(AND(Q1873&gt;=TODAY()-WEEKDAY(TODAY(),2)+1,Q1873&lt;TODAY()),"SIM","NÃO")</f>
        <v>NÃO</v>
      </c>
    </row>
    <row r="1874" spans="1:18" hidden="1">
      <c r="A1874" t="s">
        <v>111</v>
      </c>
      <c r="B1874" t="s">
        <v>112</v>
      </c>
      <c r="C1874">
        <v>300281183</v>
      </c>
      <c r="D1874">
        <v>16223462</v>
      </c>
      <c r="E1874" t="s">
        <v>45</v>
      </c>
      <c r="F1874" t="s">
        <v>2405</v>
      </c>
      <c r="G1874">
        <v>10</v>
      </c>
      <c r="H1874" t="s">
        <v>1335</v>
      </c>
      <c r="K1874" s="11">
        <v>46219.450115740743</v>
      </c>
      <c r="M1874">
        <v>1203</v>
      </c>
      <c r="N1874" t="s">
        <v>867</v>
      </c>
      <c r="O1874">
        <v>0</v>
      </c>
      <c r="P1874" s="5"/>
      <c r="Q1874" s="10">
        <f>INT(Tabela1[[#This Row],[DATA]])</f>
        <v>46219</v>
      </c>
      <c r="R1874" s="14" t="str">
        <f ca="1">IF(AND(Q1874&gt;=TODAY()-WEEKDAY(TODAY(),2)+1,Q1874&lt;TODAY()),"SIM","NÃO")</f>
        <v>NÃO</v>
      </c>
    </row>
    <row r="1875" spans="1:18" hidden="1">
      <c r="A1875" t="s">
        <v>2565</v>
      </c>
      <c r="B1875" t="s">
        <v>95</v>
      </c>
      <c r="C1875">
        <v>300270841</v>
      </c>
      <c r="D1875">
        <v>16442679</v>
      </c>
      <c r="E1875" t="s">
        <v>29</v>
      </c>
      <c r="F1875" t="s">
        <v>96</v>
      </c>
      <c r="G1875">
        <v>50</v>
      </c>
      <c r="H1875" t="s">
        <v>3696</v>
      </c>
      <c r="J1875" t="s">
        <v>3697</v>
      </c>
      <c r="K1875" s="11">
        <v>46219.453009259261</v>
      </c>
      <c r="M1875">
        <v>1204</v>
      </c>
      <c r="N1875" t="s">
        <v>867</v>
      </c>
      <c r="O1875" t="s">
        <v>848</v>
      </c>
      <c r="P1875" s="5"/>
      <c r="Q1875" s="10">
        <f>INT(Tabela1[[#This Row],[DATA]])</f>
        <v>46219</v>
      </c>
      <c r="R1875" s="14" t="str">
        <f ca="1">IF(AND(Q1875&gt;=TODAY()-WEEKDAY(TODAY(),2)+1,Q1875&lt;TODAY()),"SIM","NÃO")</f>
        <v>NÃO</v>
      </c>
    </row>
    <row r="1876" spans="1:18" hidden="1">
      <c r="A1876" t="s">
        <v>253</v>
      </c>
      <c r="B1876" t="s">
        <v>254</v>
      </c>
      <c r="C1876">
        <v>300280229</v>
      </c>
      <c r="D1876">
        <v>16441222</v>
      </c>
      <c r="E1876" t="s">
        <v>45</v>
      </c>
      <c r="F1876" t="s">
        <v>151</v>
      </c>
      <c r="G1876">
        <v>7</v>
      </c>
      <c r="H1876" t="s">
        <v>3698</v>
      </c>
      <c r="K1876" s="11">
        <v>46219.454907407409</v>
      </c>
      <c r="M1876">
        <v>1205</v>
      </c>
      <c r="N1876" t="s">
        <v>867</v>
      </c>
      <c r="O1876">
        <v>0</v>
      </c>
      <c r="P1876" s="5"/>
      <c r="Q1876" s="10">
        <f>INT(Tabela1[[#This Row],[DATA]])</f>
        <v>46219</v>
      </c>
      <c r="R1876" s="14" t="str">
        <f ca="1">IF(AND(Q1876&gt;=TODAY()-WEEKDAY(TODAY(),2)+1,Q1876&lt;TODAY()),"SIM","NÃO")</f>
        <v>NÃO</v>
      </c>
    </row>
    <row r="1877" spans="1:18" hidden="1">
      <c r="A1877" t="s">
        <v>185</v>
      </c>
      <c r="B1877" t="s">
        <v>1625</v>
      </c>
      <c r="C1877">
        <v>300278740</v>
      </c>
      <c r="D1877">
        <v>16441419</v>
      </c>
      <c r="E1877" t="s">
        <v>37</v>
      </c>
      <c r="F1877" t="s">
        <v>2405</v>
      </c>
      <c r="G1877">
        <v>4</v>
      </c>
      <c r="H1877" t="s">
        <v>2137</v>
      </c>
      <c r="K1877" s="11">
        <v>46219.455185185187</v>
      </c>
      <c r="M1877">
        <v>1206</v>
      </c>
      <c r="N1877" t="s">
        <v>867</v>
      </c>
      <c r="O1877">
        <v>0</v>
      </c>
      <c r="P1877" s="5"/>
      <c r="Q1877" s="10">
        <f>INT(Tabela1[[#This Row],[DATA]])</f>
        <v>46219</v>
      </c>
      <c r="R1877" s="14" t="str">
        <f ca="1">IF(AND(Q1877&gt;=TODAY()-WEEKDAY(TODAY(),2)+1,Q1877&lt;TODAY()),"SIM","NÃO")</f>
        <v>NÃO</v>
      </c>
    </row>
    <row r="1878" spans="1:18" hidden="1">
      <c r="A1878" t="s">
        <v>2656</v>
      </c>
      <c r="B1878" t="s">
        <v>119</v>
      </c>
      <c r="C1878">
        <v>300275035</v>
      </c>
      <c r="D1878">
        <v>16482204</v>
      </c>
      <c r="E1878" t="s">
        <v>37</v>
      </c>
      <c r="F1878" t="s">
        <v>2405</v>
      </c>
      <c r="G1878">
        <v>2</v>
      </c>
      <c r="H1878" t="s">
        <v>3699</v>
      </c>
      <c r="J1878" t="s">
        <v>3700</v>
      </c>
      <c r="K1878" s="11">
        <v>46219.463425925926</v>
      </c>
      <c r="M1878">
        <v>1207</v>
      </c>
      <c r="N1878" t="s">
        <v>867</v>
      </c>
      <c r="O1878">
        <v>0</v>
      </c>
      <c r="P1878" s="5"/>
      <c r="Q1878" s="10">
        <f>INT(Tabela1[[#This Row],[DATA]])</f>
        <v>46219</v>
      </c>
      <c r="R1878" s="14" t="str">
        <f ca="1">IF(AND(Q1878&gt;=TODAY()-WEEKDAY(TODAY(),2)+1,Q1878&lt;TODAY()),"SIM","NÃO")</f>
        <v>NÃO</v>
      </c>
    </row>
    <row r="1879" spans="1:18" hidden="1">
      <c r="A1879" t="s">
        <v>2543</v>
      </c>
      <c r="B1879" t="s">
        <v>28</v>
      </c>
      <c r="C1879">
        <v>300275795</v>
      </c>
      <c r="D1879">
        <v>16114159</v>
      </c>
      <c r="E1879" t="s">
        <v>37</v>
      </c>
      <c r="F1879" t="s">
        <v>2405</v>
      </c>
      <c r="G1879">
        <v>3</v>
      </c>
      <c r="H1879" t="s">
        <v>1332</v>
      </c>
      <c r="K1879" s="11">
        <v>46219.540613425925</v>
      </c>
      <c r="M1879">
        <v>1208</v>
      </c>
      <c r="N1879" t="s">
        <v>867</v>
      </c>
      <c r="O1879" t="s">
        <v>3338</v>
      </c>
      <c r="P1879" s="5"/>
      <c r="Q1879" s="10">
        <f>INT(Tabela1[[#This Row],[DATA]])</f>
        <v>46219</v>
      </c>
      <c r="R1879" s="14" t="str">
        <f ca="1">IF(AND(Q1879&gt;=TODAY()-WEEKDAY(TODAY(),2)+1,Q1879&lt;TODAY()),"SIM","NÃO")</f>
        <v>NÃO</v>
      </c>
    </row>
    <row r="1880" spans="1:18" hidden="1">
      <c r="A1880" t="s">
        <v>914</v>
      </c>
      <c r="B1880" t="s">
        <v>2651</v>
      </c>
      <c r="C1880">
        <v>300272945</v>
      </c>
      <c r="D1880">
        <v>15774112</v>
      </c>
      <c r="E1880" t="s">
        <v>37</v>
      </c>
      <c r="F1880" t="s">
        <v>3215</v>
      </c>
      <c r="G1880">
        <v>30</v>
      </c>
      <c r="H1880" t="s">
        <v>644</v>
      </c>
      <c r="J1880" t="s">
        <v>3701</v>
      </c>
      <c r="K1880" s="11">
        <v>46219.554664351854</v>
      </c>
      <c r="M1880">
        <v>1209</v>
      </c>
      <c r="N1880" t="s">
        <v>878</v>
      </c>
      <c r="O1880">
        <v>0</v>
      </c>
      <c r="P1880" s="5"/>
      <c r="Q1880" s="10">
        <f>INT(Tabela1[[#This Row],[DATA]])</f>
        <v>46219</v>
      </c>
      <c r="R1880" s="14" t="str">
        <f ca="1">IF(AND(Q1880&gt;=TODAY()-WEEKDAY(TODAY(),2)+1,Q1880&lt;TODAY()),"SIM","NÃO")</f>
        <v>NÃO</v>
      </c>
    </row>
    <row r="1881" spans="1:18" hidden="1">
      <c r="A1881" t="s">
        <v>914</v>
      </c>
      <c r="B1881" t="s">
        <v>2651</v>
      </c>
      <c r="C1881">
        <v>300274636</v>
      </c>
      <c r="D1881">
        <v>16119398</v>
      </c>
      <c r="E1881" t="s">
        <v>37</v>
      </c>
      <c r="F1881" t="s">
        <v>3343</v>
      </c>
      <c r="G1881">
        <v>124</v>
      </c>
      <c r="H1881" t="s">
        <v>3702</v>
      </c>
      <c r="J1881" t="s">
        <v>3703</v>
      </c>
      <c r="K1881" s="11">
        <v>46219.557442129626</v>
      </c>
      <c r="M1881">
        <v>1210</v>
      </c>
      <c r="N1881" t="s">
        <v>867</v>
      </c>
      <c r="O1881">
        <v>0</v>
      </c>
      <c r="P1881" s="5"/>
      <c r="Q1881" s="10">
        <f>INT(Tabela1[[#This Row],[DATA]])</f>
        <v>46219</v>
      </c>
      <c r="R1881" s="14" t="str">
        <f ca="1">IF(AND(Q1881&gt;=TODAY()-WEEKDAY(TODAY(),2)+1,Q1881&lt;TODAY()),"SIM","NÃO")</f>
        <v>NÃO</v>
      </c>
    </row>
    <row r="1882" spans="1:18" hidden="1">
      <c r="A1882" t="s">
        <v>2610</v>
      </c>
      <c r="B1882" t="s">
        <v>74</v>
      </c>
      <c r="C1882">
        <v>300279696</v>
      </c>
      <c r="D1882">
        <v>16417216</v>
      </c>
      <c r="E1882" t="s">
        <v>45</v>
      </c>
      <c r="F1882" t="s">
        <v>2405</v>
      </c>
      <c r="G1882">
        <v>17</v>
      </c>
      <c r="H1882" t="s">
        <v>3704</v>
      </c>
      <c r="K1882" s="11">
        <v>46219.567175925928</v>
      </c>
      <c r="M1882">
        <v>1211</v>
      </c>
      <c r="N1882" t="s">
        <v>867</v>
      </c>
      <c r="O1882">
        <v>0</v>
      </c>
      <c r="P1882" s="5"/>
      <c r="Q1882" s="10">
        <f>INT(Tabela1[[#This Row],[DATA]])</f>
        <v>46219</v>
      </c>
      <c r="R1882" s="14" t="str">
        <f ca="1">IF(AND(Q1882&gt;=TODAY()-WEEKDAY(TODAY(),2)+1,Q1882&lt;TODAY()),"SIM","NÃO")</f>
        <v>NÃO</v>
      </c>
    </row>
    <row r="1883" spans="1:18" hidden="1">
      <c r="A1883" t="s">
        <v>185</v>
      </c>
      <c r="B1883" t="s">
        <v>1625</v>
      </c>
      <c r="C1883">
        <v>300272949</v>
      </c>
      <c r="D1883">
        <v>16540000</v>
      </c>
      <c r="E1883" t="s">
        <v>37</v>
      </c>
      <c r="F1883" t="s">
        <v>3705</v>
      </c>
      <c r="G1883" t="s">
        <v>3706</v>
      </c>
      <c r="H1883" t="s">
        <v>2948</v>
      </c>
      <c r="J1883" t="s">
        <v>3707</v>
      </c>
      <c r="K1883" s="11">
        <v>46219.576435185183</v>
      </c>
      <c r="M1883">
        <v>1212</v>
      </c>
      <c r="N1883" t="s">
        <v>867</v>
      </c>
      <c r="O1883">
        <v>0</v>
      </c>
      <c r="P1883" s="5"/>
      <c r="Q1883" s="10">
        <f>INT(Tabela1[[#This Row],[DATA]])</f>
        <v>46219</v>
      </c>
      <c r="R1883" s="14" t="str">
        <f ca="1">IF(AND(Q1883&gt;=TODAY()-WEEKDAY(TODAY(),2)+1,Q1883&lt;TODAY()),"SIM","NÃO")</f>
        <v>NÃO</v>
      </c>
    </row>
    <row r="1884" spans="1:18" hidden="1">
      <c r="A1884" t="s">
        <v>185</v>
      </c>
      <c r="B1884" t="s">
        <v>1625</v>
      </c>
      <c r="C1884">
        <v>300277499</v>
      </c>
      <c r="D1884">
        <v>16473825</v>
      </c>
      <c r="E1884" t="s">
        <v>37</v>
      </c>
      <c r="F1884" t="s">
        <v>369</v>
      </c>
      <c r="G1884">
        <v>93</v>
      </c>
      <c r="H1884" t="s">
        <v>3708</v>
      </c>
      <c r="J1884" t="s">
        <v>3709</v>
      </c>
      <c r="K1884" s="11">
        <v>46219.578541666669</v>
      </c>
      <c r="M1884">
        <v>1213</v>
      </c>
      <c r="N1884" t="s">
        <v>867</v>
      </c>
      <c r="O1884">
        <v>0</v>
      </c>
      <c r="P1884" s="5"/>
      <c r="Q1884" s="10">
        <f>INT(Tabela1[[#This Row],[DATA]])</f>
        <v>46219</v>
      </c>
      <c r="R1884" s="14" t="str">
        <f ca="1">IF(AND(Q1884&gt;=TODAY()-WEEKDAY(TODAY(),2)+1,Q1884&lt;TODAY()),"SIM","NÃO")</f>
        <v>NÃO</v>
      </c>
    </row>
    <row r="1885" spans="1:18" hidden="1">
      <c r="A1885" t="s">
        <v>2571</v>
      </c>
      <c r="B1885" t="s">
        <v>798</v>
      </c>
      <c r="C1885">
        <v>300280231</v>
      </c>
      <c r="D1885">
        <v>16441222</v>
      </c>
      <c r="E1885" t="s">
        <v>45</v>
      </c>
      <c r="F1885" t="s">
        <v>96</v>
      </c>
      <c r="G1885">
        <v>50</v>
      </c>
      <c r="H1885" t="s">
        <v>3710</v>
      </c>
      <c r="K1885" s="11">
        <v>46219.599699074075</v>
      </c>
      <c r="M1885">
        <v>1214</v>
      </c>
      <c r="N1885" t="s">
        <v>867</v>
      </c>
      <c r="O1885" t="s">
        <v>3711</v>
      </c>
      <c r="P1885" s="5"/>
      <c r="Q1885" s="10">
        <f>INT(Tabela1[[#This Row],[DATA]])</f>
        <v>46219</v>
      </c>
      <c r="R1885" s="14" t="str">
        <f ca="1">IF(AND(Q1885&gt;=TODAY()-WEEKDAY(TODAY(),2)+1,Q1885&lt;TODAY()),"SIM","NÃO")</f>
        <v>NÃO</v>
      </c>
    </row>
    <row r="1886" spans="1:18" hidden="1">
      <c r="A1886" t="s">
        <v>2707</v>
      </c>
      <c r="B1886" t="s">
        <v>181</v>
      </c>
      <c r="C1886">
        <v>300277897</v>
      </c>
      <c r="D1886">
        <v>15252434</v>
      </c>
      <c r="E1886" t="s">
        <v>37</v>
      </c>
      <c r="F1886" t="s">
        <v>3217</v>
      </c>
      <c r="G1886">
        <v>1</v>
      </c>
      <c r="H1886" t="s">
        <v>2751</v>
      </c>
      <c r="J1886" t="s">
        <v>3712</v>
      </c>
      <c r="K1886" s="11">
        <v>46219.612013888887</v>
      </c>
      <c r="M1886">
        <v>1215</v>
      </c>
      <c r="N1886" t="s">
        <v>878</v>
      </c>
      <c r="O1886">
        <v>0</v>
      </c>
      <c r="P1886" s="5"/>
      <c r="Q1886" s="10">
        <f>INT(Tabela1[[#This Row],[DATA]])</f>
        <v>46219</v>
      </c>
      <c r="R1886" s="14" t="str">
        <f ca="1">IF(AND(Q1886&gt;=TODAY()-WEEKDAY(TODAY(),2)+1,Q1886&lt;TODAY()),"SIM","NÃO")</f>
        <v>NÃO</v>
      </c>
    </row>
    <row r="1887" spans="1:18" hidden="1">
      <c r="A1887" t="s">
        <v>914</v>
      </c>
      <c r="B1887" t="s">
        <v>2651</v>
      </c>
      <c r="C1887">
        <v>300272945</v>
      </c>
      <c r="D1887">
        <v>15774112</v>
      </c>
      <c r="E1887" t="s">
        <v>37</v>
      </c>
      <c r="F1887" t="s">
        <v>177</v>
      </c>
      <c r="G1887">
        <v>50</v>
      </c>
      <c r="H1887" t="s">
        <v>3713</v>
      </c>
      <c r="J1887" t="s">
        <v>3714</v>
      </c>
      <c r="K1887" s="11">
        <v>46219.626550925925</v>
      </c>
      <c r="M1887">
        <v>1216</v>
      </c>
      <c r="N1887" t="s">
        <v>867</v>
      </c>
      <c r="O1887">
        <v>0</v>
      </c>
      <c r="P1887" s="5"/>
      <c r="Q1887" s="10">
        <f>INT(Tabela1[[#This Row],[DATA]])</f>
        <v>46219</v>
      </c>
      <c r="R1887" s="14" t="str">
        <f ca="1">IF(AND(Q1887&gt;=TODAY()-WEEKDAY(TODAY(),2)+1,Q1887&lt;TODAY()),"SIM","NÃO")</f>
        <v>NÃO</v>
      </c>
    </row>
    <row r="1888" spans="1:18" hidden="1">
      <c r="A1888" t="s">
        <v>2707</v>
      </c>
      <c r="B1888" t="s">
        <v>181</v>
      </c>
      <c r="C1888">
        <v>300276767</v>
      </c>
      <c r="D1888">
        <v>16507649</v>
      </c>
      <c r="E1888" t="s">
        <v>37</v>
      </c>
      <c r="F1888" t="s">
        <v>3502</v>
      </c>
      <c r="G1888">
        <v>4</v>
      </c>
      <c r="H1888" t="s">
        <v>3715</v>
      </c>
      <c r="J1888" t="s">
        <v>3716</v>
      </c>
      <c r="K1888" s="11">
        <v>46219.642453703702</v>
      </c>
      <c r="M1888">
        <v>1217</v>
      </c>
      <c r="N1888" t="s">
        <v>867</v>
      </c>
      <c r="O1888">
        <v>0</v>
      </c>
      <c r="P1888" s="5"/>
      <c r="Q1888" s="10">
        <f>INT(Tabela1[[#This Row],[DATA]])</f>
        <v>46219</v>
      </c>
      <c r="R1888" s="14" t="str">
        <f ca="1">IF(AND(Q1888&gt;=TODAY()-WEEKDAY(TODAY(),2)+1,Q1888&lt;TODAY()),"SIM","NÃO")</f>
        <v>NÃO</v>
      </c>
    </row>
    <row r="1889" spans="1:18" hidden="1">
      <c r="A1889" t="s">
        <v>2707</v>
      </c>
      <c r="B1889" t="s">
        <v>181</v>
      </c>
      <c r="C1889">
        <v>300276767</v>
      </c>
      <c r="D1889">
        <v>16507649</v>
      </c>
      <c r="E1889" t="s">
        <v>37</v>
      </c>
      <c r="F1889" t="s">
        <v>216</v>
      </c>
      <c r="G1889" t="s">
        <v>3717</v>
      </c>
      <c r="H1889" t="s">
        <v>3718</v>
      </c>
      <c r="J1889" t="s">
        <v>3130</v>
      </c>
      <c r="K1889" s="11">
        <v>46219.645162037035</v>
      </c>
      <c r="M1889">
        <v>1218</v>
      </c>
      <c r="N1889" t="s">
        <v>867</v>
      </c>
      <c r="O1889">
        <v>0</v>
      </c>
      <c r="P1889" s="5"/>
      <c r="Q1889" s="10">
        <f>INT(Tabela1[[#This Row],[DATA]])</f>
        <v>46219</v>
      </c>
      <c r="R1889" s="14" t="str">
        <f ca="1">IF(AND(Q1889&gt;=TODAY()-WEEKDAY(TODAY(),2)+1,Q1889&lt;TODAY()),"SIM","NÃO")</f>
        <v>NÃO</v>
      </c>
    </row>
    <row r="1890" spans="1:18" hidden="1">
      <c r="A1890" t="s">
        <v>2639</v>
      </c>
      <c r="B1890" t="s">
        <v>2640</v>
      </c>
      <c r="C1890">
        <v>300281092</v>
      </c>
      <c r="D1890">
        <v>16488229</v>
      </c>
      <c r="E1890" t="s">
        <v>37</v>
      </c>
      <c r="F1890" t="s">
        <v>3502</v>
      </c>
      <c r="G1890" t="s">
        <v>3719</v>
      </c>
      <c r="H1890" t="s">
        <v>3720</v>
      </c>
      <c r="J1890" t="s">
        <v>3721</v>
      </c>
      <c r="K1890" s="11">
        <v>46219.649548611109</v>
      </c>
      <c r="M1890">
        <v>1219</v>
      </c>
      <c r="N1890" t="s">
        <v>878</v>
      </c>
      <c r="O1890">
        <v>0</v>
      </c>
      <c r="P1890" s="5"/>
      <c r="Q1890" s="10">
        <f>INT(Tabela1[[#This Row],[DATA]])</f>
        <v>46219</v>
      </c>
      <c r="R1890" s="14" t="str">
        <f ca="1">IF(AND(Q1890&gt;=TODAY()-WEEKDAY(TODAY(),2)+1,Q1890&lt;TODAY()),"SIM","NÃO")</f>
        <v>NÃO</v>
      </c>
    </row>
    <row r="1891" spans="1:18" hidden="1">
      <c r="A1891" t="s">
        <v>2610</v>
      </c>
      <c r="B1891" t="s">
        <v>74</v>
      </c>
      <c r="C1891">
        <v>300274695</v>
      </c>
      <c r="D1891">
        <v>16542975</v>
      </c>
      <c r="E1891" t="s">
        <v>20</v>
      </c>
      <c r="F1891" t="s">
        <v>2405</v>
      </c>
      <c r="G1891">
        <v>15</v>
      </c>
      <c r="H1891" t="s">
        <v>3722</v>
      </c>
      <c r="J1891" t="s">
        <v>3722</v>
      </c>
      <c r="K1891" s="11">
        <v>46219.656759259262</v>
      </c>
      <c r="M1891">
        <v>1220</v>
      </c>
      <c r="N1891" t="s">
        <v>867</v>
      </c>
      <c r="O1891">
        <v>0</v>
      </c>
      <c r="P1891" s="5"/>
      <c r="Q1891" s="10">
        <f>INT(Tabela1[[#This Row],[DATA]])</f>
        <v>46219</v>
      </c>
      <c r="R1891" s="14" t="str">
        <f ca="1">IF(AND(Q1891&gt;=TODAY()-WEEKDAY(TODAY(),2)+1,Q1891&lt;TODAY()),"SIM","NÃO")</f>
        <v>NÃO</v>
      </c>
    </row>
    <row r="1892" spans="1:18" hidden="1">
      <c r="A1892" t="s">
        <v>2610</v>
      </c>
      <c r="B1892" t="s">
        <v>74</v>
      </c>
      <c r="C1892">
        <v>300274695</v>
      </c>
      <c r="D1892">
        <v>16542975</v>
      </c>
      <c r="E1892" t="s">
        <v>20</v>
      </c>
      <c r="F1892" t="s">
        <v>3595</v>
      </c>
      <c r="G1892">
        <v>15</v>
      </c>
      <c r="H1892" t="s">
        <v>3723</v>
      </c>
      <c r="K1892" s="11">
        <v>46219.65834490741</v>
      </c>
      <c r="M1892">
        <v>1221</v>
      </c>
      <c r="N1892" t="s">
        <v>867</v>
      </c>
      <c r="O1892">
        <v>10000209621</v>
      </c>
      <c r="P1892" s="5"/>
      <c r="Q1892" s="10">
        <f>INT(Tabela1[[#This Row],[DATA]])</f>
        <v>46219</v>
      </c>
      <c r="R1892" s="14" t="str">
        <f ca="1">IF(AND(Q1892&gt;=TODAY()-WEEKDAY(TODAY(),2)+1,Q1892&lt;TODAY()),"SIM","NÃO")</f>
        <v>NÃO</v>
      </c>
    </row>
    <row r="1893" spans="1:18" hidden="1">
      <c r="A1893" t="s">
        <v>111</v>
      </c>
      <c r="B1893" t="s">
        <v>112</v>
      </c>
      <c r="C1893">
        <v>300281201</v>
      </c>
      <c r="D1893">
        <v>16543084</v>
      </c>
      <c r="E1893" t="s">
        <v>20</v>
      </c>
      <c r="F1893" t="s">
        <v>2213</v>
      </c>
      <c r="G1893">
        <v>1</v>
      </c>
      <c r="H1893" t="s">
        <v>2795</v>
      </c>
      <c r="K1893" s="11">
        <v>46219.659398148149</v>
      </c>
      <c r="M1893">
        <v>1222</v>
      </c>
      <c r="N1893" t="s">
        <v>867</v>
      </c>
      <c r="O1893">
        <v>0</v>
      </c>
      <c r="P1893" s="5"/>
      <c r="Q1893" s="10">
        <f>INT(Tabela1[[#This Row],[DATA]])</f>
        <v>46219</v>
      </c>
      <c r="R1893" s="14" t="str">
        <f ca="1">IF(AND(Q1893&gt;=TODAY()-WEEKDAY(TODAY(),2)+1,Q1893&lt;TODAY()),"SIM","NÃO")</f>
        <v>NÃO</v>
      </c>
    </row>
    <row r="1894" spans="1:18" hidden="1">
      <c r="A1894" t="s">
        <v>305</v>
      </c>
      <c r="B1894" t="s">
        <v>306</v>
      </c>
      <c r="C1894">
        <v>300280949</v>
      </c>
      <c r="D1894">
        <v>15128288</v>
      </c>
      <c r="E1894" t="s">
        <v>29</v>
      </c>
      <c r="F1894" t="s">
        <v>323</v>
      </c>
      <c r="G1894">
        <v>13</v>
      </c>
      <c r="H1894" t="s">
        <v>307</v>
      </c>
      <c r="J1894" t="s">
        <v>3724</v>
      </c>
      <c r="K1894" s="11">
        <v>46219.67</v>
      </c>
      <c r="M1894">
        <v>1223</v>
      </c>
      <c r="N1894" t="s">
        <v>867</v>
      </c>
      <c r="O1894">
        <v>0</v>
      </c>
      <c r="P1894" s="5"/>
      <c r="Q1894" s="10">
        <f>INT(Tabela1[[#This Row],[DATA]])</f>
        <v>46219</v>
      </c>
      <c r="R1894" s="14" t="str">
        <f ca="1">IF(AND(Q1894&gt;=TODAY()-WEEKDAY(TODAY(),2)+1,Q1894&lt;TODAY()),"SIM","NÃO")</f>
        <v>NÃO</v>
      </c>
    </row>
    <row r="1895" spans="1:18" hidden="1">
      <c r="A1895" t="s">
        <v>2551</v>
      </c>
      <c r="B1895" t="s">
        <v>274</v>
      </c>
      <c r="C1895">
        <v>300280125</v>
      </c>
      <c r="D1895">
        <v>15943720</v>
      </c>
      <c r="E1895" t="s">
        <v>37</v>
      </c>
      <c r="F1895" t="s">
        <v>2405</v>
      </c>
      <c r="G1895">
        <v>40</v>
      </c>
      <c r="H1895" t="s">
        <v>2923</v>
      </c>
      <c r="K1895" s="11">
        <v>46219.670115740744</v>
      </c>
      <c r="M1895">
        <v>1224</v>
      </c>
      <c r="N1895" t="s">
        <v>867</v>
      </c>
      <c r="O1895">
        <v>0</v>
      </c>
      <c r="P1895" s="5"/>
      <c r="Q1895" s="10">
        <f>INT(Tabela1[[#This Row],[DATA]])</f>
        <v>46219</v>
      </c>
      <c r="R1895" s="14" t="str">
        <f ca="1">IF(AND(Q1895&gt;=TODAY()-WEEKDAY(TODAY(),2)+1,Q1895&lt;TODAY()),"SIM","NÃO")</f>
        <v>NÃO</v>
      </c>
    </row>
    <row r="1896" spans="1:18" hidden="1">
      <c r="A1896" t="s">
        <v>305</v>
      </c>
      <c r="B1896" t="s">
        <v>306</v>
      </c>
      <c r="C1896">
        <v>300280949</v>
      </c>
      <c r="D1896">
        <v>15128288</v>
      </c>
      <c r="E1896" t="s">
        <v>29</v>
      </c>
      <c r="F1896" t="s">
        <v>151</v>
      </c>
      <c r="G1896">
        <v>7</v>
      </c>
      <c r="H1896" t="s">
        <v>2884</v>
      </c>
      <c r="J1896" t="s">
        <v>3725</v>
      </c>
      <c r="K1896" s="11">
        <v>46219.672476851854</v>
      </c>
      <c r="M1896">
        <v>1225</v>
      </c>
      <c r="N1896" t="s">
        <v>867</v>
      </c>
      <c r="O1896">
        <v>0</v>
      </c>
      <c r="P1896" s="5"/>
      <c r="Q1896" s="10">
        <f>INT(Tabela1[[#This Row],[DATA]])</f>
        <v>46219</v>
      </c>
      <c r="R1896" s="14" t="str">
        <f ca="1">IF(AND(Q1896&gt;=TODAY()-WEEKDAY(TODAY(),2)+1,Q1896&lt;TODAY()),"SIM","NÃO")</f>
        <v>NÃO</v>
      </c>
    </row>
    <row r="1897" spans="1:18" hidden="1">
      <c r="A1897" t="s">
        <v>2649</v>
      </c>
      <c r="B1897" t="s">
        <v>137</v>
      </c>
      <c r="C1897">
        <v>300000000</v>
      </c>
      <c r="D1897">
        <v>0</v>
      </c>
      <c r="E1897" t="s">
        <v>45</v>
      </c>
      <c r="F1897" t="s">
        <v>145</v>
      </c>
      <c r="G1897">
        <v>2</v>
      </c>
      <c r="H1897" t="s">
        <v>3726</v>
      </c>
      <c r="K1897" s="11">
        <v>46219.673750000002</v>
      </c>
      <c r="M1897">
        <v>1226</v>
      </c>
      <c r="N1897" t="s">
        <v>878</v>
      </c>
      <c r="O1897">
        <v>0</v>
      </c>
      <c r="P1897" s="5"/>
      <c r="Q1897" s="10">
        <f>INT(Tabela1[[#This Row],[DATA]])</f>
        <v>46219</v>
      </c>
      <c r="R1897" s="14" t="str">
        <f ca="1">IF(AND(Q1897&gt;=TODAY()-WEEKDAY(TODAY(),2)+1,Q1897&lt;TODAY()),"SIM","NÃO")</f>
        <v>NÃO</v>
      </c>
    </row>
    <row r="1898" spans="1:18" hidden="1">
      <c r="A1898" t="s">
        <v>2659</v>
      </c>
      <c r="B1898" t="s">
        <v>677</v>
      </c>
      <c r="C1898">
        <v>300280188</v>
      </c>
      <c r="D1898">
        <v>16472209</v>
      </c>
      <c r="E1898" t="s">
        <v>37</v>
      </c>
      <c r="F1898" t="s">
        <v>3502</v>
      </c>
      <c r="G1898">
        <v>1502</v>
      </c>
      <c r="H1898" t="s">
        <v>3727</v>
      </c>
      <c r="J1898" t="s">
        <v>3728</v>
      </c>
      <c r="K1898" s="11">
        <v>46219.693761574075</v>
      </c>
      <c r="M1898">
        <v>1227</v>
      </c>
      <c r="N1898" t="s">
        <v>878</v>
      </c>
      <c r="O1898" t="s">
        <v>2778</v>
      </c>
      <c r="P1898" s="5"/>
      <c r="Q1898" s="10">
        <f>INT(Tabela1[[#This Row],[DATA]])</f>
        <v>46219</v>
      </c>
      <c r="R1898" s="14" t="str">
        <f ca="1">IF(AND(Q1898&gt;=TODAY()-WEEKDAY(TODAY(),2)+1,Q1898&lt;TODAY()),"SIM","NÃO")</f>
        <v>NÃO</v>
      </c>
    </row>
    <row r="1899" spans="1:18" hidden="1">
      <c r="A1899" t="s">
        <v>111</v>
      </c>
      <c r="B1899" t="s">
        <v>112</v>
      </c>
      <c r="C1899">
        <v>300281183</v>
      </c>
      <c r="D1899">
        <v>16223462</v>
      </c>
      <c r="E1899" t="s">
        <v>45</v>
      </c>
      <c r="F1899" t="s">
        <v>3241</v>
      </c>
      <c r="G1899" t="s">
        <v>2208</v>
      </c>
      <c r="H1899" t="s">
        <v>3729</v>
      </c>
      <c r="K1899" s="11">
        <v>46219.695925925924</v>
      </c>
      <c r="M1899">
        <v>1228</v>
      </c>
      <c r="N1899" t="s">
        <v>867</v>
      </c>
      <c r="O1899">
        <v>10000072609</v>
      </c>
      <c r="P1899" s="5"/>
      <c r="Q1899" s="10">
        <f>INT(Tabela1[[#This Row],[DATA]])</f>
        <v>46219</v>
      </c>
      <c r="R1899" s="14" t="str">
        <f ca="1">IF(AND(Q1899&gt;=TODAY()-WEEKDAY(TODAY(),2)+1,Q1899&lt;TODAY()),"SIM","NÃO")</f>
        <v>NÃO</v>
      </c>
    </row>
    <row r="1900" spans="1:18" hidden="1">
      <c r="A1900" t="s">
        <v>253</v>
      </c>
      <c r="B1900" t="s">
        <v>254</v>
      </c>
      <c r="C1900">
        <v>300280213</v>
      </c>
      <c r="D1900">
        <v>15711854</v>
      </c>
      <c r="E1900" t="s">
        <v>37</v>
      </c>
      <c r="F1900" t="s">
        <v>3502</v>
      </c>
      <c r="G1900">
        <v>10</v>
      </c>
      <c r="H1900" t="s">
        <v>582</v>
      </c>
      <c r="J1900" t="s">
        <v>3730</v>
      </c>
      <c r="K1900" s="11">
        <v>46219.728518518517</v>
      </c>
      <c r="M1900">
        <v>1229</v>
      </c>
      <c r="N1900" t="s">
        <v>867</v>
      </c>
      <c r="O1900">
        <v>0</v>
      </c>
      <c r="P1900" s="5"/>
      <c r="Q1900" s="10">
        <f>INT(Tabela1[[#This Row],[DATA]])</f>
        <v>46219</v>
      </c>
      <c r="R1900" s="14" t="str">
        <f ca="1">IF(AND(Q1900&gt;=TODAY()-WEEKDAY(TODAY(),2)+1,Q1900&lt;TODAY()),"SIM","NÃO")</f>
        <v>NÃO</v>
      </c>
    </row>
    <row r="1901" spans="1:18" hidden="1">
      <c r="A1901" t="s">
        <v>914</v>
      </c>
      <c r="B1901" t="s">
        <v>2651</v>
      </c>
      <c r="C1901">
        <v>300272945</v>
      </c>
      <c r="D1901">
        <v>15774112</v>
      </c>
      <c r="E1901" t="s">
        <v>37</v>
      </c>
      <c r="F1901" t="s">
        <v>151</v>
      </c>
      <c r="G1901">
        <v>60</v>
      </c>
      <c r="H1901" t="s">
        <v>3731</v>
      </c>
      <c r="J1901" t="s">
        <v>3732</v>
      </c>
      <c r="K1901" s="11">
        <v>46219.728750000002</v>
      </c>
      <c r="M1901">
        <v>1230</v>
      </c>
      <c r="N1901" t="s">
        <v>867</v>
      </c>
      <c r="O1901">
        <v>0</v>
      </c>
      <c r="P1901" s="5"/>
      <c r="Q1901" s="10">
        <f>INT(Tabela1[[#This Row],[DATA]])</f>
        <v>46219</v>
      </c>
      <c r="R1901" s="14" t="str">
        <f ca="1">IF(AND(Q1901&gt;=TODAY()-WEEKDAY(TODAY(),2)+1,Q1901&lt;TODAY()),"SIM","NÃO")</f>
        <v>NÃO</v>
      </c>
    </row>
    <row r="1902" spans="1:18" hidden="1">
      <c r="A1902" t="s">
        <v>253</v>
      </c>
      <c r="B1902" t="s">
        <v>254</v>
      </c>
      <c r="C1902">
        <v>300276273</v>
      </c>
      <c r="D1902">
        <v>15858367</v>
      </c>
      <c r="E1902" t="s">
        <v>37</v>
      </c>
      <c r="F1902" t="s">
        <v>151</v>
      </c>
      <c r="G1902">
        <v>15</v>
      </c>
      <c r="H1902" t="s">
        <v>3733</v>
      </c>
      <c r="J1902" t="s">
        <v>3734</v>
      </c>
      <c r="K1902" s="11">
        <v>46219.729548611111</v>
      </c>
      <c r="M1902">
        <v>1231</v>
      </c>
      <c r="N1902" t="s">
        <v>867</v>
      </c>
      <c r="O1902">
        <v>0</v>
      </c>
      <c r="P1902" s="5"/>
      <c r="Q1902" s="10">
        <f>INT(Tabela1[[#This Row],[DATA]])</f>
        <v>46219</v>
      </c>
      <c r="R1902" s="14" t="str">
        <f ca="1">IF(AND(Q1902&gt;=TODAY()-WEEKDAY(TODAY(),2)+1,Q1902&lt;TODAY()),"SIM","NÃO")</f>
        <v>NÃO</v>
      </c>
    </row>
    <row r="1903" spans="1:18" hidden="1">
      <c r="A1903" t="s">
        <v>2967</v>
      </c>
      <c r="B1903" t="s">
        <v>3735</v>
      </c>
      <c r="C1903">
        <v>300268925</v>
      </c>
      <c r="D1903">
        <v>15774104</v>
      </c>
      <c r="E1903" t="s">
        <v>37</v>
      </c>
      <c r="F1903" t="s">
        <v>3502</v>
      </c>
      <c r="G1903" t="s">
        <v>3736</v>
      </c>
      <c r="H1903" t="s">
        <v>3737</v>
      </c>
      <c r="J1903" t="s">
        <v>3738</v>
      </c>
      <c r="K1903" s="11">
        <v>46219.743842592594</v>
      </c>
      <c r="M1903">
        <v>1232</v>
      </c>
      <c r="N1903" t="s">
        <v>878</v>
      </c>
      <c r="O1903">
        <v>350</v>
      </c>
      <c r="P1903" s="5"/>
      <c r="Q1903" s="10">
        <f>INT(Tabela1[[#This Row],[DATA]])</f>
        <v>46219</v>
      </c>
      <c r="R1903" s="14" t="str">
        <f ca="1">IF(AND(Q1903&gt;=TODAY()-WEEKDAY(TODAY(),2)+1,Q1903&lt;TODAY()),"SIM","NÃO")</f>
        <v>NÃO</v>
      </c>
    </row>
    <row r="1904" spans="1:18" hidden="1">
      <c r="A1904" t="s">
        <v>2578</v>
      </c>
      <c r="B1904" t="s">
        <v>69</v>
      </c>
      <c r="C1904">
        <v>300275628</v>
      </c>
      <c r="D1904">
        <v>16480457</v>
      </c>
      <c r="E1904" t="s">
        <v>45</v>
      </c>
      <c r="F1904" t="s">
        <v>2405</v>
      </c>
      <c r="G1904">
        <v>50</v>
      </c>
      <c r="H1904" t="s">
        <v>3739</v>
      </c>
      <c r="K1904" s="11">
        <v>46219.746122685188</v>
      </c>
      <c r="M1904">
        <v>1233</v>
      </c>
      <c r="N1904" t="s">
        <v>867</v>
      </c>
      <c r="O1904">
        <v>16480457</v>
      </c>
      <c r="P1904" s="5"/>
      <c r="Q1904" s="10">
        <f>INT(Tabela1[[#This Row],[DATA]])</f>
        <v>46219</v>
      </c>
      <c r="R1904" s="14" t="str">
        <f ca="1">IF(AND(Q1904&gt;=TODAY()-WEEKDAY(TODAY(),2)+1,Q1904&lt;TODAY()),"SIM","NÃO")</f>
        <v>NÃO</v>
      </c>
    </row>
    <row r="1905" spans="1:18" hidden="1">
      <c r="A1905" t="s">
        <v>2991</v>
      </c>
      <c r="B1905" t="s">
        <v>534</v>
      </c>
      <c r="C1905">
        <v>300275046</v>
      </c>
      <c r="D1905">
        <v>16474120</v>
      </c>
      <c r="E1905" t="s">
        <v>37</v>
      </c>
      <c r="F1905" t="s">
        <v>3241</v>
      </c>
      <c r="G1905">
        <v>50</v>
      </c>
      <c r="H1905" t="s">
        <v>3740</v>
      </c>
      <c r="J1905" t="s">
        <v>3741</v>
      </c>
      <c r="K1905" s="11">
        <v>46219.749120370368</v>
      </c>
      <c r="M1905">
        <v>1234</v>
      </c>
      <c r="N1905" t="s">
        <v>867</v>
      </c>
      <c r="O1905">
        <v>10000063106</v>
      </c>
      <c r="P1905" s="5"/>
      <c r="Q1905" s="10">
        <f>INT(Tabela1[[#This Row],[DATA]])</f>
        <v>46219</v>
      </c>
      <c r="R1905" s="14" t="str">
        <f ca="1">IF(AND(Q1905&gt;=TODAY()-WEEKDAY(TODAY(),2)+1,Q1905&lt;TODAY()),"SIM","NÃO")</f>
        <v>NÃO</v>
      </c>
    </row>
    <row r="1906" spans="1:18" hidden="1">
      <c r="A1906" t="s">
        <v>2837</v>
      </c>
      <c r="B1906" t="s">
        <v>226</v>
      </c>
      <c r="C1906">
        <v>300277902</v>
      </c>
      <c r="D1906">
        <v>15773477</v>
      </c>
      <c r="E1906" t="s">
        <v>37</v>
      </c>
      <c r="F1906" t="s">
        <v>3742</v>
      </c>
      <c r="G1906" t="s">
        <v>3743</v>
      </c>
      <c r="H1906" t="s">
        <v>3744</v>
      </c>
      <c r="J1906" t="s">
        <v>3745</v>
      </c>
      <c r="K1906" s="11">
        <v>46219.761620370373</v>
      </c>
      <c r="M1906">
        <v>1235</v>
      </c>
      <c r="N1906" t="s">
        <v>878</v>
      </c>
      <c r="O1906">
        <v>0</v>
      </c>
      <c r="P1906" s="5"/>
      <c r="Q1906" s="10">
        <f>INT(Tabela1[[#This Row],[DATA]])</f>
        <v>46219</v>
      </c>
      <c r="R1906" s="14" t="str">
        <f ca="1">IF(AND(Q1906&gt;=TODAY()-WEEKDAY(TODAY(),2)+1,Q1906&lt;TODAY()),"SIM","NÃO")</f>
        <v>NÃO</v>
      </c>
    </row>
    <row r="1907" spans="1:18" hidden="1">
      <c r="A1907" t="s">
        <v>2967</v>
      </c>
      <c r="B1907" t="s">
        <v>2968</v>
      </c>
      <c r="C1907">
        <v>300268925</v>
      </c>
      <c r="D1907">
        <v>15774104</v>
      </c>
      <c r="E1907" t="s">
        <v>37</v>
      </c>
      <c r="F1907" t="s">
        <v>3502</v>
      </c>
      <c r="G1907">
        <v>1317</v>
      </c>
      <c r="H1907" t="s">
        <v>3746</v>
      </c>
      <c r="J1907" t="s">
        <v>3747</v>
      </c>
      <c r="K1907" s="11">
        <v>46220.323298611111</v>
      </c>
      <c r="M1907">
        <v>1236</v>
      </c>
      <c r="N1907" t="s">
        <v>878</v>
      </c>
      <c r="O1907">
        <v>350</v>
      </c>
      <c r="P1907" s="5"/>
      <c r="Q1907" s="10">
        <f>INT(Tabela1[[#This Row],[DATA]])</f>
        <v>46220</v>
      </c>
      <c r="R1907" s="14" t="str">
        <f ca="1">IF(AND(Q1907&gt;=TODAY()-WEEKDAY(TODAY(),2)+1,Q1907&lt;TODAY()),"SIM","NÃO")</f>
        <v>NÃO</v>
      </c>
    </row>
    <row r="1908" spans="1:18" hidden="1">
      <c r="A1908" t="s">
        <v>2549</v>
      </c>
      <c r="B1908" t="s">
        <v>19</v>
      </c>
      <c r="C1908">
        <v>300281476</v>
      </c>
      <c r="D1908">
        <v>13044826</v>
      </c>
      <c r="E1908" t="s">
        <v>29</v>
      </c>
      <c r="F1908" t="s">
        <v>323</v>
      </c>
      <c r="G1908">
        <v>23</v>
      </c>
      <c r="H1908" t="s">
        <v>3748</v>
      </c>
      <c r="J1908" t="s">
        <v>848</v>
      </c>
      <c r="K1908" s="11">
        <v>46220.325416666667</v>
      </c>
      <c r="M1908">
        <v>1237</v>
      </c>
      <c r="N1908" t="s">
        <v>867</v>
      </c>
      <c r="O1908" t="s">
        <v>2802</v>
      </c>
      <c r="P1908" s="5"/>
      <c r="Q1908" s="10">
        <f>INT(Tabela1[[#This Row],[DATA]])</f>
        <v>46220</v>
      </c>
      <c r="R1908" s="14" t="str">
        <f ca="1">IF(AND(Q1908&gt;=TODAY()-WEEKDAY(TODAY(),2)+1,Q1908&lt;TODAY()),"SIM","NÃO")</f>
        <v>NÃO</v>
      </c>
    </row>
    <row r="1909" spans="1:18" hidden="1">
      <c r="A1909" t="s">
        <v>2549</v>
      </c>
      <c r="B1909" t="s">
        <v>19</v>
      </c>
      <c r="C1909">
        <v>300281476</v>
      </c>
      <c r="D1909">
        <v>13044826</v>
      </c>
      <c r="E1909" t="s">
        <v>29</v>
      </c>
      <c r="F1909" t="s">
        <v>151</v>
      </c>
      <c r="G1909">
        <v>7</v>
      </c>
      <c r="H1909" t="s">
        <v>3749</v>
      </c>
      <c r="J1909" t="s">
        <v>2802</v>
      </c>
      <c r="K1909" s="11">
        <v>46220.326747685183</v>
      </c>
      <c r="M1909">
        <v>1238</v>
      </c>
      <c r="N1909" t="s">
        <v>867</v>
      </c>
      <c r="O1909" t="s">
        <v>2802</v>
      </c>
      <c r="P1909" s="5"/>
      <c r="Q1909" s="10">
        <f>INT(Tabela1[[#This Row],[DATA]])</f>
        <v>46220</v>
      </c>
      <c r="R1909" s="14" t="str">
        <f ca="1">IF(AND(Q1909&gt;=TODAY()-WEEKDAY(TODAY(),2)+1,Q1909&lt;TODAY()),"SIM","NÃO")</f>
        <v>NÃO</v>
      </c>
    </row>
    <row r="1910" spans="1:18" hidden="1">
      <c r="A1910" t="s">
        <v>2549</v>
      </c>
      <c r="B1910" t="s">
        <v>19</v>
      </c>
      <c r="C1910">
        <v>300281476</v>
      </c>
      <c r="D1910">
        <v>13044826</v>
      </c>
      <c r="E1910" t="s">
        <v>29</v>
      </c>
      <c r="F1910" t="s">
        <v>525</v>
      </c>
      <c r="G1910">
        <v>17</v>
      </c>
      <c r="H1910" t="s">
        <v>3749</v>
      </c>
      <c r="J1910" t="s">
        <v>3750</v>
      </c>
      <c r="K1910" s="11">
        <v>46220.328344907408</v>
      </c>
      <c r="M1910">
        <v>1239</v>
      </c>
      <c r="N1910" t="s">
        <v>867</v>
      </c>
      <c r="O1910" t="s">
        <v>2802</v>
      </c>
      <c r="P1910" s="5"/>
      <c r="Q1910" s="10">
        <f>INT(Tabela1[[#This Row],[DATA]])</f>
        <v>46220</v>
      </c>
      <c r="R1910" s="14" t="str">
        <f ca="1">IF(AND(Q1910&gt;=TODAY()-WEEKDAY(TODAY(),2)+1,Q1910&lt;TODAY()),"SIM","NÃO")</f>
        <v>NÃO</v>
      </c>
    </row>
    <row r="1911" spans="1:18" hidden="1">
      <c r="A1911" t="s">
        <v>2691</v>
      </c>
      <c r="B1911" t="s">
        <v>3129</v>
      </c>
      <c r="C1911">
        <v>300276881</v>
      </c>
      <c r="D1911">
        <v>16222954</v>
      </c>
      <c r="E1911" t="s">
        <v>45</v>
      </c>
      <c r="F1911" t="s">
        <v>96</v>
      </c>
      <c r="G1911">
        <v>216</v>
      </c>
      <c r="H1911" t="s">
        <v>3751</v>
      </c>
      <c r="K1911" s="11">
        <v>46220.337800925925</v>
      </c>
      <c r="M1911">
        <v>1240</v>
      </c>
      <c r="N1911" t="s">
        <v>867</v>
      </c>
      <c r="O1911">
        <v>0</v>
      </c>
      <c r="P1911" s="5"/>
      <c r="Q1911" s="10">
        <f>INT(Tabela1[[#This Row],[DATA]])</f>
        <v>46220</v>
      </c>
      <c r="R1911" s="14" t="str">
        <f ca="1">IF(AND(Q1911&gt;=TODAY()-WEEKDAY(TODAY(),2)+1,Q1911&lt;TODAY()),"SIM","NÃO")</f>
        <v>NÃO</v>
      </c>
    </row>
    <row r="1912" spans="1:18" hidden="1">
      <c r="A1912" t="s">
        <v>111</v>
      </c>
      <c r="B1912" t="s">
        <v>112</v>
      </c>
      <c r="C1912">
        <v>300276746</v>
      </c>
      <c r="D1912">
        <v>16510097</v>
      </c>
      <c r="E1912" t="s">
        <v>37</v>
      </c>
      <c r="F1912" t="s">
        <v>216</v>
      </c>
      <c r="G1912">
        <v>50</v>
      </c>
      <c r="H1912" t="s">
        <v>1335</v>
      </c>
      <c r="J1912" t="s">
        <v>3752</v>
      </c>
      <c r="K1912" s="11">
        <v>46220.352222222224</v>
      </c>
      <c r="M1912">
        <v>1241</v>
      </c>
      <c r="N1912" t="s">
        <v>867</v>
      </c>
      <c r="O1912">
        <v>0</v>
      </c>
      <c r="P1912" s="5"/>
      <c r="Q1912" s="10">
        <f>INT(Tabela1[[#This Row],[DATA]])</f>
        <v>46220</v>
      </c>
      <c r="R1912" s="14" t="str">
        <f ca="1">IF(AND(Q1912&gt;=TODAY()-WEEKDAY(TODAY(),2)+1,Q1912&lt;TODAY()),"SIM","NÃO")</f>
        <v>NÃO</v>
      </c>
    </row>
    <row r="1913" spans="1:18" hidden="1">
      <c r="A1913" t="s">
        <v>163</v>
      </c>
      <c r="B1913" t="s">
        <v>164</v>
      </c>
      <c r="C1913">
        <v>300279127</v>
      </c>
      <c r="D1913">
        <v>16223780</v>
      </c>
      <c r="E1913" t="s">
        <v>45</v>
      </c>
      <c r="F1913" t="s">
        <v>2405</v>
      </c>
      <c r="G1913">
        <v>1</v>
      </c>
      <c r="H1913" t="s">
        <v>2766</v>
      </c>
      <c r="K1913" s="11">
        <v>46220.354189814818</v>
      </c>
      <c r="M1913">
        <v>1242</v>
      </c>
      <c r="N1913" t="s">
        <v>867</v>
      </c>
      <c r="O1913">
        <v>0</v>
      </c>
      <c r="P1913" s="5"/>
      <c r="Q1913" s="10">
        <f>INT(Tabela1[[#This Row],[DATA]])</f>
        <v>46220</v>
      </c>
      <c r="R1913" s="14" t="str">
        <f ca="1">IF(AND(Q1913&gt;=TODAY()-WEEKDAY(TODAY(),2)+1,Q1913&lt;TODAY()),"SIM","NÃO")</f>
        <v>NÃO</v>
      </c>
    </row>
    <row r="1914" spans="1:18" hidden="1">
      <c r="A1914" t="s">
        <v>35</v>
      </c>
      <c r="B1914" t="s">
        <v>36</v>
      </c>
      <c r="C1914">
        <v>300277867</v>
      </c>
      <c r="D1914">
        <v>16474058</v>
      </c>
      <c r="E1914" t="s">
        <v>37</v>
      </c>
      <c r="F1914" t="s">
        <v>2405</v>
      </c>
      <c r="G1914">
        <v>874</v>
      </c>
      <c r="H1914" t="s">
        <v>3753</v>
      </c>
      <c r="K1914" s="11">
        <v>46220.36986111111</v>
      </c>
      <c r="M1914">
        <v>1243</v>
      </c>
      <c r="N1914" t="s">
        <v>878</v>
      </c>
      <c r="O1914">
        <v>0</v>
      </c>
      <c r="P1914" s="5"/>
      <c r="Q1914" s="10">
        <f>INT(Tabela1[[#This Row],[DATA]])</f>
        <v>46220</v>
      </c>
      <c r="R1914" s="14" t="str">
        <f ca="1">IF(AND(Q1914&gt;=TODAY()-WEEKDAY(TODAY(),2)+1,Q1914&lt;TODAY()),"SIM","NÃO")</f>
        <v>NÃO</v>
      </c>
    </row>
    <row r="1915" spans="1:18" hidden="1">
      <c r="A1915" t="s">
        <v>807</v>
      </c>
      <c r="B1915" t="s">
        <v>1390</v>
      </c>
      <c r="C1915">
        <v>300280719</v>
      </c>
      <c r="D1915">
        <v>12416746</v>
      </c>
      <c r="E1915" t="s">
        <v>45</v>
      </c>
      <c r="F1915" t="s">
        <v>145</v>
      </c>
      <c r="G1915" t="s">
        <v>3754</v>
      </c>
      <c r="H1915" t="s">
        <v>3755</v>
      </c>
      <c r="J1915" t="s">
        <v>3756</v>
      </c>
      <c r="K1915" s="11">
        <v>46220.374907407408</v>
      </c>
      <c r="M1915">
        <v>1244</v>
      </c>
      <c r="N1915" t="s">
        <v>878</v>
      </c>
      <c r="O1915">
        <v>0</v>
      </c>
      <c r="P1915" s="5"/>
      <c r="Q1915" s="10">
        <f>INT(Tabela1[[#This Row],[DATA]])</f>
        <v>46220</v>
      </c>
      <c r="R1915" s="14" t="str">
        <f ca="1">IF(AND(Q1915&gt;=TODAY()-WEEKDAY(TODAY(),2)+1,Q1915&lt;TODAY()),"SIM","NÃO")</f>
        <v>NÃO</v>
      </c>
    </row>
    <row r="1916" spans="1:18" hidden="1">
      <c r="A1916" t="s">
        <v>2610</v>
      </c>
      <c r="B1916" t="s">
        <v>74</v>
      </c>
      <c r="C1916">
        <v>300279697</v>
      </c>
      <c r="D1916">
        <v>16417216</v>
      </c>
      <c r="E1916" t="s">
        <v>45</v>
      </c>
      <c r="F1916" t="s">
        <v>3212</v>
      </c>
      <c r="G1916" t="s">
        <v>3757</v>
      </c>
      <c r="H1916" t="s">
        <v>555</v>
      </c>
      <c r="K1916" s="11">
        <v>46220.386099537034</v>
      </c>
      <c r="M1916">
        <v>1245</v>
      </c>
      <c r="N1916" t="s">
        <v>867</v>
      </c>
      <c r="O1916">
        <v>0</v>
      </c>
      <c r="P1916" s="5"/>
      <c r="Q1916" s="10">
        <f>INT(Tabela1[[#This Row],[DATA]])</f>
        <v>46220</v>
      </c>
      <c r="R1916" s="14" t="str">
        <f ca="1">IF(AND(Q1916&gt;=TODAY()-WEEKDAY(TODAY(),2)+1,Q1916&lt;TODAY()),"SIM","NÃO")</f>
        <v>NÃO</v>
      </c>
    </row>
    <row r="1917" spans="1:18" hidden="1">
      <c r="A1917" t="s">
        <v>2903</v>
      </c>
      <c r="B1917" t="s">
        <v>846</v>
      </c>
      <c r="C1917">
        <v>300280211</v>
      </c>
      <c r="D1917">
        <v>15699293</v>
      </c>
      <c r="E1917" t="s">
        <v>37</v>
      </c>
      <c r="F1917" t="s">
        <v>3241</v>
      </c>
      <c r="G1917">
        <v>1617</v>
      </c>
      <c r="H1917" t="s">
        <v>3758</v>
      </c>
      <c r="J1917" t="s">
        <v>3759</v>
      </c>
      <c r="K1917" s="11">
        <v>46220.388368055559</v>
      </c>
      <c r="M1917">
        <v>1246</v>
      </c>
      <c r="N1917" t="s">
        <v>878</v>
      </c>
      <c r="O1917" t="s">
        <v>3760</v>
      </c>
      <c r="P1917" s="5"/>
      <c r="Q1917" s="10">
        <f>INT(Tabela1[[#This Row],[DATA]])</f>
        <v>46220</v>
      </c>
      <c r="R1917" s="14" t="str">
        <f ca="1">IF(AND(Q1917&gt;=TODAY()-WEEKDAY(TODAY(),2)+1,Q1917&lt;TODAY()),"SIM","NÃO")</f>
        <v>NÃO</v>
      </c>
    </row>
    <row r="1918" spans="1:18" hidden="1">
      <c r="A1918" t="s">
        <v>191</v>
      </c>
      <c r="B1918" t="s">
        <v>192</v>
      </c>
      <c r="C1918">
        <v>300282560</v>
      </c>
      <c r="D1918">
        <v>14487004</v>
      </c>
      <c r="E1918" t="s">
        <v>29</v>
      </c>
      <c r="F1918" t="s">
        <v>259</v>
      </c>
      <c r="G1918">
        <v>10</v>
      </c>
      <c r="H1918" t="s">
        <v>3761</v>
      </c>
      <c r="K1918" s="11">
        <v>46220.415925925925</v>
      </c>
      <c r="M1918">
        <v>1247</v>
      </c>
      <c r="N1918" t="s">
        <v>867</v>
      </c>
      <c r="O1918">
        <v>10000072018</v>
      </c>
      <c r="P1918" s="5"/>
      <c r="Q1918" s="10">
        <f>INT(Tabela1[[#This Row],[DATA]])</f>
        <v>46220</v>
      </c>
      <c r="R1918" s="14" t="str">
        <f ca="1">IF(AND(Q1918&gt;=TODAY()-WEEKDAY(TODAY(),2)+1,Q1918&lt;TODAY()),"SIM","NÃO")</f>
        <v>NÃO</v>
      </c>
    </row>
    <row r="1919" spans="1:18" hidden="1">
      <c r="A1919" t="s">
        <v>191</v>
      </c>
      <c r="B1919" t="s">
        <v>192</v>
      </c>
      <c r="C1919">
        <v>300282560</v>
      </c>
      <c r="D1919">
        <v>14487004</v>
      </c>
      <c r="E1919" t="s">
        <v>29</v>
      </c>
      <c r="F1919" t="s">
        <v>3241</v>
      </c>
      <c r="G1919">
        <v>10</v>
      </c>
      <c r="H1919" t="s">
        <v>3762</v>
      </c>
      <c r="K1919" s="11">
        <v>46220.417210648149</v>
      </c>
      <c r="M1919">
        <v>1248</v>
      </c>
      <c r="N1919" t="s">
        <v>867</v>
      </c>
      <c r="O1919">
        <v>10000072592</v>
      </c>
      <c r="P1919" s="5"/>
      <c r="Q1919" s="10">
        <f>INT(Tabela1[[#This Row],[DATA]])</f>
        <v>46220</v>
      </c>
      <c r="R1919" s="14" t="str">
        <f ca="1">IF(AND(Q1919&gt;=TODAY()-WEEKDAY(TODAY(),2)+1,Q1919&lt;TODAY()),"SIM","NÃO")</f>
        <v>NÃO</v>
      </c>
    </row>
    <row r="1920" spans="1:18" hidden="1">
      <c r="A1920" t="s">
        <v>191</v>
      </c>
      <c r="B1920" t="s">
        <v>192</v>
      </c>
      <c r="C1920">
        <v>300281011</v>
      </c>
      <c r="D1920">
        <v>16442660</v>
      </c>
      <c r="E1920" t="s">
        <v>29</v>
      </c>
      <c r="F1920" t="s">
        <v>259</v>
      </c>
      <c r="G1920">
        <v>10</v>
      </c>
      <c r="H1920" t="s">
        <v>3762</v>
      </c>
      <c r="K1920" s="11">
        <v>46220.418773148151</v>
      </c>
      <c r="M1920">
        <v>1249</v>
      </c>
      <c r="N1920" t="s">
        <v>867</v>
      </c>
      <c r="O1920">
        <v>10000071713</v>
      </c>
      <c r="P1920" s="5"/>
      <c r="Q1920" s="10">
        <f>INT(Tabela1[[#This Row],[DATA]])</f>
        <v>46220</v>
      </c>
      <c r="R1920" s="14" t="str">
        <f ca="1">IF(AND(Q1920&gt;=TODAY()-WEEKDAY(TODAY(),2)+1,Q1920&lt;TODAY()),"SIM","NÃO")</f>
        <v>NÃO</v>
      </c>
    </row>
    <row r="1921" spans="1:18" hidden="1">
      <c r="A1921" t="s">
        <v>191</v>
      </c>
      <c r="B1921" t="s">
        <v>192</v>
      </c>
      <c r="C1921">
        <v>300281011</v>
      </c>
      <c r="D1921">
        <v>16442660</v>
      </c>
      <c r="E1921" t="s">
        <v>29</v>
      </c>
      <c r="F1921" t="s">
        <v>3241</v>
      </c>
      <c r="G1921">
        <v>10</v>
      </c>
      <c r="H1921" t="s">
        <v>3762</v>
      </c>
      <c r="K1921" s="11">
        <v>46220.419710648152</v>
      </c>
      <c r="M1921">
        <v>1250</v>
      </c>
      <c r="N1921" t="s">
        <v>867</v>
      </c>
      <c r="O1921">
        <v>10000062750</v>
      </c>
      <c r="P1921" s="5"/>
      <c r="Q1921" s="10">
        <f>INT(Tabela1[[#This Row],[DATA]])</f>
        <v>46220</v>
      </c>
      <c r="R1921" s="14" t="str">
        <f ca="1">IF(AND(Q1921&gt;=TODAY()-WEEKDAY(TODAY(),2)+1,Q1921&lt;TODAY()),"SIM","NÃO")</f>
        <v>NÃO</v>
      </c>
    </row>
    <row r="1922" spans="1:18" hidden="1">
      <c r="A1922" t="s">
        <v>332</v>
      </c>
      <c r="B1922" t="s">
        <v>28</v>
      </c>
      <c r="C1922">
        <v>300281662</v>
      </c>
      <c r="D1922">
        <v>16426010</v>
      </c>
      <c r="E1922" t="s">
        <v>45</v>
      </c>
      <c r="F1922" t="s">
        <v>2405</v>
      </c>
      <c r="G1922">
        <v>6</v>
      </c>
      <c r="H1922" t="s">
        <v>1966</v>
      </c>
      <c r="K1922" s="11">
        <v>46220.438518518517</v>
      </c>
      <c r="M1922">
        <v>1251</v>
      </c>
      <c r="N1922" t="s">
        <v>867</v>
      </c>
      <c r="O1922">
        <v>0</v>
      </c>
      <c r="P1922" s="5"/>
      <c r="Q1922" s="10">
        <f>INT(Tabela1[[#This Row],[DATA]])</f>
        <v>46220</v>
      </c>
      <c r="R1922" s="14" t="str">
        <f ca="1">IF(AND(Q1922&gt;=TODAY()-WEEKDAY(TODAY(),2)+1,Q1922&lt;TODAY()),"SIM","NÃO")</f>
        <v>NÃO</v>
      </c>
    </row>
    <row r="1923" spans="1:18" hidden="1">
      <c r="A1923" t="s">
        <v>332</v>
      </c>
      <c r="B1923" t="s">
        <v>690</v>
      </c>
      <c r="C1923">
        <v>300282446</v>
      </c>
      <c r="D1923">
        <v>16356780</v>
      </c>
      <c r="E1923" t="s">
        <v>45</v>
      </c>
      <c r="F1923" t="s">
        <v>3212</v>
      </c>
      <c r="G1923">
        <v>100</v>
      </c>
      <c r="H1923" t="s">
        <v>1966</v>
      </c>
      <c r="K1923" s="11">
        <v>46220.439560185187</v>
      </c>
      <c r="M1923">
        <v>1252</v>
      </c>
      <c r="N1923" t="s">
        <v>867</v>
      </c>
      <c r="O1923">
        <v>0</v>
      </c>
      <c r="P1923" s="5"/>
      <c r="Q1923" s="10">
        <f>INT(Tabela1[[#This Row],[DATA]])</f>
        <v>46220</v>
      </c>
      <c r="R1923" s="14" t="str">
        <f ca="1">IF(AND(Q1923&gt;=TODAY()-WEEKDAY(TODAY(),2)+1,Q1923&lt;TODAY()),"SIM","NÃO")</f>
        <v>NÃO</v>
      </c>
    </row>
    <row r="1924" spans="1:18" hidden="1">
      <c r="A1924" t="s">
        <v>159</v>
      </c>
      <c r="B1924" t="s">
        <v>1293</v>
      </c>
      <c r="C1924">
        <v>300278569</v>
      </c>
      <c r="D1924">
        <v>16507657</v>
      </c>
      <c r="E1924" t="s">
        <v>37</v>
      </c>
      <c r="F1924" t="s">
        <v>3502</v>
      </c>
      <c r="G1924" t="s">
        <v>3763</v>
      </c>
      <c r="H1924" t="s">
        <v>2155</v>
      </c>
      <c r="K1924" s="11">
        <v>46220.448113425926</v>
      </c>
      <c r="M1924">
        <v>1253</v>
      </c>
      <c r="N1924" t="s">
        <v>878</v>
      </c>
      <c r="O1924" t="s">
        <v>3764</v>
      </c>
      <c r="P1924" s="5"/>
      <c r="Q1924" s="10">
        <f>INT(Tabela1[[#This Row],[DATA]])</f>
        <v>46220</v>
      </c>
      <c r="R1924" s="14" t="str">
        <f ca="1">IF(AND(Q1924&gt;=TODAY()-WEEKDAY(TODAY(),2)+1,Q1924&lt;TODAY()),"SIM","NÃO")</f>
        <v>NÃO</v>
      </c>
    </row>
    <row r="1925" spans="1:18" hidden="1">
      <c r="A1925" t="s">
        <v>253</v>
      </c>
      <c r="B1925" t="s">
        <v>254</v>
      </c>
      <c r="C1925">
        <v>300276273</v>
      </c>
      <c r="D1925">
        <v>15858367</v>
      </c>
      <c r="E1925" t="s">
        <v>37</v>
      </c>
      <c r="F1925" t="s">
        <v>151</v>
      </c>
      <c r="G1925">
        <v>2</v>
      </c>
      <c r="H1925" t="s">
        <v>582</v>
      </c>
      <c r="J1925" t="s">
        <v>3734</v>
      </c>
      <c r="K1925" s="11">
        <v>46220.449062500003</v>
      </c>
      <c r="M1925">
        <v>1254</v>
      </c>
      <c r="N1925" t="s">
        <v>867</v>
      </c>
      <c r="O1925">
        <v>0</v>
      </c>
      <c r="P1925" s="5"/>
      <c r="Q1925" s="10">
        <f>INT(Tabela1[[#This Row],[DATA]])</f>
        <v>46220</v>
      </c>
      <c r="R1925" s="14" t="str">
        <f ca="1">IF(AND(Q1925&gt;=TODAY()-WEEKDAY(TODAY(),2)+1,Q1925&lt;TODAY()),"SIM","NÃO")</f>
        <v>NÃO</v>
      </c>
    </row>
    <row r="1926" spans="1:18" hidden="1">
      <c r="A1926" t="s">
        <v>332</v>
      </c>
      <c r="B1926" t="s">
        <v>28</v>
      </c>
      <c r="C1926">
        <v>300282446</v>
      </c>
      <c r="D1926">
        <v>16356780</v>
      </c>
      <c r="E1926" t="s">
        <v>45</v>
      </c>
      <c r="F1926" t="s">
        <v>2405</v>
      </c>
      <c r="G1926">
        <v>10</v>
      </c>
      <c r="H1926" t="s">
        <v>1966</v>
      </c>
      <c r="K1926" s="11">
        <v>46220.449479166666</v>
      </c>
      <c r="M1926">
        <v>1255</v>
      </c>
      <c r="N1926" t="s">
        <v>867</v>
      </c>
      <c r="O1926">
        <v>0</v>
      </c>
      <c r="P1926" s="5"/>
      <c r="Q1926" s="10">
        <f>INT(Tabela1[[#This Row],[DATA]])</f>
        <v>46220</v>
      </c>
      <c r="R1926" s="14" t="str">
        <f ca="1">IF(AND(Q1926&gt;=TODAY()-WEEKDAY(TODAY(),2)+1,Q1926&lt;TODAY()),"SIM","NÃO")</f>
        <v>NÃO</v>
      </c>
    </row>
    <row r="1927" spans="1:18" hidden="1">
      <c r="A1927" t="s">
        <v>249</v>
      </c>
      <c r="B1927" t="s">
        <v>112</v>
      </c>
      <c r="C1927">
        <v>300280083</v>
      </c>
      <c r="D1927">
        <v>16223691</v>
      </c>
      <c r="E1927" t="s">
        <v>45</v>
      </c>
      <c r="F1927" t="s">
        <v>3502</v>
      </c>
      <c r="G1927">
        <v>250</v>
      </c>
      <c r="H1927" t="s">
        <v>1335</v>
      </c>
      <c r="J1927" t="s">
        <v>3765</v>
      </c>
      <c r="K1927" s="11">
        <v>46220.458379629628</v>
      </c>
      <c r="M1927">
        <v>1256</v>
      </c>
      <c r="N1927" t="s">
        <v>867</v>
      </c>
      <c r="O1927">
        <v>0</v>
      </c>
      <c r="P1927" s="5"/>
      <c r="Q1927" s="10">
        <f>INT(Tabela1[[#This Row],[DATA]])</f>
        <v>46220</v>
      </c>
      <c r="R1927" s="14" t="str">
        <f ca="1">IF(AND(Q1927&gt;=TODAY()-WEEKDAY(TODAY(),2)+1,Q1927&lt;TODAY()),"SIM","NÃO")</f>
        <v>NÃO</v>
      </c>
    </row>
    <row r="1928" spans="1:18" hidden="1">
      <c r="A1928" t="s">
        <v>111</v>
      </c>
      <c r="B1928" t="s">
        <v>112</v>
      </c>
      <c r="C1928">
        <v>300281183</v>
      </c>
      <c r="D1928">
        <v>16223462</v>
      </c>
      <c r="E1928" t="s">
        <v>45</v>
      </c>
      <c r="F1928" t="s">
        <v>2405</v>
      </c>
      <c r="G1928">
        <v>9</v>
      </c>
      <c r="H1928" t="s">
        <v>1335</v>
      </c>
      <c r="K1928" s="11">
        <v>46220.459537037037</v>
      </c>
      <c r="M1928">
        <v>1257</v>
      </c>
      <c r="N1928" t="s">
        <v>867</v>
      </c>
      <c r="O1928">
        <v>0</v>
      </c>
      <c r="P1928" s="5"/>
      <c r="Q1928" s="10">
        <f>INT(Tabela1[[#This Row],[DATA]])</f>
        <v>46220</v>
      </c>
      <c r="R1928" s="14" t="str">
        <f ca="1">IF(AND(Q1928&gt;=TODAY()-WEEKDAY(TODAY(),2)+1,Q1928&lt;TODAY()),"SIM","NÃO")</f>
        <v>NÃO</v>
      </c>
    </row>
    <row r="1929" spans="1:18" hidden="1">
      <c r="A1929" t="s">
        <v>2578</v>
      </c>
      <c r="B1929" t="s">
        <v>69</v>
      </c>
      <c r="C1929">
        <v>300275626</v>
      </c>
      <c r="D1929">
        <v>16480457</v>
      </c>
      <c r="E1929" t="s">
        <v>45</v>
      </c>
      <c r="F1929" t="s">
        <v>2405</v>
      </c>
      <c r="G1929">
        <v>25</v>
      </c>
      <c r="H1929" t="s">
        <v>3739</v>
      </c>
      <c r="K1929" s="11">
        <v>46220.531643518516</v>
      </c>
      <c r="M1929">
        <v>1258</v>
      </c>
      <c r="N1929" t="s">
        <v>867</v>
      </c>
      <c r="O1929">
        <v>16480457</v>
      </c>
      <c r="P1929" s="5"/>
      <c r="Q1929" s="10">
        <f>INT(Tabela1[[#This Row],[DATA]])</f>
        <v>46220</v>
      </c>
      <c r="R1929" s="14" t="str">
        <f ca="1">IF(AND(Q1929&gt;=TODAY()-WEEKDAY(TODAY(),2)+1,Q1929&lt;TODAY()),"SIM","NÃO")</f>
        <v>NÃO</v>
      </c>
    </row>
    <row r="1930" spans="1:18" hidden="1">
      <c r="A1930" t="s">
        <v>2578</v>
      </c>
      <c r="B1930" t="s">
        <v>69</v>
      </c>
      <c r="C1930">
        <v>300277976</v>
      </c>
      <c r="D1930">
        <v>16309510</v>
      </c>
      <c r="E1930" t="s">
        <v>45</v>
      </c>
      <c r="F1930" t="s">
        <v>3212</v>
      </c>
      <c r="G1930">
        <v>15</v>
      </c>
      <c r="H1930" t="s">
        <v>3766</v>
      </c>
      <c r="K1930" s="11">
        <v>46220.532592592594</v>
      </c>
      <c r="M1930">
        <v>1259</v>
      </c>
      <c r="N1930" t="s">
        <v>867</v>
      </c>
      <c r="O1930">
        <v>16309510</v>
      </c>
      <c r="P1930" s="5"/>
      <c r="Q1930" s="10">
        <f>INT(Tabela1[[#This Row],[DATA]])</f>
        <v>46220</v>
      </c>
      <c r="R1930" s="14" t="str">
        <f ca="1">IF(AND(Q1930&gt;=TODAY()-WEEKDAY(TODAY(),2)+1,Q1930&lt;TODAY()),"SIM","NÃO")</f>
        <v>NÃO</v>
      </c>
    </row>
    <row r="1931" spans="1:18" hidden="1">
      <c r="A1931" t="s">
        <v>2681</v>
      </c>
      <c r="B1931" t="s">
        <v>1284</v>
      </c>
      <c r="C1931">
        <v>300277463</v>
      </c>
      <c r="D1931">
        <v>15773469</v>
      </c>
      <c r="E1931" t="s">
        <v>37</v>
      </c>
      <c r="F1931" t="s">
        <v>3215</v>
      </c>
      <c r="G1931">
        <v>1000</v>
      </c>
      <c r="H1931" t="s">
        <v>2262</v>
      </c>
      <c r="J1931" t="s">
        <v>2231</v>
      </c>
      <c r="K1931" s="11">
        <v>46220.536608796298</v>
      </c>
      <c r="M1931">
        <v>1260</v>
      </c>
      <c r="N1931" t="s">
        <v>878</v>
      </c>
      <c r="O1931">
        <v>150</v>
      </c>
      <c r="P1931" s="5"/>
      <c r="Q1931" s="10">
        <f>INT(Tabela1[[#This Row],[DATA]])</f>
        <v>46220</v>
      </c>
      <c r="R1931" s="14" t="str">
        <f ca="1">IF(AND(Q1931&gt;=TODAY()-WEEKDAY(TODAY(),2)+1,Q1931&lt;TODAY()),"SIM","NÃO")</f>
        <v>NÃO</v>
      </c>
    </row>
    <row r="1932" spans="1:18" hidden="1">
      <c r="A1932" t="s">
        <v>2656</v>
      </c>
      <c r="B1932" t="s">
        <v>119</v>
      </c>
      <c r="C1932">
        <v>300277546</v>
      </c>
      <c r="D1932">
        <v>16523806</v>
      </c>
      <c r="E1932" t="s">
        <v>37</v>
      </c>
      <c r="F1932" t="s">
        <v>177</v>
      </c>
      <c r="G1932">
        <v>114</v>
      </c>
      <c r="H1932" t="s">
        <v>3767</v>
      </c>
      <c r="J1932" t="s">
        <v>3768</v>
      </c>
      <c r="K1932" s="11">
        <v>46220.560983796298</v>
      </c>
      <c r="M1932">
        <v>1261</v>
      </c>
      <c r="N1932" t="s">
        <v>867</v>
      </c>
      <c r="O1932">
        <v>10000064831</v>
      </c>
      <c r="P1932" s="5"/>
      <c r="Q1932" s="10">
        <f>INT(Tabela1[[#This Row],[DATA]])</f>
        <v>46220</v>
      </c>
      <c r="R1932" s="14" t="str">
        <f ca="1">IF(AND(Q1932&gt;=TODAY()-WEEKDAY(TODAY(),2)+1,Q1932&lt;TODAY()),"SIM","NÃO")</f>
        <v>NÃO</v>
      </c>
    </row>
    <row r="1933" spans="1:18" hidden="1">
      <c r="A1933" t="s">
        <v>233</v>
      </c>
      <c r="B1933" t="s">
        <v>234</v>
      </c>
      <c r="C1933">
        <v>300276227</v>
      </c>
      <c r="D1933">
        <v>15187632</v>
      </c>
      <c r="E1933" t="s">
        <v>37</v>
      </c>
      <c r="F1933" t="s">
        <v>216</v>
      </c>
      <c r="G1933">
        <v>35</v>
      </c>
      <c r="H1933" t="s">
        <v>2517</v>
      </c>
      <c r="J1933" t="s">
        <v>3769</v>
      </c>
      <c r="K1933" s="11">
        <v>46220.577696759261</v>
      </c>
      <c r="M1933">
        <v>1262</v>
      </c>
      <c r="N1933" t="s">
        <v>867</v>
      </c>
      <c r="O1933">
        <v>0</v>
      </c>
      <c r="P1933" s="5"/>
      <c r="Q1933" s="10">
        <f>INT(Tabela1[[#This Row],[DATA]])</f>
        <v>46220</v>
      </c>
      <c r="R1933" s="14" t="str">
        <f ca="1">IF(AND(Q1933&gt;=TODAY()-WEEKDAY(TODAY(),2)+1,Q1933&lt;TODAY()),"SIM","NÃO")</f>
        <v>NÃO</v>
      </c>
    </row>
    <row r="1934" spans="1:18" hidden="1">
      <c r="A1934" t="s">
        <v>685</v>
      </c>
      <c r="B1934" t="s">
        <v>686</v>
      </c>
      <c r="C1934">
        <v>300272528</v>
      </c>
      <c r="D1934">
        <v>16447964</v>
      </c>
      <c r="E1934" t="s">
        <v>37</v>
      </c>
      <c r="F1934" t="s">
        <v>221</v>
      </c>
      <c r="G1934">
        <v>1280</v>
      </c>
      <c r="H1934" t="s">
        <v>3770</v>
      </c>
      <c r="K1934" s="11">
        <v>46220.588842592595</v>
      </c>
      <c r="M1934">
        <v>1263</v>
      </c>
      <c r="N1934" t="s">
        <v>878</v>
      </c>
      <c r="O1934" t="s">
        <v>138</v>
      </c>
      <c r="P1934" s="5"/>
      <c r="Q1934" s="10">
        <f>INT(Tabela1[[#This Row],[DATA]])</f>
        <v>46220</v>
      </c>
      <c r="R1934" s="14" t="str">
        <f ca="1">IF(AND(Q1934&gt;=TODAY()-WEEKDAY(TODAY(),2)+1,Q1934&lt;TODAY()),"SIM","NÃO")</f>
        <v>NÃO</v>
      </c>
    </row>
    <row r="1935" spans="1:18" hidden="1">
      <c r="A1935" t="s">
        <v>2541</v>
      </c>
      <c r="B1935" t="s">
        <v>388</v>
      </c>
      <c r="C1935">
        <v>300280288</v>
      </c>
      <c r="D1935">
        <v>16447603</v>
      </c>
      <c r="E1935" t="s">
        <v>37</v>
      </c>
      <c r="F1935" t="s">
        <v>323</v>
      </c>
      <c r="G1935">
        <v>16</v>
      </c>
      <c r="H1935" t="s">
        <v>2313</v>
      </c>
      <c r="K1935" s="11">
        <v>46220.601400462961</v>
      </c>
      <c r="M1935">
        <v>1264</v>
      </c>
      <c r="N1935" t="s">
        <v>867</v>
      </c>
      <c r="O1935">
        <v>0</v>
      </c>
      <c r="P1935" s="5"/>
      <c r="Q1935" s="10">
        <f>INT(Tabela1[[#This Row],[DATA]])</f>
        <v>46220</v>
      </c>
      <c r="R1935" s="14" t="str">
        <f ca="1">IF(AND(Q1935&gt;=TODAY()-WEEKDAY(TODAY(),2)+1,Q1935&lt;TODAY()),"SIM","NÃO")</f>
        <v>NÃO</v>
      </c>
    </row>
    <row r="1936" spans="1:18" hidden="1">
      <c r="A1936" t="s">
        <v>305</v>
      </c>
      <c r="B1936" t="s">
        <v>306</v>
      </c>
      <c r="C1936">
        <v>300280204</v>
      </c>
      <c r="D1936">
        <v>16243145</v>
      </c>
      <c r="E1936" t="s">
        <v>37</v>
      </c>
      <c r="F1936" t="s">
        <v>3241</v>
      </c>
      <c r="G1936">
        <v>20</v>
      </c>
      <c r="H1936" t="s">
        <v>3771</v>
      </c>
      <c r="J1936" t="s">
        <v>3772</v>
      </c>
      <c r="K1936" s="11">
        <v>46220.603414351855</v>
      </c>
      <c r="M1936">
        <v>1265</v>
      </c>
      <c r="N1936" t="s">
        <v>867</v>
      </c>
      <c r="O1936">
        <v>10000073313</v>
      </c>
      <c r="P1936" s="5"/>
      <c r="Q1936" s="10">
        <f>INT(Tabela1[[#This Row],[DATA]])</f>
        <v>46220</v>
      </c>
      <c r="R1936" s="14" t="str">
        <f ca="1">IF(AND(Q1936&gt;=TODAY()-WEEKDAY(TODAY(),2)+1,Q1936&lt;TODAY()),"SIM","NÃO")</f>
        <v>NÃO</v>
      </c>
    </row>
    <row r="1937" spans="1:18" hidden="1">
      <c r="A1937" t="s">
        <v>143</v>
      </c>
      <c r="B1937" t="s">
        <v>144</v>
      </c>
      <c r="C1937">
        <v>300282467</v>
      </c>
      <c r="D1937">
        <v>16441656</v>
      </c>
      <c r="E1937" t="s">
        <v>45</v>
      </c>
      <c r="F1937" t="s">
        <v>96</v>
      </c>
      <c r="G1937">
        <v>117</v>
      </c>
      <c r="H1937" t="s">
        <v>2313</v>
      </c>
      <c r="K1937" s="11">
        <v>46220.612245370372</v>
      </c>
      <c r="M1937">
        <v>1266</v>
      </c>
      <c r="N1937" t="s">
        <v>867</v>
      </c>
      <c r="O1937">
        <v>0</v>
      </c>
      <c r="P1937" s="5"/>
      <c r="Q1937" s="10">
        <f>INT(Tabela1[[#This Row],[DATA]])</f>
        <v>46220</v>
      </c>
      <c r="R1937" s="14" t="str">
        <f ca="1">IF(AND(Q1937&gt;=TODAY()-WEEKDAY(TODAY(),2)+1,Q1937&lt;TODAY()),"SIM","NÃO")</f>
        <v>NÃO</v>
      </c>
    </row>
    <row r="1938" spans="1:18" hidden="1">
      <c r="A1938" t="s">
        <v>287</v>
      </c>
      <c r="B1938" t="s">
        <v>288</v>
      </c>
      <c r="C1938">
        <v>300277468</v>
      </c>
      <c r="D1938">
        <v>16473965</v>
      </c>
      <c r="E1938" t="s">
        <v>37</v>
      </c>
      <c r="F1938" t="s">
        <v>177</v>
      </c>
      <c r="G1938">
        <v>114</v>
      </c>
      <c r="H1938" t="s">
        <v>310</v>
      </c>
      <c r="J1938" t="s">
        <v>3773</v>
      </c>
      <c r="K1938" s="11">
        <v>46220.612569444442</v>
      </c>
      <c r="M1938">
        <v>1267</v>
      </c>
      <c r="N1938" t="s">
        <v>867</v>
      </c>
      <c r="O1938">
        <v>10000065169</v>
      </c>
      <c r="P1938" s="5"/>
      <c r="Q1938" s="10">
        <f>INT(Tabela1[[#This Row],[DATA]])</f>
        <v>46220</v>
      </c>
      <c r="R1938" s="14" t="str">
        <f ca="1">IF(AND(Q1938&gt;=TODAY()-WEEKDAY(TODAY(),2)+1,Q1938&lt;TODAY()),"SIM","NÃO")</f>
        <v>NÃO</v>
      </c>
    </row>
    <row r="1939" spans="1:18" hidden="1">
      <c r="A1939" t="s">
        <v>287</v>
      </c>
      <c r="B1939" t="s">
        <v>288</v>
      </c>
      <c r="C1939">
        <v>300277468</v>
      </c>
      <c r="D1939">
        <v>16473965</v>
      </c>
      <c r="E1939" t="s">
        <v>37</v>
      </c>
      <c r="F1939" t="s">
        <v>221</v>
      </c>
      <c r="G1939">
        <v>75</v>
      </c>
      <c r="H1939" t="s">
        <v>310</v>
      </c>
      <c r="J1939" t="s">
        <v>3774</v>
      </c>
      <c r="K1939" s="11">
        <v>46220.620995370373</v>
      </c>
      <c r="M1939">
        <v>1268</v>
      </c>
      <c r="N1939" t="s">
        <v>867</v>
      </c>
      <c r="O1939">
        <v>10000214499</v>
      </c>
      <c r="P1939" s="5"/>
      <c r="Q1939" s="10">
        <f>INT(Tabela1[[#This Row],[DATA]])</f>
        <v>46220</v>
      </c>
      <c r="R1939" s="14" t="str">
        <f ca="1">IF(AND(Q1939&gt;=TODAY()-WEEKDAY(TODAY(),2)+1,Q1939&lt;TODAY()),"SIM","NÃO")</f>
        <v>NÃO</v>
      </c>
    </row>
    <row r="1940" spans="1:18" hidden="1">
      <c r="A1940" t="s">
        <v>287</v>
      </c>
      <c r="B1940" t="s">
        <v>288</v>
      </c>
      <c r="C1940">
        <v>300277455</v>
      </c>
      <c r="D1940">
        <v>16473965</v>
      </c>
      <c r="E1940" t="s">
        <v>37</v>
      </c>
      <c r="F1940" t="s">
        <v>2213</v>
      </c>
      <c r="G1940">
        <v>75</v>
      </c>
      <c r="H1940" t="s">
        <v>310</v>
      </c>
      <c r="J1940" t="s">
        <v>310</v>
      </c>
      <c r="K1940" s="11">
        <v>46220.635451388887</v>
      </c>
      <c r="M1940">
        <v>1269</v>
      </c>
      <c r="N1940" t="s">
        <v>878</v>
      </c>
      <c r="O1940">
        <v>10000214499</v>
      </c>
      <c r="P1940" s="5"/>
      <c r="Q1940" s="10">
        <f>INT(Tabela1[[#This Row],[DATA]])</f>
        <v>46220</v>
      </c>
      <c r="R1940" s="14" t="str">
        <f ca="1">IF(AND(Q1940&gt;=TODAY()-WEEKDAY(TODAY(),2)+1,Q1940&lt;TODAY()),"SIM","NÃO")</f>
        <v>NÃO</v>
      </c>
    </row>
    <row r="1941" spans="1:18" hidden="1">
      <c r="A1941" t="s">
        <v>2656</v>
      </c>
      <c r="B1941" t="s">
        <v>3775</v>
      </c>
      <c r="C1941">
        <v>300275035</v>
      </c>
      <c r="D1941">
        <v>16482204</v>
      </c>
      <c r="E1941" t="s">
        <v>37</v>
      </c>
      <c r="F1941" t="s">
        <v>216</v>
      </c>
      <c r="G1941" t="s">
        <v>3776</v>
      </c>
      <c r="H1941" t="s">
        <v>3777</v>
      </c>
      <c r="J1941" t="s">
        <v>3778</v>
      </c>
      <c r="K1941" s="11">
        <v>46220.64916666667</v>
      </c>
      <c r="M1941">
        <v>1270</v>
      </c>
      <c r="N1941" t="s">
        <v>867</v>
      </c>
      <c r="O1941">
        <v>0</v>
      </c>
      <c r="P1941" s="5"/>
      <c r="Q1941" s="10">
        <f>INT(Tabela1[[#This Row],[DATA]])</f>
        <v>46220</v>
      </c>
      <c r="R1941" s="14" t="str">
        <f ca="1">IF(AND(Q1941&gt;=TODAY()-WEEKDAY(TODAY(),2)+1,Q1941&lt;TODAY()),"SIM","NÃO")</f>
        <v>NÃO</v>
      </c>
    </row>
    <row r="1942" spans="1:18" hidden="1">
      <c r="A1942" t="s">
        <v>2610</v>
      </c>
      <c r="B1942" t="s">
        <v>74</v>
      </c>
      <c r="C1942">
        <v>300282857</v>
      </c>
      <c r="D1942">
        <v>16310950</v>
      </c>
      <c r="E1942" t="s">
        <v>20</v>
      </c>
      <c r="F1942" t="s">
        <v>2405</v>
      </c>
      <c r="G1942">
        <v>16</v>
      </c>
      <c r="H1942" t="s">
        <v>555</v>
      </c>
      <c r="K1942" s="11">
        <v>46220.660266203704</v>
      </c>
      <c r="M1942">
        <v>1271</v>
      </c>
      <c r="N1942" t="s">
        <v>867</v>
      </c>
      <c r="O1942">
        <v>0</v>
      </c>
      <c r="P1942" s="5"/>
      <c r="Q1942" s="10">
        <f>INT(Tabela1[[#This Row],[DATA]])</f>
        <v>46220</v>
      </c>
      <c r="R1942" s="14" t="str">
        <f ca="1">IF(AND(Q1942&gt;=TODAY()-WEEKDAY(TODAY(),2)+1,Q1942&lt;TODAY()),"SIM","NÃO")</f>
        <v>NÃO</v>
      </c>
    </row>
    <row r="1943" spans="1:18" hidden="1">
      <c r="A1943" t="s">
        <v>2610</v>
      </c>
      <c r="B1943" t="s">
        <v>74</v>
      </c>
      <c r="C1943">
        <v>300282857</v>
      </c>
      <c r="D1943">
        <v>16310950</v>
      </c>
      <c r="E1943" t="s">
        <v>20</v>
      </c>
      <c r="F1943" t="s">
        <v>3595</v>
      </c>
      <c r="G1943">
        <v>20</v>
      </c>
      <c r="H1943" t="s">
        <v>555</v>
      </c>
      <c r="J1943" t="s">
        <v>2168</v>
      </c>
      <c r="K1943" s="11">
        <v>46220.661724537036</v>
      </c>
      <c r="M1943">
        <v>1272</v>
      </c>
      <c r="N1943" t="s">
        <v>867</v>
      </c>
      <c r="O1943">
        <v>10000209075</v>
      </c>
      <c r="P1943" s="5"/>
      <c r="Q1943" s="10">
        <f>INT(Tabela1[[#This Row],[DATA]])</f>
        <v>46220</v>
      </c>
      <c r="R1943" s="14" t="str">
        <f ca="1">IF(AND(Q1943&gt;=TODAY()-WEEKDAY(TODAY(),2)+1,Q1943&lt;TODAY()),"SIM","NÃO")</f>
        <v>NÃO</v>
      </c>
    </row>
    <row r="1944" spans="1:18" hidden="1">
      <c r="A1944" t="s">
        <v>2656</v>
      </c>
      <c r="B1944" t="s">
        <v>119</v>
      </c>
      <c r="C1944">
        <v>300275035</v>
      </c>
      <c r="D1944">
        <v>16482204</v>
      </c>
      <c r="E1944" t="s">
        <v>37</v>
      </c>
      <c r="F1944" t="s">
        <v>216</v>
      </c>
      <c r="G1944" t="s">
        <v>3776</v>
      </c>
      <c r="H1944" t="s">
        <v>3779</v>
      </c>
      <c r="J1944" t="s">
        <v>3780</v>
      </c>
      <c r="K1944" s="11">
        <v>46220.669131944444</v>
      </c>
      <c r="M1944">
        <v>1273</v>
      </c>
      <c r="N1944" t="s">
        <v>867</v>
      </c>
      <c r="O1944">
        <v>0</v>
      </c>
      <c r="P1944" s="5"/>
      <c r="Q1944" s="10">
        <f>INT(Tabela1[[#This Row],[DATA]])</f>
        <v>46220</v>
      </c>
      <c r="R1944" s="14" t="str">
        <f ca="1">IF(AND(Q1944&gt;=TODAY()-WEEKDAY(TODAY(),2)+1,Q1944&lt;TODAY()),"SIM","NÃO")</f>
        <v>NÃO</v>
      </c>
    </row>
    <row r="1945" spans="1:18" hidden="1">
      <c r="A1945" t="s">
        <v>685</v>
      </c>
      <c r="B1945" t="s">
        <v>686</v>
      </c>
      <c r="C1945">
        <v>300272528</v>
      </c>
      <c r="D1945">
        <v>16447964</v>
      </c>
      <c r="E1945" t="s">
        <v>37</v>
      </c>
      <c r="F1945" t="s">
        <v>2213</v>
      </c>
      <c r="G1945">
        <v>1280</v>
      </c>
      <c r="H1945" t="s">
        <v>3781</v>
      </c>
      <c r="K1945" s="11">
        <v>46220.678298611114</v>
      </c>
      <c r="M1945">
        <v>1274</v>
      </c>
      <c r="N1945" t="s">
        <v>878</v>
      </c>
      <c r="O1945" t="s">
        <v>138</v>
      </c>
      <c r="P1945" s="5"/>
      <c r="Q1945" s="10">
        <f>INT(Tabela1[[#This Row],[DATA]])</f>
        <v>46220</v>
      </c>
      <c r="R1945" s="14" t="str">
        <f ca="1">IF(AND(Q1945&gt;=TODAY()-WEEKDAY(TODAY(),2)+1,Q1945&lt;TODAY()),"SIM","NÃO")</f>
        <v>NÃO</v>
      </c>
    </row>
    <row r="1946" spans="1:18" hidden="1">
      <c r="A1946" t="s">
        <v>685</v>
      </c>
      <c r="B1946" t="s">
        <v>686</v>
      </c>
      <c r="C1946">
        <v>300272528</v>
      </c>
      <c r="D1946">
        <v>16447964</v>
      </c>
      <c r="E1946" t="s">
        <v>37</v>
      </c>
      <c r="F1946" t="s">
        <v>2405</v>
      </c>
      <c r="G1946">
        <v>1280</v>
      </c>
      <c r="H1946" t="s">
        <v>3781</v>
      </c>
      <c r="K1946" s="11">
        <v>46220.679212962961</v>
      </c>
      <c r="M1946">
        <v>1275</v>
      </c>
      <c r="N1946" t="s">
        <v>878</v>
      </c>
      <c r="O1946" t="s">
        <v>138</v>
      </c>
      <c r="P1946" s="5"/>
      <c r="Q1946" s="10">
        <f>INT(Tabela1[[#This Row],[DATA]])</f>
        <v>46220</v>
      </c>
      <c r="R1946" s="14" t="str">
        <f ca="1">IF(AND(Q1946&gt;=TODAY()-WEEKDAY(TODAY(),2)+1,Q1946&lt;TODAY()),"SIM","NÃO")</f>
        <v>NÃO</v>
      </c>
    </row>
    <row r="1947" spans="1:18" hidden="1">
      <c r="A1947" t="s">
        <v>2656</v>
      </c>
      <c r="B1947" t="s">
        <v>119</v>
      </c>
      <c r="C1947">
        <v>300277546</v>
      </c>
      <c r="D1947">
        <v>16523806</v>
      </c>
      <c r="E1947" t="s">
        <v>37</v>
      </c>
      <c r="F1947" t="s">
        <v>3215</v>
      </c>
      <c r="G1947">
        <v>8</v>
      </c>
      <c r="H1947" t="s">
        <v>3782</v>
      </c>
      <c r="J1947" t="s">
        <v>3783</v>
      </c>
      <c r="K1947" s="11">
        <v>46220.685648148145</v>
      </c>
      <c r="M1947">
        <v>1276</v>
      </c>
      <c r="N1947" t="s">
        <v>878</v>
      </c>
      <c r="O1947">
        <v>0</v>
      </c>
      <c r="P1947" s="5"/>
      <c r="Q1947" s="10">
        <f>INT(Tabela1[[#This Row],[DATA]])</f>
        <v>46220</v>
      </c>
      <c r="R1947" s="14" t="str">
        <f ca="1">IF(AND(Q1947&gt;=TODAY()-WEEKDAY(TODAY(),2)+1,Q1947&lt;TODAY()),"SIM","NÃO")</f>
        <v>NÃO</v>
      </c>
    </row>
    <row r="1948" spans="1:18" hidden="1">
      <c r="A1948" t="s">
        <v>111</v>
      </c>
      <c r="B1948" t="s">
        <v>112</v>
      </c>
      <c r="C1948">
        <v>300281200</v>
      </c>
      <c r="D1948">
        <v>16543084</v>
      </c>
      <c r="E1948" t="s">
        <v>20</v>
      </c>
      <c r="F1948" t="s">
        <v>3502</v>
      </c>
      <c r="G1948">
        <v>216</v>
      </c>
      <c r="H1948" t="s">
        <v>3784</v>
      </c>
      <c r="K1948" s="11">
        <v>46220.700937499998</v>
      </c>
      <c r="M1948">
        <v>1277</v>
      </c>
      <c r="N1948" t="s">
        <v>878</v>
      </c>
      <c r="O1948">
        <v>0</v>
      </c>
      <c r="P1948" s="5"/>
      <c r="Q1948" s="10">
        <f>INT(Tabela1[[#This Row],[DATA]])</f>
        <v>46220</v>
      </c>
      <c r="R1948" s="14" t="str">
        <f ca="1">IF(AND(Q1948&gt;=TODAY()-WEEKDAY(TODAY(),2)+1,Q1948&lt;TODAY()),"SIM","NÃO")</f>
        <v>NÃO</v>
      </c>
    </row>
    <row r="1949" spans="1:18" hidden="1">
      <c r="A1949" t="s">
        <v>143</v>
      </c>
      <c r="B1949" t="s">
        <v>144</v>
      </c>
      <c r="C1949">
        <v>300280730</v>
      </c>
      <c r="D1949">
        <v>12416746</v>
      </c>
      <c r="E1949" t="s">
        <v>45</v>
      </c>
      <c r="F1949" t="s">
        <v>2405</v>
      </c>
      <c r="G1949">
        <v>30</v>
      </c>
      <c r="H1949" t="s">
        <v>2313</v>
      </c>
      <c r="K1949" s="11">
        <v>46220.702210648145</v>
      </c>
      <c r="M1949">
        <v>1278</v>
      </c>
      <c r="N1949" t="s">
        <v>867</v>
      </c>
      <c r="O1949">
        <v>0</v>
      </c>
      <c r="P1949" s="5"/>
      <c r="Q1949" s="10">
        <f>INT(Tabela1[[#This Row],[DATA]])</f>
        <v>46220</v>
      </c>
      <c r="R1949" s="14" t="str">
        <f ca="1">IF(AND(Q1949&gt;=TODAY()-WEEKDAY(TODAY(),2)+1,Q1949&lt;TODAY()),"SIM","NÃO")</f>
        <v>NÃO</v>
      </c>
    </row>
    <row r="1950" spans="1:18" hidden="1">
      <c r="A1950" t="s">
        <v>2541</v>
      </c>
      <c r="B1950" t="s">
        <v>388</v>
      </c>
      <c r="C1950">
        <v>300275800</v>
      </c>
      <c r="D1950">
        <v>16218949</v>
      </c>
      <c r="E1950" t="s">
        <v>37</v>
      </c>
      <c r="F1950" t="s">
        <v>2405</v>
      </c>
      <c r="G1950">
        <v>3</v>
      </c>
      <c r="H1950" t="s">
        <v>2313</v>
      </c>
      <c r="K1950" s="11">
        <v>46220.715949074074</v>
      </c>
      <c r="M1950">
        <v>1279</v>
      </c>
      <c r="N1950" t="s">
        <v>867</v>
      </c>
      <c r="O1950">
        <v>0</v>
      </c>
      <c r="P1950" s="5"/>
      <c r="Q1950" s="10">
        <f>INT(Tabela1[[#This Row],[DATA]])</f>
        <v>46220</v>
      </c>
      <c r="R1950" s="14" t="str">
        <f ca="1">IF(AND(Q1950&gt;=TODAY()-WEEKDAY(TODAY(),2)+1,Q1950&lt;TODAY()),"SIM","NÃO")</f>
        <v>NÃO</v>
      </c>
    </row>
    <row r="1951" spans="1:18" hidden="1">
      <c r="A1951" t="s">
        <v>305</v>
      </c>
      <c r="B1951" t="s">
        <v>306</v>
      </c>
      <c r="C1951">
        <v>300281468</v>
      </c>
      <c r="D1951">
        <v>13044826</v>
      </c>
      <c r="E1951" t="s">
        <v>29</v>
      </c>
      <c r="F1951" t="s">
        <v>96</v>
      </c>
      <c r="G1951">
        <v>70</v>
      </c>
      <c r="H1951" t="s">
        <v>3785</v>
      </c>
      <c r="J1951" t="s">
        <v>3786</v>
      </c>
      <c r="K1951" s="11">
        <v>46220.719108796293</v>
      </c>
      <c r="M1951">
        <v>1280</v>
      </c>
      <c r="N1951" t="s">
        <v>867</v>
      </c>
      <c r="O1951">
        <v>0</v>
      </c>
      <c r="P1951" s="5"/>
      <c r="Q1951" s="10">
        <f>INT(Tabela1[[#This Row],[DATA]])</f>
        <v>46220</v>
      </c>
      <c r="R1951" s="14" t="str">
        <f ca="1">IF(AND(Q1951&gt;=TODAY()-WEEKDAY(TODAY(),2)+1,Q1951&lt;TODAY()),"SIM","NÃO")</f>
        <v>NÃO</v>
      </c>
    </row>
    <row r="1952" spans="1:18" hidden="1">
      <c r="A1952" t="s">
        <v>249</v>
      </c>
      <c r="B1952" t="s">
        <v>112</v>
      </c>
      <c r="C1952">
        <v>300281188</v>
      </c>
      <c r="D1952">
        <v>16017013</v>
      </c>
      <c r="E1952" t="s">
        <v>45</v>
      </c>
      <c r="F1952" t="s">
        <v>2405</v>
      </c>
      <c r="G1952">
        <v>154</v>
      </c>
      <c r="H1952" t="s">
        <v>2843</v>
      </c>
      <c r="K1952" s="11">
        <v>46221.310613425929</v>
      </c>
      <c r="M1952">
        <v>1281</v>
      </c>
      <c r="N1952" t="s">
        <v>867</v>
      </c>
      <c r="O1952">
        <v>0</v>
      </c>
      <c r="P1952" s="5"/>
      <c r="Q1952" s="10">
        <f>INT(Tabela1[[#This Row],[DATA]])</f>
        <v>46221</v>
      </c>
      <c r="R1952" s="14" t="str">
        <f ca="1">IF(AND(Q1952&gt;=TODAY()-WEEKDAY(TODAY(),2)+1,Q1952&lt;TODAY()),"SIM","NÃO")</f>
        <v>NÃO</v>
      </c>
    </row>
    <row r="1953" spans="1:18" hidden="1">
      <c r="A1953" t="s">
        <v>201</v>
      </c>
      <c r="B1953" t="s">
        <v>202</v>
      </c>
      <c r="C1953">
        <v>300277904</v>
      </c>
      <c r="D1953">
        <v>16292987</v>
      </c>
      <c r="E1953" t="s">
        <v>37</v>
      </c>
      <c r="F1953" t="s">
        <v>3241</v>
      </c>
      <c r="G1953">
        <v>5</v>
      </c>
      <c r="H1953" t="s">
        <v>3787</v>
      </c>
      <c r="J1953" t="s">
        <v>3787</v>
      </c>
      <c r="K1953" s="11">
        <v>46221.317256944443</v>
      </c>
      <c r="M1953">
        <v>1282</v>
      </c>
      <c r="N1953" t="s">
        <v>878</v>
      </c>
      <c r="O1953">
        <v>10000073408</v>
      </c>
      <c r="P1953" s="5"/>
      <c r="Q1953" s="10">
        <f>INT(Tabela1[[#This Row],[DATA]])</f>
        <v>46221</v>
      </c>
      <c r="R1953" s="14" t="str">
        <f ca="1">IF(AND(Q1953&gt;=TODAY()-WEEKDAY(TODAY(),2)+1,Q1953&lt;TODAY()),"SIM","NÃO")</f>
        <v>NÃO</v>
      </c>
    </row>
    <row r="1954" spans="1:18" hidden="1">
      <c r="A1954" t="s">
        <v>428</v>
      </c>
      <c r="B1954" t="s">
        <v>429</v>
      </c>
      <c r="C1954">
        <v>300281467</v>
      </c>
      <c r="D1954">
        <v>13044826</v>
      </c>
      <c r="E1954" t="s">
        <v>29</v>
      </c>
      <c r="F1954" t="s">
        <v>3212</v>
      </c>
      <c r="G1954">
        <v>962</v>
      </c>
      <c r="H1954" t="s">
        <v>2103</v>
      </c>
      <c r="K1954" s="11">
        <v>46222.364803240744</v>
      </c>
      <c r="M1954">
        <v>1283</v>
      </c>
      <c r="N1954" t="s">
        <v>878</v>
      </c>
      <c r="O1954">
        <v>0</v>
      </c>
      <c r="P1954" s="5"/>
      <c r="Q1954" s="10">
        <f>INT(Tabela1[[#This Row],[DATA]])</f>
        <v>46222</v>
      </c>
      <c r="R1954" s="14" t="str">
        <f ca="1">IF(AND(Q1954&gt;=TODAY()-WEEKDAY(TODAY(),2)+1,Q1954&lt;TODAY()),"SIM","NÃO")</f>
        <v>NÃO</v>
      </c>
    </row>
    <row r="1955" spans="1:18" hidden="1">
      <c r="A1955" t="s">
        <v>3492</v>
      </c>
      <c r="B1955" t="s">
        <v>383</v>
      </c>
      <c r="C1955">
        <v>300280217</v>
      </c>
      <c r="D1955">
        <v>16473825</v>
      </c>
      <c r="E1955" t="s">
        <v>37</v>
      </c>
      <c r="F1955" t="s">
        <v>3215</v>
      </c>
      <c r="G1955">
        <v>3</v>
      </c>
      <c r="H1955" t="s">
        <v>3788</v>
      </c>
      <c r="J1955" t="s">
        <v>3789</v>
      </c>
      <c r="K1955" s="11">
        <v>46223.333379629628</v>
      </c>
      <c r="M1955">
        <v>1284</v>
      </c>
      <c r="N1955" t="s">
        <v>867</v>
      </c>
      <c r="O1955">
        <v>0</v>
      </c>
      <c r="P1955" s="5"/>
      <c r="Q1955" s="10">
        <f>INT(Tabela1[[#This Row],[DATA]])</f>
        <v>46223</v>
      </c>
      <c r="R1955" s="14" t="str">
        <f ca="1">IF(AND(Q1955&gt;=TODAY()-WEEKDAY(TODAY(),2)+1,Q1955&lt;TODAY()),"SIM","NÃO")</f>
        <v>NÃO</v>
      </c>
    </row>
    <row r="1956" spans="1:18" hidden="1">
      <c r="A1956" t="s">
        <v>2605</v>
      </c>
      <c r="B1956" t="s">
        <v>2606</v>
      </c>
      <c r="C1956">
        <v>300273035</v>
      </c>
      <c r="D1956">
        <v>16243943</v>
      </c>
      <c r="E1956" t="s">
        <v>37</v>
      </c>
      <c r="F1956" t="s">
        <v>2213</v>
      </c>
      <c r="G1956">
        <v>6</v>
      </c>
      <c r="H1956" t="s">
        <v>3790</v>
      </c>
      <c r="J1956" t="s">
        <v>3790</v>
      </c>
      <c r="K1956" s="11">
        <v>46223.352430555555</v>
      </c>
      <c r="M1956">
        <v>1285</v>
      </c>
      <c r="N1956" t="s">
        <v>867</v>
      </c>
      <c r="O1956" t="s">
        <v>3791</v>
      </c>
      <c r="P1956" s="5"/>
      <c r="Q1956" s="10">
        <f>INT(Tabela1[[#This Row],[DATA]])</f>
        <v>46223</v>
      </c>
      <c r="R1956" s="14" t="str">
        <f ca="1">IF(AND(Q1956&gt;=TODAY()-WEEKDAY(TODAY(),2)+1,Q1956&lt;TODAY()),"SIM","NÃO")</f>
        <v>NÃO</v>
      </c>
    </row>
    <row r="1957" spans="1:18" hidden="1">
      <c r="A1957" t="s">
        <v>2541</v>
      </c>
      <c r="B1957" t="s">
        <v>388</v>
      </c>
      <c r="C1957">
        <v>300281903</v>
      </c>
      <c r="D1957">
        <v>16218990</v>
      </c>
      <c r="E1957" t="s">
        <v>37</v>
      </c>
      <c r="F1957" t="s">
        <v>221</v>
      </c>
      <c r="G1957">
        <v>1479</v>
      </c>
      <c r="H1957" t="s">
        <v>2313</v>
      </c>
      <c r="J1957" t="s">
        <v>818</v>
      </c>
      <c r="K1957" s="11">
        <v>46223.355543981481</v>
      </c>
      <c r="M1957">
        <v>1286</v>
      </c>
      <c r="N1957" t="s">
        <v>878</v>
      </c>
      <c r="O1957">
        <v>0</v>
      </c>
      <c r="P1957" s="5"/>
      <c r="Q1957" s="10">
        <f>INT(Tabela1[[#This Row],[DATA]])</f>
        <v>46223</v>
      </c>
      <c r="R1957" s="14" t="str">
        <f ca="1">IF(AND(Q1957&gt;=TODAY()-WEEKDAY(TODAY(),2)+1,Q1957&lt;TODAY()),"SIM","NÃO")</f>
        <v>NÃO</v>
      </c>
    </row>
    <row r="1958" spans="1:18" hidden="1">
      <c r="A1958" t="s">
        <v>2605</v>
      </c>
      <c r="B1958" t="s">
        <v>2606</v>
      </c>
      <c r="C1958">
        <v>300280614</v>
      </c>
      <c r="D1958">
        <v>16243994</v>
      </c>
      <c r="E1958" t="s">
        <v>37</v>
      </c>
      <c r="F1958" t="s">
        <v>2213</v>
      </c>
      <c r="G1958">
        <v>15</v>
      </c>
      <c r="H1958" t="s">
        <v>3790</v>
      </c>
      <c r="J1958" t="s">
        <v>3790</v>
      </c>
      <c r="K1958" s="11">
        <v>46223.356192129628</v>
      </c>
      <c r="M1958">
        <v>1287</v>
      </c>
      <c r="N1958" t="s">
        <v>867</v>
      </c>
      <c r="O1958" t="s">
        <v>3792</v>
      </c>
      <c r="P1958" s="5"/>
      <c r="Q1958" s="10">
        <f>INT(Tabela1[[#This Row],[DATA]])</f>
        <v>46223</v>
      </c>
      <c r="R1958" s="14" t="str">
        <f ca="1">IF(AND(Q1958&gt;=TODAY()-WEEKDAY(TODAY(),2)+1,Q1958&lt;TODAY()),"SIM","NÃO")</f>
        <v>NÃO</v>
      </c>
    </row>
    <row r="1959" spans="1:18" hidden="1">
      <c r="A1959" t="s">
        <v>111</v>
      </c>
      <c r="B1959" t="s">
        <v>112</v>
      </c>
      <c r="C1959">
        <v>300281200</v>
      </c>
      <c r="D1959">
        <v>16543084</v>
      </c>
      <c r="E1959" t="s">
        <v>20</v>
      </c>
      <c r="F1959" t="s">
        <v>3595</v>
      </c>
      <c r="G1959">
        <v>6</v>
      </c>
      <c r="H1959" t="s">
        <v>1335</v>
      </c>
      <c r="K1959" s="11">
        <v>46223.356273148151</v>
      </c>
      <c r="M1959">
        <v>1288</v>
      </c>
      <c r="N1959" t="s">
        <v>867</v>
      </c>
      <c r="O1959">
        <v>10000254720</v>
      </c>
      <c r="P1959" s="5"/>
      <c r="Q1959" s="10">
        <f>INT(Tabela1[[#This Row],[DATA]])</f>
        <v>46223</v>
      </c>
      <c r="R1959" s="14" t="str">
        <f ca="1">IF(AND(Q1959&gt;=TODAY()-WEEKDAY(TODAY(),2)+1,Q1959&lt;TODAY()),"SIM","NÃO")</f>
        <v>NÃO</v>
      </c>
    </row>
    <row r="1960" spans="1:18" hidden="1">
      <c r="A1960" t="s">
        <v>2765</v>
      </c>
      <c r="B1960" t="s">
        <v>107</v>
      </c>
      <c r="C1960">
        <v>300283628</v>
      </c>
      <c r="D1960">
        <v>16229320</v>
      </c>
      <c r="E1960" t="s">
        <v>45</v>
      </c>
      <c r="F1960" t="s">
        <v>145</v>
      </c>
      <c r="G1960">
        <v>1</v>
      </c>
      <c r="H1960" t="s">
        <v>3793</v>
      </c>
      <c r="K1960" s="11">
        <v>46223.406226851854</v>
      </c>
      <c r="M1960">
        <v>1289</v>
      </c>
      <c r="N1960" t="s">
        <v>878</v>
      </c>
      <c r="O1960">
        <v>0</v>
      </c>
      <c r="P1960" s="5"/>
      <c r="Q1960" s="10">
        <f>INT(Tabela1[[#This Row],[DATA]])</f>
        <v>46223</v>
      </c>
      <c r="R1960" s="14" t="str">
        <f ca="1">IF(AND(Q1960&gt;=TODAY()-WEEKDAY(TODAY(),2)+1,Q1960&lt;TODAY()),"SIM","NÃO")</f>
        <v>NÃO</v>
      </c>
    </row>
    <row r="1961" spans="1:18" hidden="1">
      <c r="A1961" t="s">
        <v>2765</v>
      </c>
      <c r="B1961" t="s">
        <v>107</v>
      </c>
      <c r="C1961">
        <v>300276545</v>
      </c>
      <c r="D1961">
        <v>16481453</v>
      </c>
      <c r="E1961" t="s">
        <v>45</v>
      </c>
      <c r="F1961" t="s">
        <v>145</v>
      </c>
      <c r="G1961">
        <v>1</v>
      </c>
      <c r="H1961" t="s">
        <v>3793</v>
      </c>
      <c r="K1961" s="11">
        <v>46223.40697916667</v>
      </c>
      <c r="M1961">
        <v>1290</v>
      </c>
      <c r="N1961" t="s">
        <v>878</v>
      </c>
      <c r="O1961">
        <v>0</v>
      </c>
      <c r="P1961" s="5"/>
      <c r="Q1961" s="10">
        <f>INT(Tabela1[[#This Row],[DATA]])</f>
        <v>46223</v>
      </c>
      <c r="R1961" s="14" t="str">
        <f ca="1">IF(AND(Q1961&gt;=TODAY()-WEEKDAY(TODAY(),2)+1,Q1961&lt;TODAY()),"SIM","NÃO")</f>
        <v>NÃO</v>
      </c>
    </row>
    <row r="1962" spans="1:18" hidden="1">
      <c r="A1962" t="s">
        <v>2649</v>
      </c>
      <c r="B1962" t="s">
        <v>137</v>
      </c>
      <c r="C1962">
        <v>300275623</v>
      </c>
      <c r="D1962">
        <v>16462980</v>
      </c>
      <c r="E1962" t="s">
        <v>45</v>
      </c>
      <c r="F1962" t="s">
        <v>3212</v>
      </c>
      <c r="G1962">
        <v>120</v>
      </c>
      <c r="H1962" t="s">
        <v>3794</v>
      </c>
      <c r="K1962" s="11">
        <v>46223.414895833332</v>
      </c>
      <c r="M1962">
        <v>1291</v>
      </c>
      <c r="N1962" t="s">
        <v>867</v>
      </c>
      <c r="O1962" t="s">
        <v>138</v>
      </c>
      <c r="P1962" s="5"/>
      <c r="Q1962" s="10">
        <f>INT(Tabela1[[#This Row],[DATA]])</f>
        <v>46223</v>
      </c>
      <c r="R1962" s="14" t="str">
        <f ca="1">IF(AND(Q1962&gt;=TODAY()-WEEKDAY(TODAY(),2)+1,Q1962&lt;TODAY()),"SIM","NÃO")</f>
        <v>NÃO</v>
      </c>
    </row>
    <row r="1963" spans="1:18" hidden="1">
      <c r="A1963" t="s">
        <v>2681</v>
      </c>
      <c r="B1963" t="s">
        <v>1284</v>
      </c>
      <c r="C1963">
        <v>300281921</v>
      </c>
      <c r="D1963">
        <v>16561392</v>
      </c>
      <c r="E1963" t="s">
        <v>37</v>
      </c>
      <c r="F1963" t="s">
        <v>2405</v>
      </c>
      <c r="G1963" t="s">
        <v>3795</v>
      </c>
      <c r="H1963" t="s">
        <v>2137</v>
      </c>
      <c r="K1963" s="11">
        <v>46223.440115740741</v>
      </c>
      <c r="M1963">
        <v>1292</v>
      </c>
      <c r="N1963" t="s">
        <v>867</v>
      </c>
      <c r="O1963">
        <v>150</v>
      </c>
      <c r="P1963" s="5"/>
      <c r="Q1963" s="10">
        <f>INT(Tabela1[[#This Row],[DATA]])</f>
        <v>46223</v>
      </c>
      <c r="R1963" s="14" t="str">
        <f ca="1">IF(AND(Q1963&gt;=TODAY()-WEEKDAY(TODAY(),2)+1,Q1963&lt;TODAY()),"SIM","NÃO")</f>
        <v>NÃO</v>
      </c>
    </row>
    <row r="1964" spans="1:18" hidden="1">
      <c r="A1964" t="s">
        <v>111</v>
      </c>
      <c r="B1964" t="s">
        <v>112</v>
      </c>
      <c r="C1964">
        <v>300281191</v>
      </c>
      <c r="D1964">
        <v>16017013</v>
      </c>
      <c r="E1964" t="s">
        <v>45</v>
      </c>
      <c r="F1964" t="s">
        <v>3212</v>
      </c>
      <c r="G1964">
        <v>80</v>
      </c>
      <c r="H1964" t="s">
        <v>1335</v>
      </c>
      <c r="K1964" s="11">
        <v>46223.44195601852</v>
      </c>
      <c r="M1964">
        <v>1293</v>
      </c>
      <c r="N1964" t="s">
        <v>867</v>
      </c>
      <c r="O1964">
        <v>0</v>
      </c>
      <c r="P1964" s="5"/>
      <c r="Q1964" s="10">
        <f>INT(Tabela1[[#This Row],[DATA]])</f>
        <v>46223</v>
      </c>
      <c r="R1964" s="14" t="str">
        <f ca="1">IF(AND(Q1964&gt;=TODAY()-WEEKDAY(TODAY(),2)+1,Q1964&lt;TODAY()),"SIM","NÃO")</f>
        <v>NÃO</v>
      </c>
    </row>
    <row r="1965" spans="1:18" hidden="1">
      <c r="A1965" t="s">
        <v>2571</v>
      </c>
      <c r="B1965" t="s">
        <v>798</v>
      </c>
      <c r="C1965">
        <v>300280215</v>
      </c>
      <c r="D1965">
        <v>16473825</v>
      </c>
      <c r="E1965" t="s">
        <v>37</v>
      </c>
      <c r="F1965" t="s">
        <v>3438</v>
      </c>
      <c r="G1965">
        <v>173</v>
      </c>
      <c r="H1965" t="s">
        <v>2709</v>
      </c>
      <c r="K1965" s="11">
        <v>46223.442650462966</v>
      </c>
      <c r="M1965">
        <v>1294</v>
      </c>
      <c r="N1965" t="s">
        <v>867</v>
      </c>
      <c r="O1965">
        <v>10000073235</v>
      </c>
      <c r="P1965" s="5"/>
      <c r="Q1965" s="10">
        <f>INT(Tabela1[[#This Row],[DATA]])</f>
        <v>46223</v>
      </c>
      <c r="R1965" s="14" t="str">
        <f ca="1">IF(AND(Q1965&gt;=TODAY()-WEEKDAY(TODAY(),2)+1,Q1965&lt;TODAY()),"SIM","NÃO")</f>
        <v>NÃO</v>
      </c>
    </row>
    <row r="1966" spans="1:18" hidden="1">
      <c r="A1966" t="s">
        <v>2549</v>
      </c>
      <c r="B1966" t="s">
        <v>19</v>
      </c>
      <c r="C1966">
        <v>300282530</v>
      </c>
      <c r="D1966">
        <v>15238385</v>
      </c>
      <c r="E1966" t="s">
        <v>29</v>
      </c>
      <c r="F1966" t="s">
        <v>3212</v>
      </c>
      <c r="G1966">
        <v>630</v>
      </c>
      <c r="H1966" t="s">
        <v>3796</v>
      </c>
      <c r="J1966" t="s">
        <v>2802</v>
      </c>
      <c r="K1966" s="11">
        <v>46223.467824074076</v>
      </c>
      <c r="M1966">
        <v>1295</v>
      </c>
      <c r="N1966" t="s">
        <v>867</v>
      </c>
      <c r="O1966" t="s">
        <v>2802</v>
      </c>
      <c r="P1966" s="5"/>
      <c r="Q1966" s="10">
        <f>INT(Tabela1[[#This Row],[DATA]])</f>
        <v>46223</v>
      </c>
      <c r="R1966" s="14" t="str">
        <f ca="1">IF(AND(Q1966&gt;=TODAY()-WEEKDAY(TODAY(),2)+1,Q1966&lt;TODAY()),"SIM","NÃO")</f>
        <v>NÃO</v>
      </c>
    </row>
    <row r="1967" spans="1:18" hidden="1">
      <c r="A1967" t="s">
        <v>2610</v>
      </c>
      <c r="B1967" t="s">
        <v>74</v>
      </c>
      <c r="C1967">
        <v>300282856</v>
      </c>
      <c r="D1967">
        <v>16310950</v>
      </c>
      <c r="E1967" t="s">
        <v>20</v>
      </c>
      <c r="F1967" t="s">
        <v>2405</v>
      </c>
      <c r="G1967">
        <v>21</v>
      </c>
      <c r="H1967" t="s">
        <v>555</v>
      </c>
      <c r="K1967" s="11">
        <v>46223.47247685185</v>
      </c>
      <c r="M1967">
        <v>1296</v>
      </c>
      <c r="N1967" t="s">
        <v>867</v>
      </c>
      <c r="O1967">
        <v>0</v>
      </c>
      <c r="P1967" s="5"/>
      <c r="Q1967" s="10">
        <f>INT(Tabela1[[#This Row],[DATA]])</f>
        <v>46223</v>
      </c>
      <c r="R1967" s="14" t="str">
        <f ca="1">IF(AND(Q1967&gt;=TODAY()-WEEKDAY(TODAY(),2)+1,Q1967&lt;TODAY()),"SIM","NÃO")</f>
        <v>NÃO</v>
      </c>
    </row>
    <row r="1968" spans="1:18" hidden="1">
      <c r="A1968" t="s">
        <v>2681</v>
      </c>
      <c r="B1968" t="s">
        <v>1284</v>
      </c>
      <c r="C1968">
        <v>300283152</v>
      </c>
      <c r="D1968">
        <v>16218019</v>
      </c>
      <c r="E1968" t="s">
        <v>37</v>
      </c>
      <c r="F1968" t="s">
        <v>2405</v>
      </c>
      <c r="G1968" t="s">
        <v>3797</v>
      </c>
      <c r="H1968" t="s">
        <v>2679</v>
      </c>
      <c r="K1968" s="11">
        <v>46223.533229166664</v>
      </c>
      <c r="M1968">
        <v>1297</v>
      </c>
      <c r="N1968" t="s">
        <v>867</v>
      </c>
      <c r="O1968">
        <v>150</v>
      </c>
      <c r="P1968" s="5"/>
      <c r="Q1968" s="10">
        <f>INT(Tabela1[[#This Row],[DATA]])</f>
        <v>46223</v>
      </c>
      <c r="R1968" s="14" t="str">
        <f ca="1">IF(AND(Q1968&gt;=TODAY()-WEEKDAY(TODAY(),2)+1,Q1968&lt;TODAY()),"SIM","NÃO")</f>
        <v>NÃO</v>
      </c>
    </row>
    <row r="1969" spans="1:18" hidden="1">
      <c r="A1969" t="s">
        <v>2681</v>
      </c>
      <c r="B1969" t="s">
        <v>1284</v>
      </c>
      <c r="C1969">
        <v>300281921</v>
      </c>
      <c r="D1969">
        <v>16561392</v>
      </c>
      <c r="E1969" t="s">
        <v>37</v>
      </c>
      <c r="F1969" t="s">
        <v>177</v>
      </c>
      <c r="G1969" t="s">
        <v>3798</v>
      </c>
      <c r="H1969" t="s">
        <v>2914</v>
      </c>
      <c r="K1969" s="11">
        <v>46223.553969907407</v>
      </c>
      <c r="M1969">
        <v>1298</v>
      </c>
      <c r="N1969" t="s">
        <v>867</v>
      </c>
      <c r="O1969">
        <v>150</v>
      </c>
      <c r="P1969" s="5"/>
      <c r="Q1969" s="10">
        <f>INT(Tabela1[[#This Row],[DATA]])</f>
        <v>46223</v>
      </c>
      <c r="R1969" s="14" t="str">
        <f ca="1">IF(AND(Q1969&gt;=TODAY()-WEEKDAY(TODAY(),2)+1,Q1969&lt;TODAY()),"SIM","NÃO")</f>
        <v>NÃO</v>
      </c>
    </row>
    <row r="1970" spans="1:18" hidden="1">
      <c r="A1970" t="s">
        <v>2681</v>
      </c>
      <c r="B1970" t="s">
        <v>1284</v>
      </c>
      <c r="C1970">
        <v>300281921</v>
      </c>
      <c r="D1970">
        <v>16561392</v>
      </c>
      <c r="E1970" t="s">
        <v>37</v>
      </c>
      <c r="F1970" t="s">
        <v>1564</v>
      </c>
      <c r="G1970" t="s">
        <v>3799</v>
      </c>
      <c r="H1970" t="s">
        <v>2085</v>
      </c>
      <c r="K1970" s="11">
        <v>46223.555486111109</v>
      </c>
      <c r="M1970">
        <v>1299</v>
      </c>
      <c r="N1970" t="s">
        <v>867</v>
      </c>
      <c r="O1970">
        <v>150</v>
      </c>
      <c r="P1970" s="5"/>
      <c r="Q1970" s="10">
        <f>INT(Tabela1[[#This Row],[DATA]])</f>
        <v>46223</v>
      </c>
      <c r="R1970" s="14" t="str">
        <f ca="1">IF(AND(Q1970&gt;=TODAY()-WEEKDAY(TODAY(),2)+1,Q1970&lt;TODAY()),"SIM","NÃO")</f>
        <v>NÃO</v>
      </c>
    </row>
    <row r="1971" spans="1:18" hidden="1">
      <c r="A1971" t="s">
        <v>2681</v>
      </c>
      <c r="B1971" t="s">
        <v>1284</v>
      </c>
      <c r="C1971">
        <v>300281921</v>
      </c>
      <c r="D1971">
        <v>16561392</v>
      </c>
      <c r="E1971" t="s">
        <v>37</v>
      </c>
      <c r="F1971" t="s">
        <v>3297</v>
      </c>
      <c r="G1971" t="s">
        <v>3799</v>
      </c>
      <c r="H1971" t="s">
        <v>2085</v>
      </c>
      <c r="K1971" s="11">
        <v>46223.556354166663</v>
      </c>
      <c r="M1971">
        <v>1300</v>
      </c>
      <c r="N1971" t="s">
        <v>867</v>
      </c>
      <c r="O1971">
        <v>150</v>
      </c>
      <c r="P1971" s="5"/>
      <c r="Q1971" s="10">
        <f>INT(Tabela1[[#This Row],[DATA]])</f>
        <v>46223</v>
      </c>
      <c r="R1971" s="14" t="str">
        <f ca="1">IF(AND(Q1971&gt;=TODAY()-WEEKDAY(TODAY(),2)+1,Q1971&lt;TODAY()),"SIM","NÃO")</f>
        <v>NÃO</v>
      </c>
    </row>
    <row r="1972" spans="1:18" hidden="1">
      <c r="A1972" t="s">
        <v>1439</v>
      </c>
      <c r="B1972" t="s">
        <v>1440</v>
      </c>
      <c r="C1972">
        <v>300280716</v>
      </c>
      <c r="D1972">
        <v>16491963</v>
      </c>
      <c r="E1972" t="s">
        <v>45</v>
      </c>
      <c r="F1972" t="s">
        <v>96</v>
      </c>
      <c r="G1972">
        <v>15</v>
      </c>
      <c r="H1972" t="s">
        <v>3800</v>
      </c>
      <c r="K1972" s="11">
        <v>46223.561562499999</v>
      </c>
      <c r="M1972">
        <v>1301</v>
      </c>
      <c r="N1972" t="s">
        <v>867</v>
      </c>
      <c r="O1972">
        <v>0</v>
      </c>
      <c r="P1972" s="5"/>
      <c r="Q1972" s="10">
        <f>INT(Tabela1[[#This Row],[DATA]])</f>
        <v>46223</v>
      </c>
      <c r="R1972" s="14" t="str">
        <f ca="1">IF(AND(Q1972&gt;=TODAY()-WEEKDAY(TODAY(),2)+1,Q1972&lt;TODAY()),"SIM","NÃO")</f>
        <v>NÃO</v>
      </c>
    </row>
    <row r="1973" spans="1:18" hidden="1">
      <c r="A1973" t="s">
        <v>2991</v>
      </c>
      <c r="B1973" t="s">
        <v>534</v>
      </c>
      <c r="C1973">
        <v>300280652</v>
      </c>
      <c r="D1973">
        <v>16522885</v>
      </c>
      <c r="E1973" t="s">
        <v>37</v>
      </c>
      <c r="F1973" t="s">
        <v>3241</v>
      </c>
      <c r="G1973">
        <v>80000</v>
      </c>
      <c r="H1973" t="s">
        <v>3691</v>
      </c>
      <c r="J1973" t="s">
        <v>3801</v>
      </c>
      <c r="K1973" s="11">
        <v>46223.573194444441</v>
      </c>
      <c r="M1973">
        <v>1302</v>
      </c>
      <c r="N1973" t="s">
        <v>867</v>
      </c>
      <c r="O1973">
        <v>10000073313</v>
      </c>
      <c r="P1973" s="5"/>
      <c r="Q1973" s="10">
        <f>INT(Tabela1[[#This Row],[DATA]])</f>
        <v>46223</v>
      </c>
      <c r="R1973" s="14" t="str">
        <f ca="1">IF(AND(Q1973&gt;=TODAY()-WEEKDAY(TODAY(),2)+1,Q1973&lt;TODAY()),"SIM","NÃO")</f>
        <v>NÃO</v>
      </c>
    </row>
    <row r="1974" spans="1:18" hidden="1">
      <c r="A1974" t="s">
        <v>2551</v>
      </c>
      <c r="B1974" t="s">
        <v>274</v>
      </c>
      <c r="C1974">
        <v>300280121</v>
      </c>
      <c r="D1974">
        <v>15943720</v>
      </c>
      <c r="E1974" t="s">
        <v>37</v>
      </c>
      <c r="F1974" t="s">
        <v>2405</v>
      </c>
      <c r="G1974">
        <v>40</v>
      </c>
      <c r="H1974" t="s">
        <v>555</v>
      </c>
      <c r="K1974" s="11">
        <v>46223.573391203703</v>
      </c>
      <c r="M1974">
        <v>1303</v>
      </c>
      <c r="N1974" t="s">
        <v>867</v>
      </c>
      <c r="O1974">
        <v>0</v>
      </c>
      <c r="P1974" s="5"/>
      <c r="Q1974" s="10">
        <f>INT(Tabela1[[#This Row],[DATA]])</f>
        <v>46223</v>
      </c>
      <c r="R1974" s="14" t="str">
        <f ca="1">IF(AND(Q1974&gt;=TODAY()-WEEKDAY(TODAY(),2)+1,Q1974&lt;TODAY()),"SIM","NÃO")</f>
        <v>NÃO</v>
      </c>
    </row>
    <row r="1975" spans="1:18" hidden="1">
      <c r="A1975" t="s">
        <v>2681</v>
      </c>
      <c r="B1975" t="s">
        <v>1284</v>
      </c>
      <c r="C1975">
        <v>300281921</v>
      </c>
      <c r="D1975">
        <v>16561392</v>
      </c>
      <c r="E1975" t="s">
        <v>37</v>
      </c>
      <c r="F1975" t="s">
        <v>216</v>
      </c>
      <c r="G1975" t="s">
        <v>3802</v>
      </c>
      <c r="H1975" t="s">
        <v>2085</v>
      </c>
      <c r="K1975" s="11">
        <v>46223.580983796295</v>
      </c>
      <c r="M1975">
        <v>1304</v>
      </c>
      <c r="N1975" t="s">
        <v>867</v>
      </c>
      <c r="O1975">
        <v>150</v>
      </c>
      <c r="P1975" s="5"/>
      <c r="Q1975" s="10">
        <f>INT(Tabela1[[#This Row],[DATA]])</f>
        <v>46223</v>
      </c>
      <c r="R1975" s="14" t="str">
        <f ca="1">IF(AND(Q1975&gt;=TODAY()-WEEKDAY(TODAY(),2)+1,Q1975&lt;TODAY()),"SIM","NÃO")</f>
        <v>NÃO</v>
      </c>
    </row>
    <row r="1976" spans="1:18" hidden="1">
      <c r="A1976" t="s">
        <v>2654</v>
      </c>
      <c r="B1976" t="s">
        <v>2655</v>
      </c>
      <c r="C1976">
        <v>300280668</v>
      </c>
      <c r="D1976">
        <v>16522885</v>
      </c>
      <c r="E1976" t="s">
        <v>37</v>
      </c>
      <c r="F1976" t="s">
        <v>417</v>
      </c>
      <c r="G1976">
        <v>96</v>
      </c>
      <c r="H1976" t="s">
        <v>3280</v>
      </c>
      <c r="J1976" t="s">
        <v>3803</v>
      </c>
      <c r="K1976" s="11">
        <v>46223.585821759261</v>
      </c>
      <c r="M1976">
        <v>1305</v>
      </c>
      <c r="N1976" t="s">
        <v>867</v>
      </c>
      <c r="O1976">
        <v>0</v>
      </c>
      <c r="P1976" s="5"/>
      <c r="Q1976" s="10">
        <f>INT(Tabela1[[#This Row],[DATA]])</f>
        <v>46223</v>
      </c>
      <c r="R1976" s="14" t="str">
        <f ca="1">IF(AND(Q1976&gt;=TODAY()-WEEKDAY(TODAY(),2)+1,Q1976&lt;TODAY()),"SIM","NÃO")</f>
        <v>NÃO</v>
      </c>
    </row>
    <row r="1977" spans="1:18" hidden="1">
      <c r="A1977" t="s">
        <v>489</v>
      </c>
      <c r="B1977" t="s">
        <v>490</v>
      </c>
      <c r="C1977">
        <v>300281069</v>
      </c>
      <c r="D1977">
        <v>16218159</v>
      </c>
      <c r="E1977" t="s">
        <v>37</v>
      </c>
      <c r="F1977" t="s">
        <v>177</v>
      </c>
      <c r="G1977">
        <v>120</v>
      </c>
      <c r="H1977" t="s">
        <v>3804</v>
      </c>
      <c r="J1977" t="s">
        <v>3805</v>
      </c>
      <c r="K1977" s="11">
        <v>46223.614074074074</v>
      </c>
      <c r="M1977">
        <v>1306</v>
      </c>
      <c r="N1977" t="s">
        <v>867</v>
      </c>
      <c r="O1977">
        <v>10000211550</v>
      </c>
      <c r="P1977" s="5"/>
      <c r="Q1977" s="10">
        <f>INT(Tabela1[[#This Row],[DATA]])</f>
        <v>46223</v>
      </c>
      <c r="R1977" s="14" t="str">
        <f ca="1">IF(AND(Q1977&gt;=TODAY()-WEEKDAY(TODAY(),2)+1,Q1977&lt;TODAY()),"SIM","NÃO")</f>
        <v>NÃO</v>
      </c>
    </row>
    <row r="1978" spans="1:18" hidden="1">
      <c r="A1978" t="s">
        <v>101</v>
      </c>
      <c r="B1978" t="s">
        <v>990</v>
      </c>
      <c r="C1978">
        <v>300280667</v>
      </c>
      <c r="D1978">
        <v>16187539</v>
      </c>
      <c r="E1978" t="s">
        <v>37</v>
      </c>
      <c r="F1978" t="s">
        <v>3215</v>
      </c>
      <c r="G1978">
        <v>100000</v>
      </c>
      <c r="H1978" t="s">
        <v>2214</v>
      </c>
      <c r="J1978" t="s">
        <v>2257</v>
      </c>
      <c r="K1978" s="11">
        <v>46223.615868055553</v>
      </c>
      <c r="M1978">
        <v>1307</v>
      </c>
      <c r="N1978" t="s">
        <v>867</v>
      </c>
      <c r="O1978">
        <v>0</v>
      </c>
      <c r="P1978" s="5"/>
      <c r="Q1978" s="10">
        <f>INT(Tabela1[[#This Row],[DATA]])</f>
        <v>46223</v>
      </c>
      <c r="R1978" s="14" t="str">
        <f ca="1">IF(AND(Q1978&gt;=TODAY()-WEEKDAY(TODAY(),2)+1,Q1978&lt;TODAY()),"SIM","NÃO")</f>
        <v>NÃO</v>
      </c>
    </row>
    <row r="1979" spans="1:18" hidden="1">
      <c r="A1979" t="s">
        <v>3513</v>
      </c>
      <c r="B1979" t="s">
        <v>3688</v>
      </c>
      <c r="C1979">
        <v>300273316</v>
      </c>
      <c r="D1979">
        <v>15775615</v>
      </c>
      <c r="E1979" t="s">
        <v>37</v>
      </c>
      <c r="F1979" t="s">
        <v>3297</v>
      </c>
      <c r="G1979">
        <v>70</v>
      </c>
      <c r="H1979" t="s">
        <v>3806</v>
      </c>
      <c r="J1979" t="s">
        <v>3807</v>
      </c>
      <c r="K1979" s="11">
        <v>46223.635138888887</v>
      </c>
      <c r="M1979">
        <v>1308</v>
      </c>
      <c r="N1979" t="s">
        <v>867</v>
      </c>
      <c r="O1979">
        <v>0</v>
      </c>
      <c r="P1979" s="5"/>
      <c r="Q1979" s="10">
        <f>INT(Tabela1[[#This Row],[DATA]])</f>
        <v>46223</v>
      </c>
      <c r="R1979" s="14" t="str">
        <f ca="1">IF(AND(Q1979&gt;=TODAY()-WEEKDAY(TODAY(),2)+1,Q1979&lt;TODAY()),"SIM","NÃO")</f>
        <v>NÃO</v>
      </c>
    </row>
    <row r="1980" spans="1:18" hidden="1">
      <c r="A1980" t="s">
        <v>2681</v>
      </c>
      <c r="B1980" t="s">
        <v>1284</v>
      </c>
      <c r="C1980">
        <v>300281920</v>
      </c>
      <c r="D1980">
        <v>16561392</v>
      </c>
      <c r="E1980" t="s">
        <v>37</v>
      </c>
      <c r="F1980" t="s">
        <v>2213</v>
      </c>
      <c r="G1980" t="s">
        <v>3808</v>
      </c>
      <c r="H1980" t="s">
        <v>2081</v>
      </c>
      <c r="K1980" s="11">
        <v>46223.640567129631</v>
      </c>
      <c r="M1980">
        <v>1309</v>
      </c>
      <c r="N1980" t="s">
        <v>867</v>
      </c>
      <c r="O1980">
        <v>150</v>
      </c>
      <c r="P1980" s="5"/>
      <c r="Q1980" s="10">
        <f>INT(Tabela1[[#This Row],[DATA]])</f>
        <v>46223</v>
      </c>
      <c r="R1980" s="14" t="str">
        <f ca="1">IF(AND(Q1980&gt;=TODAY()-WEEKDAY(TODAY(),2)+1,Q1980&lt;TODAY()),"SIM","NÃO")</f>
        <v>NÃO</v>
      </c>
    </row>
    <row r="1981" spans="1:18" hidden="1">
      <c r="A1981" t="s">
        <v>2541</v>
      </c>
      <c r="B1981" t="s">
        <v>388</v>
      </c>
      <c r="C1981">
        <v>300277057</v>
      </c>
      <c r="D1981">
        <v>16217420</v>
      </c>
      <c r="E1981" t="s">
        <v>37</v>
      </c>
      <c r="F1981" t="s">
        <v>369</v>
      </c>
      <c r="G1981">
        <v>145</v>
      </c>
      <c r="H1981" t="s">
        <v>2313</v>
      </c>
      <c r="K1981" s="11">
        <v>46223.641111111108</v>
      </c>
      <c r="M1981">
        <v>1310</v>
      </c>
      <c r="N1981" t="s">
        <v>867</v>
      </c>
      <c r="O1981">
        <v>0</v>
      </c>
      <c r="P1981" s="5"/>
      <c r="Q1981" s="10">
        <f>INT(Tabela1[[#This Row],[DATA]])</f>
        <v>46223</v>
      </c>
      <c r="R1981" s="14" t="str">
        <f ca="1">IF(AND(Q1981&gt;=TODAY()-WEEKDAY(TODAY(),2)+1,Q1981&lt;TODAY()),"SIM","NÃO")</f>
        <v>NÃO</v>
      </c>
    </row>
    <row r="1982" spans="1:18" hidden="1">
      <c r="A1982" t="s">
        <v>2765</v>
      </c>
      <c r="B1982" t="s">
        <v>107</v>
      </c>
      <c r="C1982">
        <v>300281896</v>
      </c>
      <c r="D1982">
        <v>16099834</v>
      </c>
      <c r="E1982" t="s">
        <v>45</v>
      </c>
      <c r="F1982" t="s">
        <v>96</v>
      </c>
      <c r="G1982">
        <v>80</v>
      </c>
      <c r="H1982" t="s">
        <v>3793</v>
      </c>
      <c r="K1982" s="11">
        <v>46223.652812499997</v>
      </c>
      <c r="M1982">
        <v>1311</v>
      </c>
      <c r="N1982" t="s">
        <v>867</v>
      </c>
      <c r="O1982">
        <v>0</v>
      </c>
      <c r="P1982" s="5"/>
      <c r="Q1982" s="10">
        <f>INT(Tabela1[[#This Row],[DATA]])</f>
        <v>46223</v>
      </c>
      <c r="R1982" s="14" t="str">
        <f ca="1">IF(AND(Q1982&gt;=TODAY()-WEEKDAY(TODAY(),2)+1,Q1982&lt;TODAY()),"SIM","NÃO")</f>
        <v>NÃO</v>
      </c>
    </row>
    <row r="1983" spans="1:18" hidden="1">
      <c r="A1983" t="s">
        <v>2649</v>
      </c>
      <c r="B1983" t="s">
        <v>137</v>
      </c>
      <c r="C1983">
        <v>300282880</v>
      </c>
      <c r="D1983">
        <v>16443136</v>
      </c>
      <c r="E1983" t="s">
        <v>45</v>
      </c>
      <c r="F1983" t="s">
        <v>323</v>
      </c>
      <c r="G1983">
        <v>104</v>
      </c>
      <c r="H1983" t="s">
        <v>3001</v>
      </c>
      <c r="K1983" s="11">
        <v>46223.652916666666</v>
      </c>
      <c r="M1983">
        <v>1312</v>
      </c>
      <c r="N1983" t="s">
        <v>867</v>
      </c>
      <c r="O1983" t="s">
        <v>138</v>
      </c>
      <c r="P1983" s="5"/>
      <c r="Q1983" s="10">
        <f>INT(Tabela1[[#This Row],[DATA]])</f>
        <v>46223</v>
      </c>
      <c r="R1983" s="14" t="str">
        <f ca="1">IF(AND(Q1983&gt;=TODAY()-WEEKDAY(TODAY(),2)+1,Q1983&lt;TODAY()),"SIM","NÃO")</f>
        <v>NÃO</v>
      </c>
    </row>
    <row r="1984" spans="1:18" hidden="1">
      <c r="A1984" t="s">
        <v>2713</v>
      </c>
      <c r="B1984" t="s">
        <v>55</v>
      </c>
      <c r="C1984">
        <v>300280185</v>
      </c>
      <c r="D1984">
        <v>15775496</v>
      </c>
      <c r="E1984" t="s">
        <v>37</v>
      </c>
      <c r="F1984" t="s">
        <v>2405</v>
      </c>
      <c r="G1984">
        <v>6</v>
      </c>
      <c r="H1984" t="s">
        <v>3809</v>
      </c>
      <c r="K1984" s="11">
        <v>46223.654849537037</v>
      </c>
      <c r="M1984">
        <v>1313</v>
      </c>
      <c r="N1984" t="s">
        <v>867</v>
      </c>
      <c r="O1984" t="s">
        <v>2124</v>
      </c>
      <c r="P1984" s="5"/>
      <c r="Q1984" s="10">
        <f>INT(Tabela1[[#This Row],[DATA]])</f>
        <v>46223</v>
      </c>
      <c r="R1984" s="14" t="str">
        <f ca="1">IF(AND(Q1984&gt;=TODAY()-WEEKDAY(TODAY(),2)+1,Q1984&lt;TODAY()),"SIM","NÃO")</f>
        <v>NÃO</v>
      </c>
    </row>
    <row r="1985" spans="1:18" hidden="1">
      <c r="A1985" t="s">
        <v>787</v>
      </c>
      <c r="B1985" t="s">
        <v>788</v>
      </c>
      <c r="C1985">
        <v>300276223</v>
      </c>
      <c r="D1985">
        <v>15859177</v>
      </c>
      <c r="E1985" t="s">
        <v>37</v>
      </c>
      <c r="F1985" t="s">
        <v>3241</v>
      </c>
      <c r="G1985">
        <v>10000</v>
      </c>
      <c r="H1985" t="s">
        <v>2172</v>
      </c>
      <c r="J1985" t="s">
        <v>3810</v>
      </c>
      <c r="K1985" s="11">
        <v>46223.685810185183</v>
      </c>
      <c r="M1985">
        <v>1314</v>
      </c>
      <c r="N1985" t="s">
        <v>867</v>
      </c>
      <c r="O1985">
        <v>10000064069</v>
      </c>
      <c r="P1985" s="5"/>
      <c r="Q1985" s="10">
        <f>INT(Tabela1[[#This Row],[DATA]])</f>
        <v>46223</v>
      </c>
      <c r="R1985" s="14" t="str">
        <f ca="1">IF(AND(Q1985&gt;=TODAY()-WEEKDAY(TODAY(),2)+1,Q1985&lt;TODAY()),"SIM","NÃO")</f>
        <v>NÃO</v>
      </c>
    </row>
    <row r="1986" spans="1:18" hidden="1">
      <c r="A1986" t="s">
        <v>2656</v>
      </c>
      <c r="B1986" t="s">
        <v>119</v>
      </c>
      <c r="C1986">
        <v>300282285</v>
      </c>
      <c r="D1986">
        <v>16488393</v>
      </c>
      <c r="E1986" t="s">
        <v>37</v>
      </c>
      <c r="F1986" t="s">
        <v>3241</v>
      </c>
      <c r="G1986" t="s">
        <v>3811</v>
      </c>
      <c r="H1986" t="s">
        <v>1112</v>
      </c>
      <c r="J1986" t="s">
        <v>3812</v>
      </c>
      <c r="K1986" s="11">
        <v>46223.686805555553</v>
      </c>
      <c r="M1986">
        <v>1315</v>
      </c>
      <c r="N1986" t="s">
        <v>867</v>
      </c>
      <c r="O1986">
        <v>10000062569</v>
      </c>
      <c r="P1986" s="5"/>
      <c r="Q1986" s="10">
        <f>INT(Tabela1[[#This Row],[DATA]])</f>
        <v>46223</v>
      </c>
      <c r="R1986" s="14" t="str">
        <f ca="1">IF(AND(Q1986&gt;=TODAY()-WEEKDAY(TODAY(),2)+1,Q1986&lt;TODAY()),"SIM","NÃO")</f>
        <v>NÃO</v>
      </c>
    </row>
    <row r="1987" spans="1:18" hidden="1">
      <c r="A1987" t="s">
        <v>787</v>
      </c>
      <c r="B1987" t="s">
        <v>788</v>
      </c>
      <c r="C1987">
        <v>300276223</v>
      </c>
      <c r="D1987">
        <v>15859177</v>
      </c>
      <c r="E1987" t="s">
        <v>37</v>
      </c>
      <c r="F1987" t="s">
        <v>3241</v>
      </c>
      <c r="G1987">
        <v>40000</v>
      </c>
      <c r="H1987" t="s">
        <v>2172</v>
      </c>
      <c r="J1987" t="s">
        <v>3813</v>
      </c>
      <c r="K1987" s="11">
        <v>46223.688923611109</v>
      </c>
      <c r="M1987">
        <v>1316</v>
      </c>
      <c r="N1987" t="s">
        <v>867</v>
      </c>
      <c r="O1987">
        <v>10000064067</v>
      </c>
      <c r="P1987" s="5"/>
      <c r="Q1987" s="10">
        <f>INT(Tabela1[[#This Row],[DATA]])</f>
        <v>46223</v>
      </c>
      <c r="R1987" s="14" t="str">
        <f ca="1">IF(AND(Q1987&gt;=TODAY()-WEEKDAY(TODAY(),2)+1,Q1987&lt;TODAY()),"SIM","NÃO")</f>
        <v>NÃO</v>
      </c>
    </row>
    <row r="1988" spans="1:18" hidden="1">
      <c r="A1988" t="s">
        <v>2624</v>
      </c>
      <c r="B1988" t="s">
        <v>50</v>
      </c>
      <c r="C1988">
        <v>300275423</v>
      </c>
      <c r="D1988">
        <v>16217861</v>
      </c>
      <c r="E1988" t="s">
        <v>37</v>
      </c>
      <c r="F1988" t="s">
        <v>2405</v>
      </c>
      <c r="G1988">
        <v>21</v>
      </c>
      <c r="H1988" t="s">
        <v>3814</v>
      </c>
      <c r="J1988" t="s">
        <v>3262</v>
      </c>
      <c r="K1988" s="11">
        <v>46223.694884259261</v>
      </c>
      <c r="M1988">
        <v>1317</v>
      </c>
      <c r="N1988" t="s">
        <v>867</v>
      </c>
      <c r="O1988" t="s">
        <v>3815</v>
      </c>
      <c r="P1988" s="5"/>
      <c r="Q1988" s="10">
        <f>INT(Tabela1[[#This Row],[DATA]])</f>
        <v>46223</v>
      </c>
      <c r="R1988" s="14" t="str">
        <f ca="1">IF(AND(Q1988&gt;=TODAY()-WEEKDAY(TODAY(),2)+1,Q1988&lt;TODAY()),"SIM","NÃO")</f>
        <v>NÃO</v>
      </c>
    </row>
    <row r="1989" spans="1:18" hidden="1">
      <c r="A1989" t="s">
        <v>163</v>
      </c>
      <c r="B1989" t="s">
        <v>164</v>
      </c>
      <c r="C1989">
        <v>300279289</v>
      </c>
      <c r="D1989">
        <v>16027213</v>
      </c>
      <c r="E1989" t="s">
        <v>37</v>
      </c>
      <c r="F1989" t="s">
        <v>2405</v>
      </c>
      <c r="G1989">
        <v>6</v>
      </c>
      <c r="H1989" t="s">
        <v>3816</v>
      </c>
      <c r="K1989" s="11">
        <v>46223.700949074075</v>
      </c>
      <c r="M1989">
        <v>1318</v>
      </c>
      <c r="N1989" t="s">
        <v>867</v>
      </c>
      <c r="O1989">
        <v>0</v>
      </c>
      <c r="P1989" s="5"/>
      <c r="Q1989" s="10">
        <f>INT(Tabela1[[#This Row],[DATA]])</f>
        <v>46223</v>
      </c>
      <c r="R1989" s="14" t="str">
        <f ca="1">IF(AND(Q1989&gt;=TODAY()-WEEKDAY(TODAY(),2)+1,Q1989&lt;TODAY()),"SIM","NÃO")</f>
        <v>NÃO</v>
      </c>
    </row>
    <row r="1990" spans="1:18" hidden="1">
      <c r="A1990" t="s">
        <v>2656</v>
      </c>
      <c r="B1990" t="s">
        <v>119</v>
      </c>
      <c r="C1990">
        <v>300277546</v>
      </c>
      <c r="D1990">
        <v>16523806</v>
      </c>
      <c r="E1990" t="s">
        <v>37</v>
      </c>
      <c r="F1990" t="s">
        <v>2405</v>
      </c>
      <c r="G1990">
        <v>10</v>
      </c>
      <c r="H1990" t="s">
        <v>82</v>
      </c>
      <c r="J1990" t="s">
        <v>3091</v>
      </c>
      <c r="K1990" s="11">
        <v>46223.805428240739</v>
      </c>
      <c r="M1990">
        <v>1319</v>
      </c>
      <c r="N1990" t="s">
        <v>867</v>
      </c>
      <c r="O1990">
        <v>0</v>
      </c>
      <c r="P1990" s="5"/>
      <c r="Q1990" s="10">
        <f>INT(Tabela1[[#This Row],[DATA]])</f>
        <v>46223</v>
      </c>
      <c r="R1990" s="14" t="str">
        <f ca="1">IF(AND(Q1990&gt;=TODAY()-WEEKDAY(TODAY(),2)+1,Q1990&lt;TODAY()),"SIM","NÃO")</f>
        <v>NÃO</v>
      </c>
    </row>
    <row r="1991" spans="1:18" hidden="1">
      <c r="A1991" t="s">
        <v>163</v>
      </c>
      <c r="B1991" t="s">
        <v>164</v>
      </c>
      <c r="C1991">
        <v>300281896</v>
      </c>
      <c r="D1991">
        <v>16099834</v>
      </c>
      <c r="E1991" t="s">
        <v>45</v>
      </c>
      <c r="F1991" t="s">
        <v>3212</v>
      </c>
      <c r="G1991">
        <v>50</v>
      </c>
      <c r="H1991" t="s">
        <v>2292</v>
      </c>
      <c r="K1991" s="11">
        <v>46224.316365740742</v>
      </c>
      <c r="M1991">
        <v>1320</v>
      </c>
      <c r="N1991" t="s">
        <v>867</v>
      </c>
      <c r="O1991">
        <v>0</v>
      </c>
      <c r="P1991" s="5"/>
      <c r="Q1991" s="10">
        <f>INT(Tabela1[[#This Row],[DATA]])</f>
        <v>46224</v>
      </c>
      <c r="R1991" s="14" t="str">
        <f ca="1">IF(AND(Q1991&gt;=TODAY()-WEEKDAY(TODAY(),2)+1,Q1991&lt;TODAY()),"SIM","NÃO")</f>
        <v>NÃO</v>
      </c>
    </row>
    <row r="1992" spans="1:18" hidden="1">
      <c r="A1992" t="s">
        <v>2551</v>
      </c>
      <c r="B1992" t="s">
        <v>274</v>
      </c>
      <c r="C1992">
        <v>300280444</v>
      </c>
      <c r="D1992">
        <v>16557654</v>
      </c>
      <c r="E1992" t="s">
        <v>37</v>
      </c>
      <c r="F1992" t="s">
        <v>2405</v>
      </c>
      <c r="G1992">
        <v>35</v>
      </c>
      <c r="H1992" t="s">
        <v>2344</v>
      </c>
      <c r="K1992" s="11">
        <v>46224.319606481484</v>
      </c>
      <c r="M1992">
        <v>1321</v>
      </c>
      <c r="N1992" t="s">
        <v>867</v>
      </c>
      <c r="O1992">
        <v>0</v>
      </c>
      <c r="P1992" s="5"/>
      <c r="Q1992" s="10">
        <f>INT(Tabela1[[#This Row],[DATA]])</f>
        <v>46224</v>
      </c>
      <c r="R1992" s="14" t="str">
        <f ca="1">IF(AND(Q1992&gt;=TODAY()-WEEKDAY(TODAY(),2)+1,Q1992&lt;TODAY()),"SIM","NÃO")</f>
        <v>NÃO</v>
      </c>
    </row>
    <row r="1993" spans="1:18" hidden="1">
      <c r="A1993" t="s">
        <v>2551</v>
      </c>
      <c r="B1993" t="s">
        <v>274</v>
      </c>
      <c r="C1993">
        <v>300280446</v>
      </c>
      <c r="D1993">
        <v>16557654</v>
      </c>
      <c r="E1993" t="s">
        <v>37</v>
      </c>
      <c r="F1993" t="s">
        <v>2405</v>
      </c>
      <c r="G1993">
        <v>35</v>
      </c>
      <c r="H1993" t="s">
        <v>2344</v>
      </c>
      <c r="K1993" s="11">
        <v>46224.322974537034</v>
      </c>
      <c r="M1993">
        <v>1322</v>
      </c>
      <c r="N1993" t="s">
        <v>867</v>
      </c>
      <c r="O1993">
        <v>0</v>
      </c>
      <c r="P1993" s="5"/>
      <c r="Q1993" s="10">
        <f>INT(Tabela1[[#This Row],[DATA]])</f>
        <v>46224</v>
      </c>
      <c r="R1993" s="14" t="str">
        <f ca="1">IF(AND(Q1993&gt;=TODAY()-WEEKDAY(TODAY(),2)+1,Q1993&lt;TODAY()),"SIM","NÃO")</f>
        <v>NÃO</v>
      </c>
    </row>
    <row r="1994" spans="1:18" hidden="1">
      <c r="A1994" t="s">
        <v>111</v>
      </c>
      <c r="B1994" t="s">
        <v>112</v>
      </c>
      <c r="C1994">
        <v>300281065</v>
      </c>
      <c r="D1994">
        <v>15859215</v>
      </c>
      <c r="E1994" t="s">
        <v>37</v>
      </c>
      <c r="F1994" t="s">
        <v>2213</v>
      </c>
      <c r="G1994">
        <v>5</v>
      </c>
      <c r="H1994" t="s">
        <v>1335</v>
      </c>
      <c r="K1994" s="11">
        <v>46224.340104166666</v>
      </c>
      <c r="M1994">
        <v>1323</v>
      </c>
      <c r="N1994" t="s">
        <v>867</v>
      </c>
      <c r="O1994" t="s">
        <v>3817</v>
      </c>
      <c r="P1994" s="5"/>
      <c r="Q1994" s="10">
        <f>INT(Tabela1[[#This Row],[DATA]])</f>
        <v>46224</v>
      </c>
      <c r="R1994" s="14" t="str">
        <f ca="1">IF(AND(Q1994&gt;=TODAY()-WEEKDAY(TODAY(),2)+1,Q1994&lt;TODAY()),"SIM","NÃO")</f>
        <v>NÃO</v>
      </c>
    </row>
    <row r="1995" spans="1:18" hidden="1">
      <c r="A1995" t="s">
        <v>3132</v>
      </c>
      <c r="B1995" t="s">
        <v>242</v>
      </c>
      <c r="C1995">
        <v>300277493</v>
      </c>
      <c r="D1995">
        <v>16474090</v>
      </c>
      <c r="E1995" t="s">
        <v>37</v>
      </c>
      <c r="F1995" t="s">
        <v>2405</v>
      </c>
      <c r="G1995">
        <v>7</v>
      </c>
      <c r="H1995" t="s">
        <v>2094</v>
      </c>
      <c r="J1995" t="s">
        <v>3818</v>
      </c>
      <c r="K1995" s="11">
        <v>46224.340682870374</v>
      </c>
      <c r="M1995">
        <v>1324</v>
      </c>
      <c r="N1995" t="s">
        <v>867</v>
      </c>
      <c r="O1995" t="s">
        <v>2120</v>
      </c>
      <c r="P1995" s="5"/>
      <c r="Q1995" s="10">
        <f>INT(Tabela1[[#This Row],[DATA]])</f>
        <v>46224</v>
      </c>
      <c r="R1995" s="14" t="str">
        <f ca="1">IF(AND(Q1995&gt;=TODAY()-WEEKDAY(TODAY(),2)+1,Q1995&lt;TODAY()),"SIM","NÃO")</f>
        <v>NÃO</v>
      </c>
    </row>
    <row r="1996" spans="1:18" hidden="1">
      <c r="A1996" t="s">
        <v>111</v>
      </c>
      <c r="B1996" t="s">
        <v>112</v>
      </c>
      <c r="C1996">
        <v>300281065</v>
      </c>
      <c r="D1996">
        <v>15859215</v>
      </c>
      <c r="E1996" t="s">
        <v>37</v>
      </c>
      <c r="F1996" t="s">
        <v>2405</v>
      </c>
      <c r="G1996">
        <v>30</v>
      </c>
      <c r="H1996" t="s">
        <v>2843</v>
      </c>
      <c r="K1996" s="11">
        <v>46224.340810185182</v>
      </c>
      <c r="M1996">
        <v>1325</v>
      </c>
      <c r="N1996" t="s">
        <v>867</v>
      </c>
      <c r="O1996">
        <v>0</v>
      </c>
      <c r="P1996" s="5"/>
      <c r="Q1996" s="10">
        <f>INT(Tabela1[[#This Row],[DATA]])</f>
        <v>46224</v>
      </c>
      <c r="R1996" s="14" t="str">
        <f ca="1">IF(AND(Q1996&gt;=TODAY()-WEEKDAY(TODAY(),2)+1,Q1996&lt;TODAY()),"SIM","NÃO")</f>
        <v>NÃO</v>
      </c>
    </row>
    <row r="1997" spans="1:18" hidden="1">
      <c r="A1997" t="s">
        <v>2565</v>
      </c>
      <c r="B1997" t="s">
        <v>95</v>
      </c>
      <c r="C1997">
        <v>300281642</v>
      </c>
      <c r="D1997">
        <v>16441427</v>
      </c>
      <c r="E1997" t="s">
        <v>45</v>
      </c>
      <c r="F1997" t="s">
        <v>3212</v>
      </c>
      <c r="G1997">
        <v>712</v>
      </c>
      <c r="H1997" t="s">
        <v>3819</v>
      </c>
      <c r="J1997" t="s">
        <v>3819</v>
      </c>
      <c r="K1997" s="11">
        <v>46224.341793981483</v>
      </c>
      <c r="M1997">
        <v>1326</v>
      </c>
      <c r="N1997" t="s">
        <v>867</v>
      </c>
      <c r="O1997">
        <v>1</v>
      </c>
      <c r="P1997" s="5"/>
      <c r="Q1997" s="10">
        <f>INT(Tabela1[[#This Row],[DATA]])</f>
        <v>46224</v>
      </c>
      <c r="R1997" s="14" t="str">
        <f ca="1">IF(AND(Q1997&gt;=TODAY()-WEEKDAY(TODAY(),2)+1,Q1997&lt;TODAY()),"SIM","NÃO")</f>
        <v>NÃO</v>
      </c>
    </row>
    <row r="1998" spans="1:18" hidden="1">
      <c r="A1998" t="s">
        <v>2565</v>
      </c>
      <c r="B1998" t="s">
        <v>95</v>
      </c>
      <c r="C1998">
        <v>300000000</v>
      </c>
      <c r="D1998">
        <v>1</v>
      </c>
      <c r="E1998" t="s">
        <v>45</v>
      </c>
      <c r="F1998" t="s">
        <v>1904</v>
      </c>
      <c r="G1998">
        <v>3</v>
      </c>
      <c r="H1998" t="s">
        <v>3820</v>
      </c>
      <c r="J1998" t="s">
        <v>3821</v>
      </c>
      <c r="K1998" s="11">
        <v>46224.351539351854</v>
      </c>
      <c r="M1998">
        <v>1327</v>
      </c>
      <c r="N1998" t="s">
        <v>878</v>
      </c>
      <c r="O1998">
        <v>1</v>
      </c>
      <c r="P1998" s="5"/>
      <c r="Q1998" s="10">
        <f>INT(Tabela1[[#This Row],[DATA]])</f>
        <v>46224</v>
      </c>
      <c r="R1998" s="14" t="str">
        <f ca="1">IF(AND(Q1998&gt;=TODAY()-WEEKDAY(TODAY(),2)+1,Q1998&lt;TODAY()),"SIM","NÃO")</f>
        <v>NÃO</v>
      </c>
    </row>
    <row r="1999" spans="1:18" hidden="1">
      <c r="A1999" t="s">
        <v>1835</v>
      </c>
      <c r="B1999" t="s">
        <v>1836</v>
      </c>
      <c r="C1999">
        <v>300278585</v>
      </c>
      <c r="D1999">
        <v>16507657</v>
      </c>
      <c r="E1999" t="s">
        <v>37</v>
      </c>
      <c r="F1999" t="s">
        <v>3502</v>
      </c>
      <c r="G1999">
        <v>1628</v>
      </c>
      <c r="H1999" t="s">
        <v>2914</v>
      </c>
      <c r="J1999" t="s">
        <v>3822</v>
      </c>
      <c r="K1999" s="11">
        <v>46224.361006944448</v>
      </c>
      <c r="M1999">
        <v>1328</v>
      </c>
      <c r="N1999" t="s">
        <v>878</v>
      </c>
      <c r="O1999">
        <v>10000225612</v>
      </c>
      <c r="P1999" s="5"/>
      <c r="Q1999" s="10">
        <f>INT(Tabela1[[#This Row],[DATA]])</f>
        <v>46224</v>
      </c>
      <c r="R1999" s="14" t="str">
        <f ca="1">IF(AND(Q1999&gt;=TODAY()-WEEKDAY(TODAY(),2)+1,Q1999&lt;TODAY()),"SIM","NÃO")</f>
        <v>NÃO</v>
      </c>
    </row>
    <row r="2000" spans="1:18" hidden="1">
      <c r="A2000" t="s">
        <v>2549</v>
      </c>
      <c r="B2000" t="s">
        <v>19</v>
      </c>
      <c r="C2000">
        <v>300279748</v>
      </c>
      <c r="D2000">
        <v>15572528</v>
      </c>
      <c r="E2000" t="s">
        <v>20</v>
      </c>
      <c r="F2000" t="s">
        <v>3241</v>
      </c>
      <c r="G2000">
        <v>6</v>
      </c>
      <c r="H2000" t="s">
        <v>3823</v>
      </c>
      <c r="J2000" t="s">
        <v>2802</v>
      </c>
      <c r="K2000" s="11">
        <v>46224.368645833332</v>
      </c>
      <c r="M2000">
        <v>1329</v>
      </c>
      <c r="N2000" t="s">
        <v>867</v>
      </c>
      <c r="O2000">
        <v>10000072621</v>
      </c>
      <c r="P2000" s="5"/>
      <c r="Q2000" s="10">
        <f>INT(Tabela1[[#This Row],[DATA]])</f>
        <v>46224</v>
      </c>
      <c r="R2000" s="14" t="str">
        <f ca="1">IF(AND(Q2000&gt;=TODAY()-WEEKDAY(TODAY(),2)+1,Q2000&lt;TODAY()),"SIM","NÃO")</f>
        <v>NÃO</v>
      </c>
    </row>
    <row r="2001" spans="1:18" hidden="1">
      <c r="A2001" t="s">
        <v>3073</v>
      </c>
      <c r="B2001" t="s">
        <v>2323</v>
      </c>
      <c r="C2001">
        <v>300281902</v>
      </c>
      <c r="D2001">
        <v>16218990</v>
      </c>
      <c r="E2001" t="s">
        <v>37</v>
      </c>
      <c r="F2001" t="s">
        <v>3215</v>
      </c>
      <c r="G2001">
        <v>5</v>
      </c>
      <c r="H2001" t="s">
        <v>3824</v>
      </c>
      <c r="K2001" s="11">
        <v>46224.373773148145</v>
      </c>
      <c r="M2001">
        <v>1330</v>
      </c>
      <c r="N2001" t="s">
        <v>878</v>
      </c>
      <c r="O2001">
        <v>0</v>
      </c>
      <c r="P2001" s="5"/>
      <c r="Q2001" s="10">
        <f>INT(Tabela1[[#This Row],[DATA]])</f>
        <v>46224</v>
      </c>
      <c r="R2001" s="14" t="str">
        <f ca="1">IF(AND(Q2001&gt;=TODAY()-WEEKDAY(TODAY(),2)+1,Q2001&lt;TODAY()),"SIM","NÃO")</f>
        <v>NÃO</v>
      </c>
    </row>
    <row r="2002" spans="1:18" hidden="1">
      <c r="A2002" t="s">
        <v>2551</v>
      </c>
      <c r="B2002" t="s">
        <v>274</v>
      </c>
      <c r="C2002">
        <v>300280446</v>
      </c>
      <c r="D2002">
        <v>16557654</v>
      </c>
      <c r="E2002" t="s">
        <v>37</v>
      </c>
      <c r="F2002" t="s">
        <v>177</v>
      </c>
      <c r="G2002" t="s">
        <v>3825</v>
      </c>
      <c r="H2002" t="s">
        <v>3826</v>
      </c>
      <c r="K2002" s="11">
        <v>46224.402789351851</v>
      </c>
      <c r="M2002">
        <v>1331</v>
      </c>
      <c r="N2002" t="s">
        <v>867</v>
      </c>
      <c r="O2002" t="s">
        <v>3827</v>
      </c>
      <c r="P2002" s="5"/>
      <c r="Q2002" s="10">
        <f>INT(Tabela1[[#This Row],[DATA]])</f>
        <v>46224</v>
      </c>
      <c r="R2002" s="14" t="str">
        <f ca="1">IF(AND(Q2002&gt;=TODAY()-WEEKDAY(TODAY(),2)+1,Q2002&lt;TODAY()),"SIM","NÃO")</f>
        <v>NÃO</v>
      </c>
    </row>
    <row r="2003" spans="1:18" hidden="1">
      <c r="A2003" t="s">
        <v>2578</v>
      </c>
      <c r="B2003" t="s">
        <v>69</v>
      </c>
      <c r="C2003">
        <v>300277892</v>
      </c>
      <c r="D2003">
        <v>16472217</v>
      </c>
      <c r="E2003" t="s">
        <v>37</v>
      </c>
      <c r="F2003" t="s">
        <v>3366</v>
      </c>
      <c r="G2003">
        <v>15</v>
      </c>
      <c r="H2003" t="s">
        <v>3828</v>
      </c>
      <c r="K2003" s="11">
        <v>46224.403611111113</v>
      </c>
      <c r="M2003">
        <v>1332</v>
      </c>
      <c r="N2003" t="s">
        <v>867</v>
      </c>
      <c r="O2003">
        <v>16472217</v>
      </c>
      <c r="P2003" s="5"/>
      <c r="Q2003" s="10">
        <f>INT(Tabela1[[#This Row],[DATA]])</f>
        <v>46224</v>
      </c>
      <c r="R2003" s="14" t="str">
        <f ca="1">IF(AND(Q2003&gt;=TODAY()-WEEKDAY(TODAY(),2)+1,Q2003&lt;TODAY()),"SIM","NÃO")</f>
        <v>NÃO</v>
      </c>
    </row>
    <row r="2004" spans="1:18" hidden="1">
      <c r="A2004" t="s">
        <v>2649</v>
      </c>
      <c r="B2004" t="s">
        <v>137</v>
      </c>
      <c r="C2004">
        <v>300280201</v>
      </c>
      <c r="D2004">
        <v>16243340</v>
      </c>
      <c r="E2004" t="s">
        <v>37</v>
      </c>
      <c r="F2004" t="s">
        <v>221</v>
      </c>
      <c r="G2004">
        <v>340</v>
      </c>
      <c r="H2004" t="s">
        <v>1771</v>
      </c>
      <c r="K2004" s="11">
        <v>46224.410173611112</v>
      </c>
      <c r="M2004">
        <v>1333</v>
      </c>
      <c r="N2004" t="s">
        <v>867</v>
      </c>
      <c r="O2004" t="s">
        <v>3829</v>
      </c>
      <c r="P2004" s="5"/>
      <c r="Q2004" s="10">
        <f>INT(Tabela1[[#This Row],[DATA]])</f>
        <v>46224</v>
      </c>
      <c r="R2004" s="14" t="str">
        <f ca="1">IF(AND(Q2004&gt;=TODAY()-WEEKDAY(TODAY(),2)+1,Q2004&lt;TODAY()),"SIM","NÃO")</f>
        <v>NÃO</v>
      </c>
    </row>
    <row r="2005" spans="1:18" hidden="1">
      <c r="A2005" t="s">
        <v>3513</v>
      </c>
      <c r="B2005" t="s">
        <v>3688</v>
      </c>
      <c r="C2005">
        <v>300273316</v>
      </c>
      <c r="D2005">
        <v>15775615</v>
      </c>
      <c r="E2005" t="s">
        <v>37</v>
      </c>
      <c r="F2005" t="s">
        <v>216</v>
      </c>
      <c r="G2005">
        <v>70</v>
      </c>
      <c r="H2005" t="s">
        <v>3830</v>
      </c>
      <c r="J2005" t="s">
        <v>3831</v>
      </c>
      <c r="K2005" s="11">
        <v>46224.439942129633</v>
      </c>
      <c r="M2005">
        <v>1334</v>
      </c>
      <c r="N2005" t="s">
        <v>867</v>
      </c>
      <c r="O2005">
        <v>0</v>
      </c>
      <c r="P2005" s="5"/>
      <c r="Q2005" s="10">
        <f>INT(Tabela1[[#This Row],[DATA]])</f>
        <v>46224</v>
      </c>
      <c r="R2005" s="14" t="str">
        <f ca="1">IF(AND(Q2005&gt;=TODAY()-WEEKDAY(TODAY(),2)+1,Q2005&lt;TODAY()),"SIM","NÃO")</f>
        <v>NÃO</v>
      </c>
    </row>
    <row r="2006" spans="1:18" hidden="1">
      <c r="A2006" t="s">
        <v>163</v>
      </c>
      <c r="B2006" t="s">
        <v>164</v>
      </c>
      <c r="C2006">
        <v>300281371</v>
      </c>
      <c r="D2006">
        <v>15359492</v>
      </c>
      <c r="E2006" t="s">
        <v>29</v>
      </c>
      <c r="F2006" t="s">
        <v>2405</v>
      </c>
      <c r="G2006">
        <v>1</v>
      </c>
      <c r="H2006" t="s">
        <v>2292</v>
      </c>
      <c r="K2006" s="11">
        <v>46224.442881944444</v>
      </c>
      <c r="M2006">
        <v>1335</v>
      </c>
      <c r="N2006" t="s">
        <v>867</v>
      </c>
      <c r="O2006">
        <v>0</v>
      </c>
      <c r="P2006" s="5"/>
      <c r="Q2006" s="10">
        <f>INT(Tabela1[[#This Row],[DATA]])</f>
        <v>46224</v>
      </c>
      <c r="R2006" s="14" t="str">
        <f ca="1">IF(AND(Q2006&gt;=TODAY()-WEEKDAY(TODAY(),2)+1,Q2006&lt;TODAY()),"SIM","NÃO")</f>
        <v>NÃO</v>
      </c>
    </row>
    <row r="2007" spans="1:18" hidden="1">
      <c r="A2007" t="s">
        <v>163</v>
      </c>
      <c r="B2007" t="s">
        <v>164</v>
      </c>
      <c r="C2007">
        <v>300282838</v>
      </c>
      <c r="D2007">
        <v>15238385</v>
      </c>
      <c r="E2007" t="s">
        <v>29</v>
      </c>
      <c r="F2007" t="s">
        <v>323</v>
      </c>
      <c r="G2007">
        <v>21</v>
      </c>
      <c r="H2007" t="s">
        <v>3832</v>
      </c>
      <c r="J2007" t="s">
        <v>3833</v>
      </c>
      <c r="K2007" s="11">
        <v>46224.443969907406</v>
      </c>
      <c r="M2007">
        <v>1336</v>
      </c>
      <c r="N2007" t="s">
        <v>867</v>
      </c>
      <c r="O2007">
        <v>0</v>
      </c>
      <c r="P2007" s="5"/>
      <c r="Q2007" s="10">
        <f>INT(Tabela1[[#This Row],[DATA]])</f>
        <v>46224</v>
      </c>
      <c r="R2007" s="14" t="str">
        <f ca="1">IF(AND(Q2007&gt;=TODAY()-WEEKDAY(TODAY(),2)+1,Q2007&lt;TODAY()),"SIM","NÃO")</f>
        <v>NÃO</v>
      </c>
    </row>
    <row r="2008" spans="1:18" hidden="1">
      <c r="A2008" t="s">
        <v>163</v>
      </c>
      <c r="B2008" t="s">
        <v>164</v>
      </c>
      <c r="C2008">
        <v>300282838</v>
      </c>
      <c r="D2008">
        <v>15238385</v>
      </c>
      <c r="E2008" t="s">
        <v>29</v>
      </c>
      <c r="F2008" t="s">
        <v>525</v>
      </c>
      <c r="G2008">
        <v>21</v>
      </c>
      <c r="H2008" t="s">
        <v>3832</v>
      </c>
      <c r="J2008" t="s">
        <v>3834</v>
      </c>
      <c r="K2008" s="11">
        <v>46224.444756944446</v>
      </c>
      <c r="M2008">
        <v>1337</v>
      </c>
      <c r="N2008" t="s">
        <v>867</v>
      </c>
      <c r="O2008">
        <v>0</v>
      </c>
      <c r="P2008" s="5"/>
      <c r="Q2008" s="10">
        <f>INT(Tabela1[[#This Row],[DATA]])</f>
        <v>46224</v>
      </c>
      <c r="R2008" s="14" t="str">
        <f ca="1">IF(AND(Q2008&gt;=TODAY()-WEEKDAY(TODAY(),2)+1,Q2008&lt;TODAY()),"SIM","NÃO")</f>
        <v>NÃO</v>
      </c>
    </row>
    <row r="2009" spans="1:18" hidden="1">
      <c r="A2009" t="s">
        <v>163</v>
      </c>
      <c r="B2009" t="s">
        <v>164</v>
      </c>
      <c r="C2009">
        <v>300282838</v>
      </c>
      <c r="D2009">
        <v>15238385</v>
      </c>
      <c r="E2009" t="s">
        <v>29</v>
      </c>
      <c r="F2009" t="s">
        <v>151</v>
      </c>
      <c r="G2009">
        <v>21</v>
      </c>
      <c r="H2009" t="s">
        <v>3832</v>
      </c>
      <c r="K2009" s="11">
        <v>46224.445752314816</v>
      </c>
      <c r="M2009">
        <v>1338</v>
      </c>
      <c r="N2009" t="s">
        <v>867</v>
      </c>
      <c r="O2009">
        <v>0</v>
      </c>
      <c r="P2009" s="5"/>
      <c r="Q2009" s="10">
        <f>INT(Tabela1[[#This Row],[DATA]])</f>
        <v>46224</v>
      </c>
      <c r="R2009" s="14" t="str">
        <f ca="1">IF(AND(Q2009&gt;=TODAY()-WEEKDAY(TODAY(),2)+1,Q2009&lt;TODAY()),"SIM","NÃO")</f>
        <v>NÃO</v>
      </c>
    </row>
    <row r="2010" spans="1:18" hidden="1">
      <c r="A2010" t="s">
        <v>2605</v>
      </c>
      <c r="B2010" t="s">
        <v>2606</v>
      </c>
      <c r="C2010">
        <v>300278033</v>
      </c>
      <c r="D2010">
        <v>16488032</v>
      </c>
      <c r="E2010" t="s">
        <v>37</v>
      </c>
      <c r="F2010" t="s">
        <v>2213</v>
      </c>
      <c r="G2010">
        <v>12</v>
      </c>
      <c r="H2010" t="s">
        <v>3835</v>
      </c>
      <c r="J2010" t="s">
        <v>3835</v>
      </c>
      <c r="K2010" s="11">
        <v>46224.446284722224</v>
      </c>
      <c r="M2010">
        <v>1339</v>
      </c>
      <c r="N2010" t="s">
        <v>867</v>
      </c>
      <c r="O2010" t="s">
        <v>3836</v>
      </c>
      <c r="P2010" s="5"/>
      <c r="Q2010" s="10">
        <f>INT(Tabela1[[#This Row],[DATA]])</f>
        <v>46224</v>
      </c>
      <c r="R2010" s="14" t="str">
        <f ca="1">IF(AND(Q2010&gt;=TODAY()-WEEKDAY(TODAY(),2)+1,Q2010&lt;TODAY()),"SIM","NÃO")</f>
        <v>NÃO</v>
      </c>
    </row>
    <row r="2011" spans="1:18">
      <c r="A2011" t="s">
        <v>1439</v>
      </c>
      <c r="B2011" t="s">
        <v>1440</v>
      </c>
      <c r="C2011">
        <v>300281898</v>
      </c>
      <c r="D2011">
        <v>16099834</v>
      </c>
      <c r="E2011" t="s">
        <v>45</v>
      </c>
      <c r="F2011" t="s">
        <v>96</v>
      </c>
      <c r="G2011">
        <v>1.02</v>
      </c>
      <c r="H2011" t="s">
        <v>3837</v>
      </c>
      <c r="K2011" s="11">
        <v>46224.45207175926</v>
      </c>
      <c r="M2011">
        <v>1340</v>
      </c>
      <c r="N2011" t="s">
        <v>867</v>
      </c>
      <c r="O2011">
        <v>0</v>
      </c>
      <c r="P2011" s="5"/>
      <c r="Q2011" s="10">
        <f>INT(Tabela1[[#This Row],[DATA]])</f>
        <v>46224</v>
      </c>
      <c r="R2011" s="14" t="str">
        <f ca="1">IF(AND(Q2011&gt;=TODAY()-WEEKDAY(TODAY(),2)+1,Q2011&lt;TODAY()),"SIM","NÃO")</f>
        <v>NÃO</v>
      </c>
    </row>
    <row r="2012" spans="1:18" hidden="1">
      <c r="A2012" t="s">
        <v>497</v>
      </c>
      <c r="B2012" t="s">
        <v>498</v>
      </c>
      <c r="C2012">
        <v>300280748</v>
      </c>
      <c r="D2012">
        <v>15724344</v>
      </c>
      <c r="E2012" t="s">
        <v>45</v>
      </c>
      <c r="F2012" t="s">
        <v>151</v>
      </c>
      <c r="G2012">
        <v>72</v>
      </c>
      <c r="H2012" t="s">
        <v>2401</v>
      </c>
      <c r="J2012" t="s">
        <v>3838</v>
      </c>
      <c r="K2012" s="11">
        <v>46224.506689814814</v>
      </c>
      <c r="M2012">
        <v>1341</v>
      </c>
      <c r="N2012" t="s">
        <v>867</v>
      </c>
      <c r="O2012">
        <v>150</v>
      </c>
      <c r="P2012" s="5"/>
      <c r="Q2012" s="10">
        <f>INT(Tabela1[[#This Row],[DATA]])</f>
        <v>46224</v>
      </c>
      <c r="R2012" s="14" t="str">
        <f ca="1">IF(AND(Q2012&gt;=TODAY()-WEEKDAY(TODAY(),2)+1,Q2012&lt;TODAY()),"SIM","NÃO")</f>
        <v>NÃO</v>
      </c>
    </row>
    <row r="2013" spans="1:18" hidden="1">
      <c r="A2013" t="s">
        <v>2543</v>
      </c>
      <c r="B2013" t="s">
        <v>28</v>
      </c>
      <c r="C2013">
        <v>300277070</v>
      </c>
      <c r="D2013">
        <v>16218957</v>
      </c>
      <c r="E2013" t="s">
        <v>37</v>
      </c>
      <c r="F2013" t="s">
        <v>2405</v>
      </c>
      <c r="G2013">
        <v>4</v>
      </c>
      <c r="H2013" t="s">
        <v>3337</v>
      </c>
      <c r="K2013" s="11">
        <v>46224.546759259261</v>
      </c>
      <c r="M2013">
        <v>1342</v>
      </c>
      <c r="N2013" t="s">
        <v>867</v>
      </c>
      <c r="O2013" t="s">
        <v>3338</v>
      </c>
      <c r="P2013" s="5"/>
      <c r="Q2013" s="10">
        <f>INT(Tabela1[[#This Row],[DATA]])</f>
        <v>46224</v>
      </c>
      <c r="R2013" s="14" t="str">
        <f ca="1">IF(AND(Q2013&gt;=TODAY()-WEEKDAY(TODAY(),2)+1,Q2013&lt;TODAY()),"SIM","NÃO")</f>
        <v>NÃO</v>
      </c>
    </row>
    <row r="2014" spans="1:18" hidden="1">
      <c r="A2014" t="s">
        <v>2713</v>
      </c>
      <c r="B2014" t="s">
        <v>55</v>
      </c>
      <c r="C2014">
        <v>300274354</v>
      </c>
      <c r="D2014">
        <v>15898008</v>
      </c>
      <c r="E2014" t="s">
        <v>45</v>
      </c>
      <c r="F2014" t="s">
        <v>145</v>
      </c>
      <c r="G2014">
        <v>1</v>
      </c>
      <c r="H2014" t="s">
        <v>884</v>
      </c>
      <c r="K2014" s="11">
        <v>46224.558634259258</v>
      </c>
      <c r="M2014">
        <v>1343</v>
      </c>
      <c r="N2014" t="s">
        <v>878</v>
      </c>
      <c r="O2014" t="s">
        <v>3839</v>
      </c>
      <c r="P2014" s="5"/>
      <c r="Q2014" s="10">
        <f>INT(Tabela1[[#This Row],[DATA]])</f>
        <v>46224</v>
      </c>
      <c r="R2014" s="14" t="str">
        <f ca="1">IF(AND(Q2014&gt;=TODAY()-WEEKDAY(TODAY(),2)+1,Q2014&lt;TODAY()),"SIM","NÃO")</f>
        <v>NÃO</v>
      </c>
    </row>
    <row r="2015" spans="1:18" hidden="1">
      <c r="A2015" t="s">
        <v>2713</v>
      </c>
      <c r="B2015" t="s">
        <v>55</v>
      </c>
      <c r="C2015">
        <v>300274354</v>
      </c>
      <c r="D2015">
        <v>15898008</v>
      </c>
      <c r="E2015" t="s">
        <v>45</v>
      </c>
      <c r="F2015" t="s">
        <v>1904</v>
      </c>
      <c r="G2015">
        <v>2</v>
      </c>
      <c r="H2015" t="s">
        <v>3840</v>
      </c>
      <c r="K2015" s="11">
        <v>46224.559675925928</v>
      </c>
      <c r="M2015">
        <v>1344</v>
      </c>
      <c r="N2015" t="s">
        <v>878</v>
      </c>
      <c r="O2015" t="s">
        <v>145</v>
      </c>
      <c r="P2015" s="5"/>
      <c r="Q2015" s="10">
        <f>INT(Tabela1[[#This Row],[DATA]])</f>
        <v>46224</v>
      </c>
      <c r="R2015" s="14" t="str">
        <f ca="1">IF(AND(Q2015&gt;=TODAY()-WEEKDAY(TODAY(),2)+1,Q2015&lt;TODAY()),"SIM","NÃO")</f>
        <v>NÃO</v>
      </c>
    </row>
    <row r="2016" spans="1:18" hidden="1">
      <c r="A2016" t="s">
        <v>2610</v>
      </c>
      <c r="B2016" t="s">
        <v>74</v>
      </c>
      <c r="C2016">
        <v>300282856</v>
      </c>
      <c r="D2016">
        <v>16310950</v>
      </c>
      <c r="E2016" t="s">
        <v>20</v>
      </c>
      <c r="F2016" t="s">
        <v>323</v>
      </c>
      <c r="G2016">
        <v>39</v>
      </c>
      <c r="H2016" t="s">
        <v>3841</v>
      </c>
      <c r="J2016" t="s">
        <v>3842</v>
      </c>
      <c r="K2016" s="11">
        <v>46224.571932870371</v>
      </c>
      <c r="M2016">
        <v>1345</v>
      </c>
      <c r="N2016" t="s">
        <v>867</v>
      </c>
      <c r="O2016">
        <v>0</v>
      </c>
      <c r="P2016" s="5"/>
      <c r="Q2016" s="10">
        <f>INT(Tabela1[[#This Row],[DATA]])</f>
        <v>46224</v>
      </c>
      <c r="R2016" s="14" t="str">
        <f ca="1">IF(AND(Q2016&gt;=TODAY()-WEEKDAY(TODAY(),2)+1,Q2016&lt;TODAY()),"SIM","NÃO")</f>
        <v>NÃO</v>
      </c>
    </row>
    <row r="2017" spans="1:18" hidden="1">
      <c r="A2017" t="s">
        <v>493</v>
      </c>
      <c r="B2017" t="s">
        <v>686</v>
      </c>
      <c r="C2017">
        <v>300283156</v>
      </c>
      <c r="D2017">
        <v>16472217</v>
      </c>
      <c r="E2017" t="s">
        <v>37</v>
      </c>
      <c r="F2017" t="s">
        <v>203</v>
      </c>
      <c r="G2017">
        <v>964</v>
      </c>
      <c r="H2017" t="s">
        <v>2137</v>
      </c>
      <c r="K2017" s="11">
        <v>46224.596099537041</v>
      </c>
      <c r="M2017">
        <v>1346</v>
      </c>
      <c r="N2017" t="s">
        <v>867</v>
      </c>
      <c r="O2017" t="s">
        <v>138</v>
      </c>
      <c r="P2017" s="5"/>
      <c r="Q2017" s="10">
        <f>INT(Tabela1[[#This Row],[DATA]])</f>
        <v>46224</v>
      </c>
      <c r="R2017" s="14" t="str">
        <f ca="1">IF(AND(Q2017&gt;=TODAY()-WEEKDAY(TODAY(),2)+1,Q2017&lt;TODAY()),"SIM","NÃO")</f>
        <v>NÃO</v>
      </c>
    </row>
    <row r="2018" spans="1:18" hidden="1">
      <c r="A2018" t="s">
        <v>493</v>
      </c>
      <c r="B2018" t="s">
        <v>686</v>
      </c>
      <c r="C2018">
        <v>300283156</v>
      </c>
      <c r="D2018">
        <v>16472217</v>
      </c>
      <c r="E2018" t="s">
        <v>37</v>
      </c>
      <c r="F2018" t="s">
        <v>3502</v>
      </c>
      <c r="G2018">
        <v>964</v>
      </c>
      <c r="H2018" t="s">
        <v>2137</v>
      </c>
      <c r="J2018" t="s">
        <v>3185</v>
      </c>
      <c r="K2018" s="11">
        <v>46224.596944444442</v>
      </c>
      <c r="M2018">
        <v>1347</v>
      </c>
      <c r="N2018" t="s">
        <v>867</v>
      </c>
      <c r="O2018" t="s">
        <v>138</v>
      </c>
      <c r="P2018" s="5"/>
      <c r="Q2018" s="10">
        <f>INT(Tabela1[[#This Row],[DATA]])</f>
        <v>46224</v>
      </c>
      <c r="R2018" s="14" t="str">
        <f ca="1">IF(AND(Q2018&gt;=TODAY()-WEEKDAY(TODAY(),2)+1,Q2018&lt;TODAY()),"SIM","NÃO")</f>
        <v>NÃO</v>
      </c>
    </row>
    <row r="2019" spans="1:18" hidden="1">
      <c r="A2019" t="s">
        <v>253</v>
      </c>
      <c r="B2019" t="s">
        <v>254</v>
      </c>
      <c r="C2019">
        <v>300283435</v>
      </c>
      <c r="D2019">
        <v>15206637</v>
      </c>
      <c r="E2019" t="s">
        <v>45</v>
      </c>
      <c r="F2019" t="s">
        <v>3843</v>
      </c>
      <c r="G2019">
        <v>32</v>
      </c>
      <c r="H2019" t="s">
        <v>3844</v>
      </c>
      <c r="J2019" t="s">
        <v>3845</v>
      </c>
      <c r="K2019" s="11">
        <v>46224.640856481485</v>
      </c>
      <c r="M2019">
        <v>1348</v>
      </c>
      <c r="N2019" t="s">
        <v>867</v>
      </c>
      <c r="O2019">
        <v>0</v>
      </c>
      <c r="P2019" s="5"/>
      <c r="Q2019" s="10">
        <f>INT(Tabela1[[#This Row],[DATA]])</f>
        <v>46224</v>
      </c>
      <c r="R2019" s="14" t="str">
        <f ca="1">IF(AND(Q2019&gt;=TODAY()-WEEKDAY(TODAY(),2)+1,Q2019&lt;TODAY()),"SIM","NÃO")</f>
        <v>NÃO</v>
      </c>
    </row>
    <row r="2020" spans="1:18" hidden="1">
      <c r="A2020" t="s">
        <v>2639</v>
      </c>
      <c r="B2020" t="s">
        <v>2640</v>
      </c>
      <c r="C2020">
        <v>300281093</v>
      </c>
      <c r="D2020">
        <v>16488229</v>
      </c>
      <c r="E2020" t="s">
        <v>37</v>
      </c>
      <c r="F2020" t="s">
        <v>3241</v>
      </c>
      <c r="G2020">
        <v>10</v>
      </c>
      <c r="H2020" t="s">
        <v>3846</v>
      </c>
      <c r="K2020" s="11">
        <v>46224.649004629631</v>
      </c>
      <c r="M2020">
        <v>1349</v>
      </c>
      <c r="N2020" t="s">
        <v>867</v>
      </c>
      <c r="O2020" t="s">
        <v>3847</v>
      </c>
      <c r="P2020" s="5"/>
      <c r="Q2020" s="10">
        <f>INT(Tabela1[[#This Row],[DATA]])</f>
        <v>46224</v>
      </c>
      <c r="R2020" s="14" t="str">
        <f ca="1">IF(AND(Q2020&gt;=TODAY()-WEEKDAY(TODAY(),2)+1,Q2020&lt;TODAY()),"SIM","NÃO")</f>
        <v>NÃO</v>
      </c>
    </row>
    <row r="2021" spans="1:18" hidden="1">
      <c r="A2021" t="s">
        <v>2911</v>
      </c>
      <c r="B2021" t="s">
        <v>2912</v>
      </c>
      <c r="C2021">
        <v>300269047</v>
      </c>
      <c r="D2021">
        <v>14700328</v>
      </c>
      <c r="E2021" t="s">
        <v>45</v>
      </c>
      <c r="F2021" t="s">
        <v>96</v>
      </c>
      <c r="G2021">
        <v>760</v>
      </c>
      <c r="H2021" t="s">
        <v>3848</v>
      </c>
      <c r="J2021" t="s">
        <v>3849</v>
      </c>
      <c r="K2021" s="11">
        <v>46224.683321759258</v>
      </c>
      <c r="M2021">
        <v>1350</v>
      </c>
      <c r="N2021" t="s">
        <v>867</v>
      </c>
      <c r="O2021">
        <v>720</v>
      </c>
      <c r="P2021" s="5"/>
      <c r="Q2021" s="10">
        <f>INT(Tabela1[[#This Row],[DATA]])</f>
        <v>46224</v>
      </c>
      <c r="R2021" s="14" t="str">
        <f ca="1">IF(AND(Q2021&gt;=TODAY()-WEEKDAY(TODAY(),2)+1,Q2021&lt;TODAY()),"SIM","NÃO")</f>
        <v>NÃO</v>
      </c>
    </row>
    <row r="2022" spans="1:18" hidden="1">
      <c r="A2022" t="s">
        <v>2603</v>
      </c>
      <c r="B2022" t="s">
        <v>929</v>
      </c>
      <c r="C2022">
        <v>300280216</v>
      </c>
      <c r="D2022">
        <v>16473825</v>
      </c>
      <c r="E2022" t="s">
        <v>37</v>
      </c>
      <c r="F2022" t="s">
        <v>3215</v>
      </c>
      <c r="G2022">
        <v>1</v>
      </c>
      <c r="H2022" t="s">
        <v>3850</v>
      </c>
      <c r="J2022" t="s">
        <v>3284</v>
      </c>
      <c r="K2022" s="11">
        <v>46224.693032407406</v>
      </c>
      <c r="M2022">
        <v>1351</v>
      </c>
      <c r="N2022" t="s">
        <v>867</v>
      </c>
      <c r="O2022">
        <v>0</v>
      </c>
      <c r="P2022" s="5"/>
      <c r="Q2022" s="10">
        <f>INT(Tabela1[[#This Row],[DATA]])</f>
        <v>46224</v>
      </c>
      <c r="R2022" s="14" t="str">
        <f ca="1">IF(AND(Q2022&gt;=TODAY()-WEEKDAY(TODAY(),2)+1,Q2022&lt;TODAY()),"SIM","NÃO")</f>
        <v>NÃO</v>
      </c>
    </row>
    <row r="2023" spans="1:18" hidden="1">
      <c r="A2023" t="s">
        <v>313</v>
      </c>
      <c r="B2023" t="s">
        <v>314</v>
      </c>
      <c r="C2023">
        <v>300281895</v>
      </c>
      <c r="D2023">
        <v>16099834</v>
      </c>
      <c r="E2023" t="s">
        <v>45</v>
      </c>
      <c r="F2023" t="s">
        <v>3502</v>
      </c>
      <c r="G2023">
        <v>200</v>
      </c>
      <c r="H2023" t="s">
        <v>3851</v>
      </c>
      <c r="J2023" t="s">
        <v>3851</v>
      </c>
      <c r="K2023" s="11">
        <v>46224.694594907407</v>
      </c>
      <c r="M2023">
        <v>1352</v>
      </c>
      <c r="N2023" t="s">
        <v>867</v>
      </c>
      <c r="O2023">
        <v>0</v>
      </c>
      <c r="P2023" s="5"/>
      <c r="Q2023" s="10">
        <f>INT(Tabela1[[#This Row],[DATA]])</f>
        <v>46224</v>
      </c>
      <c r="R2023" s="14" t="str">
        <f ca="1">IF(AND(Q2023&gt;=TODAY()-WEEKDAY(TODAY(),2)+1,Q2023&lt;TODAY()),"SIM","NÃO")</f>
        <v>NÃO</v>
      </c>
    </row>
    <row r="2024" spans="1:18" hidden="1">
      <c r="A2024" t="s">
        <v>685</v>
      </c>
      <c r="B2024" t="s">
        <v>686</v>
      </c>
      <c r="C2024">
        <v>300279716</v>
      </c>
      <c r="D2024">
        <v>16513649</v>
      </c>
      <c r="E2024" t="s">
        <v>37</v>
      </c>
      <c r="F2024" t="s">
        <v>221</v>
      </c>
      <c r="G2024">
        <v>500</v>
      </c>
      <c r="H2024" t="s">
        <v>2073</v>
      </c>
      <c r="K2024" s="11">
        <v>46224.72079861111</v>
      </c>
      <c r="M2024">
        <v>1353</v>
      </c>
      <c r="N2024" t="s">
        <v>867</v>
      </c>
      <c r="O2024" t="s">
        <v>3829</v>
      </c>
      <c r="P2024" s="5"/>
      <c r="Q2024" s="10">
        <f>INT(Tabela1[[#This Row],[DATA]])</f>
        <v>46224</v>
      </c>
      <c r="R2024" s="14" t="str">
        <f ca="1">IF(AND(Q2024&gt;=TODAY()-WEEKDAY(TODAY(),2)+1,Q2024&lt;TODAY()),"SIM","NÃO")</f>
        <v>NÃO</v>
      </c>
    </row>
    <row r="2025" spans="1:18" hidden="1">
      <c r="A2025" t="s">
        <v>489</v>
      </c>
      <c r="B2025" t="s">
        <v>490</v>
      </c>
      <c r="C2025">
        <v>300281094</v>
      </c>
      <c r="D2025">
        <v>16488229</v>
      </c>
      <c r="E2025" t="s">
        <v>37</v>
      </c>
      <c r="F2025" t="s">
        <v>3215</v>
      </c>
      <c r="G2025">
        <v>912</v>
      </c>
      <c r="H2025" t="s">
        <v>3852</v>
      </c>
      <c r="J2025" t="s">
        <v>3853</v>
      </c>
      <c r="K2025" s="11">
        <v>46224.720879629633</v>
      </c>
      <c r="M2025">
        <v>1354</v>
      </c>
      <c r="N2025" t="s">
        <v>878</v>
      </c>
      <c r="O2025">
        <v>0</v>
      </c>
      <c r="P2025" s="5"/>
      <c r="Q2025" s="10">
        <f>INT(Tabela1[[#This Row],[DATA]])</f>
        <v>46224</v>
      </c>
      <c r="R2025" s="14" t="str">
        <f ca="1">IF(AND(Q2025&gt;=TODAY()-WEEKDAY(TODAY(),2)+1,Q2025&lt;TODAY()),"SIM","NÃO")</f>
        <v>NÃO</v>
      </c>
    </row>
    <row r="2026" spans="1:18" hidden="1">
      <c r="A2026" t="s">
        <v>685</v>
      </c>
      <c r="B2026" t="s">
        <v>686</v>
      </c>
      <c r="C2026">
        <v>300279716</v>
      </c>
      <c r="D2026">
        <v>16513649</v>
      </c>
      <c r="E2026" t="s">
        <v>37</v>
      </c>
      <c r="F2026" t="s">
        <v>2405</v>
      </c>
      <c r="G2026">
        <v>15</v>
      </c>
      <c r="H2026" t="s">
        <v>2073</v>
      </c>
      <c r="K2026" s="11">
        <v>46224.721828703703</v>
      </c>
      <c r="M2026">
        <v>1355</v>
      </c>
      <c r="N2026" t="s">
        <v>867</v>
      </c>
      <c r="O2026" t="s">
        <v>138</v>
      </c>
      <c r="P2026" s="5"/>
      <c r="Q2026" s="10">
        <f>INT(Tabela1[[#This Row],[DATA]])</f>
        <v>46224</v>
      </c>
      <c r="R2026" s="14" t="str">
        <f ca="1">IF(AND(Q2026&gt;=TODAY()-WEEKDAY(TODAY(),2)+1,Q2026&lt;TODAY()),"SIM","NÃO")</f>
        <v>NÃO</v>
      </c>
    </row>
    <row r="2027" spans="1:18" hidden="1">
      <c r="A2027" t="s">
        <v>2549</v>
      </c>
      <c r="B2027" t="s">
        <v>19</v>
      </c>
      <c r="C2027">
        <v>300282558</v>
      </c>
      <c r="D2027">
        <v>14487004</v>
      </c>
      <c r="E2027" t="s">
        <v>29</v>
      </c>
      <c r="F2027" t="s">
        <v>3212</v>
      </c>
      <c r="G2027">
        <v>260</v>
      </c>
      <c r="H2027" t="s">
        <v>3171</v>
      </c>
      <c r="J2027" t="s">
        <v>2802</v>
      </c>
      <c r="K2027" s="11">
        <v>46224.740578703706</v>
      </c>
      <c r="M2027">
        <v>1356</v>
      </c>
      <c r="N2027" t="s">
        <v>867</v>
      </c>
      <c r="O2027" t="s">
        <v>2802</v>
      </c>
      <c r="P2027" s="5"/>
      <c r="Q2027" s="10">
        <f>INT(Tabela1[[#This Row],[DATA]])</f>
        <v>46224</v>
      </c>
      <c r="R2027" s="14" t="str">
        <f ca="1">IF(AND(Q2027&gt;=TODAY()-WEEKDAY(TODAY(),2)+1,Q2027&lt;TODAY()),"SIM","NÃO")</f>
        <v>NÃO</v>
      </c>
    </row>
    <row r="2028" spans="1:18" hidden="1">
      <c r="A2028" t="s">
        <v>2578</v>
      </c>
      <c r="B2028" t="s">
        <v>69</v>
      </c>
      <c r="C2028">
        <v>300277976</v>
      </c>
      <c r="D2028">
        <v>16477324</v>
      </c>
      <c r="E2028" t="s">
        <v>45</v>
      </c>
      <c r="F2028" t="s">
        <v>2405</v>
      </c>
      <c r="G2028">
        <v>78</v>
      </c>
      <c r="H2028" t="s">
        <v>3161</v>
      </c>
      <c r="J2028" t="s">
        <v>3854</v>
      </c>
      <c r="K2028" s="11">
        <v>46224.748263888891</v>
      </c>
      <c r="M2028">
        <v>1357</v>
      </c>
      <c r="N2028" t="s">
        <v>867</v>
      </c>
      <c r="O2028">
        <v>16477324</v>
      </c>
      <c r="P2028" s="5"/>
      <c r="Q2028" s="10">
        <f>INT(Tabela1[[#This Row],[DATA]])</f>
        <v>46224</v>
      </c>
      <c r="R2028" s="14" t="str">
        <f ca="1">IF(AND(Q2028&gt;=TODAY()-WEEKDAY(TODAY(),2)+1,Q2028&lt;TODAY()),"SIM","NÃO")</f>
        <v>NÃO</v>
      </c>
    </row>
    <row r="2029" spans="1:18" hidden="1">
      <c r="A2029" t="s">
        <v>2578</v>
      </c>
      <c r="B2029" t="s">
        <v>69</v>
      </c>
      <c r="C2029">
        <v>300283153</v>
      </c>
      <c r="D2029">
        <v>16218019</v>
      </c>
      <c r="E2029" t="s">
        <v>37</v>
      </c>
      <c r="F2029" t="s">
        <v>2405</v>
      </c>
      <c r="G2029">
        <v>18</v>
      </c>
      <c r="H2029" t="s">
        <v>3855</v>
      </c>
      <c r="K2029" s="11">
        <v>46224.749722222223</v>
      </c>
      <c r="M2029">
        <v>1358</v>
      </c>
      <c r="N2029" t="s">
        <v>867</v>
      </c>
      <c r="O2029">
        <v>16218019</v>
      </c>
      <c r="P2029" s="5"/>
      <c r="Q2029" s="10">
        <f>INT(Tabela1[[#This Row],[DATA]])</f>
        <v>46224</v>
      </c>
      <c r="R2029" s="14" t="str">
        <f ca="1">IF(AND(Q2029&gt;=TODAY()-WEEKDAY(TODAY(),2)+1,Q2029&lt;TODAY()),"SIM","NÃO")</f>
        <v>NÃO</v>
      </c>
    </row>
    <row r="2030" spans="1:18" hidden="1">
      <c r="A2030" t="s">
        <v>2578</v>
      </c>
      <c r="B2030" t="s">
        <v>69</v>
      </c>
      <c r="C2030">
        <v>300277976</v>
      </c>
      <c r="D2030">
        <v>16309510</v>
      </c>
      <c r="E2030" t="s">
        <v>45</v>
      </c>
      <c r="F2030" t="s">
        <v>151</v>
      </c>
      <c r="G2030">
        <v>78</v>
      </c>
      <c r="H2030" t="s">
        <v>3161</v>
      </c>
      <c r="J2030" t="s">
        <v>3856</v>
      </c>
      <c r="K2030" s="11">
        <v>46224.752916666665</v>
      </c>
      <c r="M2030">
        <v>1359</v>
      </c>
      <c r="N2030" t="s">
        <v>867</v>
      </c>
      <c r="O2030">
        <v>16309510</v>
      </c>
      <c r="P2030" s="5"/>
      <c r="Q2030" s="10">
        <f>INT(Tabela1[[#This Row],[DATA]])</f>
        <v>46224</v>
      </c>
      <c r="R2030" s="14" t="str">
        <f ca="1">IF(AND(Q2030&gt;=TODAY()-WEEKDAY(TODAY(),2)+1,Q2030&lt;TODAY()),"SIM","NÃO")</f>
        <v>NÃO</v>
      </c>
    </row>
    <row r="2031" spans="1:18" hidden="1">
      <c r="A2031" t="s">
        <v>2551</v>
      </c>
      <c r="B2031" t="s">
        <v>274</v>
      </c>
      <c r="C2031">
        <v>300280444</v>
      </c>
      <c r="D2031">
        <v>16557654</v>
      </c>
      <c r="E2031" t="s">
        <v>37</v>
      </c>
      <c r="F2031" t="s">
        <v>329</v>
      </c>
      <c r="G2031" t="s">
        <v>3857</v>
      </c>
      <c r="H2031" t="s">
        <v>3858</v>
      </c>
      <c r="K2031" s="11">
        <v>46225.314884259256</v>
      </c>
      <c r="M2031">
        <v>1360</v>
      </c>
      <c r="N2031" t="s">
        <v>867</v>
      </c>
      <c r="O2031" t="s">
        <v>3859</v>
      </c>
      <c r="P2031" s="5"/>
      <c r="Q2031" s="10">
        <f>INT(Tabela1[[#This Row],[DATA]])</f>
        <v>46225</v>
      </c>
      <c r="R2031" s="14" t="str">
        <f ca="1">IF(AND(Q2031&gt;=TODAY()-WEEKDAY(TODAY(),2)+1,Q2031&lt;TODAY()),"SIM","NÃO")</f>
        <v>NÃO</v>
      </c>
    </row>
    <row r="2032" spans="1:18" hidden="1">
      <c r="A2032" t="s">
        <v>2551</v>
      </c>
      <c r="B2032" t="s">
        <v>274</v>
      </c>
      <c r="C2032">
        <v>300280446</v>
      </c>
      <c r="D2032">
        <v>16557654</v>
      </c>
      <c r="E2032" t="s">
        <v>37</v>
      </c>
      <c r="F2032" t="s">
        <v>329</v>
      </c>
      <c r="G2032" t="s">
        <v>3860</v>
      </c>
      <c r="H2032" t="s">
        <v>3861</v>
      </c>
      <c r="K2032" s="11">
        <v>46225.319236111114</v>
      </c>
      <c r="M2032">
        <v>1361</v>
      </c>
      <c r="N2032" t="s">
        <v>867</v>
      </c>
      <c r="O2032" t="s">
        <v>3862</v>
      </c>
      <c r="P2032" s="5"/>
      <c r="Q2032" s="10">
        <f>INT(Tabela1[[#This Row],[DATA]])</f>
        <v>46225</v>
      </c>
      <c r="R2032" s="14" t="str">
        <f ca="1">IF(AND(Q2032&gt;=TODAY()-WEEKDAY(TODAY(),2)+1,Q2032&lt;TODAY()),"SIM","NÃO")</f>
        <v>NÃO</v>
      </c>
    </row>
    <row r="2033" spans="1:18" hidden="1">
      <c r="A2033" t="s">
        <v>2610</v>
      </c>
      <c r="B2033" t="s">
        <v>74</v>
      </c>
      <c r="C2033">
        <v>300282850</v>
      </c>
      <c r="D2033">
        <v>16484690</v>
      </c>
      <c r="E2033" t="s">
        <v>20</v>
      </c>
      <c r="F2033" t="s">
        <v>2405</v>
      </c>
      <c r="G2033">
        <v>44</v>
      </c>
      <c r="H2033" t="s">
        <v>555</v>
      </c>
      <c r="K2033" s="11">
        <v>46225.321006944447</v>
      </c>
      <c r="M2033">
        <v>1362</v>
      </c>
      <c r="N2033" t="s">
        <v>867</v>
      </c>
      <c r="O2033">
        <v>0</v>
      </c>
      <c r="P2033" s="5"/>
      <c r="Q2033" s="10">
        <f>INT(Tabela1[[#This Row],[DATA]])</f>
        <v>46225</v>
      </c>
      <c r="R2033" s="14" t="str">
        <f ca="1">IF(AND(Q2033&gt;=TODAY()-WEEKDAY(TODAY(),2)+1,Q2033&lt;TODAY()),"SIM","NÃO")</f>
        <v>NÃO</v>
      </c>
    </row>
    <row r="2034" spans="1:18" hidden="1">
      <c r="A2034" t="s">
        <v>2551</v>
      </c>
      <c r="B2034" t="s">
        <v>274</v>
      </c>
      <c r="C2034">
        <v>300280121</v>
      </c>
      <c r="D2034">
        <v>15943720</v>
      </c>
      <c r="E2034" t="s">
        <v>37</v>
      </c>
      <c r="F2034" t="s">
        <v>3215</v>
      </c>
      <c r="G2034">
        <v>10</v>
      </c>
      <c r="H2034" t="s">
        <v>3863</v>
      </c>
      <c r="K2034" s="11">
        <v>46225.321273148147</v>
      </c>
      <c r="M2034">
        <v>1363</v>
      </c>
      <c r="N2034" t="s">
        <v>867</v>
      </c>
      <c r="O2034">
        <v>0</v>
      </c>
      <c r="P2034" s="5"/>
      <c r="Q2034" s="10">
        <f>INT(Tabela1[[#This Row],[DATA]])</f>
        <v>46225</v>
      </c>
      <c r="R2034" s="14" t="str">
        <f ca="1">IF(AND(Q2034&gt;=TODAY()-WEEKDAY(TODAY(),2)+1,Q2034&lt;TODAY()),"SIM","NÃO")</f>
        <v>NÃO</v>
      </c>
    </row>
    <row r="2035" spans="1:18" hidden="1">
      <c r="A2035" t="s">
        <v>214</v>
      </c>
      <c r="B2035" t="s">
        <v>215</v>
      </c>
      <c r="C2035">
        <v>300280214</v>
      </c>
      <c r="D2035">
        <v>16473825</v>
      </c>
      <c r="E2035" t="s">
        <v>37</v>
      </c>
      <c r="F2035" t="s">
        <v>216</v>
      </c>
      <c r="G2035" t="s">
        <v>3864</v>
      </c>
      <c r="H2035" t="s">
        <v>3865</v>
      </c>
      <c r="J2035" t="s">
        <v>3866</v>
      </c>
      <c r="K2035" s="11">
        <v>46225.340995370374</v>
      </c>
      <c r="M2035">
        <v>1364</v>
      </c>
      <c r="N2035" t="s">
        <v>867</v>
      </c>
      <c r="O2035">
        <v>0</v>
      </c>
      <c r="P2035" s="5"/>
      <c r="Q2035" s="10">
        <f>INT(Tabela1[[#This Row],[DATA]])</f>
        <v>46225</v>
      </c>
      <c r="R2035" s="14" t="str">
        <f ca="1">IF(AND(Q2035&gt;=TODAY()-WEEKDAY(TODAY(),2)+1,Q2035&lt;TODAY()),"SIM","NÃO")</f>
        <v>NÃO</v>
      </c>
    </row>
    <row r="2036" spans="1:18" hidden="1">
      <c r="A2036" t="s">
        <v>214</v>
      </c>
      <c r="B2036" t="s">
        <v>215</v>
      </c>
      <c r="C2036">
        <v>300280214</v>
      </c>
      <c r="D2036">
        <v>16473825</v>
      </c>
      <c r="E2036" t="s">
        <v>37</v>
      </c>
      <c r="F2036" t="s">
        <v>177</v>
      </c>
      <c r="G2036">
        <v>20</v>
      </c>
      <c r="H2036" t="s">
        <v>2863</v>
      </c>
      <c r="J2036" t="s">
        <v>3867</v>
      </c>
      <c r="K2036" s="11">
        <v>46225.343043981484</v>
      </c>
      <c r="M2036">
        <v>1365</v>
      </c>
      <c r="N2036" t="s">
        <v>867</v>
      </c>
      <c r="O2036">
        <v>10000211585</v>
      </c>
      <c r="P2036" s="5"/>
      <c r="Q2036" s="10">
        <f>INT(Tabela1[[#This Row],[DATA]])</f>
        <v>46225</v>
      </c>
      <c r="R2036" s="14" t="str">
        <f ca="1">IF(AND(Q2036&gt;=TODAY()-WEEKDAY(TODAY(),2)+1,Q2036&lt;TODAY()),"SIM","NÃO")</f>
        <v>NÃO</v>
      </c>
    </row>
    <row r="2037" spans="1:18">
      <c r="A2037" t="s">
        <v>1439</v>
      </c>
      <c r="B2037" t="s">
        <v>1440</v>
      </c>
      <c r="C2037">
        <v>300281898</v>
      </c>
      <c r="D2037">
        <v>16099834</v>
      </c>
      <c r="E2037" t="s">
        <v>45</v>
      </c>
      <c r="F2037" t="s">
        <v>3502</v>
      </c>
      <c r="G2037">
        <v>368</v>
      </c>
      <c r="H2037" t="s">
        <v>3868</v>
      </c>
      <c r="J2037" t="s">
        <v>3869</v>
      </c>
      <c r="K2037" s="11">
        <v>46225.35392361111</v>
      </c>
      <c r="M2037">
        <v>1366</v>
      </c>
      <c r="N2037" t="s">
        <v>867</v>
      </c>
      <c r="O2037">
        <v>0</v>
      </c>
      <c r="P2037" s="5"/>
      <c r="Q2037" s="10">
        <f>INT(Tabela1[[#This Row],[DATA]])</f>
        <v>46225</v>
      </c>
      <c r="R2037" s="14" t="str">
        <f ca="1">IF(AND(Q2037&gt;=TODAY()-WEEKDAY(TODAY(),2)+1,Q2037&lt;TODAY()),"SIM","NÃO")</f>
        <v>NÃO</v>
      </c>
    </row>
    <row r="2038" spans="1:18" hidden="1">
      <c r="A2038" t="s">
        <v>2650</v>
      </c>
      <c r="B2038" t="s">
        <v>137</v>
      </c>
      <c r="C2038">
        <v>300276802</v>
      </c>
      <c r="D2038">
        <v>16482395</v>
      </c>
      <c r="E2038" t="s">
        <v>37</v>
      </c>
      <c r="F2038" t="s">
        <v>203</v>
      </c>
      <c r="G2038">
        <v>285</v>
      </c>
      <c r="H2038" t="s">
        <v>3870</v>
      </c>
      <c r="K2038" s="11">
        <v>46225.378194444442</v>
      </c>
      <c r="M2038">
        <v>1367</v>
      </c>
      <c r="N2038" t="s">
        <v>867</v>
      </c>
      <c r="O2038" t="s">
        <v>138</v>
      </c>
      <c r="P2038" s="5"/>
      <c r="Q2038" s="10">
        <f>INT(Tabela1[[#This Row],[DATA]])</f>
        <v>46225</v>
      </c>
      <c r="R2038" s="14" t="str">
        <f ca="1">IF(AND(Q2038&gt;=TODAY()-WEEKDAY(TODAY(),2)+1,Q2038&lt;TODAY()),"SIM","NÃO")</f>
        <v>NÃO</v>
      </c>
    </row>
    <row r="2039" spans="1:18" hidden="1">
      <c r="A2039" t="s">
        <v>3006</v>
      </c>
      <c r="B2039" t="s">
        <v>3871</v>
      </c>
      <c r="C2039">
        <v>300273004</v>
      </c>
      <c r="D2039">
        <v>16507657</v>
      </c>
      <c r="E2039" t="s">
        <v>37</v>
      </c>
      <c r="F2039" t="s">
        <v>3215</v>
      </c>
      <c r="G2039">
        <v>8000</v>
      </c>
      <c r="H2039" t="s">
        <v>3872</v>
      </c>
      <c r="J2039" t="s">
        <v>3872</v>
      </c>
      <c r="K2039" s="11">
        <v>46225.411307870374</v>
      </c>
      <c r="M2039">
        <v>1368</v>
      </c>
      <c r="N2039" t="s">
        <v>878</v>
      </c>
      <c r="O2039">
        <v>0</v>
      </c>
      <c r="P2039" s="5"/>
      <c r="Q2039" s="10">
        <f>INT(Tabela1[[#This Row],[DATA]])</f>
        <v>46225</v>
      </c>
      <c r="R2039" s="14" t="str">
        <f ca="1">IF(AND(Q2039&gt;=TODAY()-WEEKDAY(TODAY(),2)+1,Q2039&lt;TODAY()),"SIM","NÃO")</f>
        <v>NÃO</v>
      </c>
    </row>
    <row r="2040" spans="1:18" hidden="1">
      <c r="A2040" t="s">
        <v>2825</v>
      </c>
      <c r="B2040" t="s">
        <v>344</v>
      </c>
      <c r="C2040">
        <v>300281496</v>
      </c>
      <c r="D2040">
        <v>16507649</v>
      </c>
      <c r="E2040" t="s">
        <v>37</v>
      </c>
      <c r="F2040" t="s">
        <v>3215</v>
      </c>
      <c r="G2040">
        <v>0</v>
      </c>
      <c r="H2040" t="s">
        <v>1335</v>
      </c>
      <c r="J2040" t="s">
        <v>3215</v>
      </c>
      <c r="K2040" s="11">
        <v>46225.411747685182</v>
      </c>
      <c r="M2040">
        <v>1369</v>
      </c>
      <c r="N2040" t="s">
        <v>878</v>
      </c>
      <c r="O2040">
        <v>0</v>
      </c>
      <c r="P2040" s="5"/>
      <c r="Q2040" s="10">
        <f>INT(Tabela1[[#This Row],[DATA]])</f>
        <v>46225</v>
      </c>
      <c r="R2040" s="14" t="str">
        <f ca="1">IF(AND(Q2040&gt;=TODAY()-WEEKDAY(TODAY(),2)+1,Q2040&lt;TODAY()),"SIM","NÃO")</f>
        <v>NÃO</v>
      </c>
    </row>
    <row r="2041" spans="1:18" hidden="1">
      <c r="A2041" t="s">
        <v>3122</v>
      </c>
      <c r="B2041" t="s">
        <v>344</v>
      </c>
      <c r="C2041">
        <v>300280701</v>
      </c>
      <c r="D2041">
        <v>16217799</v>
      </c>
      <c r="E2041" t="s">
        <v>37</v>
      </c>
      <c r="F2041" t="s">
        <v>3215</v>
      </c>
      <c r="G2041">
        <v>0</v>
      </c>
      <c r="H2041" t="s">
        <v>1335</v>
      </c>
      <c r="J2041" t="s">
        <v>3215</v>
      </c>
      <c r="K2041" s="11">
        <v>46225.415451388886</v>
      </c>
      <c r="M2041">
        <v>1370</v>
      </c>
      <c r="N2041" t="s">
        <v>878</v>
      </c>
      <c r="O2041">
        <v>0</v>
      </c>
      <c r="P2041" s="5"/>
      <c r="Q2041" s="10">
        <f>INT(Tabela1[[#This Row],[DATA]])</f>
        <v>46225</v>
      </c>
      <c r="R2041" s="14" t="str">
        <f ca="1">IF(AND(Q2041&gt;=TODAY()-WEEKDAY(TODAY(),2)+1,Q2041&lt;TODAY()),"SIM","NÃO")</f>
        <v>NÃO</v>
      </c>
    </row>
    <row r="2042" spans="1:18" hidden="1">
      <c r="A2042" t="s">
        <v>2177</v>
      </c>
      <c r="B2042" t="s">
        <v>3873</v>
      </c>
      <c r="C2042">
        <v>300285758</v>
      </c>
      <c r="D2042">
        <v>16505956</v>
      </c>
      <c r="E2042" t="s">
        <v>37</v>
      </c>
      <c r="F2042" t="s">
        <v>3215</v>
      </c>
      <c r="G2042">
        <v>1</v>
      </c>
      <c r="H2042" t="s">
        <v>3874</v>
      </c>
      <c r="J2042" t="s">
        <v>3875</v>
      </c>
      <c r="K2042" s="11">
        <v>46225.420023148145</v>
      </c>
      <c r="M2042">
        <v>1371</v>
      </c>
      <c r="N2042" t="s">
        <v>878</v>
      </c>
      <c r="O2042" t="s">
        <v>3146</v>
      </c>
      <c r="P2042" s="5"/>
      <c r="Q2042" s="10">
        <f>INT(Tabela1[[#This Row],[DATA]])</f>
        <v>46225</v>
      </c>
      <c r="R2042" s="14" t="str">
        <f ca="1">IF(AND(Q2042&gt;=TODAY()-WEEKDAY(TODAY(),2)+1,Q2042&lt;TODAY()),"SIM","NÃO")</f>
        <v>NÃO</v>
      </c>
    </row>
    <row r="2043" spans="1:18" hidden="1">
      <c r="A2043" t="s">
        <v>332</v>
      </c>
      <c r="B2043" t="s">
        <v>28</v>
      </c>
      <c r="C2043">
        <v>300281187</v>
      </c>
      <c r="D2043">
        <v>1601713</v>
      </c>
      <c r="E2043" t="s">
        <v>45</v>
      </c>
      <c r="F2043" t="s">
        <v>323</v>
      </c>
      <c r="G2043">
        <v>7</v>
      </c>
      <c r="H2043" t="s">
        <v>1966</v>
      </c>
      <c r="K2043" s="11">
        <v>46225.430532407408</v>
      </c>
      <c r="M2043">
        <v>1372</v>
      </c>
      <c r="N2043" t="s">
        <v>867</v>
      </c>
      <c r="O2043">
        <v>0</v>
      </c>
      <c r="P2043" s="5"/>
      <c r="Q2043" s="10">
        <f>INT(Tabela1[[#This Row],[DATA]])</f>
        <v>46225</v>
      </c>
      <c r="R2043" s="14" t="str">
        <f ca="1">IF(AND(Q2043&gt;=TODAY()-WEEKDAY(TODAY(),2)+1,Q2043&lt;TODAY()),"SIM","NÃO")</f>
        <v>NÃO</v>
      </c>
    </row>
    <row r="2044" spans="1:18" hidden="1">
      <c r="A2044" t="s">
        <v>332</v>
      </c>
      <c r="B2044" t="s">
        <v>690</v>
      </c>
      <c r="C2044">
        <v>300281187</v>
      </c>
      <c r="D2044">
        <v>1601713</v>
      </c>
      <c r="E2044" t="s">
        <v>45</v>
      </c>
      <c r="F2044" t="s">
        <v>151</v>
      </c>
      <c r="G2044">
        <v>2</v>
      </c>
      <c r="H2044" t="s">
        <v>1966</v>
      </c>
      <c r="K2044" s="11">
        <v>46225.431469907409</v>
      </c>
      <c r="M2044">
        <v>1373</v>
      </c>
      <c r="N2044" t="s">
        <v>867</v>
      </c>
      <c r="O2044">
        <v>0</v>
      </c>
      <c r="P2044" s="5"/>
      <c r="Q2044" s="10">
        <f>INT(Tabela1[[#This Row],[DATA]])</f>
        <v>46225</v>
      </c>
      <c r="R2044" s="14" t="str">
        <f ca="1">IF(AND(Q2044&gt;=TODAY()-WEEKDAY(TODAY(),2)+1,Q2044&lt;TODAY()),"SIM","NÃO")</f>
        <v>NÃO</v>
      </c>
    </row>
    <row r="2045" spans="1:18" hidden="1">
      <c r="A2045" t="s">
        <v>332</v>
      </c>
      <c r="B2045" t="s">
        <v>690</v>
      </c>
      <c r="C2045">
        <v>300281893</v>
      </c>
      <c r="D2045">
        <v>16099834</v>
      </c>
      <c r="E2045" t="s">
        <v>45</v>
      </c>
      <c r="F2045" t="s">
        <v>151</v>
      </c>
      <c r="G2045">
        <v>9</v>
      </c>
      <c r="H2045" t="s">
        <v>1966</v>
      </c>
      <c r="K2045" s="11">
        <v>46225.432523148149</v>
      </c>
      <c r="M2045">
        <v>1374</v>
      </c>
      <c r="N2045" t="s">
        <v>867</v>
      </c>
      <c r="O2045">
        <v>0</v>
      </c>
      <c r="P2045" s="5"/>
      <c r="Q2045" s="10">
        <f>INT(Tabela1[[#This Row],[DATA]])</f>
        <v>46225</v>
      </c>
      <c r="R2045" s="14" t="str">
        <f ca="1">IF(AND(Q2045&gt;=TODAY()-WEEKDAY(TODAY(),2)+1,Q2045&lt;TODAY()),"SIM","NÃO")</f>
        <v>NÃO</v>
      </c>
    </row>
    <row r="2046" spans="1:18" hidden="1">
      <c r="A2046" t="s">
        <v>332</v>
      </c>
      <c r="B2046" t="s">
        <v>690</v>
      </c>
      <c r="C2046">
        <v>300281893</v>
      </c>
      <c r="D2046">
        <v>16099834</v>
      </c>
      <c r="E2046" t="s">
        <v>45</v>
      </c>
      <c r="F2046" t="s">
        <v>323</v>
      </c>
      <c r="G2046">
        <v>4</v>
      </c>
      <c r="H2046" t="s">
        <v>1966</v>
      </c>
      <c r="K2046" s="11">
        <v>46225.433310185188</v>
      </c>
      <c r="M2046">
        <v>1375</v>
      </c>
      <c r="N2046" t="s">
        <v>867</v>
      </c>
      <c r="O2046">
        <v>0</v>
      </c>
      <c r="P2046" s="5"/>
      <c r="Q2046" s="10">
        <f>INT(Tabela1[[#This Row],[DATA]])</f>
        <v>46225</v>
      </c>
      <c r="R2046" s="14" t="str">
        <f ca="1">IF(AND(Q2046&gt;=TODAY()-WEEKDAY(TODAY(),2)+1,Q2046&lt;TODAY()),"SIM","NÃO")</f>
        <v>NÃO</v>
      </c>
    </row>
    <row r="2047" spans="1:18" hidden="1">
      <c r="A2047" t="s">
        <v>332</v>
      </c>
      <c r="B2047" t="s">
        <v>690</v>
      </c>
      <c r="C2047">
        <v>300281893</v>
      </c>
      <c r="D2047">
        <v>16099834</v>
      </c>
      <c r="E2047" t="s">
        <v>45</v>
      </c>
      <c r="F2047" t="s">
        <v>525</v>
      </c>
      <c r="G2047">
        <v>10</v>
      </c>
      <c r="H2047" t="s">
        <v>1966</v>
      </c>
      <c r="K2047" s="11">
        <v>46225.434293981481</v>
      </c>
      <c r="M2047">
        <v>1376</v>
      </c>
      <c r="N2047" t="s">
        <v>867</v>
      </c>
      <c r="O2047">
        <v>0</v>
      </c>
      <c r="P2047" s="5"/>
      <c r="Q2047" s="10">
        <f>INT(Tabela1[[#This Row],[DATA]])</f>
        <v>46225</v>
      </c>
      <c r="R2047" s="14" t="str">
        <f ca="1">IF(AND(Q2047&gt;=TODAY()-WEEKDAY(TODAY(),2)+1,Q2047&lt;TODAY()),"SIM","NÃO")</f>
        <v>NÃO</v>
      </c>
    </row>
    <row r="2048" spans="1:18" hidden="1">
      <c r="A2048" t="s">
        <v>787</v>
      </c>
      <c r="B2048" t="s">
        <v>788</v>
      </c>
      <c r="C2048">
        <v>300000000</v>
      </c>
      <c r="D2048">
        <v>0</v>
      </c>
      <c r="E2048" t="s">
        <v>37</v>
      </c>
      <c r="F2048" t="s">
        <v>3215</v>
      </c>
      <c r="G2048">
        <v>10</v>
      </c>
      <c r="H2048" t="s">
        <v>2172</v>
      </c>
      <c r="J2048" t="s">
        <v>3876</v>
      </c>
      <c r="K2048" s="11">
        <v>46225.434872685182</v>
      </c>
      <c r="M2048">
        <v>1377</v>
      </c>
      <c r="N2048" t="s">
        <v>878</v>
      </c>
      <c r="O2048">
        <v>0</v>
      </c>
      <c r="P2048" s="5"/>
      <c r="Q2048" s="10">
        <f>INT(Tabela1[[#This Row],[DATA]])</f>
        <v>46225</v>
      </c>
      <c r="R2048" s="14" t="str">
        <f ca="1">IF(AND(Q2048&gt;=TODAY()-WEEKDAY(TODAY(),2)+1,Q2048&lt;TODAY()),"SIM","NÃO")</f>
        <v>NÃO</v>
      </c>
    </row>
    <row r="2049" spans="1:18" hidden="1">
      <c r="A2049" t="s">
        <v>332</v>
      </c>
      <c r="B2049" t="s">
        <v>690</v>
      </c>
      <c r="C2049">
        <v>300281670</v>
      </c>
      <c r="D2049">
        <v>16017315</v>
      </c>
      <c r="E2049" t="s">
        <v>45</v>
      </c>
      <c r="F2049" t="s">
        <v>2405</v>
      </c>
      <c r="G2049">
        <v>13</v>
      </c>
      <c r="H2049" t="s">
        <v>1966</v>
      </c>
      <c r="K2049" s="11">
        <v>46225.435243055559</v>
      </c>
      <c r="M2049">
        <v>1378</v>
      </c>
      <c r="N2049" t="s">
        <v>867</v>
      </c>
      <c r="O2049">
        <v>0</v>
      </c>
      <c r="P2049" s="5"/>
      <c r="Q2049" s="10">
        <f>INT(Tabela1[[#This Row],[DATA]])</f>
        <v>46225</v>
      </c>
      <c r="R2049" s="14" t="str">
        <f ca="1">IF(AND(Q2049&gt;=TODAY()-WEEKDAY(TODAY(),2)+1,Q2049&lt;TODAY()),"SIM","NÃO")</f>
        <v>NÃO</v>
      </c>
    </row>
    <row r="2050" spans="1:18" hidden="1">
      <c r="A2050" t="s">
        <v>2903</v>
      </c>
      <c r="B2050" t="s">
        <v>846</v>
      </c>
      <c r="C2050">
        <v>300284291</v>
      </c>
      <c r="D2050">
        <v>15864448</v>
      </c>
      <c r="E2050" t="s">
        <v>37</v>
      </c>
      <c r="F2050" t="s">
        <v>3215</v>
      </c>
      <c r="G2050">
        <v>1122</v>
      </c>
      <c r="H2050" t="s">
        <v>847</v>
      </c>
      <c r="K2050" s="11">
        <v>46225.472893518519</v>
      </c>
      <c r="M2050">
        <v>1379</v>
      </c>
      <c r="N2050" t="s">
        <v>878</v>
      </c>
      <c r="O2050" t="s">
        <v>848</v>
      </c>
      <c r="P2050" s="5"/>
      <c r="Q2050" s="10">
        <f>INT(Tabela1[[#This Row],[DATA]])</f>
        <v>46225</v>
      </c>
      <c r="R2050" s="14" t="str">
        <f ca="1">IF(AND(Q2050&gt;=TODAY()-WEEKDAY(TODAY(),2)+1,Q2050&lt;TODAY()),"SIM","NÃO")</f>
        <v>NÃO</v>
      </c>
    </row>
    <row r="2051" spans="1:18" hidden="1">
      <c r="A2051" t="s">
        <v>2578</v>
      </c>
      <c r="B2051" t="s">
        <v>69</v>
      </c>
      <c r="C2051">
        <v>300283153</v>
      </c>
      <c r="D2051">
        <v>16218019</v>
      </c>
      <c r="E2051" t="s">
        <v>37</v>
      </c>
      <c r="F2051" t="s">
        <v>3215</v>
      </c>
      <c r="G2051">
        <v>5</v>
      </c>
      <c r="H2051" t="s">
        <v>2039</v>
      </c>
      <c r="K2051" s="11">
        <v>46225.563217592593</v>
      </c>
      <c r="M2051">
        <v>1380</v>
      </c>
      <c r="N2051" t="s">
        <v>867</v>
      </c>
      <c r="O2051">
        <v>16218019</v>
      </c>
      <c r="P2051" s="5"/>
      <c r="Q2051" s="10">
        <f>INT(Tabela1[[#This Row],[DATA]])</f>
        <v>46225</v>
      </c>
      <c r="R2051" s="14" t="str">
        <f ca="1">IF(AND(Q2051&gt;=TODAY()-WEEKDAY(TODAY(),2)+1,Q2051&lt;TODAY()),"SIM","NÃO")</f>
        <v>NÃO</v>
      </c>
    </row>
    <row r="2052" spans="1:18" hidden="1">
      <c r="A2052" t="s">
        <v>2998</v>
      </c>
      <c r="B2052" t="s">
        <v>383</v>
      </c>
      <c r="C2052">
        <v>300279709</v>
      </c>
      <c r="D2052">
        <v>16027213</v>
      </c>
      <c r="E2052" t="s">
        <v>37</v>
      </c>
      <c r="F2052" t="s">
        <v>221</v>
      </c>
      <c r="G2052">
        <v>1040</v>
      </c>
      <c r="H2052" t="s">
        <v>3877</v>
      </c>
      <c r="J2052" t="s">
        <v>3878</v>
      </c>
      <c r="K2052" s="11">
        <v>46225.589953703704</v>
      </c>
      <c r="M2052">
        <v>1381</v>
      </c>
      <c r="N2052" t="s">
        <v>867</v>
      </c>
      <c r="O2052" t="s">
        <v>3829</v>
      </c>
      <c r="P2052" s="5"/>
      <c r="Q2052" s="10">
        <f>INT(Tabela1[[#This Row],[DATA]])</f>
        <v>46225</v>
      </c>
      <c r="R2052" s="14" t="str">
        <f ca="1">IF(AND(Q2052&gt;=TODAY()-WEEKDAY(TODAY(),2)+1,Q2052&lt;TODAY()),"SIM","NÃO")</f>
        <v>NÃO</v>
      </c>
    </row>
    <row r="2053" spans="1:18" hidden="1">
      <c r="A2053" t="s">
        <v>2998</v>
      </c>
      <c r="B2053" t="s">
        <v>383</v>
      </c>
      <c r="C2053">
        <v>300279709</v>
      </c>
      <c r="D2053">
        <v>16027213</v>
      </c>
      <c r="E2053" t="s">
        <v>37</v>
      </c>
      <c r="F2053" t="s">
        <v>3502</v>
      </c>
      <c r="G2053">
        <v>1040</v>
      </c>
      <c r="H2053" t="s">
        <v>3877</v>
      </c>
      <c r="J2053" t="s">
        <v>3879</v>
      </c>
      <c r="K2053" s="11">
        <v>46225.592129629629</v>
      </c>
      <c r="M2053">
        <v>1382</v>
      </c>
      <c r="N2053" t="s">
        <v>867</v>
      </c>
      <c r="O2053">
        <v>0</v>
      </c>
      <c r="P2053" s="5"/>
      <c r="Q2053" s="10">
        <f>INT(Tabela1[[#This Row],[DATA]])</f>
        <v>46225</v>
      </c>
      <c r="R2053" s="14" t="str">
        <f ca="1">IF(AND(Q2053&gt;=TODAY()-WEEKDAY(TODAY(),2)+1,Q2053&lt;TODAY()),"SIM","NÃO")</f>
        <v>NÃO</v>
      </c>
    </row>
    <row r="2054" spans="1:18" hidden="1">
      <c r="A2054" t="s">
        <v>163</v>
      </c>
      <c r="B2054" t="s">
        <v>164</v>
      </c>
      <c r="C2054">
        <v>300281371</v>
      </c>
      <c r="D2054">
        <v>15359492</v>
      </c>
      <c r="E2054" t="s">
        <v>29</v>
      </c>
      <c r="F2054" t="s">
        <v>2405</v>
      </c>
      <c r="G2054">
        <v>9</v>
      </c>
      <c r="H2054" t="s">
        <v>2292</v>
      </c>
      <c r="K2054" s="11">
        <v>46225.59270833333</v>
      </c>
      <c r="M2054">
        <v>1383</v>
      </c>
      <c r="N2054" t="s">
        <v>867</v>
      </c>
      <c r="O2054">
        <v>0</v>
      </c>
      <c r="P2054" s="5"/>
      <c r="Q2054" s="10">
        <f>INT(Tabela1[[#This Row],[DATA]])</f>
        <v>46225</v>
      </c>
      <c r="R2054" s="14" t="str">
        <f ca="1">IF(AND(Q2054&gt;=TODAY()-WEEKDAY(TODAY(),2)+1,Q2054&lt;TODAY()),"SIM","NÃO")</f>
        <v>NÃO</v>
      </c>
    </row>
    <row r="2055" spans="1:18" hidden="1">
      <c r="A2055" t="s">
        <v>2765</v>
      </c>
      <c r="B2055" t="s">
        <v>107</v>
      </c>
      <c r="C2055">
        <v>300281208</v>
      </c>
      <c r="D2055">
        <v>15973050</v>
      </c>
      <c r="E2055" t="s">
        <v>45</v>
      </c>
      <c r="F2055" t="s">
        <v>2405</v>
      </c>
      <c r="G2055">
        <v>169</v>
      </c>
      <c r="H2055" t="s">
        <v>2292</v>
      </c>
      <c r="K2055" s="11">
        <v>46225.596921296295</v>
      </c>
      <c r="M2055">
        <v>1384</v>
      </c>
      <c r="N2055" t="s">
        <v>867</v>
      </c>
      <c r="O2055">
        <v>0</v>
      </c>
      <c r="P2055" s="5"/>
      <c r="Q2055" s="10">
        <f>INT(Tabela1[[#This Row],[DATA]])</f>
        <v>46225</v>
      </c>
      <c r="R2055" s="14" t="str">
        <f ca="1">IF(AND(Q2055&gt;=TODAY()-WEEKDAY(TODAY(),2)+1,Q2055&lt;TODAY()),"SIM","NÃO")</f>
        <v>NÃO</v>
      </c>
    </row>
    <row r="2056" spans="1:18" hidden="1">
      <c r="A2056" t="s">
        <v>332</v>
      </c>
      <c r="B2056" t="s">
        <v>28</v>
      </c>
      <c r="C2056">
        <v>300280223</v>
      </c>
      <c r="D2056">
        <v>16491998</v>
      </c>
      <c r="E2056" t="s">
        <v>45</v>
      </c>
      <c r="F2056" t="s">
        <v>2405</v>
      </c>
      <c r="G2056">
        <v>6</v>
      </c>
      <c r="H2056" t="s">
        <v>1966</v>
      </c>
      <c r="K2056" s="11">
        <v>46225.60429398148</v>
      </c>
      <c r="M2056">
        <v>1385</v>
      </c>
      <c r="N2056" t="s">
        <v>867</v>
      </c>
      <c r="O2056">
        <v>0</v>
      </c>
      <c r="P2056" s="5"/>
      <c r="Q2056" s="10">
        <f>INT(Tabela1[[#This Row],[DATA]])</f>
        <v>46225</v>
      </c>
      <c r="R2056" s="14" t="str">
        <f ca="1">IF(AND(Q2056&gt;=TODAY()-WEEKDAY(TODAY(),2)+1,Q2056&lt;TODAY()),"SIM","NÃO")</f>
        <v>NÃO</v>
      </c>
    </row>
    <row r="2057" spans="1:18" hidden="1">
      <c r="A2057" t="s">
        <v>489</v>
      </c>
      <c r="B2057" t="s">
        <v>490</v>
      </c>
      <c r="C2057">
        <v>300281094</v>
      </c>
      <c r="D2057">
        <v>16488229</v>
      </c>
      <c r="E2057" t="s">
        <v>37</v>
      </c>
      <c r="F2057" t="s">
        <v>203</v>
      </c>
      <c r="G2057">
        <v>912</v>
      </c>
      <c r="H2057" t="s">
        <v>3880</v>
      </c>
      <c r="J2057" t="s">
        <v>3881</v>
      </c>
      <c r="K2057" s="11">
        <v>46225.608090277776</v>
      </c>
      <c r="M2057">
        <v>1386</v>
      </c>
      <c r="N2057" t="s">
        <v>867</v>
      </c>
      <c r="O2057">
        <v>0</v>
      </c>
      <c r="P2057" s="5"/>
      <c r="Q2057" s="10">
        <f>INT(Tabela1[[#This Row],[DATA]])</f>
        <v>46225</v>
      </c>
      <c r="R2057" s="14" t="str">
        <f ca="1">IF(AND(Q2057&gt;=TODAY()-WEEKDAY(TODAY(),2)+1,Q2057&lt;TODAY()),"SIM","NÃO")</f>
        <v>NÃO</v>
      </c>
    </row>
    <row r="2058" spans="1:18" hidden="1">
      <c r="A2058" t="s">
        <v>3513</v>
      </c>
      <c r="B2058" t="s">
        <v>3688</v>
      </c>
      <c r="C2058">
        <v>300281117</v>
      </c>
      <c r="D2058">
        <v>16507665</v>
      </c>
      <c r="E2058" t="s">
        <v>37</v>
      </c>
      <c r="F2058" t="s">
        <v>3241</v>
      </c>
      <c r="G2058" t="s">
        <v>3882</v>
      </c>
      <c r="H2058" t="s">
        <v>3883</v>
      </c>
      <c r="J2058" t="s">
        <v>3884</v>
      </c>
      <c r="K2058" s="11">
        <v>46225.610208333332</v>
      </c>
      <c r="M2058">
        <v>1387</v>
      </c>
      <c r="N2058" t="s">
        <v>867</v>
      </c>
      <c r="O2058">
        <v>0</v>
      </c>
      <c r="P2058" s="5"/>
      <c r="Q2058" s="10">
        <f>INT(Tabela1[[#This Row],[DATA]])</f>
        <v>46225</v>
      </c>
      <c r="R2058" s="14" t="str">
        <f ca="1">IF(AND(Q2058&gt;=TODAY()-WEEKDAY(TODAY(),2)+1,Q2058&lt;TODAY()),"SIM","NÃO")</f>
        <v>NÃO</v>
      </c>
    </row>
    <row r="2059" spans="1:18" hidden="1">
      <c r="A2059" t="s">
        <v>3132</v>
      </c>
      <c r="B2059" t="s">
        <v>242</v>
      </c>
      <c r="C2059">
        <v>300277470</v>
      </c>
      <c r="D2059">
        <v>16473965</v>
      </c>
      <c r="E2059" t="s">
        <v>37</v>
      </c>
      <c r="F2059" t="s">
        <v>3461</v>
      </c>
      <c r="G2059">
        <v>10</v>
      </c>
      <c r="H2059" t="s">
        <v>3885</v>
      </c>
      <c r="K2059" s="11">
        <v>46225.613333333335</v>
      </c>
      <c r="M2059">
        <v>1388</v>
      </c>
      <c r="N2059" t="s">
        <v>878</v>
      </c>
      <c r="O2059" t="s">
        <v>3886</v>
      </c>
      <c r="P2059" s="5"/>
      <c r="Q2059" s="10">
        <f>INT(Tabela1[[#This Row],[DATA]])</f>
        <v>46225</v>
      </c>
      <c r="R2059" s="14" t="str">
        <f ca="1">IF(AND(Q2059&gt;=TODAY()-WEEKDAY(TODAY(),2)+1,Q2059&lt;TODAY()),"SIM","NÃO")</f>
        <v>NÃO</v>
      </c>
    </row>
    <row r="2060" spans="1:18" hidden="1">
      <c r="A2060" t="s">
        <v>3132</v>
      </c>
      <c r="B2060" t="s">
        <v>242</v>
      </c>
      <c r="C2060">
        <v>300277470</v>
      </c>
      <c r="D2060">
        <v>16473965</v>
      </c>
      <c r="E2060" t="s">
        <v>37</v>
      </c>
      <c r="F2060" t="s">
        <v>3366</v>
      </c>
      <c r="G2060">
        <v>30</v>
      </c>
      <c r="H2060" t="s">
        <v>3887</v>
      </c>
      <c r="K2060" s="11">
        <v>46225.614016203705</v>
      </c>
      <c r="M2060">
        <v>1389</v>
      </c>
      <c r="N2060" t="s">
        <v>878</v>
      </c>
      <c r="O2060" t="s">
        <v>3888</v>
      </c>
      <c r="P2060" s="5"/>
      <c r="Q2060" s="10">
        <f>INT(Tabela1[[#This Row],[DATA]])</f>
        <v>46225</v>
      </c>
      <c r="R2060" s="14" t="str">
        <f ca="1">IF(AND(Q2060&gt;=TODAY()-WEEKDAY(TODAY(),2)+1,Q2060&lt;TODAY()),"SIM","NÃO")</f>
        <v>NÃO</v>
      </c>
    </row>
    <row r="2061" spans="1:18" hidden="1">
      <c r="A2061" t="s">
        <v>191</v>
      </c>
      <c r="B2061" t="s">
        <v>192</v>
      </c>
      <c r="C2061">
        <v>300282831</v>
      </c>
      <c r="D2061">
        <v>15238385</v>
      </c>
      <c r="E2061" t="s">
        <v>29</v>
      </c>
      <c r="F2061" t="s">
        <v>3502</v>
      </c>
      <c r="G2061">
        <v>700</v>
      </c>
      <c r="H2061" t="s">
        <v>3889</v>
      </c>
      <c r="J2061" t="s">
        <v>3890</v>
      </c>
      <c r="K2061" s="11">
        <v>46225.619432870371</v>
      </c>
      <c r="M2061">
        <v>1390</v>
      </c>
      <c r="N2061" t="s">
        <v>867</v>
      </c>
      <c r="O2061">
        <v>0</v>
      </c>
      <c r="P2061" s="5"/>
      <c r="Q2061" s="10">
        <f>INT(Tabela1[[#This Row],[DATA]])</f>
        <v>46225</v>
      </c>
      <c r="R2061" s="14" t="str">
        <f ca="1">IF(AND(Q2061&gt;=TODAY()-WEEKDAY(TODAY(),2)+1,Q2061&lt;TODAY()),"SIM","NÃO")</f>
        <v>NÃO</v>
      </c>
    </row>
    <row r="2062" spans="1:18" hidden="1">
      <c r="A2062" t="s">
        <v>249</v>
      </c>
      <c r="B2062" t="s">
        <v>112</v>
      </c>
      <c r="C2062">
        <v>300279354</v>
      </c>
      <c r="D2062">
        <v>15363546</v>
      </c>
      <c r="E2062" t="s">
        <v>45</v>
      </c>
      <c r="F2062" t="s">
        <v>3212</v>
      </c>
      <c r="G2062">
        <v>31</v>
      </c>
      <c r="H2062" t="s">
        <v>1335</v>
      </c>
      <c r="K2062" s="11">
        <v>46225.638807870368</v>
      </c>
      <c r="M2062">
        <v>1391</v>
      </c>
      <c r="N2062" t="s">
        <v>867</v>
      </c>
      <c r="O2062">
        <v>0</v>
      </c>
      <c r="P2062" s="5"/>
      <c r="Q2062" s="10">
        <f>INT(Tabela1[[#This Row],[DATA]])</f>
        <v>46225</v>
      </c>
      <c r="R2062" s="14" t="str">
        <f ca="1">IF(AND(Q2062&gt;=TODAY()-WEEKDAY(TODAY(),2)+1,Q2062&lt;TODAY()),"SIM","NÃO")</f>
        <v>NÃO</v>
      </c>
    </row>
    <row r="2063" spans="1:18" hidden="1">
      <c r="A2063" t="s">
        <v>685</v>
      </c>
      <c r="B2063" t="s">
        <v>95</v>
      </c>
      <c r="C2063">
        <v>300281953</v>
      </c>
      <c r="D2063">
        <v>16507975</v>
      </c>
      <c r="E2063" t="s">
        <v>37</v>
      </c>
      <c r="F2063" t="s">
        <v>221</v>
      </c>
      <c r="G2063">
        <v>896</v>
      </c>
      <c r="H2063" t="s">
        <v>3891</v>
      </c>
      <c r="J2063" t="s">
        <v>3892</v>
      </c>
      <c r="K2063" s="11">
        <v>46225.643379629626</v>
      </c>
      <c r="M2063">
        <v>1392</v>
      </c>
      <c r="N2063" t="s">
        <v>867</v>
      </c>
      <c r="O2063">
        <v>1</v>
      </c>
      <c r="P2063" s="5"/>
      <c r="Q2063" s="10">
        <f>INT(Tabela1[[#This Row],[DATA]])</f>
        <v>46225</v>
      </c>
      <c r="R2063" s="14" t="str">
        <f ca="1">IF(AND(Q2063&gt;=TODAY()-WEEKDAY(TODAY(),2)+1,Q2063&lt;TODAY()),"SIM","NÃO")</f>
        <v>NÃO</v>
      </c>
    </row>
    <row r="2064" spans="1:18" hidden="1">
      <c r="A2064" t="s">
        <v>35</v>
      </c>
      <c r="B2064" t="s">
        <v>36</v>
      </c>
      <c r="C2064">
        <v>300000000</v>
      </c>
      <c r="D2064">
        <v>0</v>
      </c>
      <c r="E2064" t="s">
        <v>37</v>
      </c>
      <c r="F2064" t="s">
        <v>3215</v>
      </c>
      <c r="G2064">
        <v>3</v>
      </c>
      <c r="H2064" t="s">
        <v>3216</v>
      </c>
      <c r="K2064" s="11">
        <v>46225.652696759258</v>
      </c>
      <c r="M2064">
        <v>1393</v>
      </c>
      <c r="N2064" t="s">
        <v>867</v>
      </c>
      <c r="O2064">
        <v>0</v>
      </c>
      <c r="P2064" s="5"/>
      <c r="Q2064" s="10">
        <f>INT(Tabela1[[#This Row],[DATA]])</f>
        <v>46225</v>
      </c>
      <c r="R2064" s="14" t="str">
        <f ca="1">IF(AND(Q2064&gt;=TODAY()-WEEKDAY(TODAY(),2)+1,Q2064&lt;TODAY()),"SIM","NÃO")</f>
        <v>NÃO</v>
      </c>
    </row>
    <row r="2065" spans="1:18" hidden="1">
      <c r="A2065" t="s">
        <v>2541</v>
      </c>
      <c r="B2065" t="s">
        <v>388</v>
      </c>
      <c r="C2065">
        <v>300277057</v>
      </c>
      <c r="D2065">
        <v>16217420</v>
      </c>
      <c r="E2065" t="s">
        <v>37</v>
      </c>
      <c r="F2065" t="s">
        <v>2405</v>
      </c>
      <c r="G2065">
        <v>1</v>
      </c>
      <c r="H2065" t="s">
        <v>2313</v>
      </c>
      <c r="K2065" s="11">
        <v>46225.653043981481</v>
      </c>
      <c r="M2065">
        <v>1394</v>
      </c>
      <c r="N2065" t="s">
        <v>867</v>
      </c>
      <c r="O2065">
        <v>0</v>
      </c>
      <c r="P2065" s="5"/>
      <c r="Q2065" s="10">
        <f>INT(Tabela1[[#This Row],[DATA]])</f>
        <v>46225</v>
      </c>
      <c r="R2065" s="14" t="str">
        <f ca="1">IF(AND(Q2065&gt;=TODAY()-WEEKDAY(TODAY(),2)+1,Q2065&lt;TODAY()),"SIM","NÃO")</f>
        <v>NÃO</v>
      </c>
    </row>
    <row r="2066" spans="1:18" hidden="1">
      <c r="A2066" t="s">
        <v>253</v>
      </c>
      <c r="B2066" t="s">
        <v>254</v>
      </c>
      <c r="C2066">
        <v>300283432</v>
      </c>
      <c r="D2066">
        <v>15206637</v>
      </c>
      <c r="E2066" t="s">
        <v>45</v>
      </c>
      <c r="F2066" t="s">
        <v>323</v>
      </c>
      <c r="G2066">
        <v>1</v>
      </c>
      <c r="H2066" t="s">
        <v>3222</v>
      </c>
      <c r="K2066" s="11">
        <v>46225.653310185182</v>
      </c>
      <c r="M2066">
        <v>1395</v>
      </c>
      <c r="N2066" t="s">
        <v>867</v>
      </c>
      <c r="O2066">
        <v>0</v>
      </c>
      <c r="P2066" s="5"/>
      <c r="Q2066" s="10">
        <f>INT(Tabela1[[#This Row],[DATA]])</f>
        <v>46225</v>
      </c>
      <c r="R2066" s="14" t="str">
        <f ca="1">IF(AND(Q2066&gt;=TODAY()-WEEKDAY(TODAY(),2)+1,Q2066&lt;TODAY()),"SIM","NÃO")</f>
        <v>NÃO</v>
      </c>
    </row>
    <row r="2067" spans="1:18" hidden="1">
      <c r="A2067" t="s">
        <v>249</v>
      </c>
      <c r="B2067" t="s">
        <v>3893</v>
      </c>
      <c r="C2067">
        <v>300283983</v>
      </c>
      <c r="D2067">
        <v>14938570</v>
      </c>
      <c r="E2067" t="s">
        <v>45</v>
      </c>
      <c r="F2067" t="s">
        <v>2405</v>
      </c>
      <c r="G2067">
        <v>10</v>
      </c>
      <c r="H2067" t="s">
        <v>2843</v>
      </c>
      <c r="K2067" s="11">
        <v>46225.656898148147</v>
      </c>
      <c r="M2067">
        <v>1396</v>
      </c>
      <c r="N2067" t="s">
        <v>867</v>
      </c>
      <c r="O2067">
        <v>0</v>
      </c>
      <c r="P2067" s="5"/>
      <c r="Q2067" s="10">
        <f>INT(Tabela1[[#This Row],[DATA]])</f>
        <v>46225</v>
      </c>
      <c r="R2067" s="14" t="str">
        <f ca="1">IF(AND(Q2067&gt;=TODAY()-WEEKDAY(TODAY(),2)+1,Q2067&lt;TODAY()),"SIM","NÃO")</f>
        <v>NÃO</v>
      </c>
    </row>
    <row r="2068" spans="1:18" hidden="1">
      <c r="A2068" t="s">
        <v>755</v>
      </c>
      <c r="B2068" t="s">
        <v>756</v>
      </c>
      <c r="C2068">
        <v>300279305</v>
      </c>
      <c r="D2068">
        <v>16513649</v>
      </c>
      <c r="E2068" t="s">
        <v>37</v>
      </c>
      <c r="F2068" t="s">
        <v>221</v>
      </c>
      <c r="G2068">
        <v>700</v>
      </c>
      <c r="H2068" t="s">
        <v>1749</v>
      </c>
      <c r="J2068" t="s">
        <v>3894</v>
      </c>
      <c r="K2068" s="11">
        <v>46225.661076388889</v>
      </c>
      <c r="M2068">
        <v>1397</v>
      </c>
      <c r="N2068" t="s">
        <v>878</v>
      </c>
      <c r="O2068" t="s">
        <v>3895</v>
      </c>
      <c r="P2068" s="5"/>
      <c r="Q2068" s="10">
        <f>INT(Tabela1[[#This Row],[DATA]])</f>
        <v>46225</v>
      </c>
      <c r="R2068" s="14" t="str">
        <f ca="1">IF(AND(Q2068&gt;=TODAY()-WEEKDAY(TODAY(),2)+1,Q2068&lt;TODAY()),"SIM","NÃO")</f>
        <v>NÃO</v>
      </c>
    </row>
    <row r="2069" spans="1:18" hidden="1">
      <c r="A2069" t="s">
        <v>163</v>
      </c>
      <c r="B2069" t="s">
        <v>164</v>
      </c>
      <c r="C2069">
        <v>300281417</v>
      </c>
      <c r="D2069">
        <v>16447964</v>
      </c>
      <c r="E2069" t="s">
        <v>37</v>
      </c>
      <c r="F2069" t="s">
        <v>2405</v>
      </c>
      <c r="G2069">
        <v>30</v>
      </c>
      <c r="H2069" t="s">
        <v>2930</v>
      </c>
      <c r="K2069" s="11">
        <v>46225.680810185186</v>
      </c>
      <c r="M2069">
        <v>1398</v>
      </c>
      <c r="N2069" t="s">
        <v>867</v>
      </c>
      <c r="O2069">
        <v>0</v>
      </c>
      <c r="P2069" s="5"/>
      <c r="Q2069" s="10">
        <f>INT(Tabela1[[#This Row],[DATA]])</f>
        <v>46225</v>
      </c>
      <c r="R2069" s="14" t="str">
        <f ca="1">IF(AND(Q2069&gt;=TODAY()-WEEKDAY(TODAY(),2)+1,Q2069&lt;TODAY()),"SIM","NÃO")</f>
        <v>NÃO</v>
      </c>
    </row>
    <row r="2070" spans="1:18" hidden="1">
      <c r="A2070" t="s">
        <v>2967</v>
      </c>
      <c r="B2070" t="s">
        <v>2968</v>
      </c>
      <c r="C2070">
        <v>300273321</v>
      </c>
      <c r="D2070">
        <v>15775615</v>
      </c>
      <c r="E2070" t="s">
        <v>37</v>
      </c>
      <c r="F2070" t="s">
        <v>216</v>
      </c>
      <c r="G2070">
        <v>30</v>
      </c>
      <c r="H2070" t="s">
        <v>2410</v>
      </c>
      <c r="J2070" t="s">
        <v>3896</v>
      </c>
      <c r="K2070" s="11">
        <v>46225.695405092592</v>
      </c>
      <c r="M2070">
        <v>1399</v>
      </c>
      <c r="N2070" t="s">
        <v>867</v>
      </c>
      <c r="O2070">
        <v>350</v>
      </c>
      <c r="P2070" s="5"/>
      <c r="Q2070" s="10">
        <f>INT(Tabela1[[#This Row],[DATA]])</f>
        <v>46225</v>
      </c>
      <c r="R2070" s="14" t="str">
        <f ca="1">IF(AND(Q2070&gt;=TODAY()-WEEKDAY(TODAY(),2)+1,Q2070&lt;TODAY()),"SIM","NÃO")</f>
        <v>NÃO</v>
      </c>
    </row>
    <row r="2071" spans="1:18" hidden="1">
      <c r="A2071" t="s">
        <v>2967</v>
      </c>
      <c r="B2071" t="s">
        <v>2968</v>
      </c>
      <c r="C2071">
        <v>300273321</v>
      </c>
      <c r="D2071">
        <v>15775615</v>
      </c>
      <c r="E2071" t="s">
        <v>37</v>
      </c>
      <c r="F2071" t="s">
        <v>2405</v>
      </c>
      <c r="G2071">
        <v>14</v>
      </c>
      <c r="H2071" t="s">
        <v>2410</v>
      </c>
      <c r="J2071" t="s">
        <v>3897</v>
      </c>
      <c r="K2071" s="11">
        <v>46225.705196759256</v>
      </c>
      <c r="M2071">
        <v>1400</v>
      </c>
      <c r="N2071" t="s">
        <v>867</v>
      </c>
      <c r="O2071">
        <v>350</v>
      </c>
      <c r="P2071" s="5"/>
      <c r="Q2071" s="10">
        <f>INT(Tabela1[[#This Row],[DATA]])</f>
        <v>46225</v>
      </c>
      <c r="R2071" s="14" t="str">
        <f ca="1">IF(AND(Q2071&gt;=TODAY()-WEEKDAY(TODAY(),2)+1,Q2071&lt;TODAY()),"SIM","NÃO")</f>
        <v>NÃO</v>
      </c>
    </row>
    <row r="2072" spans="1:18" hidden="1">
      <c r="A2072" t="s">
        <v>2649</v>
      </c>
      <c r="B2072" t="s">
        <v>137</v>
      </c>
      <c r="C2072">
        <v>300282791</v>
      </c>
      <c r="D2072">
        <v>16431952</v>
      </c>
      <c r="E2072" t="s">
        <v>37</v>
      </c>
      <c r="F2072" t="s">
        <v>3241</v>
      </c>
      <c r="G2072">
        <v>500</v>
      </c>
      <c r="H2072" t="s">
        <v>2318</v>
      </c>
      <c r="K2072" s="11">
        <v>46225.718124999999</v>
      </c>
      <c r="M2072">
        <v>1401</v>
      </c>
      <c r="N2072" t="s">
        <v>867</v>
      </c>
      <c r="O2072" t="s">
        <v>3898</v>
      </c>
      <c r="P2072" s="5"/>
      <c r="Q2072" s="10">
        <f>INT(Tabela1[[#This Row],[DATA]])</f>
        <v>46225</v>
      </c>
      <c r="R2072" s="14" t="str">
        <f ca="1">IF(AND(Q2072&gt;=TODAY()-WEEKDAY(TODAY(),2)+1,Q2072&lt;TODAY()),"SIM","NÃO")</f>
        <v>NÃO</v>
      </c>
    </row>
    <row r="2073" spans="1:18" hidden="1">
      <c r="A2073" t="s">
        <v>497</v>
      </c>
      <c r="B2073" t="s">
        <v>498</v>
      </c>
      <c r="C2073">
        <v>300282098</v>
      </c>
      <c r="D2073">
        <v>15359492</v>
      </c>
      <c r="E2073" t="s">
        <v>29</v>
      </c>
      <c r="F2073" t="s">
        <v>3899</v>
      </c>
      <c r="G2073">
        <v>250</v>
      </c>
      <c r="H2073" t="s">
        <v>2281</v>
      </c>
      <c r="J2073" t="s">
        <v>2284</v>
      </c>
      <c r="K2073" s="11">
        <v>46225.721851851849</v>
      </c>
      <c r="M2073">
        <v>1402</v>
      </c>
      <c r="N2073" t="s">
        <v>867</v>
      </c>
      <c r="O2073">
        <v>150</v>
      </c>
      <c r="P2073" s="5"/>
      <c r="Q2073" s="10">
        <f>INT(Tabela1[[#This Row],[DATA]])</f>
        <v>46225</v>
      </c>
      <c r="R2073" s="14" t="str">
        <f ca="1">IF(AND(Q2073&gt;=TODAY()-WEEKDAY(TODAY(),2)+1,Q2073&lt;TODAY()),"SIM","NÃO")</f>
        <v>NÃO</v>
      </c>
    </row>
    <row r="2074" spans="1:18" hidden="1">
      <c r="A2074" t="s">
        <v>2656</v>
      </c>
      <c r="B2074" t="s">
        <v>119</v>
      </c>
      <c r="C2074">
        <v>300277546</v>
      </c>
      <c r="D2074">
        <v>16523806</v>
      </c>
      <c r="E2074" t="s">
        <v>37</v>
      </c>
      <c r="F2074" t="s">
        <v>216</v>
      </c>
      <c r="G2074" t="s">
        <v>3900</v>
      </c>
      <c r="H2074" t="s">
        <v>3901</v>
      </c>
      <c r="J2074" t="s">
        <v>3902</v>
      </c>
      <c r="K2074" s="11">
        <v>46225.758726851855</v>
      </c>
      <c r="M2074">
        <v>1403</v>
      </c>
      <c r="N2074" t="s">
        <v>867</v>
      </c>
      <c r="O2074">
        <v>0</v>
      </c>
      <c r="P2074" s="5"/>
      <c r="Q2074" s="10">
        <f>INT(Tabela1[[#This Row],[DATA]])</f>
        <v>46225</v>
      </c>
      <c r="R2074" s="14" t="str">
        <f ca="1">IF(AND(Q2074&gt;=TODAY()-WEEKDAY(TODAY(),2)+1,Q2074&lt;TODAY()),"SIM","NÃO")</f>
        <v>NÃO</v>
      </c>
    </row>
    <row r="2075" spans="1:18" hidden="1">
      <c r="A2075" t="s">
        <v>101</v>
      </c>
      <c r="B2075" t="s">
        <v>990</v>
      </c>
      <c r="C2075">
        <v>300280109</v>
      </c>
      <c r="D2075">
        <v>15943720</v>
      </c>
      <c r="E2075" t="s">
        <v>37</v>
      </c>
      <c r="F2075" t="s">
        <v>2405</v>
      </c>
      <c r="G2075">
        <v>10</v>
      </c>
      <c r="H2075" t="s">
        <v>3903</v>
      </c>
      <c r="J2075" t="s">
        <v>3904</v>
      </c>
      <c r="K2075" s="11">
        <v>46225.760509259257</v>
      </c>
      <c r="M2075">
        <v>1404</v>
      </c>
      <c r="N2075" t="s">
        <v>867</v>
      </c>
      <c r="O2075">
        <v>0</v>
      </c>
      <c r="P2075" s="5"/>
      <c r="Q2075" s="10">
        <f>INT(Tabela1[[#This Row],[DATA]])</f>
        <v>46225</v>
      </c>
      <c r="R2075" s="14" t="str">
        <f ca="1">IF(AND(Q2075&gt;=TODAY()-WEEKDAY(TODAY(),2)+1,Q2075&lt;TODAY()),"SIM","NÃO")</f>
        <v>NÃO</v>
      </c>
    </row>
    <row r="2076" spans="1:18" hidden="1">
      <c r="A2076" t="s">
        <v>2656</v>
      </c>
      <c r="B2076" t="s">
        <v>3905</v>
      </c>
      <c r="C2076">
        <v>300277546</v>
      </c>
      <c r="D2076">
        <v>16523806</v>
      </c>
      <c r="E2076" t="s">
        <v>37</v>
      </c>
      <c r="F2076" t="s">
        <v>151</v>
      </c>
      <c r="G2076">
        <v>7</v>
      </c>
      <c r="H2076" t="s">
        <v>3906</v>
      </c>
      <c r="J2076" t="s">
        <v>3907</v>
      </c>
      <c r="K2076" s="11">
        <v>46225.766250000001</v>
      </c>
      <c r="M2076">
        <v>1405</v>
      </c>
      <c r="N2076" t="s">
        <v>867</v>
      </c>
      <c r="O2076">
        <v>0</v>
      </c>
      <c r="P2076" s="5"/>
      <c r="Q2076" s="10">
        <f>INT(Tabela1[[#This Row],[DATA]])</f>
        <v>46225</v>
      </c>
      <c r="R2076" s="14" t="str">
        <f ca="1">IF(AND(Q2076&gt;=TODAY()-WEEKDAY(TODAY(),2)+1,Q2076&lt;TODAY()),"SIM","NÃO")</f>
        <v>NÃO</v>
      </c>
    </row>
    <row r="2077" spans="1:18" hidden="1">
      <c r="A2077" t="s">
        <v>2551</v>
      </c>
      <c r="B2077" t="s">
        <v>274</v>
      </c>
      <c r="C2077">
        <v>300283294</v>
      </c>
      <c r="D2077">
        <v>16448022</v>
      </c>
      <c r="E2077" t="s">
        <v>29</v>
      </c>
      <c r="F2077" t="s">
        <v>259</v>
      </c>
      <c r="G2077">
        <v>10</v>
      </c>
      <c r="H2077" t="s">
        <v>3908</v>
      </c>
      <c r="K2077" s="11">
        <v>46226.340428240743</v>
      </c>
      <c r="M2077">
        <v>1406</v>
      </c>
      <c r="N2077" t="s">
        <v>867</v>
      </c>
      <c r="O2077" t="s">
        <v>3909</v>
      </c>
      <c r="P2077" s="5"/>
      <c r="Q2077" s="10">
        <f>INT(Tabela1[[#This Row],[DATA]])</f>
        <v>46226</v>
      </c>
      <c r="R2077" s="14" t="str">
        <f ca="1">IF(AND(Q2077&gt;=TODAY()-WEEKDAY(TODAY(),2)+1,Q2077&lt;TODAY()),"SIM","NÃO")</f>
        <v>NÃO</v>
      </c>
    </row>
    <row r="2078" spans="1:18" hidden="1">
      <c r="A2078" t="s">
        <v>2551</v>
      </c>
      <c r="B2078" t="s">
        <v>274</v>
      </c>
      <c r="C2078">
        <v>300283294</v>
      </c>
      <c r="D2078">
        <v>16448022</v>
      </c>
      <c r="E2078" t="s">
        <v>29</v>
      </c>
      <c r="F2078" t="s">
        <v>3241</v>
      </c>
      <c r="G2078">
        <v>5</v>
      </c>
      <c r="H2078" t="s">
        <v>2344</v>
      </c>
      <c r="K2078" s="11">
        <v>46226.341898148145</v>
      </c>
      <c r="M2078">
        <v>1407</v>
      </c>
      <c r="N2078" t="s">
        <v>867</v>
      </c>
      <c r="O2078" t="s">
        <v>3910</v>
      </c>
      <c r="P2078" s="5"/>
      <c r="Q2078" s="10">
        <f>INT(Tabela1[[#This Row],[DATA]])</f>
        <v>46226</v>
      </c>
      <c r="R2078" s="14" t="str">
        <f ca="1">IF(AND(Q2078&gt;=TODAY()-WEEKDAY(TODAY(),2)+1,Q2078&lt;TODAY()),"SIM","NÃO")</f>
        <v>NÃO</v>
      </c>
    </row>
    <row r="2079" spans="1:18" hidden="1">
      <c r="A2079" t="s">
        <v>191</v>
      </c>
      <c r="B2079" t="s">
        <v>192</v>
      </c>
      <c r="C2079">
        <v>300279121</v>
      </c>
      <c r="D2079">
        <v>16223780</v>
      </c>
      <c r="E2079" t="s">
        <v>45</v>
      </c>
      <c r="F2079" t="s">
        <v>3241</v>
      </c>
      <c r="G2079">
        <v>10</v>
      </c>
      <c r="H2079" t="s">
        <v>3911</v>
      </c>
      <c r="K2079" s="11">
        <v>46226.346828703703</v>
      </c>
      <c r="M2079">
        <v>1408</v>
      </c>
      <c r="N2079" t="s">
        <v>867</v>
      </c>
      <c r="O2079">
        <v>10000072593</v>
      </c>
      <c r="P2079" s="5"/>
      <c r="Q2079" s="10">
        <f>INT(Tabela1[[#This Row],[DATA]])</f>
        <v>46226</v>
      </c>
      <c r="R2079" s="14" t="str">
        <f ca="1">IF(AND(Q2079&gt;=TODAY()-WEEKDAY(TODAY(),2)+1,Q2079&lt;TODAY()),"SIM","NÃO")</f>
        <v>NÃO</v>
      </c>
    </row>
    <row r="2080" spans="1:18" hidden="1">
      <c r="A2080" t="s">
        <v>2551</v>
      </c>
      <c r="B2080" t="s">
        <v>274</v>
      </c>
      <c r="C2080">
        <v>300284027</v>
      </c>
      <c r="D2080">
        <v>16442563</v>
      </c>
      <c r="E2080" t="s">
        <v>29</v>
      </c>
      <c r="F2080" t="s">
        <v>259</v>
      </c>
      <c r="G2080">
        <v>10</v>
      </c>
      <c r="H2080" t="s">
        <v>2344</v>
      </c>
      <c r="K2080" s="11">
        <v>46226.348124999997</v>
      </c>
      <c r="M2080">
        <v>1409</v>
      </c>
      <c r="N2080" t="s">
        <v>867</v>
      </c>
      <c r="O2080" t="s">
        <v>3912</v>
      </c>
      <c r="P2080" s="5"/>
      <c r="Q2080" s="10">
        <f>INT(Tabela1[[#This Row],[DATA]])</f>
        <v>46226</v>
      </c>
      <c r="R2080" s="14" t="str">
        <f ca="1">IF(AND(Q2080&gt;=TODAY()-WEEKDAY(TODAY(),2)+1,Q2080&lt;TODAY()),"SIM","NÃO")</f>
        <v>NÃO</v>
      </c>
    </row>
    <row r="2081" spans="1:18" hidden="1">
      <c r="A2081" t="s">
        <v>191</v>
      </c>
      <c r="B2081" t="s">
        <v>192</v>
      </c>
      <c r="C2081">
        <v>300279121</v>
      </c>
      <c r="D2081">
        <v>16223780</v>
      </c>
      <c r="E2081" t="s">
        <v>45</v>
      </c>
      <c r="F2081" t="s">
        <v>259</v>
      </c>
      <c r="G2081">
        <v>10</v>
      </c>
      <c r="H2081" t="s">
        <v>2039</v>
      </c>
      <c r="K2081" s="11">
        <v>46226.348275462966</v>
      </c>
      <c r="M2081">
        <v>1410</v>
      </c>
      <c r="N2081" t="s">
        <v>867</v>
      </c>
      <c r="O2081">
        <v>10000072019</v>
      </c>
      <c r="P2081" s="5"/>
      <c r="Q2081" s="10">
        <f>INT(Tabela1[[#This Row],[DATA]])</f>
        <v>46226</v>
      </c>
      <c r="R2081" s="14" t="str">
        <f ca="1">IF(AND(Q2081&gt;=TODAY()-WEEKDAY(TODAY(),2)+1,Q2081&lt;TODAY()),"SIM","NÃO")</f>
        <v>NÃO</v>
      </c>
    </row>
    <row r="2082" spans="1:18" hidden="1">
      <c r="A2082" t="s">
        <v>2551</v>
      </c>
      <c r="B2082" t="s">
        <v>274</v>
      </c>
      <c r="C2082">
        <v>300284027</v>
      </c>
      <c r="D2082">
        <v>16442563</v>
      </c>
      <c r="E2082" t="s">
        <v>29</v>
      </c>
      <c r="F2082" t="s">
        <v>3241</v>
      </c>
      <c r="G2082">
        <v>4</v>
      </c>
      <c r="H2082" t="s">
        <v>2344</v>
      </c>
      <c r="K2082" s="11">
        <v>46226.349675925929</v>
      </c>
      <c r="M2082">
        <v>1411</v>
      </c>
      <c r="N2082" t="s">
        <v>867</v>
      </c>
      <c r="O2082" t="s">
        <v>3913</v>
      </c>
      <c r="P2082" s="5"/>
      <c r="Q2082" s="10">
        <f>INT(Tabela1[[#This Row],[DATA]])</f>
        <v>46226</v>
      </c>
      <c r="R2082" s="14" t="str">
        <f ca="1">IF(AND(Q2082&gt;=TODAY()-WEEKDAY(TODAY(),2)+1,Q2082&lt;TODAY()),"SIM","NÃO")</f>
        <v>NÃO</v>
      </c>
    </row>
    <row r="2083" spans="1:18" hidden="1">
      <c r="A2083" t="s">
        <v>2748</v>
      </c>
      <c r="B2083" t="s">
        <v>3454</v>
      </c>
      <c r="C2083">
        <v>300281502</v>
      </c>
      <c r="D2083">
        <v>16507657</v>
      </c>
      <c r="E2083" t="s">
        <v>37</v>
      </c>
      <c r="F2083" t="s">
        <v>177</v>
      </c>
      <c r="G2083">
        <v>200</v>
      </c>
      <c r="H2083" t="s">
        <v>2284</v>
      </c>
      <c r="J2083" t="s">
        <v>3914</v>
      </c>
      <c r="K2083" s="11">
        <v>46226.350937499999</v>
      </c>
      <c r="M2083">
        <v>1412</v>
      </c>
      <c r="N2083" t="s">
        <v>867</v>
      </c>
      <c r="O2083">
        <v>10000241455</v>
      </c>
      <c r="P2083" s="5"/>
      <c r="Q2083" s="10">
        <f>INT(Tabela1[[#This Row],[DATA]])</f>
        <v>46226</v>
      </c>
      <c r="R2083" s="14" t="str">
        <f ca="1">IF(AND(Q2083&gt;=TODAY()-WEEKDAY(TODAY(),2)+1,Q2083&lt;TODAY()),"SIM","NÃO")</f>
        <v>NÃO</v>
      </c>
    </row>
    <row r="2084" spans="1:18" hidden="1">
      <c r="A2084" t="s">
        <v>2551</v>
      </c>
      <c r="B2084" t="s">
        <v>274</v>
      </c>
      <c r="C2084">
        <v>300282834</v>
      </c>
      <c r="D2084">
        <v>15238385</v>
      </c>
      <c r="E2084" t="s">
        <v>29</v>
      </c>
      <c r="F2084" t="s">
        <v>259</v>
      </c>
      <c r="G2084">
        <v>7</v>
      </c>
      <c r="H2084" t="s">
        <v>2344</v>
      </c>
      <c r="K2084" s="11">
        <v>46226.351261574076</v>
      </c>
      <c r="M2084">
        <v>1413</v>
      </c>
      <c r="N2084" t="s">
        <v>867</v>
      </c>
      <c r="O2084" t="s">
        <v>3915</v>
      </c>
      <c r="P2084" s="5"/>
      <c r="Q2084" s="10">
        <f>INT(Tabela1[[#This Row],[DATA]])</f>
        <v>46226</v>
      </c>
      <c r="R2084" s="14" t="str">
        <f ca="1">IF(AND(Q2084&gt;=TODAY()-WEEKDAY(TODAY(),2)+1,Q2084&lt;TODAY()),"SIM","NÃO")</f>
        <v>NÃO</v>
      </c>
    </row>
    <row r="2085" spans="1:18" hidden="1">
      <c r="A2085" t="s">
        <v>111</v>
      </c>
      <c r="B2085" t="s">
        <v>112</v>
      </c>
      <c r="C2085">
        <v>300276371</v>
      </c>
      <c r="D2085">
        <v>16419839</v>
      </c>
      <c r="E2085" t="s">
        <v>20</v>
      </c>
      <c r="F2085" t="s">
        <v>3241</v>
      </c>
      <c r="G2085">
        <v>10</v>
      </c>
      <c r="H2085" t="s">
        <v>1335</v>
      </c>
      <c r="K2085" s="11">
        <v>46226.351770833331</v>
      </c>
      <c r="M2085">
        <v>1414</v>
      </c>
      <c r="N2085" t="s">
        <v>867</v>
      </c>
      <c r="O2085">
        <v>10000072709</v>
      </c>
      <c r="P2085" s="5"/>
      <c r="Q2085" s="10">
        <f>INT(Tabela1[[#This Row],[DATA]])</f>
        <v>46226</v>
      </c>
      <c r="R2085" s="14" t="str">
        <f ca="1">IF(AND(Q2085&gt;=TODAY()-WEEKDAY(TODAY(),2)+1,Q2085&lt;TODAY()),"SIM","NÃO")</f>
        <v>NÃO</v>
      </c>
    </row>
    <row r="2086" spans="1:18" hidden="1">
      <c r="A2086" t="s">
        <v>111</v>
      </c>
      <c r="B2086" t="s">
        <v>112</v>
      </c>
      <c r="C2086">
        <v>300276370</v>
      </c>
      <c r="D2086">
        <v>16419839</v>
      </c>
      <c r="E2086" t="s">
        <v>20</v>
      </c>
      <c r="F2086" t="s">
        <v>3241</v>
      </c>
      <c r="G2086">
        <v>10</v>
      </c>
      <c r="H2086" t="s">
        <v>2843</v>
      </c>
      <c r="K2086" s="11">
        <v>46226.35255787037</v>
      </c>
      <c r="M2086">
        <v>1415</v>
      </c>
      <c r="N2086" t="s">
        <v>867</v>
      </c>
      <c r="O2086">
        <v>10000072709</v>
      </c>
      <c r="P2086" s="5"/>
      <c r="Q2086" s="10">
        <f>INT(Tabela1[[#This Row],[DATA]])</f>
        <v>46226</v>
      </c>
      <c r="R2086" s="14" t="str">
        <f ca="1">IF(AND(Q2086&gt;=TODAY()-WEEKDAY(TODAY(),2)+1,Q2086&lt;TODAY()),"SIM","NÃO")</f>
        <v>NÃO</v>
      </c>
    </row>
    <row r="2087" spans="1:18" hidden="1">
      <c r="A2087" t="s">
        <v>2551</v>
      </c>
      <c r="B2087" t="s">
        <v>274</v>
      </c>
      <c r="C2087">
        <v>300282834</v>
      </c>
      <c r="D2087">
        <v>15238385</v>
      </c>
      <c r="E2087" t="s">
        <v>29</v>
      </c>
      <c r="F2087" t="s">
        <v>3241</v>
      </c>
      <c r="G2087">
        <v>4</v>
      </c>
      <c r="H2087" t="s">
        <v>2344</v>
      </c>
      <c r="K2087" s="11">
        <v>46226.352777777778</v>
      </c>
      <c r="M2087">
        <v>1416</v>
      </c>
      <c r="N2087" t="s">
        <v>867</v>
      </c>
      <c r="O2087" t="s">
        <v>3916</v>
      </c>
      <c r="P2087" s="5"/>
      <c r="Q2087" s="10">
        <f>INT(Tabela1[[#This Row],[DATA]])</f>
        <v>46226</v>
      </c>
      <c r="R2087" s="14" t="str">
        <f ca="1">IF(AND(Q2087&gt;=TODAY()-WEEKDAY(TODAY(),2)+1,Q2087&lt;TODAY()),"SIM","NÃO")</f>
        <v>NÃO</v>
      </c>
    </row>
    <row r="2088" spans="1:18" hidden="1">
      <c r="A2088" t="s">
        <v>2654</v>
      </c>
      <c r="B2088" t="s">
        <v>2655</v>
      </c>
      <c r="C2088">
        <v>300280668</v>
      </c>
      <c r="D2088">
        <v>16532885</v>
      </c>
      <c r="E2088" t="s">
        <v>37</v>
      </c>
      <c r="F2088" t="s">
        <v>203</v>
      </c>
      <c r="G2088" t="s">
        <v>3917</v>
      </c>
      <c r="H2088" t="s">
        <v>3175</v>
      </c>
      <c r="J2088" t="s">
        <v>3918</v>
      </c>
      <c r="K2088" s="11">
        <v>46226.353055555555</v>
      </c>
      <c r="M2088">
        <v>1417</v>
      </c>
      <c r="N2088" t="s">
        <v>867</v>
      </c>
      <c r="O2088">
        <v>0</v>
      </c>
      <c r="P2088" s="5"/>
      <c r="Q2088" s="10">
        <f>INT(Tabela1[[#This Row],[DATA]])</f>
        <v>46226</v>
      </c>
      <c r="R2088" s="14" t="str">
        <f ca="1">IF(AND(Q2088&gt;=TODAY()-WEEKDAY(TODAY(),2)+1,Q2088&lt;TODAY()),"SIM","NÃO")</f>
        <v>NÃO</v>
      </c>
    </row>
    <row r="2089" spans="1:18" hidden="1">
      <c r="A2089" t="s">
        <v>2748</v>
      </c>
      <c r="B2089" t="s">
        <v>3454</v>
      </c>
      <c r="C2089">
        <v>300000000</v>
      </c>
      <c r="D2089">
        <v>1000000</v>
      </c>
      <c r="E2089" t="s">
        <v>37</v>
      </c>
      <c r="F2089" t="s">
        <v>3215</v>
      </c>
      <c r="G2089" t="s">
        <v>3919</v>
      </c>
      <c r="H2089" t="s">
        <v>2284</v>
      </c>
      <c r="K2089" s="11">
        <v>46226.354247685187</v>
      </c>
      <c r="M2089">
        <v>1418</v>
      </c>
      <c r="N2089" t="s">
        <v>878</v>
      </c>
      <c r="O2089">
        <v>0</v>
      </c>
      <c r="P2089" s="5"/>
      <c r="Q2089" s="10">
        <f>INT(Tabela1[[#This Row],[DATA]])</f>
        <v>46226</v>
      </c>
      <c r="R2089" s="14" t="str">
        <f ca="1">IF(AND(Q2089&gt;=TODAY()-WEEKDAY(TODAY(),2)+1,Q2089&lt;TODAY()),"SIM","NÃO")</f>
        <v>NÃO</v>
      </c>
    </row>
    <row r="2090" spans="1:18" hidden="1">
      <c r="A2090" t="s">
        <v>111</v>
      </c>
      <c r="B2090" t="s">
        <v>112</v>
      </c>
      <c r="C2090">
        <v>300279800</v>
      </c>
      <c r="D2090">
        <v>15711854</v>
      </c>
      <c r="E2090" t="s">
        <v>37</v>
      </c>
      <c r="F2090" t="s">
        <v>3241</v>
      </c>
      <c r="G2090">
        <v>20</v>
      </c>
      <c r="H2090" t="s">
        <v>1335</v>
      </c>
      <c r="K2090" s="11">
        <v>46226.354988425926</v>
      </c>
      <c r="M2090">
        <v>1419</v>
      </c>
      <c r="N2090" t="s">
        <v>867</v>
      </c>
      <c r="O2090">
        <v>10000062849</v>
      </c>
      <c r="P2090" s="5"/>
      <c r="Q2090" s="10">
        <f>INT(Tabela1[[#This Row],[DATA]])</f>
        <v>46226</v>
      </c>
      <c r="R2090" s="14" t="str">
        <f ca="1">IF(AND(Q2090&gt;=TODAY()-WEEKDAY(TODAY(),2)+1,Q2090&lt;TODAY()),"SIM","NÃO")</f>
        <v>NÃO</v>
      </c>
    </row>
    <row r="2091" spans="1:18" hidden="1">
      <c r="A2091" t="s">
        <v>2656</v>
      </c>
      <c r="B2091" t="s">
        <v>119</v>
      </c>
      <c r="C2091">
        <v>300277546</v>
      </c>
      <c r="D2091">
        <v>16523806</v>
      </c>
      <c r="E2091" t="s">
        <v>37</v>
      </c>
      <c r="F2091" t="s">
        <v>151</v>
      </c>
      <c r="G2091">
        <v>7</v>
      </c>
      <c r="H2091" t="s">
        <v>3920</v>
      </c>
      <c r="J2091" t="s">
        <v>3921</v>
      </c>
      <c r="K2091" s="11">
        <v>46226.374606481484</v>
      </c>
      <c r="M2091">
        <v>1420</v>
      </c>
      <c r="N2091" t="s">
        <v>867</v>
      </c>
      <c r="O2091">
        <v>0</v>
      </c>
      <c r="P2091" s="5"/>
      <c r="Q2091" s="10">
        <f>INT(Tabela1[[#This Row],[DATA]])</f>
        <v>46226</v>
      </c>
      <c r="R2091" s="14" t="str">
        <f ca="1">IF(AND(Q2091&gt;=TODAY()-WEEKDAY(TODAY(),2)+1,Q2091&lt;TODAY()),"SIM","NÃO")</f>
        <v>NÃO</v>
      </c>
    </row>
    <row r="2092" spans="1:18" hidden="1">
      <c r="A2092" t="s">
        <v>2610</v>
      </c>
      <c r="B2092" t="s">
        <v>74</v>
      </c>
      <c r="C2092">
        <v>300282856</v>
      </c>
      <c r="D2092">
        <v>16310950</v>
      </c>
      <c r="E2092" t="s">
        <v>20</v>
      </c>
      <c r="F2092" t="s">
        <v>3438</v>
      </c>
      <c r="G2092">
        <v>27</v>
      </c>
      <c r="H2092" t="s">
        <v>3922</v>
      </c>
      <c r="J2092" t="s">
        <v>3923</v>
      </c>
      <c r="K2092" s="11">
        <v>46226.381782407407</v>
      </c>
      <c r="M2092">
        <v>1421</v>
      </c>
      <c r="N2092" t="s">
        <v>867</v>
      </c>
      <c r="O2092">
        <v>0</v>
      </c>
      <c r="P2092" s="5"/>
      <c r="Q2092" s="10">
        <f>INT(Tabela1[[#This Row],[DATA]])</f>
        <v>46226</v>
      </c>
      <c r="R2092" s="14" t="str">
        <f ca="1">IF(AND(Q2092&gt;=TODAY()-WEEKDAY(TODAY(),2)+1,Q2092&lt;TODAY()),"SIM","NÃO")</f>
        <v>NÃO</v>
      </c>
    </row>
    <row r="2093" spans="1:18" hidden="1">
      <c r="A2093" t="s">
        <v>101</v>
      </c>
      <c r="B2093" t="s">
        <v>990</v>
      </c>
      <c r="C2093">
        <v>300276278</v>
      </c>
      <c r="D2093">
        <v>1586387</v>
      </c>
      <c r="E2093" t="s">
        <v>37</v>
      </c>
      <c r="F2093" t="s">
        <v>2405</v>
      </c>
      <c r="G2093">
        <v>2</v>
      </c>
      <c r="H2093" t="s">
        <v>3924</v>
      </c>
      <c r="J2093" t="s">
        <v>3925</v>
      </c>
      <c r="K2093" s="11">
        <v>46226.394814814812</v>
      </c>
      <c r="M2093">
        <v>1422</v>
      </c>
      <c r="N2093" t="s">
        <v>867</v>
      </c>
      <c r="O2093">
        <v>0</v>
      </c>
      <c r="P2093" s="5"/>
      <c r="Q2093" s="10">
        <f>INT(Tabela1[[#This Row],[DATA]])</f>
        <v>46226</v>
      </c>
      <c r="R2093" s="14" t="str">
        <f ca="1">IF(AND(Q2093&gt;=TODAY()-WEEKDAY(TODAY(),2)+1,Q2093&lt;TODAY()),"SIM","NÃO")</f>
        <v>NÃO</v>
      </c>
    </row>
    <row r="2094" spans="1:18" hidden="1">
      <c r="A2094" t="s">
        <v>2654</v>
      </c>
      <c r="B2094" t="s">
        <v>2655</v>
      </c>
      <c r="C2094">
        <v>300280668</v>
      </c>
      <c r="D2094">
        <v>16532885</v>
      </c>
      <c r="E2094" t="s">
        <v>37</v>
      </c>
      <c r="F2094" t="s">
        <v>3502</v>
      </c>
      <c r="G2094">
        <v>690</v>
      </c>
      <c r="H2094" t="s">
        <v>3175</v>
      </c>
      <c r="J2094" t="s">
        <v>3926</v>
      </c>
      <c r="K2094" s="11">
        <v>46226.428923611114</v>
      </c>
      <c r="M2094">
        <v>1423</v>
      </c>
      <c r="N2094" t="s">
        <v>867</v>
      </c>
      <c r="O2094">
        <v>0</v>
      </c>
      <c r="P2094" s="5"/>
      <c r="Q2094" s="10">
        <f>INT(Tabela1[[#This Row],[DATA]])</f>
        <v>46226</v>
      </c>
      <c r="R2094" s="14" t="str">
        <f ca="1">IF(AND(Q2094&gt;=TODAY()-WEEKDAY(TODAY(),2)+1,Q2094&lt;TODAY()),"SIM","NÃO")</f>
        <v>NÃO</v>
      </c>
    </row>
    <row r="2095" spans="1:18" hidden="1">
      <c r="A2095" t="s">
        <v>111</v>
      </c>
      <c r="B2095" t="s">
        <v>112</v>
      </c>
      <c r="C2095">
        <v>300281065</v>
      </c>
      <c r="D2095">
        <v>15859215</v>
      </c>
      <c r="E2095" t="s">
        <v>37</v>
      </c>
      <c r="F2095" t="s">
        <v>2405</v>
      </c>
      <c r="G2095">
        <v>20</v>
      </c>
      <c r="H2095" t="s">
        <v>1335</v>
      </c>
      <c r="K2095" s="11">
        <v>46226.457083333335</v>
      </c>
      <c r="M2095">
        <v>1424</v>
      </c>
      <c r="N2095" t="s">
        <v>867</v>
      </c>
      <c r="O2095">
        <v>0</v>
      </c>
      <c r="P2095" s="5"/>
      <c r="Q2095" s="10">
        <f>INT(Tabela1[[#This Row],[DATA]])</f>
        <v>46226</v>
      </c>
      <c r="R2095" s="14" t="str">
        <f ca="1">IF(AND(Q2095&gt;=TODAY()-WEEKDAY(TODAY(),2)+1,Q2095&lt;TODAY()),"SIM","NÃO")</f>
        <v>NÃO</v>
      </c>
    </row>
    <row r="2096" spans="1:18" hidden="1">
      <c r="A2096" t="s">
        <v>2905</v>
      </c>
      <c r="B2096" t="s">
        <v>2906</v>
      </c>
      <c r="C2096">
        <v>300282333</v>
      </c>
      <c r="D2096">
        <v>15773450</v>
      </c>
      <c r="E2096" t="s">
        <v>37</v>
      </c>
      <c r="F2096" t="s">
        <v>151</v>
      </c>
      <c r="G2096" t="s">
        <v>3927</v>
      </c>
      <c r="H2096" t="s">
        <v>3928</v>
      </c>
      <c r="J2096" t="s">
        <v>3929</v>
      </c>
      <c r="K2096" s="11">
        <v>46226.458032407405</v>
      </c>
      <c r="M2096">
        <v>1425</v>
      </c>
      <c r="N2096" t="s">
        <v>867</v>
      </c>
      <c r="O2096">
        <v>0</v>
      </c>
      <c r="P2096" s="5"/>
      <c r="Q2096" s="10">
        <f>INT(Tabela1[[#This Row],[DATA]])</f>
        <v>46226</v>
      </c>
      <c r="R2096" s="14" t="str">
        <f ca="1">IF(AND(Q2096&gt;=TODAY()-WEEKDAY(TODAY(),2)+1,Q2096&lt;TODAY()),"SIM","NÃO")</f>
        <v>NÃO</v>
      </c>
    </row>
    <row r="2097" spans="1:18" hidden="1">
      <c r="A2097" t="s">
        <v>111</v>
      </c>
      <c r="B2097" t="s">
        <v>112</v>
      </c>
      <c r="C2097">
        <v>300281065</v>
      </c>
      <c r="D2097">
        <v>15859215</v>
      </c>
      <c r="E2097" t="s">
        <v>37</v>
      </c>
      <c r="F2097" t="s">
        <v>2213</v>
      </c>
      <c r="G2097">
        <v>20</v>
      </c>
      <c r="H2097" t="s">
        <v>2843</v>
      </c>
      <c r="K2097" s="11">
        <v>46226.45826388889</v>
      </c>
      <c r="M2097">
        <v>1426</v>
      </c>
      <c r="N2097" t="s">
        <v>867</v>
      </c>
      <c r="O2097">
        <v>10000214516</v>
      </c>
      <c r="P2097" s="5"/>
      <c r="Q2097" s="10">
        <f>INT(Tabela1[[#This Row],[DATA]])</f>
        <v>46226</v>
      </c>
      <c r="R2097" s="14" t="str">
        <f ca="1">IF(AND(Q2097&gt;=TODAY()-WEEKDAY(TODAY(),2)+1,Q2097&lt;TODAY()),"SIM","NÃO")</f>
        <v>NÃO</v>
      </c>
    </row>
    <row r="2098" spans="1:18" hidden="1">
      <c r="A2098" t="s">
        <v>2911</v>
      </c>
      <c r="B2098" t="s">
        <v>2912</v>
      </c>
      <c r="C2098">
        <v>300269047</v>
      </c>
      <c r="D2098">
        <v>14700328</v>
      </c>
      <c r="E2098" t="s">
        <v>45</v>
      </c>
      <c r="F2098" t="s">
        <v>96</v>
      </c>
      <c r="G2098">
        <v>616</v>
      </c>
      <c r="H2098" t="s">
        <v>2621</v>
      </c>
      <c r="J2098" t="s">
        <v>3930</v>
      </c>
      <c r="K2098" s="11">
        <v>46226.524537037039</v>
      </c>
      <c r="M2098">
        <v>1427</v>
      </c>
      <c r="N2098" t="s">
        <v>867</v>
      </c>
      <c r="O2098">
        <v>10000072006</v>
      </c>
      <c r="P2098" s="5"/>
      <c r="Q2098" s="10">
        <f>INT(Tabela1[[#This Row],[DATA]])</f>
        <v>46226</v>
      </c>
      <c r="R2098" s="14" t="str">
        <f ca="1">IF(AND(Q2098&gt;=TODAY()-WEEKDAY(TODAY(),2)+1,Q2098&lt;TODAY()),"SIM","NÃO")</f>
        <v>NÃO</v>
      </c>
    </row>
    <row r="2099" spans="1:18" hidden="1">
      <c r="A2099" t="s">
        <v>159</v>
      </c>
      <c r="B2099" t="s">
        <v>1293</v>
      </c>
      <c r="C2099">
        <v>300281114</v>
      </c>
      <c r="D2099">
        <v>16508920</v>
      </c>
      <c r="E2099" t="s">
        <v>37</v>
      </c>
      <c r="F2099" t="s">
        <v>3502</v>
      </c>
      <c r="G2099">
        <v>1484</v>
      </c>
      <c r="H2099" t="s">
        <v>1112</v>
      </c>
      <c r="K2099" s="11">
        <v>46226.570034722223</v>
      </c>
      <c r="M2099">
        <v>1428</v>
      </c>
      <c r="N2099" t="s">
        <v>867</v>
      </c>
      <c r="O2099" t="s">
        <v>3931</v>
      </c>
      <c r="P2099" s="5"/>
      <c r="Q2099" s="10">
        <f>INT(Tabela1[[#This Row],[DATA]])</f>
        <v>46226</v>
      </c>
      <c r="R2099" s="14" t="str">
        <f ca="1">IF(AND(Q2099&gt;=TODAY()-WEEKDAY(TODAY(),2)+1,Q2099&lt;TODAY()),"SIM","NÃO")</f>
        <v>NÃO</v>
      </c>
    </row>
    <row r="2100" spans="1:18" hidden="1">
      <c r="A2100" t="s">
        <v>2671</v>
      </c>
      <c r="B2100" t="s">
        <v>89</v>
      </c>
      <c r="C2100">
        <v>300281495</v>
      </c>
      <c r="D2100">
        <v>16507649</v>
      </c>
      <c r="E2100" t="s">
        <v>37</v>
      </c>
      <c r="F2100" t="s">
        <v>2405</v>
      </c>
      <c r="G2100">
        <v>21</v>
      </c>
      <c r="H2100" t="s">
        <v>3932</v>
      </c>
      <c r="J2100" t="s">
        <v>3933</v>
      </c>
      <c r="K2100" s="11">
        <v>46226.583009259259</v>
      </c>
      <c r="M2100">
        <v>1429</v>
      </c>
      <c r="N2100" t="s">
        <v>867</v>
      </c>
      <c r="O2100">
        <v>0</v>
      </c>
      <c r="P2100" s="5"/>
      <c r="Q2100" s="10">
        <f>INT(Tabela1[[#This Row],[DATA]])</f>
        <v>46226</v>
      </c>
      <c r="R2100" s="14" t="str">
        <f ca="1">IF(AND(Q2100&gt;=TODAY()-WEEKDAY(TODAY(),2)+1,Q2100&lt;TODAY()),"SIM","NÃO")</f>
        <v>NÃO</v>
      </c>
    </row>
    <row r="2101" spans="1:18" hidden="1">
      <c r="A2101" t="s">
        <v>249</v>
      </c>
      <c r="B2101" t="s">
        <v>112</v>
      </c>
      <c r="C2101">
        <v>300283982</v>
      </c>
      <c r="D2101">
        <v>14938570</v>
      </c>
      <c r="E2101" t="s">
        <v>45</v>
      </c>
      <c r="F2101" t="s">
        <v>96</v>
      </c>
      <c r="G2101">
        <v>1.131</v>
      </c>
      <c r="H2101" t="s">
        <v>3934</v>
      </c>
      <c r="K2101" s="11">
        <v>46226.585173611114</v>
      </c>
      <c r="M2101">
        <v>1430</v>
      </c>
      <c r="N2101" t="s">
        <v>867</v>
      </c>
      <c r="O2101">
        <v>0</v>
      </c>
      <c r="P2101" s="5"/>
      <c r="Q2101" s="10">
        <f>INT(Tabela1[[#This Row],[DATA]])</f>
        <v>46226</v>
      </c>
      <c r="R2101" s="14" t="str">
        <f ca="1">IF(AND(Q2101&gt;=TODAY()-WEEKDAY(TODAY(),2)+1,Q2101&lt;TODAY()),"SIM","NÃO")</f>
        <v>NÃO</v>
      </c>
    </row>
    <row r="2102" spans="1:18" hidden="1">
      <c r="A2102" t="s">
        <v>249</v>
      </c>
      <c r="B2102" t="s">
        <v>112</v>
      </c>
      <c r="C2102">
        <v>300283982</v>
      </c>
      <c r="D2102">
        <v>14938570</v>
      </c>
      <c r="E2102" t="s">
        <v>45</v>
      </c>
      <c r="F2102" t="s">
        <v>3502</v>
      </c>
      <c r="G2102">
        <v>1.131</v>
      </c>
      <c r="H2102" t="s">
        <v>3935</v>
      </c>
      <c r="K2102" s="11">
        <v>46226.588263888887</v>
      </c>
      <c r="M2102">
        <v>1431</v>
      </c>
      <c r="N2102" t="s">
        <v>867</v>
      </c>
      <c r="O2102">
        <v>0</v>
      </c>
      <c r="P2102" s="5"/>
      <c r="Q2102" s="10">
        <f>INT(Tabela1[[#This Row],[DATA]])</f>
        <v>46226</v>
      </c>
      <c r="R2102" s="14" t="str">
        <f ca="1">IF(AND(Q2102&gt;=TODAY()-WEEKDAY(TODAY(),2)+1,Q2102&lt;TODAY()),"SIM","NÃO")</f>
        <v>NÃO</v>
      </c>
    </row>
    <row r="2103" spans="1:18" hidden="1">
      <c r="A2103" t="s">
        <v>305</v>
      </c>
      <c r="B2103" t="s">
        <v>3936</v>
      </c>
      <c r="C2103">
        <v>300281470</v>
      </c>
      <c r="D2103">
        <v>13044826</v>
      </c>
      <c r="E2103" t="s">
        <v>29</v>
      </c>
      <c r="F2103" t="s">
        <v>291</v>
      </c>
      <c r="G2103">
        <v>200</v>
      </c>
      <c r="H2103" t="s">
        <v>3937</v>
      </c>
      <c r="J2103" t="s">
        <v>3938</v>
      </c>
      <c r="K2103" s="11">
        <v>46226.590381944443</v>
      </c>
      <c r="M2103">
        <v>1432</v>
      </c>
      <c r="N2103" t="s">
        <v>867</v>
      </c>
      <c r="O2103">
        <v>0</v>
      </c>
      <c r="P2103" s="5"/>
      <c r="Q2103" s="10">
        <f>INT(Tabela1[[#This Row],[DATA]])</f>
        <v>46226</v>
      </c>
      <c r="R2103" s="14" t="str">
        <f ca="1">IF(AND(Q2103&gt;=TODAY()-WEEKDAY(TODAY(),2)+1,Q2103&lt;TODAY()),"SIM","NÃO")</f>
        <v>NÃO</v>
      </c>
    </row>
    <row r="2104" spans="1:18" hidden="1">
      <c r="A2104" t="s">
        <v>287</v>
      </c>
      <c r="B2104" t="s">
        <v>288</v>
      </c>
      <c r="C2104">
        <v>300278891</v>
      </c>
      <c r="D2104">
        <v>16293274</v>
      </c>
      <c r="E2104" t="s">
        <v>37</v>
      </c>
      <c r="F2104" t="s">
        <v>3241</v>
      </c>
      <c r="G2104" t="s">
        <v>3939</v>
      </c>
      <c r="H2104" t="s">
        <v>3014</v>
      </c>
      <c r="J2104" t="s">
        <v>3940</v>
      </c>
      <c r="K2104" s="11">
        <v>46226.593101851853</v>
      </c>
      <c r="M2104">
        <v>1433</v>
      </c>
      <c r="N2104" t="s">
        <v>867</v>
      </c>
      <c r="O2104">
        <v>10000227632</v>
      </c>
      <c r="P2104" s="5"/>
      <c r="Q2104" s="10">
        <f>INT(Tabela1[[#This Row],[DATA]])</f>
        <v>46226</v>
      </c>
      <c r="R2104" s="14" t="str">
        <f ca="1">IF(AND(Q2104&gt;=TODAY()-WEEKDAY(TODAY(),2)+1,Q2104&lt;TODAY()),"SIM","NÃO")</f>
        <v>NÃO</v>
      </c>
    </row>
    <row r="2105" spans="1:18" hidden="1">
      <c r="A2105" t="s">
        <v>253</v>
      </c>
      <c r="B2105" t="s">
        <v>254</v>
      </c>
      <c r="C2105">
        <v>300283981</v>
      </c>
      <c r="D2105">
        <v>14938570</v>
      </c>
      <c r="E2105" t="s">
        <v>45</v>
      </c>
      <c r="F2105" t="s">
        <v>2405</v>
      </c>
      <c r="G2105">
        <v>10</v>
      </c>
      <c r="H2105" t="s">
        <v>3222</v>
      </c>
      <c r="K2105" s="11">
        <v>46226.593842592592</v>
      </c>
      <c r="M2105">
        <v>1434</v>
      </c>
      <c r="N2105" t="s">
        <v>867</v>
      </c>
      <c r="O2105">
        <v>0</v>
      </c>
      <c r="P2105" s="5"/>
      <c r="Q2105" s="10">
        <f>INT(Tabela1[[#This Row],[DATA]])</f>
        <v>46226</v>
      </c>
      <c r="R2105" s="14" t="str">
        <f ca="1">IF(AND(Q2105&gt;=TODAY()-WEEKDAY(TODAY(),2)+1,Q2105&lt;TODAY()),"SIM","NÃO")</f>
        <v>NÃO</v>
      </c>
    </row>
    <row r="2106" spans="1:18" hidden="1">
      <c r="A2106" t="s">
        <v>123</v>
      </c>
      <c r="B2106" t="s">
        <v>1241</v>
      </c>
      <c r="C2106">
        <v>300274693</v>
      </c>
      <c r="D2106">
        <v>16542975</v>
      </c>
      <c r="E2106" t="s">
        <v>20</v>
      </c>
      <c r="F2106" t="s">
        <v>3502</v>
      </c>
      <c r="G2106" t="s">
        <v>3941</v>
      </c>
      <c r="H2106" t="s">
        <v>3942</v>
      </c>
      <c r="J2106" t="s">
        <v>3943</v>
      </c>
      <c r="K2106" s="11">
        <v>46226.604618055557</v>
      </c>
      <c r="M2106">
        <v>1435</v>
      </c>
      <c r="N2106" t="s">
        <v>867</v>
      </c>
      <c r="O2106" t="s">
        <v>3944</v>
      </c>
      <c r="P2106" s="5"/>
      <c r="Q2106" s="10">
        <f>INT(Tabela1[[#This Row],[DATA]])</f>
        <v>46226</v>
      </c>
      <c r="R2106" s="14" t="str">
        <f ca="1">IF(AND(Q2106&gt;=TODAY()-WEEKDAY(TODAY(),2)+1,Q2106&lt;TODAY()),"SIM","NÃO")</f>
        <v>NÃO</v>
      </c>
    </row>
    <row r="2107" spans="1:18" hidden="1">
      <c r="A2107" t="s">
        <v>287</v>
      </c>
      <c r="B2107" t="s">
        <v>288</v>
      </c>
      <c r="C2107">
        <v>300278891</v>
      </c>
      <c r="D2107">
        <v>16293274</v>
      </c>
      <c r="E2107" t="s">
        <v>37</v>
      </c>
      <c r="F2107" t="s">
        <v>3241</v>
      </c>
      <c r="G2107" t="s">
        <v>255</v>
      </c>
      <c r="H2107" t="s">
        <v>3014</v>
      </c>
      <c r="J2107" t="s">
        <v>3945</v>
      </c>
      <c r="K2107" s="11">
        <v>46226.612673611111</v>
      </c>
      <c r="M2107">
        <v>1436</v>
      </c>
      <c r="N2107" t="s">
        <v>867</v>
      </c>
      <c r="O2107">
        <v>10000063189</v>
      </c>
      <c r="P2107" s="5"/>
      <c r="Q2107" s="10">
        <f>INT(Tabela1[[#This Row],[DATA]])</f>
        <v>46226</v>
      </c>
      <c r="R2107" s="14" t="str">
        <f ca="1">IF(AND(Q2107&gt;=TODAY()-WEEKDAY(TODAY(),2)+1,Q2107&lt;TODAY()),"SIM","NÃO")</f>
        <v>NÃO</v>
      </c>
    </row>
    <row r="2108" spans="1:18" hidden="1">
      <c r="A2108" t="s">
        <v>287</v>
      </c>
      <c r="B2108" t="s">
        <v>288</v>
      </c>
      <c r="C2108">
        <v>300278891</v>
      </c>
      <c r="D2108">
        <v>16293274</v>
      </c>
      <c r="E2108" t="s">
        <v>37</v>
      </c>
      <c r="F2108" t="s">
        <v>3297</v>
      </c>
      <c r="G2108">
        <v>36</v>
      </c>
      <c r="H2108" t="s">
        <v>3014</v>
      </c>
      <c r="J2108" t="s">
        <v>3946</v>
      </c>
      <c r="K2108" s="11">
        <v>46226.614571759259</v>
      </c>
      <c r="M2108">
        <v>1437</v>
      </c>
      <c r="N2108" t="s">
        <v>867</v>
      </c>
      <c r="O2108">
        <v>0</v>
      </c>
      <c r="P2108" s="5"/>
      <c r="Q2108" s="10">
        <f>INT(Tabela1[[#This Row],[DATA]])</f>
        <v>46226</v>
      </c>
      <c r="R2108" s="14" t="str">
        <f ca="1">IF(AND(Q2108&gt;=TODAY()-WEEKDAY(TODAY(),2)+1,Q2108&lt;TODAY()),"SIM","NÃO")</f>
        <v>NÃO</v>
      </c>
    </row>
    <row r="2109" spans="1:18" hidden="1">
      <c r="A2109" t="s">
        <v>163</v>
      </c>
      <c r="B2109" t="s">
        <v>164</v>
      </c>
      <c r="C2109">
        <v>300283772</v>
      </c>
      <c r="D2109">
        <v>15957055</v>
      </c>
      <c r="E2109" t="s">
        <v>45</v>
      </c>
      <c r="F2109" t="s">
        <v>2405</v>
      </c>
      <c r="G2109">
        <v>9</v>
      </c>
      <c r="H2109" t="s">
        <v>2292</v>
      </c>
      <c r="K2109" s="11">
        <v>46226.633622685185</v>
      </c>
      <c r="M2109">
        <v>1438</v>
      </c>
      <c r="N2109" t="s">
        <v>867</v>
      </c>
      <c r="O2109">
        <v>0</v>
      </c>
      <c r="P2109" s="5"/>
      <c r="Q2109" s="10">
        <f>INT(Tabela1[[#This Row],[DATA]])</f>
        <v>46226</v>
      </c>
      <c r="R2109" s="14" t="str">
        <f ca="1">IF(AND(Q2109&gt;=TODAY()-WEEKDAY(TODAY(),2)+1,Q2109&lt;TODAY()),"SIM","NÃO")</f>
        <v>NÃO</v>
      </c>
    </row>
    <row r="2110" spans="1:18" hidden="1">
      <c r="A2110" t="s">
        <v>214</v>
      </c>
      <c r="B2110" t="s">
        <v>215</v>
      </c>
      <c r="C2110">
        <v>300281877</v>
      </c>
      <c r="D2110">
        <v>16431960</v>
      </c>
      <c r="E2110" t="s">
        <v>37</v>
      </c>
      <c r="F2110" t="s">
        <v>3438</v>
      </c>
      <c r="G2110">
        <v>1.0229999999999999</v>
      </c>
      <c r="H2110" t="s">
        <v>3947</v>
      </c>
      <c r="J2110" t="s">
        <v>3948</v>
      </c>
      <c r="K2110" s="11">
        <v>46226.640868055554</v>
      </c>
      <c r="M2110">
        <v>1439</v>
      </c>
      <c r="N2110" t="s">
        <v>878</v>
      </c>
      <c r="O2110" t="s">
        <v>3143</v>
      </c>
      <c r="P2110" s="5"/>
      <c r="Q2110" s="10">
        <f>INT(Tabela1[[#This Row],[DATA]])</f>
        <v>46226</v>
      </c>
      <c r="R2110" s="14" t="str">
        <f ca="1">IF(AND(Q2110&gt;=TODAY()-WEEKDAY(TODAY(),2)+1,Q2110&lt;TODAY()),"SIM","NÃO")</f>
        <v>NÃO</v>
      </c>
    </row>
    <row r="2111" spans="1:18" hidden="1">
      <c r="A2111" t="s">
        <v>253</v>
      </c>
      <c r="B2111" t="s">
        <v>254</v>
      </c>
      <c r="C2111">
        <v>300283443</v>
      </c>
      <c r="D2111">
        <v>14938570</v>
      </c>
      <c r="E2111" t="s">
        <v>45</v>
      </c>
      <c r="F2111" t="s">
        <v>2405</v>
      </c>
      <c r="G2111">
        <v>10</v>
      </c>
      <c r="H2111" t="s">
        <v>582</v>
      </c>
      <c r="K2111" s="11">
        <v>46226.653981481482</v>
      </c>
      <c r="M2111">
        <v>1440</v>
      </c>
      <c r="N2111" t="s">
        <v>867</v>
      </c>
      <c r="O2111">
        <v>0</v>
      </c>
      <c r="P2111" s="5"/>
      <c r="Q2111" s="10">
        <f>INT(Tabela1[[#This Row],[DATA]])</f>
        <v>46226</v>
      </c>
      <c r="R2111" s="14" t="str">
        <f ca="1">IF(AND(Q2111&gt;=TODAY()-WEEKDAY(TODAY(),2)+1,Q2111&lt;TODAY()),"SIM","NÃO")</f>
        <v>NÃO</v>
      </c>
    </row>
    <row r="2112" spans="1:18" hidden="1">
      <c r="A2112" t="s">
        <v>2541</v>
      </c>
      <c r="B2112" t="s">
        <v>388</v>
      </c>
      <c r="C2112">
        <v>300278804</v>
      </c>
      <c r="D2112">
        <v>16217470</v>
      </c>
      <c r="E2112" t="s">
        <v>37</v>
      </c>
      <c r="F2112" t="s">
        <v>2405</v>
      </c>
      <c r="G2112">
        <v>1</v>
      </c>
      <c r="H2112" t="s">
        <v>3949</v>
      </c>
      <c r="K2112" s="11">
        <v>46226.659224537034</v>
      </c>
      <c r="M2112">
        <v>1441</v>
      </c>
      <c r="N2112" t="s">
        <v>867</v>
      </c>
      <c r="O2112">
        <v>0</v>
      </c>
      <c r="P2112" s="5"/>
      <c r="Q2112" s="10">
        <f>INT(Tabela1[[#This Row],[DATA]])</f>
        <v>46226</v>
      </c>
      <c r="R2112" s="14" t="str">
        <f ca="1">IF(AND(Q2112&gt;=TODAY()-WEEKDAY(TODAY(),2)+1,Q2112&lt;TODAY()),"SIM","NÃO")</f>
        <v>NÃO</v>
      </c>
    </row>
    <row r="2113" spans="1:18" hidden="1">
      <c r="A2113" t="s">
        <v>159</v>
      </c>
      <c r="B2113" t="s">
        <v>1293</v>
      </c>
      <c r="C2113">
        <v>300278591</v>
      </c>
      <c r="D2113">
        <v>16507665</v>
      </c>
      <c r="E2113" t="s">
        <v>37</v>
      </c>
      <c r="F2113" t="s">
        <v>769</v>
      </c>
      <c r="G2113">
        <v>354</v>
      </c>
      <c r="H2113" t="s">
        <v>1112</v>
      </c>
      <c r="K2113" s="11">
        <v>46226.665231481478</v>
      </c>
      <c r="M2113">
        <v>1442</v>
      </c>
      <c r="N2113" t="s">
        <v>867</v>
      </c>
      <c r="O2113" t="s">
        <v>3950</v>
      </c>
      <c r="P2113" s="5"/>
      <c r="Q2113" s="10">
        <f>INT(Tabela1[[#This Row],[DATA]])</f>
        <v>46226</v>
      </c>
      <c r="R2113" s="14" t="str">
        <f ca="1">IF(AND(Q2113&gt;=TODAY()-WEEKDAY(TODAY(),2)+1,Q2113&lt;TODAY()),"SIM","NÃO")</f>
        <v>NÃO</v>
      </c>
    </row>
    <row r="2114" spans="1:18" hidden="1">
      <c r="A2114" t="s">
        <v>159</v>
      </c>
      <c r="B2114" t="s">
        <v>1293</v>
      </c>
      <c r="C2114">
        <v>300278795</v>
      </c>
      <c r="D2114">
        <v>16508203</v>
      </c>
      <c r="E2114" t="s">
        <v>37</v>
      </c>
      <c r="F2114" t="s">
        <v>177</v>
      </c>
      <c r="G2114">
        <v>66</v>
      </c>
      <c r="H2114" t="s">
        <v>2559</v>
      </c>
      <c r="K2114" s="11">
        <v>46226.670636574076</v>
      </c>
      <c r="M2114">
        <v>1443</v>
      </c>
      <c r="N2114" t="s">
        <v>867</v>
      </c>
      <c r="O2114">
        <v>100002452</v>
      </c>
      <c r="P2114" s="5"/>
      <c r="Q2114" s="10">
        <f>INT(Tabela1[[#This Row],[DATA]])</f>
        <v>46226</v>
      </c>
      <c r="R2114" s="14" t="str">
        <f ca="1">IF(AND(Q2114&gt;=TODAY()-WEEKDAY(TODAY(),2)+1,Q2114&lt;TODAY()),"SIM","NÃO")</f>
        <v>NÃO</v>
      </c>
    </row>
    <row r="2115" spans="1:18" hidden="1">
      <c r="A2115" t="s">
        <v>163</v>
      </c>
      <c r="B2115" t="s">
        <v>164</v>
      </c>
      <c r="C2115">
        <v>300282839</v>
      </c>
      <c r="D2115">
        <v>15238385</v>
      </c>
      <c r="E2115" t="s">
        <v>29</v>
      </c>
      <c r="F2115" t="s">
        <v>430</v>
      </c>
      <c r="G2115">
        <v>100</v>
      </c>
      <c r="H2115" t="s">
        <v>2292</v>
      </c>
      <c r="K2115" s="11">
        <v>46226.67659722222</v>
      </c>
      <c r="M2115">
        <v>1444</v>
      </c>
      <c r="N2115" t="s">
        <v>867</v>
      </c>
      <c r="O2115">
        <v>10000216134</v>
      </c>
      <c r="P2115" s="5"/>
      <c r="Q2115" s="10">
        <f>INT(Tabela1[[#This Row],[DATA]])</f>
        <v>46226</v>
      </c>
      <c r="R2115" s="14" t="str">
        <f ca="1">IF(AND(Q2115&gt;=TODAY()-WEEKDAY(TODAY(),2)+1,Q2115&lt;TODAY()),"SIM","NÃO")</f>
        <v>NÃO</v>
      </c>
    </row>
    <row r="2116" spans="1:18" hidden="1">
      <c r="A2116" t="s">
        <v>1439</v>
      </c>
      <c r="B2116" t="s">
        <v>1440</v>
      </c>
      <c r="C2116">
        <v>300281892</v>
      </c>
      <c r="D2116">
        <v>16465164</v>
      </c>
      <c r="E2116" t="s">
        <v>45</v>
      </c>
      <c r="F2116" t="s">
        <v>2405</v>
      </c>
      <c r="G2116">
        <v>65</v>
      </c>
      <c r="H2116" t="s">
        <v>2094</v>
      </c>
      <c r="K2116" s="11">
        <v>46226.681284722225</v>
      </c>
      <c r="M2116">
        <v>1445</v>
      </c>
      <c r="N2116" t="s">
        <v>867</v>
      </c>
      <c r="O2116">
        <v>0</v>
      </c>
      <c r="P2116" s="5"/>
      <c r="Q2116" s="10">
        <f>INT(Tabela1[[#This Row],[DATA]])</f>
        <v>46226</v>
      </c>
      <c r="R2116" s="14" t="str">
        <f ca="1">IF(AND(Q2116&gt;=TODAY()-WEEKDAY(TODAY(),2)+1,Q2116&lt;TODAY()),"SIM","NÃO")</f>
        <v>NÃO</v>
      </c>
    </row>
    <row r="2117" spans="1:18" hidden="1">
      <c r="A2117" t="s">
        <v>2571</v>
      </c>
      <c r="B2117" t="s">
        <v>1487</v>
      </c>
      <c r="C2117">
        <v>300280745</v>
      </c>
      <c r="D2117">
        <v>15724344</v>
      </c>
      <c r="E2117" t="s">
        <v>45</v>
      </c>
      <c r="F2117" t="s">
        <v>96</v>
      </c>
      <c r="G2117">
        <v>6</v>
      </c>
      <c r="H2117" t="s">
        <v>2281</v>
      </c>
      <c r="K2117" s="11">
        <v>46226.689166666663</v>
      </c>
      <c r="M2117">
        <v>1446</v>
      </c>
      <c r="N2117" t="s">
        <v>867</v>
      </c>
      <c r="O2117" t="s">
        <v>2573</v>
      </c>
      <c r="P2117" s="5"/>
      <c r="Q2117" s="10">
        <f>INT(Tabela1[[#This Row],[DATA]])</f>
        <v>46226</v>
      </c>
      <c r="R2117" s="14" t="str">
        <f ca="1">IF(AND(Q2117&gt;=TODAY()-WEEKDAY(TODAY(),2)+1,Q2117&lt;TODAY()),"SIM","NÃO")</f>
        <v>NÃO</v>
      </c>
    </row>
    <row r="2118" spans="1:18" hidden="1">
      <c r="A2118" t="s">
        <v>605</v>
      </c>
      <c r="B2118" t="s">
        <v>606</v>
      </c>
      <c r="C2118">
        <v>300278812</v>
      </c>
      <c r="D2118">
        <v>16273311</v>
      </c>
      <c r="E2118" t="s">
        <v>37</v>
      </c>
      <c r="F2118" t="s">
        <v>2213</v>
      </c>
      <c r="G2118" t="s">
        <v>3951</v>
      </c>
      <c r="H2118" t="s">
        <v>3119</v>
      </c>
      <c r="J2118" t="s">
        <v>3952</v>
      </c>
      <c r="K2118" s="11">
        <v>46226.68917824074</v>
      </c>
      <c r="M2118">
        <v>1447</v>
      </c>
      <c r="N2118" t="s">
        <v>867</v>
      </c>
      <c r="O2118">
        <v>0</v>
      </c>
      <c r="P2118" s="5"/>
      <c r="Q2118" s="10">
        <f>INT(Tabela1[[#This Row],[DATA]])</f>
        <v>46226</v>
      </c>
      <c r="R2118" s="14" t="str">
        <f ca="1">IF(AND(Q2118&gt;=TODAY()-WEEKDAY(TODAY(),2)+1,Q2118&lt;TODAY()),"SIM","NÃO")</f>
        <v>NÃO</v>
      </c>
    </row>
    <row r="2119" spans="1:18" hidden="1">
      <c r="A2119" t="s">
        <v>332</v>
      </c>
      <c r="B2119" t="s">
        <v>690</v>
      </c>
      <c r="C2119">
        <v>300280742</v>
      </c>
      <c r="D2119">
        <v>16441303</v>
      </c>
      <c r="E2119" t="s">
        <v>45</v>
      </c>
      <c r="F2119" t="s">
        <v>3212</v>
      </c>
      <c r="G2119">
        <v>1008</v>
      </c>
      <c r="H2119" t="s">
        <v>3953</v>
      </c>
      <c r="K2119" s="11">
        <v>46226.689780092594</v>
      </c>
      <c r="M2119">
        <v>1448</v>
      </c>
      <c r="N2119" t="s">
        <v>867</v>
      </c>
      <c r="O2119">
        <v>0</v>
      </c>
      <c r="P2119" s="5"/>
      <c r="Q2119" s="10">
        <f>INT(Tabela1[[#This Row],[DATA]])</f>
        <v>46226</v>
      </c>
      <c r="R2119" s="14" t="str">
        <f ca="1">IF(AND(Q2119&gt;=TODAY()-WEEKDAY(TODAY(),2)+1,Q2119&lt;TODAY()),"SIM","NÃO")</f>
        <v>NÃO</v>
      </c>
    </row>
    <row r="2120" spans="1:18" hidden="1">
      <c r="A2120" t="s">
        <v>332</v>
      </c>
      <c r="B2120" t="s">
        <v>690</v>
      </c>
      <c r="C2120">
        <v>300281670</v>
      </c>
      <c r="D2120">
        <v>16017315</v>
      </c>
      <c r="E2120" t="s">
        <v>45</v>
      </c>
      <c r="F2120" t="s">
        <v>2405</v>
      </c>
      <c r="G2120">
        <v>4</v>
      </c>
      <c r="H2120" t="s">
        <v>1966</v>
      </c>
      <c r="K2120" s="11">
        <v>46226.690740740742</v>
      </c>
      <c r="M2120">
        <v>1449</v>
      </c>
      <c r="N2120" t="s">
        <v>867</v>
      </c>
      <c r="O2120">
        <v>0</v>
      </c>
      <c r="P2120" s="5"/>
      <c r="Q2120" s="10">
        <f>INT(Tabela1[[#This Row],[DATA]])</f>
        <v>46226</v>
      </c>
      <c r="R2120" s="14" t="str">
        <f ca="1">IF(AND(Q2120&gt;=TODAY()-WEEKDAY(TODAY(),2)+1,Q2120&lt;TODAY()),"SIM","NÃO")</f>
        <v>NÃO</v>
      </c>
    </row>
    <row r="2121" spans="1:18" hidden="1">
      <c r="A2121" t="s">
        <v>2578</v>
      </c>
      <c r="B2121" t="s">
        <v>69</v>
      </c>
      <c r="C2121">
        <v>300281922</v>
      </c>
      <c r="D2121">
        <v>16561392</v>
      </c>
      <c r="E2121" t="s">
        <v>37</v>
      </c>
      <c r="F2121" t="s">
        <v>2405</v>
      </c>
      <c r="G2121">
        <v>30</v>
      </c>
      <c r="H2121" t="s">
        <v>3954</v>
      </c>
      <c r="K2121" s="11">
        <v>46226.751111111109</v>
      </c>
      <c r="M2121">
        <v>1450</v>
      </c>
      <c r="N2121" t="s">
        <v>867</v>
      </c>
      <c r="O2121">
        <v>16561392</v>
      </c>
      <c r="P2121" s="5"/>
      <c r="Q2121" s="10">
        <f>INT(Tabela1[[#This Row],[DATA]])</f>
        <v>46226</v>
      </c>
      <c r="R2121" s="14" t="str">
        <f ca="1">IF(AND(Q2121&gt;=TODAY()-WEEKDAY(TODAY(),2)+1,Q2121&lt;TODAY()),"SIM","NÃO")</f>
        <v>NÃO</v>
      </c>
    </row>
    <row r="2122" spans="1:18" hidden="1">
      <c r="A2122" t="s">
        <v>2543</v>
      </c>
      <c r="B2122" t="s">
        <v>28</v>
      </c>
      <c r="C2122">
        <v>300277486</v>
      </c>
      <c r="D2122">
        <v>16217470</v>
      </c>
      <c r="E2122" t="s">
        <v>37</v>
      </c>
      <c r="F2122" t="s">
        <v>2213</v>
      </c>
      <c r="G2122">
        <v>1</v>
      </c>
      <c r="H2122" t="s">
        <v>1332</v>
      </c>
      <c r="K2122" s="11">
        <v>46227.291504629633</v>
      </c>
      <c r="M2122">
        <v>1451</v>
      </c>
      <c r="N2122" t="s">
        <v>867</v>
      </c>
      <c r="O2122">
        <v>10000247753</v>
      </c>
      <c r="P2122" s="5"/>
      <c r="Q2122" s="10">
        <f>INT(Tabela1[[#This Row],[DATA]])</f>
        <v>46227</v>
      </c>
      <c r="R2122" s="14" t="str">
        <f ca="1">IF(AND(Q2122&gt;=TODAY()-WEEKDAY(TODAY(),2)+1,Q2122&lt;TODAY()),"SIM","NÃO")</f>
        <v>NÃO</v>
      </c>
    </row>
    <row r="2123" spans="1:18" hidden="1">
      <c r="A2123" t="s">
        <v>2543</v>
      </c>
      <c r="B2123" t="s">
        <v>28</v>
      </c>
      <c r="C2123">
        <v>300277486</v>
      </c>
      <c r="D2123">
        <v>16217470</v>
      </c>
      <c r="E2123" t="s">
        <v>37</v>
      </c>
      <c r="F2123" t="s">
        <v>2405</v>
      </c>
      <c r="G2123">
        <v>3</v>
      </c>
      <c r="H2123" t="s">
        <v>1332</v>
      </c>
      <c r="K2123" s="11">
        <v>46227.293923611112</v>
      </c>
      <c r="M2123">
        <v>1452</v>
      </c>
      <c r="N2123" t="s">
        <v>867</v>
      </c>
      <c r="O2123" t="s">
        <v>3338</v>
      </c>
      <c r="P2123" s="5"/>
      <c r="Q2123" s="10">
        <f>INT(Tabela1[[#This Row],[DATA]])</f>
        <v>46227</v>
      </c>
      <c r="R2123" s="14" t="str">
        <f ca="1">IF(AND(Q2123&gt;=TODAY()-WEEKDAY(TODAY(),2)+1,Q2123&lt;TODAY()),"SIM","NÃO")</f>
        <v>NÃO</v>
      </c>
    </row>
    <row r="2124" spans="1:18" hidden="1">
      <c r="A2124" t="s">
        <v>249</v>
      </c>
      <c r="B2124" t="s">
        <v>112</v>
      </c>
      <c r="C2124">
        <v>300282777</v>
      </c>
      <c r="D2124">
        <v>15243153</v>
      </c>
      <c r="E2124" t="s">
        <v>37</v>
      </c>
      <c r="F2124" t="s">
        <v>369</v>
      </c>
      <c r="G2124">
        <v>32</v>
      </c>
      <c r="H2124" t="s">
        <v>1335</v>
      </c>
      <c r="J2124" t="s">
        <v>3955</v>
      </c>
      <c r="K2124" s="11">
        <v>46227.312222222223</v>
      </c>
      <c r="M2124">
        <v>1453</v>
      </c>
      <c r="N2124" t="s">
        <v>867</v>
      </c>
      <c r="O2124">
        <v>0</v>
      </c>
      <c r="P2124" s="5"/>
      <c r="Q2124" s="10">
        <f>INT(Tabela1[[#This Row],[DATA]])</f>
        <v>46227</v>
      </c>
      <c r="R2124" s="14" t="str">
        <f ca="1">IF(AND(Q2124&gt;=TODAY()-WEEKDAY(TODAY(),2)+1,Q2124&lt;TODAY()),"SIM","NÃO")</f>
        <v>NÃO</v>
      </c>
    </row>
    <row r="2125" spans="1:18" hidden="1">
      <c r="A2125" t="s">
        <v>2551</v>
      </c>
      <c r="B2125" t="s">
        <v>274</v>
      </c>
      <c r="C2125">
        <v>300283297</v>
      </c>
      <c r="D2125">
        <v>15359492</v>
      </c>
      <c r="E2125" t="s">
        <v>29</v>
      </c>
      <c r="F2125" t="s">
        <v>3502</v>
      </c>
      <c r="G2125" t="s">
        <v>3956</v>
      </c>
      <c r="H2125" t="s">
        <v>3957</v>
      </c>
      <c r="K2125" s="11">
        <v>46227.324502314812</v>
      </c>
      <c r="M2125">
        <v>1454</v>
      </c>
      <c r="N2125" t="s">
        <v>867</v>
      </c>
      <c r="O2125">
        <v>0</v>
      </c>
      <c r="P2125" s="5"/>
      <c r="Q2125" s="10">
        <f>INT(Tabela1[[#This Row],[DATA]])</f>
        <v>46227</v>
      </c>
      <c r="R2125" s="14" t="str">
        <f ca="1">IF(AND(Q2125&gt;=TODAY()-WEEKDAY(TODAY(),2)+1,Q2125&lt;TODAY()),"SIM","NÃO")</f>
        <v>NÃO</v>
      </c>
    </row>
    <row r="2126" spans="1:18" hidden="1">
      <c r="A2126" t="s">
        <v>2713</v>
      </c>
      <c r="B2126" t="s">
        <v>55</v>
      </c>
      <c r="C2126">
        <v>300284288</v>
      </c>
      <c r="D2126">
        <v>15864448</v>
      </c>
      <c r="E2126" t="s">
        <v>37</v>
      </c>
      <c r="F2126" t="s">
        <v>3215</v>
      </c>
      <c r="G2126">
        <v>8</v>
      </c>
      <c r="H2126" t="s">
        <v>2795</v>
      </c>
      <c r="K2126" s="11">
        <v>46227.326701388891</v>
      </c>
      <c r="M2126">
        <v>1455</v>
      </c>
      <c r="N2126" t="s">
        <v>867</v>
      </c>
      <c r="O2126" t="s">
        <v>3958</v>
      </c>
      <c r="P2126" s="5"/>
      <c r="Q2126" s="10">
        <f>INT(Tabela1[[#This Row],[DATA]])</f>
        <v>46227</v>
      </c>
      <c r="R2126" s="14" t="str">
        <f ca="1">IF(AND(Q2126&gt;=TODAY()-WEEKDAY(TODAY(),2)+1,Q2126&lt;TODAY()),"SIM","NÃO")</f>
        <v>NÃO</v>
      </c>
    </row>
    <row r="2127" spans="1:18" hidden="1">
      <c r="A2127" t="s">
        <v>2551</v>
      </c>
      <c r="B2127" t="s">
        <v>274</v>
      </c>
      <c r="C2127">
        <v>300284286</v>
      </c>
      <c r="D2127">
        <v>15864448</v>
      </c>
      <c r="E2127" t="s">
        <v>37</v>
      </c>
      <c r="F2127" t="s">
        <v>2405</v>
      </c>
      <c r="G2127">
        <v>35</v>
      </c>
      <c r="H2127" t="s">
        <v>2344</v>
      </c>
      <c r="K2127" s="11">
        <v>46227.327627314815</v>
      </c>
      <c r="M2127">
        <v>1456</v>
      </c>
      <c r="N2127" t="s">
        <v>867</v>
      </c>
      <c r="O2127">
        <v>0</v>
      </c>
      <c r="P2127" s="5"/>
      <c r="Q2127" s="10">
        <f>INT(Tabela1[[#This Row],[DATA]])</f>
        <v>46227</v>
      </c>
      <c r="R2127" s="14" t="str">
        <f ca="1">IF(AND(Q2127&gt;=TODAY()-WEEKDAY(TODAY(),2)+1,Q2127&lt;TODAY()),"SIM","NÃO")</f>
        <v>NÃO</v>
      </c>
    </row>
    <row r="2128" spans="1:18" hidden="1">
      <c r="A2128" t="s">
        <v>2551</v>
      </c>
      <c r="B2128" t="s">
        <v>274</v>
      </c>
      <c r="C2128">
        <v>300284286</v>
      </c>
      <c r="D2128">
        <v>15864448</v>
      </c>
      <c r="E2128" t="s">
        <v>37</v>
      </c>
      <c r="F2128" t="s">
        <v>3330</v>
      </c>
      <c r="G2128">
        <v>20</v>
      </c>
      <c r="H2128" t="s">
        <v>3959</v>
      </c>
      <c r="K2128" s="11">
        <v>46227.33766203704</v>
      </c>
      <c r="M2128">
        <v>1457</v>
      </c>
      <c r="N2128" t="s">
        <v>867</v>
      </c>
      <c r="O2128" t="s">
        <v>3960</v>
      </c>
      <c r="P2128" s="5"/>
      <c r="Q2128" s="10">
        <f>INT(Tabela1[[#This Row],[DATA]])</f>
        <v>46227</v>
      </c>
      <c r="R2128" s="14" t="str">
        <f ca="1">IF(AND(Q2128&gt;=TODAY()-WEEKDAY(TODAY(),2)+1,Q2128&lt;TODAY()),"SIM","NÃO")</f>
        <v>NÃO</v>
      </c>
    </row>
    <row r="2129" spans="1:18" hidden="1">
      <c r="A2129" t="s">
        <v>2681</v>
      </c>
      <c r="B2129" t="s">
        <v>1284</v>
      </c>
      <c r="C2129">
        <v>300281921</v>
      </c>
      <c r="D2129">
        <v>16561392</v>
      </c>
      <c r="E2129" t="s">
        <v>37</v>
      </c>
      <c r="F2129" t="s">
        <v>2405</v>
      </c>
      <c r="G2129" t="s">
        <v>3961</v>
      </c>
      <c r="H2129" t="s">
        <v>3962</v>
      </c>
      <c r="K2129" s="11">
        <v>46227.340462962966</v>
      </c>
      <c r="M2129">
        <v>1458</v>
      </c>
      <c r="N2129" t="s">
        <v>867</v>
      </c>
      <c r="O2129">
        <v>150</v>
      </c>
      <c r="P2129" s="5"/>
      <c r="Q2129" s="10">
        <f>INT(Tabela1[[#This Row],[DATA]])</f>
        <v>46227</v>
      </c>
      <c r="R2129" s="14" t="str">
        <f ca="1">IF(AND(Q2129&gt;=TODAY()-WEEKDAY(TODAY(),2)+1,Q2129&lt;TODAY()),"SIM","NÃO")</f>
        <v>NÃO</v>
      </c>
    </row>
    <row r="2130" spans="1:18" hidden="1">
      <c r="A2130" t="s">
        <v>2541</v>
      </c>
      <c r="B2130" t="s">
        <v>388</v>
      </c>
      <c r="C2130">
        <v>300283561</v>
      </c>
      <c r="D2130">
        <v>16244087</v>
      </c>
      <c r="E2130" t="s">
        <v>37</v>
      </c>
      <c r="F2130" t="s">
        <v>221</v>
      </c>
      <c r="G2130">
        <v>1080</v>
      </c>
      <c r="H2130" t="s">
        <v>2137</v>
      </c>
      <c r="J2130" t="s">
        <v>3963</v>
      </c>
      <c r="K2130" s="11">
        <v>46227.350439814814</v>
      </c>
      <c r="M2130">
        <v>1459</v>
      </c>
      <c r="N2130" t="s">
        <v>867</v>
      </c>
      <c r="O2130">
        <v>0</v>
      </c>
      <c r="P2130" s="5"/>
      <c r="Q2130" s="10">
        <f>INT(Tabela1[[#This Row],[DATA]])</f>
        <v>46227</v>
      </c>
      <c r="R2130" s="14" t="str">
        <f ca="1">IF(AND(Q2130&gt;=TODAY()-WEEKDAY(TODAY(),2)+1,Q2130&lt;TODAY()),"SIM","NÃO")</f>
        <v>NÃO</v>
      </c>
    </row>
    <row r="2131" spans="1:18" hidden="1">
      <c r="A2131" t="s">
        <v>2713</v>
      </c>
      <c r="B2131" t="s">
        <v>55</v>
      </c>
      <c r="C2131">
        <v>300274357</v>
      </c>
      <c r="D2131">
        <v>15898008</v>
      </c>
      <c r="E2131" t="s">
        <v>45</v>
      </c>
      <c r="F2131" t="s">
        <v>3595</v>
      </c>
      <c r="G2131">
        <v>30</v>
      </c>
      <c r="H2131" t="s">
        <v>2795</v>
      </c>
      <c r="J2131" t="s">
        <v>3964</v>
      </c>
      <c r="K2131" s="11">
        <v>46227.352037037039</v>
      </c>
      <c r="M2131">
        <v>1460</v>
      </c>
      <c r="N2131" t="s">
        <v>867</v>
      </c>
      <c r="O2131" t="s">
        <v>3965</v>
      </c>
      <c r="P2131" s="5"/>
      <c r="Q2131" s="10">
        <f>INT(Tabela1[[#This Row],[DATA]])</f>
        <v>46227</v>
      </c>
      <c r="R2131" s="14" t="str">
        <f ca="1">IF(AND(Q2131&gt;=TODAY()-WEEKDAY(TODAY(),2)+1,Q2131&lt;TODAY()),"SIM","NÃO")</f>
        <v>NÃO</v>
      </c>
    </row>
    <row r="2132" spans="1:18" hidden="1">
      <c r="A2132" t="s">
        <v>2541</v>
      </c>
      <c r="B2132" t="s">
        <v>388</v>
      </c>
      <c r="C2132">
        <v>300283560</v>
      </c>
      <c r="D2132">
        <v>16244087</v>
      </c>
      <c r="E2132" t="s">
        <v>37</v>
      </c>
      <c r="F2132" t="s">
        <v>221</v>
      </c>
      <c r="G2132">
        <v>1080</v>
      </c>
      <c r="H2132" t="s">
        <v>2137</v>
      </c>
      <c r="J2132" t="s">
        <v>3963</v>
      </c>
      <c r="K2132" s="11">
        <v>46227.356064814812</v>
      </c>
      <c r="M2132">
        <v>1461</v>
      </c>
      <c r="N2132" t="s">
        <v>867</v>
      </c>
      <c r="O2132">
        <v>0</v>
      </c>
      <c r="P2132" s="5"/>
      <c r="Q2132" s="10">
        <f>INT(Tabela1[[#This Row],[DATA]])</f>
        <v>46227</v>
      </c>
      <c r="R2132" s="14" t="str">
        <f ca="1">IF(AND(Q2132&gt;=TODAY()-WEEKDAY(TODAY(),2)+1,Q2132&lt;TODAY()),"SIM","NÃO")</f>
        <v>NÃO</v>
      </c>
    </row>
    <row r="2133" spans="1:18" hidden="1">
      <c r="A2133" t="s">
        <v>2541</v>
      </c>
      <c r="B2133" t="s">
        <v>388</v>
      </c>
      <c r="C2133">
        <v>300283559</v>
      </c>
      <c r="D2133">
        <v>16244087</v>
      </c>
      <c r="E2133" t="s">
        <v>37</v>
      </c>
      <c r="F2133" t="s">
        <v>221</v>
      </c>
      <c r="G2133">
        <v>840</v>
      </c>
      <c r="H2133" t="s">
        <v>2137</v>
      </c>
      <c r="J2133" t="s">
        <v>3966</v>
      </c>
      <c r="K2133" s="11">
        <v>46227.364189814813</v>
      </c>
      <c r="M2133">
        <v>1462</v>
      </c>
      <c r="N2133" t="s">
        <v>867</v>
      </c>
      <c r="O2133">
        <v>0</v>
      </c>
      <c r="P2133" s="5"/>
      <c r="Q2133" s="10">
        <f>INT(Tabela1[[#This Row],[DATA]])</f>
        <v>46227</v>
      </c>
      <c r="R2133" s="14" t="str">
        <f ca="1">IF(AND(Q2133&gt;=TODAY()-WEEKDAY(TODAY(),2)+1,Q2133&lt;TODAY()),"SIM","NÃO")</f>
        <v>NÃO</v>
      </c>
    </row>
    <row r="2134" spans="1:18" hidden="1">
      <c r="A2134" t="s">
        <v>2551</v>
      </c>
      <c r="B2134" t="s">
        <v>274</v>
      </c>
      <c r="C2134">
        <v>300284286</v>
      </c>
      <c r="D2134">
        <v>15864448</v>
      </c>
      <c r="E2134" t="s">
        <v>37</v>
      </c>
      <c r="F2134" t="s">
        <v>177</v>
      </c>
      <c r="G2134">
        <v>15</v>
      </c>
      <c r="H2134" t="s">
        <v>2344</v>
      </c>
      <c r="K2134" s="11">
        <v>46227.365127314813</v>
      </c>
      <c r="M2134">
        <v>1463</v>
      </c>
      <c r="N2134" t="s">
        <v>867</v>
      </c>
      <c r="O2134" t="s">
        <v>3967</v>
      </c>
      <c r="P2134" s="5"/>
      <c r="Q2134" s="10">
        <f>INT(Tabela1[[#This Row],[DATA]])</f>
        <v>46227</v>
      </c>
      <c r="R2134" s="14" t="str">
        <f ca="1">IF(AND(Q2134&gt;=TODAY()-WEEKDAY(TODAY(),2)+1,Q2134&lt;TODAY()),"SIM","NÃO")</f>
        <v>NÃO</v>
      </c>
    </row>
    <row r="2135" spans="1:18" hidden="1">
      <c r="A2135" t="s">
        <v>2551</v>
      </c>
      <c r="B2135" t="s">
        <v>274</v>
      </c>
      <c r="C2135">
        <v>300284286</v>
      </c>
      <c r="D2135">
        <v>15864448</v>
      </c>
      <c r="E2135" t="s">
        <v>37</v>
      </c>
      <c r="F2135" t="s">
        <v>177</v>
      </c>
      <c r="G2135">
        <v>15</v>
      </c>
      <c r="H2135" t="s">
        <v>2923</v>
      </c>
      <c r="K2135" s="11">
        <v>46227.366805555554</v>
      </c>
      <c r="M2135">
        <v>1464</v>
      </c>
      <c r="N2135" t="s">
        <v>867</v>
      </c>
      <c r="O2135" t="s">
        <v>3968</v>
      </c>
      <c r="P2135" s="5"/>
      <c r="Q2135" s="10">
        <f>INT(Tabela1[[#This Row],[DATA]])</f>
        <v>46227</v>
      </c>
      <c r="R2135" s="14" t="str">
        <f ca="1">IF(AND(Q2135&gt;=TODAY()-WEEKDAY(TODAY(),2)+1,Q2135&lt;TODAY()),"SIM","NÃO")</f>
        <v>NÃO</v>
      </c>
    </row>
    <row r="2136" spans="1:18" hidden="1">
      <c r="A2136" t="s">
        <v>2610</v>
      </c>
      <c r="B2136" t="s">
        <v>74</v>
      </c>
      <c r="C2136">
        <v>300283147</v>
      </c>
      <c r="D2136">
        <v>16457897</v>
      </c>
      <c r="E2136" t="s">
        <v>20</v>
      </c>
      <c r="F2136" t="s">
        <v>3241</v>
      </c>
      <c r="G2136">
        <v>5</v>
      </c>
      <c r="H2136" t="s">
        <v>3969</v>
      </c>
      <c r="K2136" s="11">
        <v>46227.375937500001</v>
      </c>
      <c r="M2136">
        <v>1465</v>
      </c>
      <c r="N2136" t="s">
        <v>867</v>
      </c>
      <c r="O2136">
        <v>0</v>
      </c>
      <c r="P2136" s="5"/>
      <c r="Q2136" s="10">
        <f>INT(Tabela1[[#This Row],[DATA]])</f>
        <v>46227</v>
      </c>
      <c r="R2136" s="14" t="str">
        <f ca="1">IF(AND(Q2136&gt;=TODAY()-WEEKDAY(TODAY(),2)+1,Q2136&lt;TODAY()),"SIM","NÃO")</f>
        <v>NÃO</v>
      </c>
    </row>
    <row r="2137" spans="1:18" hidden="1">
      <c r="A2137" t="s">
        <v>2610</v>
      </c>
      <c r="B2137" t="s">
        <v>74</v>
      </c>
      <c r="C2137">
        <v>300282850</v>
      </c>
      <c r="D2137">
        <v>16481690</v>
      </c>
      <c r="E2137" t="s">
        <v>20</v>
      </c>
      <c r="F2137" t="s">
        <v>3241</v>
      </c>
      <c r="G2137">
        <v>10</v>
      </c>
      <c r="H2137" t="s">
        <v>3970</v>
      </c>
      <c r="K2137" s="11">
        <v>46227.382534722223</v>
      </c>
      <c r="M2137">
        <v>1466</v>
      </c>
      <c r="N2137" t="s">
        <v>867</v>
      </c>
      <c r="O2137">
        <v>0</v>
      </c>
      <c r="P2137" s="5"/>
      <c r="Q2137" s="10">
        <f>INT(Tabela1[[#This Row],[DATA]])</f>
        <v>46227</v>
      </c>
      <c r="R2137" s="14" t="str">
        <f ca="1">IF(AND(Q2137&gt;=TODAY()-WEEKDAY(TODAY(),2)+1,Q2137&lt;TODAY()),"SIM","NÃO")</f>
        <v>NÃO</v>
      </c>
    </row>
    <row r="2138" spans="1:18" hidden="1">
      <c r="A2138" t="s">
        <v>2713</v>
      </c>
      <c r="B2138" t="s">
        <v>55</v>
      </c>
      <c r="C2138">
        <v>300284288</v>
      </c>
      <c r="D2138">
        <v>15864448</v>
      </c>
      <c r="E2138" t="s">
        <v>37</v>
      </c>
      <c r="F2138" t="s">
        <v>3971</v>
      </c>
      <c r="G2138">
        <v>55</v>
      </c>
      <c r="H2138" t="s">
        <v>3972</v>
      </c>
      <c r="J2138" t="s">
        <v>3973</v>
      </c>
      <c r="K2138" s="11">
        <v>46227.396979166668</v>
      </c>
      <c r="M2138">
        <v>1467</v>
      </c>
      <c r="N2138" t="s">
        <v>867</v>
      </c>
      <c r="O2138" t="s">
        <v>3974</v>
      </c>
      <c r="P2138" s="5"/>
      <c r="Q2138" s="10">
        <f>INT(Tabela1[[#This Row],[DATA]])</f>
        <v>46227</v>
      </c>
      <c r="R2138" s="14" t="str">
        <f ca="1">IF(AND(Q2138&gt;=TODAY()-WEEKDAY(TODAY(),2)+1,Q2138&lt;TODAY()),"SIM","NÃO")</f>
        <v>NÃO</v>
      </c>
    </row>
    <row r="2139" spans="1:18" hidden="1">
      <c r="A2139" t="s">
        <v>214</v>
      </c>
      <c r="B2139" t="s">
        <v>215</v>
      </c>
      <c r="C2139">
        <v>300279366</v>
      </c>
      <c r="D2139">
        <v>16431960</v>
      </c>
      <c r="E2139" t="s">
        <v>37</v>
      </c>
      <c r="F2139" t="s">
        <v>3241</v>
      </c>
      <c r="G2139">
        <v>15</v>
      </c>
      <c r="H2139" t="s">
        <v>2804</v>
      </c>
      <c r="J2139" t="s">
        <v>3975</v>
      </c>
      <c r="K2139" s="11">
        <v>46227.416377314818</v>
      </c>
      <c r="M2139">
        <v>1468</v>
      </c>
      <c r="N2139" t="s">
        <v>867</v>
      </c>
      <c r="O2139" t="s">
        <v>3976</v>
      </c>
      <c r="P2139" s="5"/>
      <c r="Q2139" s="10">
        <f>INT(Tabela1[[#This Row],[DATA]])</f>
        <v>46227</v>
      </c>
      <c r="R2139" s="14" t="str">
        <f ca="1">IF(AND(Q2139&gt;=TODAY()-WEEKDAY(TODAY(),2)+1,Q2139&lt;TODAY()),"SIM","NÃO")</f>
        <v>NÃO</v>
      </c>
    </row>
    <row r="2140" spans="1:18" hidden="1">
      <c r="A2140" t="s">
        <v>2541</v>
      </c>
      <c r="B2140" t="s">
        <v>388</v>
      </c>
      <c r="C2140">
        <v>300277059</v>
      </c>
      <c r="D2140">
        <v>16217420</v>
      </c>
      <c r="E2140" t="s">
        <v>37</v>
      </c>
      <c r="F2140" t="s">
        <v>2405</v>
      </c>
      <c r="G2140">
        <v>1</v>
      </c>
      <c r="H2140" t="s">
        <v>2313</v>
      </c>
      <c r="K2140" s="11">
        <v>46227.430625000001</v>
      </c>
      <c r="M2140">
        <v>1469</v>
      </c>
      <c r="N2140" t="s">
        <v>867</v>
      </c>
      <c r="O2140">
        <v>0</v>
      </c>
      <c r="P2140" s="5"/>
      <c r="Q2140" s="10">
        <f>INT(Tabela1[[#This Row],[DATA]])</f>
        <v>46227</v>
      </c>
      <c r="R2140" s="14" t="str">
        <f ca="1">IF(AND(Q2140&gt;=TODAY()-WEEKDAY(TODAY(),2)+1,Q2140&lt;TODAY()),"SIM","NÃO")</f>
        <v>NÃO</v>
      </c>
    </row>
    <row r="2141" spans="1:18" hidden="1">
      <c r="A2141" t="s">
        <v>2551</v>
      </c>
      <c r="B2141" t="s">
        <v>274</v>
      </c>
      <c r="C2141">
        <v>300284286</v>
      </c>
      <c r="D2141">
        <v>15864448</v>
      </c>
      <c r="E2141" t="s">
        <v>37</v>
      </c>
      <c r="F2141" t="s">
        <v>216</v>
      </c>
      <c r="G2141">
        <v>1.4039999999999999</v>
      </c>
      <c r="H2141" t="s">
        <v>3977</v>
      </c>
      <c r="K2141" s="11">
        <v>46227.431226851855</v>
      </c>
      <c r="M2141">
        <v>1470</v>
      </c>
      <c r="N2141" t="s">
        <v>867</v>
      </c>
      <c r="O2141">
        <v>0</v>
      </c>
      <c r="P2141" s="5"/>
      <c r="Q2141" s="10">
        <f>INT(Tabela1[[#This Row],[DATA]])</f>
        <v>46227</v>
      </c>
      <c r="R2141" s="14" t="str">
        <f ca="1">IF(AND(Q2141&gt;=TODAY()-WEEKDAY(TODAY(),2)+1,Q2141&lt;TODAY()),"SIM","NÃO")</f>
        <v>NÃO</v>
      </c>
    </row>
    <row r="2142" spans="1:18" hidden="1">
      <c r="A2142" t="s">
        <v>214</v>
      </c>
      <c r="B2142" t="s">
        <v>215</v>
      </c>
      <c r="C2142">
        <v>300279366</v>
      </c>
      <c r="D2142">
        <v>16431960</v>
      </c>
      <c r="E2142" t="s">
        <v>37</v>
      </c>
      <c r="F2142" t="s">
        <v>3241</v>
      </c>
      <c r="G2142">
        <v>10</v>
      </c>
      <c r="H2142" t="s">
        <v>2843</v>
      </c>
      <c r="J2142" t="s">
        <v>3865</v>
      </c>
      <c r="K2142" s="11">
        <v>46227.438101851854</v>
      </c>
      <c r="M2142">
        <v>1471</v>
      </c>
      <c r="N2142" t="s">
        <v>867</v>
      </c>
      <c r="O2142">
        <v>10000073230</v>
      </c>
      <c r="P2142" s="5"/>
      <c r="Q2142" s="10">
        <f>INT(Tabela1[[#This Row],[DATA]])</f>
        <v>46227</v>
      </c>
      <c r="R2142" s="14" t="str">
        <f ca="1">IF(AND(Q2142&gt;=TODAY()-WEEKDAY(TODAY(),2)+1,Q2142&lt;TODAY()),"SIM","NÃO")</f>
        <v>NÃO</v>
      </c>
    </row>
    <row r="2143" spans="1:18" hidden="1">
      <c r="A2143" t="s">
        <v>2649</v>
      </c>
      <c r="B2143" t="s">
        <v>137</v>
      </c>
      <c r="C2143">
        <v>300282423</v>
      </c>
      <c r="D2143">
        <v>16242408</v>
      </c>
      <c r="E2143" t="s">
        <v>45</v>
      </c>
      <c r="F2143" t="s">
        <v>3502</v>
      </c>
      <c r="G2143">
        <v>776</v>
      </c>
      <c r="H2143" t="s">
        <v>2318</v>
      </c>
      <c r="K2143" s="11">
        <v>46227.440891203703</v>
      </c>
      <c r="M2143">
        <v>1472</v>
      </c>
      <c r="N2143" t="s">
        <v>867</v>
      </c>
      <c r="O2143" t="s">
        <v>138</v>
      </c>
      <c r="P2143" s="5"/>
      <c r="Q2143" s="10">
        <f>INT(Tabela1[[#This Row],[DATA]])</f>
        <v>46227</v>
      </c>
      <c r="R2143" s="14" t="str">
        <f ca="1">IF(AND(Q2143&gt;=TODAY()-WEEKDAY(TODAY(),2)+1,Q2143&lt;TODAY()),"SIM","NÃO")</f>
        <v>NÃO</v>
      </c>
    </row>
    <row r="2144" spans="1:18" hidden="1">
      <c r="A2144" t="s">
        <v>685</v>
      </c>
      <c r="B2144" t="s">
        <v>95</v>
      </c>
      <c r="C2144">
        <v>300281954</v>
      </c>
      <c r="D2144">
        <v>16507975</v>
      </c>
      <c r="E2144" t="s">
        <v>37</v>
      </c>
      <c r="F2144" t="s">
        <v>221</v>
      </c>
      <c r="G2144">
        <v>320</v>
      </c>
      <c r="H2144" t="s">
        <v>2864</v>
      </c>
      <c r="J2144" t="s">
        <v>2864</v>
      </c>
      <c r="K2144" s="11">
        <v>46227.451990740738</v>
      </c>
      <c r="M2144">
        <v>1473</v>
      </c>
      <c r="N2144" t="s">
        <v>867</v>
      </c>
      <c r="O2144">
        <v>1</v>
      </c>
      <c r="P2144" s="5"/>
      <c r="Q2144" s="10">
        <f>INT(Tabela1[[#This Row],[DATA]])</f>
        <v>46227</v>
      </c>
      <c r="R2144" s="14" t="str">
        <f ca="1">IF(AND(Q2144&gt;=TODAY()-WEEKDAY(TODAY(),2)+1,Q2144&lt;TODAY()),"SIM","NÃO")</f>
        <v>NÃO</v>
      </c>
    </row>
    <row r="2145" spans="1:18" hidden="1">
      <c r="A2145" t="s">
        <v>685</v>
      </c>
      <c r="B2145" t="s">
        <v>686</v>
      </c>
      <c r="C2145">
        <v>300279716</v>
      </c>
      <c r="D2145">
        <v>16513649</v>
      </c>
      <c r="E2145" t="s">
        <v>37</v>
      </c>
      <c r="F2145" t="s">
        <v>221</v>
      </c>
      <c r="G2145">
        <v>500</v>
      </c>
      <c r="H2145" t="s">
        <v>2318</v>
      </c>
      <c r="K2145" s="11">
        <v>46227.457685185182</v>
      </c>
      <c r="M2145">
        <v>1474</v>
      </c>
      <c r="N2145" t="s">
        <v>867</v>
      </c>
      <c r="O2145" t="s">
        <v>138</v>
      </c>
      <c r="P2145" s="5"/>
      <c r="Q2145" s="10">
        <f>INT(Tabela1[[#This Row],[DATA]])</f>
        <v>46227</v>
      </c>
      <c r="R2145" s="14" t="str">
        <f ca="1">IF(AND(Q2145&gt;=TODAY()-WEEKDAY(TODAY(),2)+1,Q2145&lt;TODAY()),"SIM","NÃO")</f>
        <v>NÃO</v>
      </c>
    </row>
    <row r="2146" spans="1:18" hidden="1">
      <c r="A2146" t="s">
        <v>2656</v>
      </c>
      <c r="B2146" t="s">
        <v>119</v>
      </c>
      <c r="C2146">
        <v>300284279</v>
      </c>
      <c r="D2146">
        <v>16497767</v>
      </c>
      <c r="E2146" t="s">
        <v>37</v>
      </c>
      <c r="F2146" t="s">
        <v>216</v>
      </c>
      <c r="G2146">
        <v>135</v>
      </c>
      <c r="H2146" t="s">
        <v>555</v>
      </c>
      <c r="J2146" t="s">
        <v>3978</v>
      </c>
      <c r="K2146" s="11">
        <v>46227.46466435185</v>
      </c>
      <c r="M2146">
        <v>1475</v>
      </c>
      <c r="N2146" t="s">
        <v>867</v>
      </c>
      <c r="O2146">
        <v>0</v>
      </c>
      <c r="P2146" s="5"/>
      <c r="Q2146" s="10">
        <f>INT(Tabela1[[#This Row],[DATA]])</f>
        <v>46227</v>
      </c>
      <c r="R2146" s="14" t="str">
        <f ca="1">IF(AND(Q2146&gt;=TODAY()-WEEKDAY(TODAY(),2)+1,Q2146&lt;TODAY()),"SIM","NÃO")</f>
        <v>NÃO</v>
      </c>
    </row>
    <row r="2147" spans="1:18" hidden="1">
      <c r="A2147" t="s">
        <v>661</v>
      </c>
      <c r="B2147" t="s">
        <v>662</v>
      </c>
      <c r="C2147">
        <v>300281904</v>
      </c>
      <c r="D2147">
        <v>16218990</v>
      </c>
      <c r="E2147" t="s">
        <v>37</v>
      </c>
      <c r="F2147" t="s">
        <v>221</v>
      </c>
      <c r="G2147">
        <v>1428</v>
      </c>
      <c r="H2147" t="s">
        <v>3979</v>
      </c>
      <c r="J2147" t="s">
        <v>3980</v>
      </c>
      <c r="K2147" s="11">
        <v>46227.469641203701</v>
      </c>
      <c r="M2147">
        <v>1476</v>
      </c>
      <c r="N2147" t="s">
        <v>867</v>
      </c>
      <c r="O2147">
        <v>0</v>
      </c>
      <c r="P2147" s="5"/>
      <c r="Q2147" s="10">
        <f>INT(Tabela1[[#This Row],[DATA]])</f>
        <v>46227</v>
      </c>
      <c r="R2147" s="14" t="str">
        <f ca="1">IF(AND(Q2147&gt;=TODAY()-WEEKDAY(TODAY(),2)+1,Q2147&lt;TODAY()),"SIM","NÃO")</f>
        <v>NÃO</v>
      </c>
    </row>
    <row r="2148" spans="1:18" hidden="1">
      <c r="A2148" t="s">
        <v>787</v>
      </c>
      <c r="B2148" t="s">
        <v>788</v>
      </c>
      <c r="C2148">
        <v>300284283</v>
      </c>
      <c r="D2148">
        <v>15864448</v>
      </c>
      <c r="E2148" t="s">
        <v>37</v>
      </c>
      <c r="F2148" t="s">
        <v>323</v>
      </c>
      <c r="G2148" t="s">
        <v>3981</v>
      </c>
      <c r="H2148" t="s">
        <v>3953</v>
      </c>
      <c r="J2148" t="s">
        <v>3982</v>
      </c>
      <c r="K2148" s="11">
        <v>46227.554120370369</v>
      </c>
      <c r="M2148">
        <v>1477</v>
      </c>
      <c r="N2148" t="s">
        <v>867</v>
      </c>
      <c r="O2148">
        <v>0</v>
      </c>
      <c r="P2148" s="5"/>
      <c r="Q2148" s="10">
        <f>INT(Tabela1[[#This Row],[DATA]])</f>
        <v>46227</v>
      </c>
      <c r="R2148" s="14" t="str">
        <f ca="1">IF(AND(Q2148&gt;=TODAY()-WEEKDAY(TODAY(),2)+1,Q2148&lt;TODAY()),"SIM","NÃO")</f>
        <v>NÃO</v>
      </c>
    </row>
    <row r="2149" spans="1:18" hidden="1">
      <c r="A2149" t="s">
        <v>123</v>
      </c>
      <c r="B2149" t="s">
        <v>124</v>
      </c>
      <c r="C2149">
        <v>300283683</v>
      </c>
      <c r="D2149">
        <v>16489128</v>
      </c>
      <c r="E2149" t="s">
        <v>20</v>
      </c>
      <c r="F2149" t="s">
        <v>3241</v>
      </c>
      <c r="G2149" t="s">
        <v>3983</v>
      </c>
      <c r="H2149" t="s">
        <v>2621</v>
      </c>
      <c r="J2149" t="s">
        <v>3984</v>
      </c>
      <c r="K2149" s="11">
        <v>46227.574918981481</v>
      </c>
      <c r="M2149">
        <v>1478</v>
      </c>
      <c r="N2149" t="s">
        <v>867</v>
      </c>
      <c r="O2149">
        <v>10000062479</v>
      </c>
      <c r="P2149" s="5"/>
      <c r="Q2149" s="10">
        <f>INT(Tabela1[[#This Row],[DATA]])</f>
        <v>46227</v>
      </c>
      <c r="R2149" s="14" t="str">
        <f ca="1">IF(AND(Q2149&gt;=TODAY()-WEEKDAY(TODAY(),2)+1,Q2149&lt;TODAY()),"SIM","NÃO")</f>
        <v>NÃO</v>
      </c>
    </row>
    <row r="2150" spans="1:18" hidden="1">
      <c r="A2150" t="s">
        <v>2774</v>
      </c>
      <c r="B2150" t="s">
        <v>1910</v>
      </c>
      <c r="C2150">
        <v>300281878</v>
      </c>
      <c r="D2150">
        <v>16218230</v>
      </c>
      <c r="E2150" t="s">
        <v>37</v>
      </c>
      <c r="F2150" t="s">
        <v>769</v>
      </c>
      <c r="G2150">
        <v>977</v>
      </c>
      <c r="H2150" t="s">
        <v>3985</v>
      </c>
      <c r="K2150" s="11">
        <v>46227.581365740742</v>
      </c>
      <c r="M2150">
        <v>1479</v>
      </c>
      <c r="N2150" t="s">
        <v>867</v>
      </c>
      <c r="O2150">
        <v>0</v>
      </c>
      <c r="P2150" s="5"/>
      <c r="Q2150" s="10">
        <f>INT(Tabela1[[#This Row],[DATA]])</f>
        <v>46227</v>
      </c>
      <c r="R2150" s="14" t="str">
        <f ca="1">IF(AND(Q2150&gt;=TODAY()-WEEKDAY(TODAY(),2)+1,Q2150&lt;TODAY()),"SIM","NÃO")</f>
        <v>NÃO</v>
      </c>
    </row>
    <row r="2151" spans="1:18" hidden="1">
      <c r="A2151" t="s">
        <v>2603</v>
      </c>
      <c r="B2151" t="s">
        <v>929</v>
      </c>
      <c r="C2151">
        <v>300280202</v>
      </c>
      <c r="D2151">
        <v>16243200</v>
      </c>
      <c r="E2151" t="s">
        <v>37</v>
      </c>
      <c r="F2151" t="s">
        <v>2405</v>
      </c>
      <c r="G2151">
        <v>2</v>
      </c>
      <c r="H2151" t="s">
        <v>2709</v>
      </c>
      <c r="J2151" t="s">
        <v>2709</v>
      </c>
      <c r="K2151" s="11">
        <v>46227.582037037035</v>
      </c>
      <c r="M2151">
        <v>1480</v>
      </c>
      <c r="N2151" t="s">
        <v>867</v>
      </c>
      <c r="O2151">
        <v>0</v>
      </c>
      <c r="P2151" s="5"/>
      <c r="Q2151" s="10">
        <f>INT(Tabela1[[#This Row],[DATA]])</f>
        <v>46227</v>
      </c>
      <c r="R2151" s="14" t="str">
        <f ca="1">IF(AND(Q2151&gt;=TODAY()-WEEKDAY(TODAY(),2)+1,Q2151&lt;TODAY()),"SIM","NÃO")</f>
        <v>NÃO</v>
      </c>
    </row>
    <row r="2152" spans="1:18" hidden="1">
      <c r="A2152" t="s">
        <v>2774</v>
      </c>
      <c r="B2152" t="s">
        <v>1910</v>
      </c>
      <c r="C2152">
        <v>300281878</v>
      </c>
      <c r="D2152">
        <v>16218230</v>
      </c>
      <c r="E2152" t="s">
        <v>37</v>
      </c>
      <c r="F2152" t="s">
        <v>216</v>
      </c>
      <c r="G2152">
        <v>315</v>
      </c>
      <c r="H2152" t="s">
        <v>3986</v>
      </c>
      <c r="K2152" s="11">
        <v>46227.583101851851</v>
      </c>
      <c r="M2152">
        <v>1481</v>
      </c>
      <c r="N2152" t="s">
        <v>867</v>
      </c>
      <c r="O2152">
        <v>0</v>
      </c>
      <c r="P2152" s="5"/>
      <c r="Q2152" s="10">
        <f>INT(Tabela1[[#This Row],[DATA]])</f>
        <v>46227</v>
      </c>
      <c r="R2152" s="14" t="str">
        <f ca="1">IF(AND(Q2152&gt;=TODAY()-WEEKDAY(TODAY(),2)+1,Q2152&lt;TODAY()),"SIM","NÃO")</f>
        <v>NÃO</v>
      </c>
    </row>
    <row r="2153" spans="1:18" hidden="1">
      <c r="A2153" t="s">
        <v>2774</v>
      </c>
      <c r="B2153" t="s">
        <v>1910</v>
      </c>
      <c r="C2153">
        <v>300281878</v>
      </c>
      <c r="D2153">
        <v>16218230</v>
      </c>
      <c r="E2153" t="s">
        <v>37</v>
      </c>
      <c r="F2153" t="s">
        <v>3742</v>
      </c>
      <c r="G2153">
        <v>630</v>
      </c>
      <c r="H2153" t="s">
        <v>3986</v>
      </c>
      <c r="K2153" s="11">
        <v>46227.584074074075</v>
      </c>
      <c r="M2153">
        <v>1482</v>
      </c>
      <c r="N2153" t="s">
        <v>867</v>
      </c>
      <c r="O2153">
        <v>0</v>
      </c>
      <c r="P2153" s="5"/>
      <c r="Q2153" s="10">
        <f>INT(Tabela1[[#This Row],[DATA]])</f>
        <v>46227</v>
      </c>
      <c r="R2153" s="14" t="str">
        <f ca="1">IF(AND(Q2153&gt;=TODAY()-WEEKDAY(TODAY(),2)+1,Q2153&lt;TODAY()),"SIM","NÃO")</f>
        <v>NÃO</v>
      </c>
    </row>
    <row r="2154" spans="1:18" hidden="1">
      <c r="A2154" t="s">
        <v>253</v>
      </c>
      <c r="B2154" t="s">
        <v>254</v>
      </c>
      <c r="C2154">
        <v>300281956</v>
      </c>
      <c r="D2154">
        <v>16504615</v>
      </c>
      <c r="E2154" t="s">
        <v>37</v>
      </c>
      <c r="F2154" t="s">
        <v>2405</v>
      </c>
      <c r="G2154">
        <v>15</v>
      </c>
      <c r="H2154" t="s">
        <v>582</v>
      </c>
      <c r="K2154" s="11">
        <v>46227.607604166667</v>
      </c>
      <c r="M2154">
        <v>1483</v>
      </c>
      <c r="N2154" t="s">
        <v>867</v>
      </c>
      <c r="O2154">
        <v>0</v>
      </c>
      <c r="P2154" s="5"/>
      <c r="Q2154" s="10">
        <f>INT(Tabela1[[#This Row],[DATA]])</f>
        <v>46227</v>
      </c>
      <c r="R2154" s="14" t="str">
        <f ca="1">IF(AND(Q2154&gt;=TODAY()-WEEKDAY(TODAY(),2)+1,Q2154&lt;TODAY()),"SIM","NÃO")</f>
        <v>NÃO</v>
      </c>
    </row>
    <row r="2155" spans="1:18" hidden="1">
      <c r="A2155" t="s">
        <v>123</v>
      </c>
      <c r="B2155" t="s">
        <v>124</v>
      </c>
      <c r="C2155">
        <v>300283683</v>
      </c>
      <c r="D2155">
        <v>0</v>
      </c>
      <c r="E2155" t="s">
        <v>20</v>
      </c>
      <c r="F2155" t="s">
        <v>3595</v>
      </c>
      <c r="G2155">
        <v>94</v>
      </c>
      <c r="H2155" t="s">
        <v>3987</v>
      </c>
      <c r="J2155" t="s">
        <v>3987</v>
      </c>
      <c r="K2155" s="11">
        <v>46227.617175925923</v>
      </c>
      <c r="M2155">
        <v>1484</v>
      </c>
      <c r="N2155" t="s">
        <v>867</v>
      </c>
      <c r="O2155">
        <v>10000247716</v>
      </c>
      <c r="P2155" s="5"/>
      <c r="Q2155" s="10">
        <f>INT(Tabela1[[#This Row],[DATA]])</f>
        <v>46227</v>
      </c>
      <c r="R2155" s="14" t="str">
        <f ca="1">IF(AND(Q2155&gt;=TODAY()-WEEKDAY(TODAY(),2)+1,Q2155&lt;TODAY()),"SIM","NÃO")</f>
        <v>NÃO</v>
      </c>
    </row>
    <row r="2156" spans="1:18" hidden="1">
      <c r="A2156" t="s">
        <v>111</v>
      </c>
      <c r="B2156" t="s">
        <v>112</v>
      </c>
      <c r="C2156">
        <v>300280189</v>
      </c>
      <c r="D2156">
        <v>16387945</v>
      </c>
      <c r="E2156" t="s">
        <v>37</v>
      </c>
      <c r="F2156" t="s">
        <v>221</v>
      </c>
      <c r="G2156">
        <v>572</v>
      </c>
      <c r="H2156" t="s">
        <v>1335</v>
      </c>
      <c r="K2156" s="11">
        <v>46227.624189814815</v>
      </c>
      <c r="M2156">
        <v>1485</v>
      </c>
      <c r="N2156" s="16" t="s">
        <v>878</v>
      </c>
      <c r="O2156">
        <v>10000195771</v>
      </c>
      <c r="P2156" s="5"/>
      <c r="Q2156" s="10">
        <f>INT(Tabela1[[#This Row],[DATA]])</f>
        <v>46227</v>
      </c>
      <c r="R2156" s="14" t="str">
        <f ca="1">IF(AND(Q2156&gt;=TODAY()-WEEKDAY(TODAY(),2)+1,Q2156&lt;TODAY()),"SIM","NÃO")</f>
        <v>NÃO</v>
      </c>
    </row>
    <row r="2157" spans="1:18" hidden="1">
      <c r="A2157" t="s">
        <v>163</v>
      </c>
      <c r="B2157" t="s">
        <v>164</v>
      </c>
      <c r="C2157">
        <v>300270875</v>
      </c>
      <c r="D2157">
        <v>16426010</v>
      </c>
      <c r="E2157" t="s">
        <v>45</v>
      </c>
      <c r="F2157" t="s">
        <v>2405</v>
      </c>
      <c r="G2157">
        <v>8</v>
      </c>
      <c r="H2157" t="s">
        <v>2292</v>
      </c>
      <c r="K2157" s="11">
        <v>46227.625324074077</v>
      </c>
      <c r="M2157">
        <v>1486</v>
      </c>
      <c r="N2157" t="s">
        <v>867</v>
      </c>
      <c r="O2157">
        <v>0</v>
      </c>
      <c r="P2157" s="5"/>
      <c r="Q2157" s="10">
        <f>INT(Tabela1[[#This Row],[DATA]])</f>
        <v>46227</v>
      </c>
      <c r="R2157" s="14" t="str">
        <f ca="1">IF(AND(Q2157&gt;=TODAY()-WEEKDAY(TODAY(),2)+1,Q2157&lt;TODAY()),"SIM","NÃO")</f>
        <v>NÃO</v>
      </c>
    </row>
    <row r="2158" spans="1:18" hidden="1">
      <c r="A2158" t="s">
        <v>111</v>
      </c>
      <c r="B2158" t="s">
        <v>112</v>
      </c>
      <c r="C2158">
        <v>300280189</v>
      </c>
      <c r="D2158">
        <v>16387945</v>
      </c>
      <c r="E2158" t="s">
        <v>37</v>
      </c>
      <c r="F2158" t="s">
        <v>3502</v>
      </c>
      <c r="G2158">
        <v>572</v>
      </c>
      <c r="H2158" t="s">
        <v>1335</v>
      </c>
      <c r="J2158" t="s">
        <v>3988</v>
      </c>
      <c r="K2158" s="11">
        <v>46227.625648148147</v>
      </c>
      <c r="M2158">
        <v>1487</v>
      </c>
      <c r="N2158" s="16" t="s">
        <v>878</v>
      </c>
      <c r="O2158">
        <v>0</v>
      </c>
      <c r="P2158" s="5"/>
      <c r="Q2158" s="10">
        <f>INT(Tabela1[[#This Row],[DATA]])</f>
        <v>46227</v>
      </c>
      <c r="R2158" s="14" t="str">
        <f ca="1">IF(AND(Q2158&gt;=TODAY()-WEEKDAY(TODAY(),2)+1,Q2158&lt;TODAY()),"SIM","NÃO")</f>
        <v>NÃO</v>
      </c>
    </row>
    <row r="2159" spans="1:18" hidden="1">
      <c r="A2159" t="s">
        <v>163</v>
      </c>
      <c r="B2159" t="s">
        <v>164</v>
      </c>
      <c r="C2159">
        <v>300283693</v>
      </c>
      <c r="D2159">
        <v>16443004</v>
      </c>
      <c r="E2159" t="s">
        <v>29</v>
      </c>
      <c r="F2159" t="s">
        <v>96</v>
      </c>
      <c r="G2159">
        <v>5</v>
      </c>
      <c r="H2159" t="s">
        <v>2292</v>
      </c>
      <c r="K2159" s="11">
        <v>46227.626944444448</v>
      </c>
      <c r="M2159">
        <v>1488</v>
      </c>
      <c r="N2159" t="s">
        <v>867</v>
      </c>
      <c r="O2159">
        <v>0</v>
      </c>
      <c r="P2159" s="5"/>
      <c r="Q2159" s="10">
        <f>INT(Tabela1[[#This Row],[DATA]])</f>
        <v>46227</v>
      </c>
      <c r="R2159" s="14" t="str">
        <f ca="1">IF(AND(Q2159&gt;=TODAY()-WEEKDAY(TODAY(),2)+1,Q2159&lt;TODAY()),"SIM","NÃO")</f>
        <v>NÃO</v>
      </c>
    </row>
    <row r="2160" spans="1:18" hidden="1">
      <c r="A2160" t="s">
        <v>2775</v>
      </c>
      <c r="B2160" t="s">
        <v>512</v>
      </c>
      <c r="C2160">
        <v>300278589</v>
      </c>
      <c r="D2160">
        <v>16507665</v>
      </c>
      <c r="E2160" t="s">
        <v>37</v>
      </c>
      <c r="F2160" t="s">
        <v>151</v>
      </c>
      <c r="G2160">
        <v>60</v>
      </c>
      <c r="H2160" t="s">
        <v>3989</v>
      </c>
      <c r="J2160" t="s">
        <v>3990</v>
      </c>
      <c r="K2160" s="11">
        <v>46227.642835648148</v>
      </c>
      <c r="M2160">
        <v>1489</v>
      </c>
      <c r="N2160" t="s">
        <v>867</v>
      </c>
      <c r="O2160" t="s">
        <v>3991</v>
      </c>
      <c r="P2160" s="5"/>
      <c r="Q2160" s="10">
        <f>INT(Tabela1[[#This Row],[DATA]])</f>
        <v>46227</v>
      </c>
      <c r="R2160" s="14" t="str">
        <f ca="1">IF(AND(Q2160&gt;=TODAY()-WEEKDAY(TODAY(),2)+1,Q2160&lt;TODAY()),"SIM","NÃO")</f>
        <v>NÃO</v>
      </c>
    </row>
    <row r="2161" spans="1:18" hidden="1">
      <c r="A2161" t="s">
        <v>787</v>
      </c>
      <c r="B2161" t="s">
        <v>788</v>
      </c>
      <c r="C2161">
        <v>300285046</v>
      </c>
      <c r="D2161">
        <v>15859096</v>
      </c>
      <c r="E2161" t="s">
        <v>37</v>
      </c>
      <c r="F2161" t="s">
        <v>3241</v>
      </c>
      <c r="G2161">
        <v>100000</v>
      </c>
      <c r="H2161" t="s">
        <v>3992</v>
      </c>
      <c r="J2161" t="s">
        <v>3993</v>
      </c>
      <c r="K2161" s="11">
        <v>46227.643819444442</v>
      </c>
      <c r="M2161">
        <v>1490</v>
      </c>
      <c r="N2161" s="16" t="s">
        <v>878</v>
      </c>
      <c r="O2161" t="s">
        <v>3994</v>
      </c>
      <c r="P2161" s="5"/>
      <c r="Q2161" s="10">
        <f>INT(Tabela1[[#This Row],[DATA]])</f>
        <v>46227</v>
      </c>
      <c r="R2161" s="14" t="str">
        <f ca="1">IF(AND(Q2161&gt;=TODAY()-WEEKDAY(TODAY(),2)+1,Q2161&lt;TODAY()),"SIM","NÃO")</f>
        <v>NÃO</v>
      </c>
    </row>
    <row r="2162" spans="1:18" hidden="1">
      <c r="A2162" t="s">
        <v>2659</v>
      </c>
      <c r="B2162" t="s">
        <v>677</v>
      </c>
      <c r="C2162">
        <v>300280219</v>
      </c>
      <c r="D2162">
        <v>16473825</v>
      </c>
      <c r="E2162" t="s">
        <v>37</v>
      </c>
      <c r="F2162" t="s">
        <v>3241</v>
      </c>
      <c r="G2162">
        <v>6</v>
      </c>
      <c r="H2162" t="s">
        <v>3995</v>
      </c>
      <c r="J2162" t="s">
        <v>3996</v>
      </c>
      <c r="K2162" s="11">
        <v>46227.645405092589</v>
      </c>
      <c r="M2162">
        <v>1491</v>
      </c>
      <c r="N2162" t="s">
        <v>867</v>
      </c>
      <c r="O2162">
        <v>10000073235</v>
      </c>
      <c r="P2162" s="5"/>
      <c r="Q2162" s="10">
        <f>INT(Tabela1[[#This Row],[DATA]])</f>
        <v>46227</v>
      </c>
      <c r="R2162" s="14" t="str">
        <f ca="1">IF(AND(Q2162&gt;=TODAY()-WEEKDAY(TODAY(),2)+1,Q2162&lt;TODAY()),"SIM","NÃO")</f>
        <v>NÃO</v>
      </c>
    </row>
    <row r="2163" spans="1:18" hidden="1">
      <c r="A2163" t="s">
        <v>43</v>
      </c>
      <c r="B2163" t="s">
        <v>44</v>
      </c>
      <c r="C2163">
        <v>300283688</v>
      </c>
      <c r="D2163">
        <v>16502426</v>
      </c>
      <c r="E2163" t="s">
        <v>45</v>
      </c>
      <c r="F2163" t="s">
        <v>3502</v>
      </c>
      <c r="G2163">
        <v>1170</v>
      </c>
      <c r="H2163" t="s">
        <v>3997</v>
      </c>
      <c r="J2163" t="s">
        <v>3998</v>
      </c>
      <c r="K2163" s="11">
        <v>46227.652233796296</v>
      </c>
      <c r="M2163">
        <v>1492</v>
      </c>
      <c r="N2163" t="s">
        <v>867</v>
      </c>
      <c r="O2163" t="s">
        <v>3997</v>
      </c>
      <c r="P2163" s="5"/>
      <c r="Q2163" s="10">
        <f>INT(Tabela1[[#This Row],[DATA]])</f>
        <v>46227</v>
      </c>
      <c r="R2163" s="14" t="str">
        <f ca="1">IF(AND(Q2163&gt;=TODAY()-WEEKDAY(TODAY(),2)+1,Q2163&lt;TODAY()),"SIM","NÃO")</f>
        <v>NÃO</v>
      </c>
    </row>
    <row r="2164" spans="1:18" hidden="1">
      <c r="A2164" t="s">
        <v>253</v>
      </c>
      <c r="B2164" t="s">
        <v>254</v>
      </c>
      <c r="C2164">
        <v>300281956</v>
      </c>
      <c r="D2164">
        <v>16504615</v>
      </c>
      <c r="E2164" t="s">
        <v>37</v>
      </c>
      <c r="F2164" t="s">
        <v>2405</v>
      </c>
      <c r="G2164">
        <v>60</v>
      </c>
      <c r="H2164" t="s">
        <v>582</v>
      </c>
      <c r="K2164" s="11">
        <v>46227.670613425929</v>
      </c>
      <c r="M2164">
        <v>1493</v>
      </c>
      <c r="N2164" t="s">
        <v>867</v>
      </c>
      <c r="O2164">
        <v>0</v>
      </c>
      <c r="P2164" s="5"/>
      <c r="Q2164" s="10">
        <f>INT(Tabela1[[#This Row],[DATA]])</f>
        <v>46227</v>
      </c>
      <c r="R2164" s="14" t="str">
        <f ca="1">IF(AND(Q2164&gt;=TODAY()-WEEKDAY(TODAY(),2)+1,Q2164&lt;TODAY()),"SIM","NÃO")</f>
        <v>NÃO</v>
      </c>
    </row>
    <row r="2165" spans="1:18" hidden="1">
      <c r="A2165" t="s">
        <v>101</v>
      </c>
      <c r="B2165" t="s">
        <v>990</v>
      </c>
      <c r="C2165">
        <v>300280184</v>
      </c>
      <c r="D2165">
        <v>15775496</v>
      </c>
      <c r="E2165" t="s">
        <v>37</v>
      </c>
      <c r="F2165" t="s">
        <v>203</v>
      </c>
      <c r="G2165">
        <v>300</v>
      </c>
      <c r="H2165" t="s">
        <v>3999</v>
      </c>
      <c r="J2165" t="s">
        <v>4000</v>
      </c>
      <c r="K2165" s="11">
        <v>46227.68037037037</v>
      </c>
      <c r="M2165">
        <v>1494</v>
      </c>
      <c r="N2165" t="s">
        <v>867</v>
      </c>
      <c r="O2165">
        <v>0</v>
      </c>
      <c r="P2165" s="5"/>
      <c r="Q2165" s="10">
        <f>INT(Tabela1[[#This Row],[DATA]])</f>
        <v>46227</v>
      </c>
      <c r="R2165" s="14" t="str">
        <f ca="1">IF(AND(Q2165&gt;=TODAY()-WEEKDAY(TODAY(),2)+1,Q2165&lt;TODAY()),"SIM","NÃO")</f>
        <v>NÃO</v>
      </c>
    </row>
    <row r="2166" spans="1:18" hidden="1">
      <c r="A2166" t="s">
        <v>2541</v>
      </c>
      <c r="B2166" t="s">
        <v>388</v>
      </c>
      <c r="C2166">
        <v>300283561</v>
      </c>
      <c r="D2166">
        <v>16244087</v>
      </c>
      <c r="E2166" t="s">
        <v>37</v>
      </c>
      <c r="F2166" t="s">
        <v>3241</v>
      </c>
      <c r="G2166">
        <v>1080</v>
      </c>
      <c r="H2166" t="s">
        <v>2313</v>
      </c>
      <c r="J2166" t="s">
        <v>4001</v>
      </c>
      <c r="K2166" s="11">
        <v>46227.683495370373</v>
      </c>
      <c r="M2166">
        <v>1495</v>
      </c>
      <c r="N2166" s="16" t="s">
        <v>878</v>
      </c>
      <c r="O2166" t="s">
        <v>4002</v>
      </c>
      <c r="P2166" s="5"/>
      <c r="Q2166" s="10">
        <f>INT(Tabela1[[#This Row],[DATA]])</f>
        <v>46227</v>
      </c>
      <c r="R2166" s="14" t="str">
        <f ca="1">IF(AND(Q2166&gt;=TODAY()-WEEKDAY(TODAY(),2)+1,Q2166&lt;TODAY()),"SIM","NÃO")</f>
        <v>NÃO</v>
      </c>
    </row>
    <row r="2167" spans="1:18" hidden="1">
      <c r="A2167" t="s">
        <v>2765</v>
      </c>
      <c r="B2167" t="s">
        <v>107</v>
      </c>
      <c r="C2167">
        <v>300281208</v>
      </c>
      <c r="D2167">
        <v>15973050</v>
      </c>
      <c r="E2167" t="s">
        <v>45</v>
      </c>
      <c r="F2167" t="s">
        <v>3212</v>
      </c>
      <c r="G2167">
        <v>30</v>
      </c>
      <c r="H2167" t="s">
        <v>2292</v>
      </c>
      <c r="K2167" s="11">
        <v>46227.685023148151</v>
      </c>
      <c r="M2167">
        <v>1496</v>
      </c>
      <c r="N2167" t="s">
        <v>867</v>
      </c>
      <c r="O2167">
        <v>0</v>
      </c>
      <c r="P2167" s="5"/>
      <c r="Q2167" s="10">
        <f>INT(Tabela1[[#This Row],[DATA]])</f>
        <v>46227</v>
      </c>
      <c r="R2167" s="14" t="str">
        <f ca="1">IF(AND(Q2167&gt;=TODAY()-WEEKDAY(TODAY(),2)+1,Q2167&lt;TODAY()),"SIM","NÃO")</f>
        <v>NÃO</v>
      </c>
    </row>
    <row r="2168" spans="1:18" hidden="1">
      <c r="A2168" t="s">
        <v>163</v>
      </c>
      <c r="B2168" t="s">
        <v>164</v>
      </c>
      <c r="C2168">
        <v>300281417</v>
      </c>
      <c r="D2168">
        <v>16447964</v>
      </c>
      <c r="E2168" t="s">
        <v>37</v>
      </c>
      <c r="F2168" t="s">
        <v>177</v>
      </c>
      <c r="G2168">
        <v>10</v>
      </c>
      <c r="H2168" t="s">
        <v>2292</v>
      </c>
      <c r="K2168" s="11">
        <v>46227.686643518522</v>
      </c>
      <c r="M2168">
        <v>1497</v>
      </c>
      <c r="N2168" t="s">
        <v>867</v>
      </c>
      <c r="O2168">
        <v>10000064831</v>
      </c>
      <c r="P2168" s="5"/>
      <c r="Q2168" s="10">
        <f>INT(Tabela1[[#This Row],[DATA]])</f>
        <v>46227</v>
      </c>
      <c r="R2168" s="14" t="str">
        <f ca="1">IF(AND(Q2168&gt;=TODAY()-WEEKDAY(TODAY(),2)+1,Q2168&lt;TODAY()),"SIM","NÃO")</f>
        <v>NÃO</v>
      </c>
    </row>
    <row r="2169" spans="1:18" hidden="1">
      <c r="A2169" t="s">
        <v>2541</v>
      </c>
      <c r="B2169" t="s">
        <v>388</v>
      </c>
      <c r="C2169">
        <v>300283560</v>
      </c>
      <c r="D2169">
        <v>16244087</v>
      </c>
      <c r="E2169" t="s">
        <v>37</v>
      </c>
      <c r="F2169" t="s">
        <v>3241</v>
      </c>
      <c r="G2169">
        <v>1080</v>
      </c>
      <c r="H2169" t="s">
        <v>2313</v>
      </c>
      <c r="J2169" t="s">
        <v>4001</v>
      </c>
      <c r="K2169" s="11">
        <v>46227.686655092592</v>
      </c>
      <c r="M2169">
        <v>1498</v>
      </c>
      <c r="N2169" s="16" t="s">
        <v>878</v>
      </c>
      <c r="O2169" t="s">
        <v>4002</v>
      </c>
      <c r="P2169" s="5"/>
      <c r="Q2169" s="10">
        <f>INT(Tabela1[[#This Row],[DATA]])</f>
        <v>46227</v>
      </c>
      <c r="R2169" s="14" t="str">
        <f ca="1">IF(AND(Q2169&gt;=TODAY()-WEEKDAY(TODAY(),2)+1,Q2169&lt;TODAY()),"SIM","NÃO")</f>
        <v>NÃO</v>
      </c>
    </row>
    <row r="2170" spans="1:18" hidden="1">
      <c r="A2170" t="s">
        <v>163</v>
      </c>
      <c r="B2170" t="s">
        <v>164</v>
      </c>
      <c r="C2170">
        <v>300281417</v>
      </c>
      <c r="D2170">
        <v>16447964</v>
      </c>
      <c r="E2170" t="s">
        <v>37</v>
      </c>
      <c r="F2170" t="s">
        <v>177</v>
      </c>
      <c r="G2170">
        <v>10</v>
      </c>
      <c r="H2170" t="s">
        <v>2292</v>
      </c>
      <c r="K2170" s="11">
        <v>46227.687754629631</v>
      </c>
      <c r="M2170">
        <v>1499</v>
      </c>
      <c r="N2170" t="s">
        <v>867</v>
      </c>
      <c r="O2170">
        <v>10000064815</v>
      </c>
      <c r="P2170" s="5"/>
      <c r="Q2170" s="10">
        <f>INT(Tabela1[[#This Row],[DATA]])</f>
        <v>46227</v>
      </c>
      <c r="R2170" s="14" t="str">
        <f ca="1">IF(AND(Q2170&gt;=TODAY()-WEEKDAY(TODAY(),2)+1,Q2170&lt;TODAY()),"SIM","NÃO")</f>
        <v>NÃO</v>
      </c>
    </row>
    <row r="2171" spans="1:18" hidden="1">
      <c r="A2171" t="s">
        <v>2541</v>
      </c>
      <c r="B2171" t="s">
        <v>388</v>
      </c>
      <c r="C2171">
        <v>300283559</v>
      </c>
      <c r="D2171">
        <v>16244087</v>
      </c>
      <c r="E2171" t="s">
        <v>37</v>
      </c>
      <c r="F2171" t="s">
        <v>3241</v>
      </c>
      <c r="G2171">
        <v>840</v>
      </c>
      <c r="H2171" t="s">
        <v>2313</v>
      </c>
      <c r="J2171" t="s">
        <v>4003</v>
      </c>
      <c r="K2171" s="11">
        <v>46227.68855324074</v>
      </c>
      <c r="M2171">
        <v>1500</v>
      </c>
      <c r="N2171" s="16" t="s">
        <v>878</v>
      </c>
      <c r="O2171" t="s">
        <v>4001</v>
      </c>
      <c r="P2171" s="5"/>
      <c r="Q2171" s="10">
        <f>INT(Tabela1[[#This Row],[DATA]])</f>
        <v>46227</v>
      </c>
      <c r="R2171" s="14" t="str">
        <f ca="1">IF(AND(Q2171&gt;=TODAY()-WEEKDAY(TODAY(),2)+1,Q2171&lt;TODAY()),"SIM","NÃO")</f>
        <v>NÃO</v>
      </c>
    </row>
    <row r="2172" spans="1:18" hidden="1">
      <c r="A2172" t="s">
        <v>2541</v>
      </c>
      <c r="B2172" t="s">
        <v>388</v>
      </c>
      <c r="C2172">
        <v>300283561</v>
      </c>
      <c r="D2172">
        <v>16244087</v>
      </c>
      <c r="E2172" t="s">
        <v>37</v>
      </c>
      <c r="F2172" t="s">
        <v>3241</v>
      </c>
      <c r="G2172">
        <v>1080</v>
      </c>
      <c r="H2172" t="s">
        <v>2313</v>
      </c>
      <c r="J2172" t="s">
        <v>4003</v>
      </c>
      <c r="K2172" s="11">
        <v>46227.690763888888</v>
      </c>
      <c r="M2172">
        <v>1501</v>
      </c>
      <c r="N2172" s="16" t="s">
        <v>878</v>
      </c>
      <c r="O2172" t="s">
        <v>4004</v>
      </c>
      <c r="P2172" s="5"/>
      <c r="Q2172" s="10">
        <f>INT(Tabela1[[#This Row],[DATA]])</f>
        <v>46227</v>
      </c>
      <c r="R2172" s="14" t="str">
        <f ca="1">IF(AND(Q2172&gt;=TODAY()-WEEKDAY(TODAY(),2)+1,Q2172&lt;TODAY()),"SIM","NÃO")</f>
        <v>NÃO</v>
      </c>
    </row>
    <row r="2173" spans="1:18" hidden="1">
      <c r="A2173" t="s">
        <v>2541</v>
      </c>
      <c r="B2173" t="s">
        <v>388</v>
      </c>
      <c r="C2173">
        <v>300283560</v>
      </c>
      <c r="D2173">
        <v>16244087</v>
      </c>
      <c r="E2173" t="s">
        <v>37</v>
      </c>
      <c r="F2173" t="s">
        <v>3241</v>
      </c>
      <c r="G2173">
        <v>1080</v>
      </c>
      <c r="H2173" t="s">
        <v>2313</v>
      </c>
      <c r="J2173" t="s">
        <v>4005</v>
      </c>
      <c r="K2173" s="11">
        <v>46227.692048611112</v>
      </c>
      <c r="M2173">
        <v>1502</v>
      </c>
      <c r="N2173" s="16" t="s">
        <v>878</v>
      </c>
      <c r="O2173" t="s">
        <v>4006</v>
      </c>
      <c r="P2173" s="5"/>
      <c r="Q2173" s="10">
        <f>INT(Tabela1[[#This Row],[DATA]])</f>
        <v>46227</v>
      </c>
      <c r="R2173" s="14" t="str">
        <f ca="1">IF(AND(Q2173&gt;=TODAY()-WEEKDAY(TODAY(),2)+1,Q2173&lt;TODAY()),"SIM","NÃO")</f>
        <v>NÃO</v>
      </c>
    </row>
    <row r="2174" spans="1:18" hidden="1">
      <c r="A2174" t="s">
        <v>2541</v>
      </c>
      <c r="B2174" t="s">
        <v>388</v>
      </c>
      <c r="C2174">
        <v>300283559</v>
      </c>
      <c r="D2174">
        <v>16244087</v>
      </c>
      <c r="E2174" t="s">
        <v>37</v>
      </c>
      <c r="F2174" t="s">
        <v>3241</v>
      </c>
      <c r="G2174">
        <v>840</v>
      </c>
      <c r="H2174" t="s">
        <v>2313</v>
      </c>
      <c r="J2174" t="s">
        <v>4005</v>
      </c>
      <c r="K2174" s="11">
        <v>46227.693333333336</v>
      </c>
      <c r="M2174">
        <v>1503</v>
      </c>
      <c r="N2174" s="16" t="s">
        <v>878</v>
      </c>
      <c r="O2174" t="s">
        <v>4006</v>
      </c>
      <c r="P2174" s="5"/>
      <c r="Q2174" s="10">
        <f>INT(Tabela1[[#This Row],[DATA]])</f>
        <v>46227</v>
      </c>
      <c r="R2174" s="14" t="str">
        <f ca="1">IF(AND(Q2174&gt;=TODAY()-WEEKDAY(TODAY(),2)+1,Q2174&lt;TODAY()),"SIM","NÃO")</f>
        <v>NÃO</v>
      </c>
    </row>
    <row r="2175" spans="1:18" hidden="1">
      <c r="A2175" t="s">
        <v>914</v>
      </c>
      <c r="B2175" t="s">
        <v>2651</v>
      </c>
      <c r="C2175">
        <v>300272653</v>
      </c>
      <c r="D2175">
        <v>16460901</v>
      </c>
      <c r="E2175" t="s">
        <v>37</v>
      </c>
      <c r="F2175" t="s">
        <v>177</v>
      </c>
      <c r="G2175">
        <v>38</v>
      </c>
      <c r="H2175" t="s">
        <v>3731</v>
      </c>
      <c r="J2175" t="s">
        <v>4007</v>
      </c>
      <c r="K2175" s="11">
        <v>46227.69462962963</v>
      </c>
      <c r="M2175">
        <v>1504</v>
      </c>
      <c r="N2175" t="s">
        <v>867</v>
      </c>
      <c r="O2175">
        <v>0</v>
      </c>
      <c r="P2175" s="5"/>
      <c r="Q2175" s="10">
        <f>INT(Tabela1[[#This Row],[DATA]])</f>
        <v>46227</v>
      </c>
      <c r="R2175" s="14" t="str">
        <f ca="1">IF(AND(Q2175&gt;=TODAY()-WEEKDAY(TODAY(),2)+1,Q2175&lt;TODAY()),"SIM","NÃO")</f>
        <v>NÃO</v>
      </c>
    </row>
    <row r="2176" spans="1:18" hidden="1">
      <c r="A2176" t="s">
        <v>3132</v>
      </c>
      <c r="B2176" t="s">
        <v>242</v>
      </c>
      <c r="C2176">
        <v>300281130</v>
      </c>
      <c r="D2176">
        <v>16507665</v>
      </c>
      <c r="E2176" t="s">
        <v>37</v>
      </c>
      <c r="F2176" t="s">
        <v>3241</v>
      </c>
      <c r="G2176" t="s">
        <v>3496</v>
      </c>
      <c r="H2176" t="s">
        <v>4008</v>
      </c>
      <c r="J2176" t="s">
        <v>4009</v>
      </c>
      <c r="K2176" s="11">
        <v>46227.697592592594</v>
      </c>
      <c r="M2176">
        <v>1505</v>
      </c>
      <c r="N2176" t="s">
        <v>867</v>
      </c>
      <c r="O2176">
        <v>10000063383</v>
      </c>
      <c r="P2176" s="5"/>
      <c r="Q2176" s="10">
        <f>INT(Tabela1[[#This Row],[DATA]])</f>
        <v>46227</v>
      </c>
      <c r="R2176" s="14" t="str">
        <f ca="1">IF(AND(Q2176&gt;=TODAY()-WEEKDAY(TODAY(),2)+1,Q2176&lt;TODAY()),"SIM","NÃO")</f>
        <v>NÃO</v>
      </c>
    </row>
    <row r="2177" spans="1:18" hidden="1">
      <c r="A2177" t="s">
        <v>3132</v>
      </c>
      <c r="B2177" t="s">
        <v>242</v>
      </c>
      <c r="C2177">
        <v>300281130</v>
      </c>
      <c r="D2177">
        <v>16507665</v>
      </c>
      <c r="E2177" t="s">
        <v>37</v>
      </c>
      <c r="F2177" t="s">
        <v>3241</v>
      </c>
      <c r="G2177" t="s">
        <v>2472</v>
      </c>
      <c r="H2177" t="s">
        <v>4010</v>
      </c>
      <c r="J2177" t="s">
        <v>4011</v>
      </c>
      <c r="K2177" s="11">
        <v>46227.699247685188</v>
      </c>
      <c r="M2177">
        <v>1506</v>
      </c>
      <c r="N2177" t="s">
        <v>867</v>
      </c>
      <c r="O2177">
        <v>10000063383</v>
      </c>
      <c r="P2177" s="5"/>
      <c r="Q2177" s="10">
        <f>INT(Tabela1[[#This Row],[DATA]])</f>
        <v>46227</v>
      </c>
      <c r="R2177" s="14" t="str">
        <f ca="1">IF(AND(Q2177&gt;=TODAY()-WEEKDAY(TODAY(),2)+1,Q2177&lt;TODAY()),"SIM","NÃO")</f>
        <v>NÃO</v>
      </c>
    </row>
    <row r="2178" spans="1:18" hidden="1">
      <c r="A2178" t="s">
        <v>2547</v>
      </c>
      <c r="B2178" t="s">
        <v>1582</v>
      </c>
      <c r="C2178">
        <v>300277303</v>
      </c>
      <c r="D2178">
        <v>15973050</v>
      </c>
      <c r="E2178" t="s">
        <v>45</v>
      </c>
      <c r="F2178" t="s">
        <v>103</v>
      </c>
      <c r="G2178">
        <v>100</v>
      </c>
      <c r="H2178" t="s">
        <v>4012</v>
      </c>
      <c r="J2178" t="s">
        <v>4012</v>
      </c>
      <c r="K2178" s="11">
        <v>46227.70753472222</v>
      </c>
      <c r="M2178">
        <v>1507</v>
      </c>
      <c r="N2178" t="s">
        <v>867</v>
      </c>
      <c r="O2178">
        <v>0</v>
      </c>
      <c r="P2178" s="5"/>
      <c r="Q2178" s="10">
        <f>INT(Tabela1[[#This Row],[DATA]])</f>
        <v>46227</v>
      </c>
      <c r="R2178" s="14" t="str">
        <f ca="1">IF(AND(Q2178&gt;=TODAY()-WEEKDAY(TODAY(),2)+1,Q2178&lt;TODAY()),"SIM","NÃO")</f>
        <v>NÃO</v>
      </c>
    </row>
    <row r="2179" spans="1:18" hidden="1">
      <c r="A2179" t="s">
        <v>2549</v>
      </c>
      <c r="B2179" t="s">
        <v>19</v>
      </c>
      <c r="C2179">
        <v>300282558</v>
      </c>
      <c r="D2179">
        <v>14487004</v>
      </c>
      <c r="E2179" t="s">
        <v>29</v>
      </c>
      <c r="F2179" t="s">
        <v>3212</v>
      </c>
      <c r="G2179">
        <v>30</v>
      </c>
      <c r="H2179" t="s">
        <v>4013</v>
      </c>
      <c r="J2179" t="s">
        <v>2802</v>
      </c>
      <c r="K2179" s="11">
        <v>46227.775138888886</v>
      </c>
      <c r="M2179">
        <v>1508</v>
      </c>
      <c r="N2179" t="s">
        <v>878</v>
      </c>
      <c r="O2179" t="s">
        <v>2802</v>
      </c>
      <c r="P2179" s="5"/>
      <c r="Q2179" s="10">
        <f>INT(Tabela1[[#This Row],[DATA]])</f>
        <v>46227</v>
      </c>
      <c r="R2179" s="14" t="str">
        <f ca="1">IF(AND(Q2179&gt;=TODAY()-WEEKDAY(TODAY(),2)+1,Q2179&lt;TODAY()),"SIM","NÃO")</f>
        <v>NÃO</v>
      </c>
    </row>
    <row r="2180" spans="1:18" hidden="1">
      <c r="A2180" t="s">
        <v>2549</v>
      </c>
      <c r="B2180" t="s">
        <v>19</v>
      </c>
      <c r="C2180">
        <v>300282558</v>
      </c>
      <c r="D2180">
        <v>14487004</v>
      </c>
      <c r="E2180" t="s">
        <v>29</v>
      </c>
      <c r="F2180" t="s">
        <v>151</v>
      </c>
      <c r="G2180">
        <v>55</v>
      </c>
      <c r="H2180" t="s">
        <v>4014</v>
      </c>
      <c r="J2180" t="s">
        <v>4015</v>
      </c>
      <c r="K2180" s="11">
        <v>46227.776782407411</v>
      </c>
      <c r="M2180">
        <v>1509</v>
      </c>
      <c r="N2180" t="s">
        <v>867</v>
      </c>
      <c r="O2180" t="s">
        <v>2802</v>
      </c>
      <c r="P2180" s="5"/>
      <c r="Q2180" s="10">
        <f>INT(Tabela1[[#This Row],[DATA]])</f>
        <v>46227</v>
      </c>
      <c r="R2180" s="14" t="str">
        <f ca="1">IF(AND(Q2180&gt;=TODAY()-WEEKDAY(TODAY(),2)+1,Q2180&lt;TODAY()),"SIM","NÃO")</f>
        <v>NÃO</v>
      </c>
    </row>
    <row r="2181" spans="1:18" hidden="1">
      <c r="A2181" t="s">
        <v>2549</v>
      </c>
      <c r="B2181" t="s">
        <v>19</v>
      </c>
      <c r="C2181">
        <v>300279749</v>
      </c>
      <c r="D2181">
        <v>15581888</v>
      </c>
      <c r="E2181" t="s">
        <v>20</v>
      </c>
      <c r="F2181" t="s">
        <v>3212</v>
      </c>
      <c r="G2181">
        <v>4</v>
      </c>
      <c r="H2181" t="s">
        <v>4013</v>
      </c>
      <c r="J2181" t="s">
        <v>2802</v>
      </c>
      <c r="K2181" s="11">
        <v>46227.784328703703</v>
      </c>
      <c r="M2181">
        <v>1510</v>
      </c>
      <c r="N2181" t="s">
        <v>867</v>
      </c>
      <c r="O2181" t="s">
        <v>2802</v>
      </c>
      <c r="P2181" s="5"/>
      <c r="Q2181" s="10">
        <f>INT(Tabela1[[#This Row],[DATA]])</f>
        <v>46227</v>
      </c>
      <c r="R2181" s="14" t="str">
        <f ca="1">IF(AND(Q2181&gt;=TODAY()-WEEKDAY(TODAY(),2)+1,Q2181&lt;TODAY()),"SIM","NÃO")</f>
        <v>NÃO</v>
      </c>
    </row>
    <row r="2182" spans="1:18" hidden="1">
      <c r="A2182" t="s">
        <v>2543</v>
      </c>
      <c r="B2182" t="s">
        <v>28</v>
      </c>
      <c r="C2182">
        <v>300283186</v>
      </c>
      <c r="D2182">
        <v>16218230</v>
      </c>
      <c r="E2182" t="s">
        <v>37</v>
      </c>
      <c r="F2182" t="s">
        <v>221</v>
      </c>
      <c r="G2182">
        <v>1176</v>
      </c>
      <c r="H2182" t="s">
        <v>2101</v>
      </c>
      <c r="K2182" s="11">
        <v>46230.33693287037</v>
      </c>
      <c r="M2182">
        <v>1511</v>
      </c>
      <c r="N2182" t="s">
        <v>878</v>
      </c>
      <c r="O2182">
        <v>10000195771</v>
      </c>
      <c r="P2182" s="5"/>
      <c r="Q2182" s="10">
        <f>INT(Tabela1[[#This Row],[DATA]])</f>
        <v>46230</v>
      </c>
      <c r="R2182" s="14" t="str">
        <f ca="1">IF(AND(Q2182&gt;=TODAY()-WEEKDAY(TODAY(),2)+1,Q2182&lt;TODAY()),"SIM","NÃO")</f>
        <v>NÃO</v>
      </c>
    </row>
    <row r="2183" spans="1:18" hidden="1">
      <c r="A2183" t="s">
        <v>2543</v>
      </c>
      <c r="B2183" t="s">
        <v>28</v>
      </c>
      <c r="C2183">
        <v>300283187</v>
      </c>
      <c r="D2183">
        <v>16218230</v>
      </c>
      <c r="E2183" t="s">
        <v>37</v>
      </c>
      <c r="F2183" t="s">
        <v>221</v>
      </c>
      <c r="G2183">
        <v>1232</v>
      </c>
      <c r="H2183" t="s">
        <v>2101</v>
      </c>
      <c r="K2183" s="11">
        <v>46230.338854166665</v>
      </c>
      <c r="M2183">
        <v>1512</v>
      </c>
      <c r="N2183" t="s">
        <v>867</v>
      </c>
      <c r="O2183">
        <v>10000195771</v>
      </c>
      <c r="P2183" s="5"/>
      <c r="Q2183" s="10">
        <f>INT(Tabela1[[#This Row],[DATA]])</f>
        <v>46230</v>
      </c>
      <c r="R2183" s="14" t="str">
        <f ca="1">IF(AND(Q2183&gt;=TODAY()-WEEKDAY(TODAY(),2)+1,Q2183&lt;TODAY()),"SIM","NÃO")</f>
        <v>NÃO</v>
      </c>
    </row>
    <row r="2184" spans="1:18" hidden="1">
      <c r="A2184" t="s">
        <v>111</v>
      </c>
      <c r="B2184" t="s">
        <v>112</v>
      </c>
      <c r="C2184">
        <v>300281689</v>
      </c>
      <c r="D2184">
        <v>16535642</v>
      </c>
      <c r="E2184" t="s">
        <v>20</v>
      </c>
      <c r="F2184" t="s">
        <v>2405</v>
      </c>
      <c r="G2184">
        <v>2</v>
      </c>
      <c r="H2184" t="s">
        <v>2843</v>
      </c>
      <c r="K2184" s="11">
        <v>46230.35434027778</v>
      </c>
      <c r="M2184">
        <v>1513</v>
      </c>
      <c r="N2184" t="s">
        <v>867</v>
      </c>
      <c r="O2184">
        <v>0</v>
      </c>
      <c r="P2184" s="5"/>
      <c r="Q2184" s="10">
        <f>INT(Tabela1[[#This Row],[DATA]])</f>
        <v>46230</v>
      </c>
      <c r="R2184" s="14" t="str">
        <f ca="1">IF(AND(Q2184&gt;=TODAY()-WEEKDAY(TODAY(),2)+1,Q2184&lt;TODAY()),"SIM","NÃO")</f>
        <v>NÃO</v>
      </c>
    </row>
    <row r="2185" spans="1:18" hidden="1">
      <c r="A2185" t="s">
        <v>2578</v>
      </c>
      <c r="B2185" t="s">
        <v>69</v>
      </c>
      <c r="C2185">
        <v>300283445</v>
      </c>
      <c r="D2185">
        <v>16311639</v>
      </c>
      <c r="E2185" t="s">
        <v>45</v>
      </c>
      <c r="F2185" t="s">
        <v>2405</v>
      </c>
      <c r="G2185">
        <v>145</v>
      </c>
      <c r="H2185" t="s">
        <v>4016</v>
      </c>
      <c r="K2185" s="11">
        <v>46230.355046296296</v>
      </c>
      <c r="M2185">
        <v>1514</v>
      </c>
      <c r="N2185" t="s">
        <v>867</v>
      </c>
      <c r="O2185">
        <v>16311639</v>
      </c>
      <c r="P2185" s="5"/>
      <c r="Q2185" s="10">
        <f>INT(Tabela1[[#This Row],[DATA]])</f>
        <v>46230</v>
      </c>
      <c r="R2185" s="14" t="str">
        <f ca="1">IF(AND(Q2185&gt;=TODAY()-WEEKDAY(TODAY(),2)+1,Q2185&lt;TODAY()),"SIM","NÃO")</f>
        <v>NÃO</v>
      </c>
    </row>
    <row r="2186" spans="1:18" hidden="1">
      <c r="A2186" t="s">
        <v>2991</v>
      </c>
      <c r="B2186" t="s">
        <v>534</v>
      </c>
      <c r="C2186">
        <v>300278894</v>
      </c>
      <c r="D2186">
        <v>16293274</v>
      </c>
      <c r="E2186" t="s">
        <v>37</v>
      </c>
      <c r="F2186" t="s">
        <v>216</v>
      </c>
      <c r="G2186">
        <v>65</v>
      </c>
      <c r="H2186" t="s">
        <v>4017</v>
      </c>
      <c r="J2186" t="s">
        <v>4018</v>
      </c>
      <c r="K2186" s="11">
        <v>46230.36309027778</v>
      </c>
      <c r="M2186">
        <v>1515</v>
      </c>
      <c r="N2186" t="s">
        <v>867</v>
      </c>
      <c r="O2186">
        <v>0</v>
      </c>
      <c r="P2186" s="5"/>
      <c r="Q2186" s="10">
        <f>INT(Tabela1[[#This Row],[DATA]])</f>
        <v>46230</v>
      </c>
      <c r="R2186" s="14" t="str">
        <f ca="1">IF(AND(Q2186&gt;=TODAY()-WEEKDAY(TODAY(),2)+1,Q2186&lt;TODAY()),"SIM","NÃO")</f>
        <v>NÃO</v>
      </c>
    </row>
    <row r="2187" spans="1:18" hidden="1">
      <c r="A2187" t="s">
        <v>2541</v>
      </c>
      <c r="B2187" t="s">
        <v>388</v>
      </c>
      <c r="C2187">
        <v>300283560</v>
      </c>
      <c r="D2187">
        <v>16244087</v>
      </c>
      <c r="E2187" t="s">
        <v>37</v>
      </c>
      <c r="F2187" t="s">
        <v>2213</v>
      </c>
      <c r="G2187">
        <v>707</v>
      </c>
      <c r="H2187" t="s">
        <v>4019</v>
      </c>
      <c r="J2187" t="s">
        <v>4020</v>
      </c>
      <c r="K2187" s="11">
        <v>46230.368252314816</v>
      </c>
      <c r="M2187">
        <v>1516</v>
      </c>
      <c r="N2187" t="s">
        <v>867</v>
      </c>
      <c r="O2187">
        <v>0</v>
      </c>
      <c r="P2187" s="5"/>
      <c r="Q2187" s="10">
        <f>INT(Tabela1[[#This Row],[DATA]])</f>
        <v>46230</v>
      </c>
      <c r="R2187" s="14" t="str">
        <f ca="1">IF(AND(Q2187&gt;=TODAY()-WEEKDAY(TODAY(),2)+1,Q2187&lt;TODAY()),"SIM","NÃO")</f>
        <v>NÃO</v>
      </c>
    </row>
    <row r="2188" spans="1:18" hidden="1">
      <c r="A2188" t="s">
        <v>2547</v>
      </c>
      <c r="B2188" t="s">
        <v>1582</v>
      </c>
      <c r="C2188">
        <v>300283174</v>
      </c>
      <c r="D2188">
        <v>16518837</v>
      </c>
      <c r="E2188" t="s">
        <v>20</v>
      </c>
      <c r="F2188" t="s">
        <v>2405</v>
      </c>
      <c r="G2188">
        <v>280</v>
      </c>
      <c r="H2188" t="s">
        <v>3374</v>
      </c>
      <c r="J2188" t="s">
        <v>3374</v>
      </c>
      <c r="K2188" s="11">
        <v>46230.368275462963</v>
      </c>
      <c r="M2188">
        <v>1517</v>
      </c>
      <c r="N2188" t="s">
        <v>867</v>
      </c>
      <c r="O2188">
        <v>0</v>
      </c>
      <c r="P2188" s="5"/>
      <c r="Q2188" s="10">
        <f>INT(Tabela1[[#This Row],[DATA]])</f>
        <v>46230</v>
      </c>
      <c r="R2188" s="14" t="str">
        <f ca="1">IF(AND(Q2188&gt;=TODAY()-WEEKDAY(TODAY(),2)+1,Q2188&lt;TODAY()),"SIM","NÃO")</f>
        <v>NÃO</v>
      </c>
    </row>
    <row r="2189" spans="1:18" hidden="1">
      <c r="A2189" t="s">
        <v>2541</v>
      </c>
      <c r="B2189" t="s">
        <v>388</v>
      </c>
      <c r="C2189">
        <v>300283559</v>
      </c>
      <c r="D2189">
        <v>16244087</v>
      </c>
      <c r="E2189" t="s">
        <v>37</v>
      </c>
      <c r="F2189" t="s">
        <v>329</v>
      </c>
      <c r="G2189">
        <v>840</v>
      </c>
      <c r="H2189" t="s">
        <v>2313</v>
      </c>
      <c r="K2189" s="11">
        <v>46230.369571759256</v>
      </c>
      <c r="M2189">
        <v>1518</v>
      </c>
      <c r="N2189" t="s">
        <v>867</v>
      </c>
      <c r="O2189">
        <v>0</v>
      </c>
      <c r="P2189" s="5"/>
      <c r="Q2189" s="10">
        <f>INT(Tabela1[[#This Row],[DATA]])</f>
        <v>46230</v>
      </c>
      <c r="R2189" s="14" t="str">
        <f ca="1">IF(AND(Q2189&gt;=TODAY()-WEEKDAY(TODAY(),2)+1,Q2189&lt;TODAY()),"SIM","NÃO")</f>
        <v>NÃO</v>
      </c>
    </row>
    <row r="2190" spans="1:18" hidden="1">
      <c r="A2190" t="s">
        <v>2541</v>
      </c>
      <c r="B2190" t="s">
        <v>388</v>
      </c>
      <c r="C2190">
        <v>300283560</v>
      </c>
      <c r="D2190">
        <v>16244087</v>
      </c>
      <c r="E2190" t="s">
        <v>37</v>
      </c>
      <c r="F2190" t="s">
        <v>329</v>
      </c>
      <c r="G2190">
        <v>1080</v>
      </c>
      <c r="H2190" t="s">
        <v>2313</v>
      </c>
      <c r="K2190" s="11">
        <v>46230.370555555557</v>
      </c>
      <c r="M2190">
        <v>1519</v>
      </c>
      <c r="N2190" t="s">
        <v>867</v>
      </c>
      <c r="O2190">
        <v>0</v>
      </c>
      <c r="P2190" s="5"/>
      <c r="Q2190" s="10">
        <f>INT(Tabela1[[#This Row],[DATA]])</f>
        <v>46230</v>
      </c>
      <c r="R2190" s="14" t="str">
        <f ca="1">IF(AND(Q2190&gt;=TODAY()-WEEKDAY(TODAY(),2)+1,Q2190&lt;TODAY()),"SIM","NÃO")</f>
        <v>NÃO</v>
      </c>
    </row>
    <row r="2191" spans="1:18" hidden="1">
      <c r="A2191" t="s">
        <v>2541</v>
      </c>
      <c r="B2191" t="s">
        <v>388</v>
      </c>
      <c r="C2191">
        <v>300283561</v>
      </c>
      <c r="D2191">
        <v>16244087</v>
      </c>
      <c r="E2191" t="s">
        <v>37</v>
      </c>
      <c r="F2191" t="s">
        <v>329</v>
      </c>
      <c r="G2191">
        <v>1080</v>
      </c>
      <c r="H2191" t="s">
        <v>2313</v>
      </c>
      <c r="K2191" s="11">
        <v>46230.374398148146</v>
      </c>
      <c r="M2191">
        <v>1520</v>
      </c>
      <c r="N2191" t="s">
        <v>867</v>
      </c>
      <c r="O2191">
        <v>0</v>
      </c>
      <c r="P2191" s="5"/>
      <c r="Q2191" s="10">
        <f>INT(Tabela1[[#This Row],[DATA]])</f>
        <v>46230</v>
      </c>
      <c r="R2191" s="14" t="str">
        <f ca="1">IF(AND(Q2191&gt;=TODAY()-WEEKDAY(TODAY(),2)+1,Q2191&lt;TODAY()),"SIM","NÃO")</f>
        <v>NÃO</v>
      </c>
    </row>
    <row r="2192" spans="1:18" hidden="1">
      <c r="A2192" t="s">
        <v>2541</v>
      </c>
      <c r="B2192" t="s">
        <v>388</v>
      </c>
      <c r="C2192">
        <v>300283924</v>
      </c>
      <c r="D2192">
        <v>16244087</v>
      </c>
      <c r="E2192" t="s">
        <v>37</v>
      </c>
      <c r="F2192" t="s">
        <v>329</v>
      </c>
      <c r="G2192">
        <v>1000</v>
      </c>
      <c r="H2192" t="s">
        <v>2313</v>
      </c>
      <c r="K2192" s="11">
        <v>46230.375740740739</v>
      </c>
      <c r="M2192">
        <v>1521</v>
      </c>
      <c r="N2192" t="s">
        <v>867</v>
      </c>
      <c r="O2192">
        <v>0</v>
      </c>
      <c r="P2192" s="5"/>
      <c r="Q2192" s="10">
        <f>INT(Tabela1[[#This Row],[DATA]])</f>
        <v>46230</v>
      </c>
      <c r="R2192" s="14" t="str">
        <f ca="1">IF(AND(Q2192&gt;=TODAY()-WEEKDAY(TODAY(),2)+1,Q2192&lt;TODAY()),"SIM","NÃO")</f>
        <v>NÃO</v>
      </c>
    </row>
    <row r="2193" spans="1:18" hidden="1">
      <c r="A2193" t="s">
        <v>2656</v>
      </c>
      <c r="B2193" t="s">
        <v>119</v>
      </c>
      <c r="C2193">
        <v>300277546</v>
      </c>
      <c r="D2193">
        <v>16523806</v>
      </c>
      <c r="E2193" t="s">
        <v>37</v>
      </c>
      <c r="F2193" t="s">
        <v>216</v>
      </c>
      <c r="G2193">
        <v>120</v>
      </c>
      <c r="H2193" t="s">
        <v>4021</v>
      </c>
      <c r="J2193" t="s">
        <v>4022</v>
      </c>
      <c r="K2193" s="11">
        <v>46230.397997685184</v>
      </c>
      <c r="M2193">
        <v>1522</v>
      </c>
      <c r="N2193" t="s">
        <v>867</v>
      </c>
      <c r="O2193">
        <v>0</v>
      </c>
      <c r="P2193" s="5"/>
      <c r="Q2193" s="10">
        <f>INT(Tabela1[[#This Row],[DATA]])</f>
        <v>46230</v>
      </c>
      <c r="R2193" s="14" t="str">
        <f ca="1">IF(AND(Q2193&gt;=TODAY()-WEEKDAY(TODAY(),2)+1,Q2193&lt;TODAY()),"SIM","NÃO")</f>
        <v>NÃO</v>
      </c>
    </row>
    <row r="2194" spans="1:18" hidden="1">
      <c r="A2194" t="s">
        <v>313</v>
      </c>
      <c r="B2194" t="s">
        <v>314</v>
      </c>
      <c r="C2194">
        <v>300284485</v>
      </c>
      <c r="D2194">
        <v>16222326</v>
      </c>
      <c r="E2194" t="s">
        <v>45</v>
      </c>
      <c r="F2194" t="s">
        <v>1287</v>
      </c>
      <c r="G2194" t="s">
        <v>4023</v>
      </c>
      <c r="H2194" t="s">
        <v>4024</v>
      </c>
      <c r="J2194" t="s">
        <v>4025</v>
      </c>
      <c r="K2194" s="11">
        <v>46230.404618055552</v>
      </c>
      <c r="M2194">
        <v>1523</v>
      </c>
      <c r="N2194" t="s">
        <v>878</v>
      </c>
      <c r="O2194">
        <v>0</v>
      </c>
      <c r="P2194" s="5"/>
      <c r="Q2194" s="10">
        <f>INT(Tabela1[[#This Row],[DATA]])</f>
        <v>46230</v>
      </c>
      <c r="R2194" s="14" t="str">
        <f ca="1">IF(AND(Q2194&gt;=TODAY()-WEEKDAY(TODAY(),2)+1,Q2194&lt;TODAY()),"SIM","NÃO")</f>
        <v>NÃO</v>
      </c>
    </row>
    <row r="2195" spans="1:18" hidden="1">
      <c r="A2195" t="s">
        <v>2571</v>
      </c>
      <c r="B2195" t="s">
        <v>798</v>
      </c>
      <c r="C2195">
        <v>300281849</v>
      </c>
      <c r="D2195">
        <v>16441400</v>
      </c>
      <c r="E2195" t="s">
        <v>45</v>
      </c>
      <c r="F2195" t="s">
        <v>2405</v>
      </c>
      <c r="G2195">
        <v>12</v>
      </c>
      <c r="H2195" t="s">
        <v>4026</v>
      </c>
      <c r="J2195" t="s">
        <v>4027</v>
      </c>
      <c r="K2195" s="11">
        <v>46230.411273148151</v>
      </c>
      <c r="M2195">
        <v>1524</v>
      </c>
      <c r="N2195" t="s">
        <v>867</v>
      </c>
      <c r="O2195" t="s">
        <v>4028</v>
      </c>
      <c r="P2195" s="5"/>
      <c r="Q2195" s="10">
        <f>INT(Tabela1[[#This Row],[DATA]])</f>
        <v>46230</v>
      </c>
      <c r="R2195" s="14" t="str">
        <f ca="1">IF(AND(Q2195&gt;=TODAY()-WEEKDAY(TODAY(),2)+1,Q2195&lt;TODAY()),"SIM","NÃO")</f>
        <v>NÃO</v>
      </c>
    </row>
    <row r="2196" spans="1:18" hidden="1">
      <c r="A2196" t="s">
        <v>2571</v>
      </c>
      <c r="B2196" t="s">
        <v>1487</v>
      </c>
      <c r="C2196">
        <v>300281849</v>
      </c>
      <c r="D2196">
        <v>16441400</v>
      </c>
      <c r="E2196" t="s">
        <v>45</v>
      </c>
      <c r="F2196" t="s">
        <v>525</v>
      </c>
      <c r="G2196">
        <v>12</v>
      </c>
      <c r="H2196" t="s">
        <v>867</v>
      </c>
      <c r="J2196" t="s">
        <v>4029</v>
      </c>
      <c r="K2196" s="11">
        <v>46230.412939814814</v>
      </c>
      <c r="M2196">
        <v>1525</v>
      </c>
      <c r="N2196" t="s">
        <v>867</v>
      </c>
      <c r="O2196" t="s">
        <v>4030</v>
      </c>
      <c r="P2196" s="5"/>
      <c r="Q2196" s="10">
        <f>INT(Tabela1[[#This Row],[DATA]])</f>
        <v>46230</v>
      </c>
      <c r="R2196" s="14" t="str">
        <f ca="1">IF(AND(Q2196&gt;=TODAY()-WEEKDAY(TODAY(),2)+1,Q2196&lt;TODAY()),"SIM","NÃO")</f>
        <v>NÃO</v>
      </c>
    </row>
    <row r="2197" spans="1:18" hidden="1">
      <c r="A2197" t="s">
        <v>1835</v>
      </c>
      <c r="B2197" t="s">
        <v>1836</v>
      </c>
      <c r="C2197" s="16">
        <v>300278897</v>
      </c>
      <c r="D2197">
        <v>16293274</v>
      </c>
      <c r="E2197" t="s">
        <v>37</v>
      </c>
      <c r="F2197" t="s">
        <v>3343</v>
      </c>
      <c r="G2197">
        <v>196</v>
      </c>
      <c r="H2197" t="s">
        <v>2410</v>
      </c>
      <c r="J2197" t="s">
        <v>4031</v>
      </c>
      <c r="K2197" s="11">
        <v>46230.418900462966</v>
      </c>
      <c r="M2197">
        <v>1526</v>
      </c>
      <c r="N2197" t="s">
        <v>867</v>
      </c>
      <c r="O2197">
        <v>10000201974</v>
      </c>
      <c r="P2197" s="5"/>
      <c r="Q2197" s="10">
        <f>INT(Tabela1[[#This Row],[DATA]])</f>
        <v>46230</v>
      </c>
      <c r="R2197" s="14" t="str">
        <f ca="1">IF(AND(Q2197&gt;=TODAY()-WEEKDAY(TODAY(),2)+1,Q2197&lt;TODAY()),"SIM","NÃO")</f>
        <v>NÃO</v>
      </c>
    </row>
    <row r="2198" spans="1:18" hidden="1">
      <c r="A2198" t="s">
        <v>305</v>
      </c>
      <c r="B2198" t="s">
        <v>306</v>
      </c>
      <c r="C2198">
        <v>300279730</v>
      </c>
      <c r="D2198">
        <v>16461908</v>
      </c>
      <c r="E2198" t="s">
        <v>37</v>
      </c>
      <c r="F2198" t="s">
        <v>3241</v>
      </c>
      <c r="G2198">
        <v>15</v>
      </c>
      <c r="H2198" t="s">
        <v>2884</v>
      </c>
      <c r="J2198" t="s">
        <v>4032</v>
      </c>
      <c r="K2198" s="11">
        <v>46230.420671296299</v>
      </c>
      <c r="M2198">
        <v>1527</v>
      </c>
      <c r="N2198" t="s">
        <v>867</v>
      </c>
      <c r="O2198">
        <v>10000073250</v>
      </c>
      <c r="P2198" s="5"/>
      <c r="Q2198" s="10">
        <f>INT(Tabela1[[#This Row],[DATA]])</f>
        <v>46230</v>
      </c>
      <c r="R2198" s="14" t="str">
        <f ca="1">IF(AND(Q2198&gt;=TODAY()-WEEKDAY(TODAY(),2)+1,Q2198&lt;TODAY()),"SIM","NÃO")</f>
        <v>NÃO</v>
      </c>
    </row>
    <row r="2199" spans="1:18" hidden="1">
      <c r="A2199" t="s">
        <v>1835</v>
      </c>
      <c r="B2199" t="s">
        <v>1836</v>
      </c>
      <c r="C2199" s="16">
        <v>300278897</v>
      </c>
      <c r="D2199">
        <v>16293274</v>
      </c>
      <c r="E2199" t="s">
        <v>37</v>
      </c>
      <c r="F2199" t="s">
        <v>3297</v>
      </c>
      <c r="G2199">
        <v>196</v>
      </c>
      <c r="H2199" t="s">
        <v>1418</v>
      </c>
      <c r="K2199" s="11">
        <v>46230.422962962963</v>
      </c>
      <c r="M2199">
        <v>1528</v>
      </c>
      <c r="N2199" t="s">
        <v>867</v>
      </c>
      <c r="O2199">
        <v>10000201974</v>
      </c>
      <c r="P2199" s="5"/>
      <c r="Q2199" s="10">
        <f>INT(Tabela1[[#This Row],[DATA]])</f>
        <v>46230</v>
      </c>
      <c r="R2199" s="14" t="str">
        <f ca="1">IF(AND(Q2199&gt;=TODAY()-WEEKDAY(TODAY(),2)+1,Q2199&lt;TODAY()),"SIM","NÃO")</f>
        <v>NÃO</v>
      </c>
    </row>
    <row r="2200" spans="1:18" hidden="1">
      <c r="A2200" t="s">
        <v>1835</v>
      </c>
      <c r="B2200" t="s">
        <v>1836</v>
      </c>
      <c r="C2200" s="16">
        <v>300278897</v>
      </c>
      <c r="D2200">
        <v>16293274</v>
      </c>
      <c r="E2200" t="s">
        <v>37</v>
      </c>
      <c r="F2200" t="s">
        <v>1564</v>
      </c>
      <c r="G2200">
        <v>196</v>
      </c>
      <c r="H2200" t="s">
        <v>2914</v>
      </c>
      <c r="K2200" s="11">
        <v>46230.424004629633</v>
      </c>
      <c r="M2200">
        <v>1529</v>
      </c>
      <c r="N2200" t="s">
        <v>867</v>
      </c>
      <c r="O2200">
        <v>10000201974</v>
      </c>
      <c r="P2200" s="5"/>
      <c r="Q2200" s="10">
        <f>INT(Tabela1[[#This Row],[DATA]])</f>
        <v>46230</v>
      </c>
      <c r="R2200" s="14" t="str">
        <f ca="1">IF(AND(Q2200&gt;=TODAY()-WEEKDAY(TODAY(),2)+1,Q2200&lt;TODAY()),"SIM","NÃO")</f>
        <v>NÃO</v>
      </c>
    </row>
    <row r="2201" spans="1:18" hidden="1">
      <c r="A2201" t="s">
        <v>1835</v>
      </c>
      <c r="B2201" t="s">
        <v>1836</v>
      </c>
      <c r="C2201" s="16">
        <v>300278897</v>
      </c>
      <c r="D2201">
        <v>16293274</v>
      </c>
      <c r="E2201" t="s">
        <v>37</v>
      </c>
      <c r="F2201" t="s">
        <v>216</v>
      </c>
      <c r="G2201">
        <v>196</v>
      </c>
      <c r="H2201" t="s">
        <v>2914</v>
      </c>
      <c r="K2201" s="11">
        <v>46230.425034722219</v>
      </c>
      <c r="M2201">
        <v>1530</v>
      </c>
      <c r="N2201" t="s">
        <v>867</v>
      </c>
      <c r="O2201">
        <v>10000201974</v>
      </c>
      <c r="P2201" s="5"/>
      <c r="Q2201" s="10">
        <f>INT(Tabela1[[#This Row],[DATA]])</f>
        <v>46230</v>
      </c>
      <c r="R2201" s="14" t="str">
        <f ca="1">IF(AND(Q2201&gt;=TODAY()-WEEKDAY(TODAY(),2)+1,Q2201&lt;TODAY()),"SIM","NÃO")</f>
        <v>NÃO</v>
      </c>
    </row>
    <row r="2202" spans="1:18" hidden="1">
      <c r="A2202" t="s">
        <v>253</v>
      </c>
      <c r="B2202" t="s">
        <v>254</v>
      </c>
      <c r="C2202">
        <v>300285043</v>
      </c>
      <c r="D2202">
        <v>15859096</v>
      </c>
      <c r="E2202" t="s">
        <v>37</v>
      </c>
      <c r="F2202" t="s">
        <v>3241</v>
      </c>
      <c r="G2202">
        <v>20</v>
      </c>
      <c r="H2202" t="s">
        <v>4033</v>
      </c>
      <c r="K2202" s="11">
        <v>46230.429710648146</v>
      </c>
      <c r="M2202">
        <v>1531</v>
      </c>
      <c r="N2202" t="s">
        <v>867</v>
      </c>
      <c r="O2202">
        <v>100000631070</v>
      </c>
      <c r="P2202" s="5"/>
      <c r="Q2202" s="10">
        <f>INT(Tabela1[[#This Row],[DATA]])</f>
        <v>46230</v>
      </c>
      <c r="R2202" s="14" t="str">
        <f ca="1">IF(AND(Q2202&gt;=TODAY()-WEEKDAY(TODAY(),2)+1,Q2202&lt;TODAY()),"SIM","NÃO")</f>
        <v>NÃO</v>
      </c>
    </row>
    <row r="2203" spans="1:18" hidden="1">
      <c r="A2203" t="s">
        <v>755</v>
      </c>
      <c r="B2203" t="s">
        <v>756</v>
      </c>
      <c r="C2203">
        <v>300279305</v>
      </c>
      <c r="D2203">
        <v>16513649</v>
      </c>
      <c r="E2203" t="s">
        <v>37</v>
      </c>
      <c r="F2203" t="s">
        <v>2405</v>
      </c>
      <c r="G2203">
        <v>55</v>
      </c>
      <c r="H2203" t="s">
        <v>2410</v>
      </c>
      <c r="J2203" t="s">
        <v>4034</v>
      </c>
      <c r="K2203" s="11">
        <v>46230.439814814818</v>
      </c>
      <c r="M2203">
        <v>1532</v>
      </c>
      <c r="N2203" t="s">
        <v>867</v>
      </c>
      <c r="O2203" t="s">
        <v>2664</v>
      </c>
      <c r="P2203" s="5"/>
      <c r="Q2203" s="10">
        <f>INT(Tabela1[[#This Row],[DATA]])</f>
        <v>46230</v>
      </c>
      <c r="R2203" s="14" t="str">
        <f ca="1">IF(AND(Q2203&gt;=TODAY()-WEEKDAY(TODAY(),2)+1,Q2203&lt;TODAY()),"SIM","NÃO")</f>
        <v>NÃO</v>
      </c>
    </row>
    <row r="2204" spans="1:18" hidden="1">
      <c r="A2204" t="s">
        <v>755</v>
      </c>
      <c r="B2204" t="s">
        <v>756</v>
      </c>
      <c r="C2204">
        <v>300279305</v>
      </c>
      <c r="D2204">
        <v>16513649</v>
      </c>
      <c r="E2204" t="s">
        <v>37</v>
      </c>
      <c r="F2204" t="s">
        <v>3217</v>
      </c>
      <c r="G2204">
        <v>1</v>
      </c>
      <c r="H2204" t="s">
        <v>310</v>
      </c>
      <c r="J2204" t="s">
        <v>764</v>
      </c>
      <c r="K2204" s="11">
        <v>46230.441446759258</v>
      </c>
      <c r="M2204">
        <v>1533</v>
      </c>
      <c r="N2204" t="s">
        <v>867</v>
      </c>
      <c r="O2204" t="s">
        <v>2664</v>
      </c>
      <c r="P2204" s="5"/>
      <c r="Q2204" s="10">
        <f>INT(Tabela1[[#This Row],[DATA]])</f>
        <v>46230</v>
      </c>
      <c r="R2204" s="14" t="str">
        <f ca="1">IF(AND(Q2204&gt;=TODAY()-WEEKDAY(TODAY(),2)+1,Q2204&lt;TODAY()),"SIM","NÃO")</f>
        <v>NÃO</v>
      </c>
    </row>
    <row r="2205" spans="1:18" hidden="1">
      <c r="A2205" t="s">
        <v>249</v>
      </c>
      <c r="B2205" t="s">
        <v>112</v>
      </c>
      <c r="C2205">
        <v>300283158</v>
      </c>
      <c r="D2205">
        <v>16472217</v>
      </c>
      <c r="E2205" t="s">
        <v>37</v>
      </c>
      <c r="F2205" t="s">
        <v>2213</v>
      </c>
      <c r="G2205">
        <v>8</v>
      </c>
      <c r="H2205" t="s">
        <v>1335</v>
      </c>
      <c r="J2205" t="s">
        <v>4035</v>
      </c>
      <c r="K2205" s="11">
        <v>46230.457280092596</v>
      </c>
      <c r="M2205">
        <v>1534</v>
      </c>
      <c r="N2205" t="s">
        <v>867</v>
      </c>
      <c r="O2205" t="s">
        <v>4036</v>
      </c>
      <c r="P2205" s="5"/>
      <c r="Q2205" s="10">
        <f>INT(Tabela1[[#This Row],[DATA]])</f>
        <v>46230</v>
      </c>
      <c r="R2205" s="14" t="str">
        <f ca="1">IF(AND(Q2205&gt;=TODAY()-WEEKDAY(TODAY(),2)+1,Q2205&lt;TODAY()),"SIM","NÃO")</f>
        <v>NÃO</v>
      </c>
    </row>
    <row r="2206" spans="1:18" hidden="1">
      <c r="A2206" t="s">
        <v>2765</v>
      </c>
      <c r="B2206" t="s">
        <v>107</v>
      </c>
      <c r="C2206">
        <v>300273879</v>
      </c>
      <c r="D2206">
        <v>16222954</v>
      </c>
      <c r="E2206" t="s">
        <v>45</v>
      </c>
      <c r="F2206" t="s">
        <v>323</v>
      </c>
      <c r="G2206">
        <v>95</v>
      </c>
      <c r="H2206" t="s">
        <v>2880</v>
      </c>
      <c r="K2206" s="11">
        <v>46230.459826388891</v>
      </c>
      <c r="M2206">
        <v>1535</v>
      </c>
      <c r="N2206" t="s">
        <v>867</v>
      </c>
      <c r="O2206">
        <v>0</v>
      </c>
      <c r="P2206" s="5"/>
      <c r="Q2206" s="10">
        <f>INT(Tabela1[[#This Row],[DATA]])</f>
        <v>46230</v>
      </c>
      <c r="R2206" s="14" t="str">
        <f ca="1">IF(AND(Q2206&gt;=TODAY()-WEEKDAY(TODAY(),2)+1,Q2206&lt;TODAY()),"SIM","NÃO")</f>
        <v>NÃO</v>
      </c>
    </row>
    <row r="2207" spans="1:18" hidden="1">
      <c r="A2207" t="s">
        <v>2765</v>
      </c>
      <c r="B2207" t="s">
        <v>107</v>
      </c>
      <c r="C2207">
        <v>300273879</v>
      </c>
      <c r="D2207">
        <v>16222954</v>
      </c>
      <c r="E2207" t="s">
        <v>45</v>
      </c>
      <c r="F2207" t="s">
        <v>96</v>
      </c>
      <c r="G2207">
        <v>475</v>
      </c>
      <c r="H2207" t="s">
        <v>2880</v>
      </c>
      <c r="K2207" s="11">
        <v>46230.461273148147</v>
      </c>
      <c r="M2207">
        <v>1536</v>
      </c>
      <c r="N2207" t="s">
        <v>867</v>
      </c>
      <c r="O2207">
        <v>0</v>
      </c>
      <c r="P2207" s="5"/>
      <c r="Q2207" s="10">
        <f>INT(Tabela1[[#This Row],[DATA]])</f>
        <v>46230</v>
      </c>
      <c r="R2207" s="14" t="str">
        <f ca="1">IF(AND(Q2207&gt;=TODAY()-WEEKDAY(TODAY(),2)+1,Q2207&lt;TODAY()),"SIM","NÃO")</f>
        <v>NÃO</v>
      </c>
    </row>
    <row r="2208" spans="1:18" hidden="1">
      <c r="A2208" t="s">
        <v>2765</v>
      </c>
      <c r="B2208" t="s">
        <v>107</v>
      </c>
      <c r="C2208">
        <v>300273879</v>
      </c>
      <c r="D2208">
        <v>16222954</v>
      </c>
      <c r="E2208" t="s">
        <v>45</v>
      </c>
      <c r="F2208" t="s">
        <v>525</v>
      </c>
      <c r="G2208">
        <v>475</v>
      </c>
      <c r="H2208" t="s">
        <v>2880</v>
      </c>
      <c r="J2208" t="s">
        <v>4037</v>
      </c>
      <c r="K2208" s="11">
        <v>46230.462824074071</v>
      </c>
      <c r="M2208">
        <v>1537</v>
      </c>
      <c r="N2208" t="s">
        <v>867</v>
      </c>
      <c r="O2208">
        <v>0</v>
      </c>
      <c r="P2208" s="5"/>
      <c r="Q2208" s="10">
        <f>INT(Tabela1[[#This Row],[DATA]])</f>
        <v>46230</v>
      </c>
      <c r="R2208" s="14" t="str">
        <f ca="1">IF(AND(Q2208&gt;=TODAY()-WEEKDAY(TODAY(),2)+1,Q2208&lt;TODAY()),"SIM","NÃO")</f>
        <v>NÃO</v>
      </c>
    </row>
    <row r="2209" spans="1:18" hidden="1">
      <c r="A2209" t="s">
        <v>2656</v>
      </c>
      <c r="B2209" t="s">
        <v>119</v>
      </c>
      <c r="C2209">
        <v>300282285</v>
      </c>
      <c r="D2209">
        <v>16488393</v>
      </c>
      <c r="E2209" t="s">
        <v>37</v>
      </c>
      <c r="F2209" t="s">
        <v>2213</v>
      </c>
      <c r="G2209">
        <v>1.421</v>
      </c>
      <c r="H2209" t="s">
        <v>1112</v>
      </c>
      <c r="J2209" t="s">
        <v>1112</v>
      </c>
      <c r="K2209" s="11">
        <v>46230.464039351849</v>
      </c>
      <c r="M2209">
        <v>1538</v>
      </c>
      <c r="N2209" t="s">
        <v>878</v>
      </c>
      <c r="O2209">
        <v>100000229824</v>
      </c>
      <c r="P2209" s="5"/>
      <c r="Q2209" s="10">
        <f>INT(Tabela1[[#This Row],[DATA]])</f>
        <v>46230</v>
      </c>
      <c r="R2209" s="14" t="str">
        <f ca="1">IF(AND(Q2209&gt;=TODAY()-WEEKDAY(TODAY(),2)+1,Q2209&lt;TODAY()),"SIM","NÃO")</f>
        <v>NÃO</v>
      </c>
    </row>
    <row r="2210" spans="1:18" hidden="1">
      <c r="A2210" t="s">
        <v>43</v>
      </c>
      <c r="B2210" t="s">
        <v>44</v>
      </c>
      <c r="C2210">
        <v>300278632</v>
      </c>
      <c r="D2210">
        <v>15957152</v>
      </c>
      <c r="E2210" t="s">
        <v>45</v>
      </c>
      <c r="F2210" t="s">
        <v>96</v>
      </c>
      <c r="G2210">
        <v>60</v>
      </c>
      <c r="H2210" t="s">
        <v>4038</v>
      </c>
      <c r="J2210" t="s">
        <v>4038</v>
      </c>
      <c r="K2210" s="11">
        <v>46230.464131944442</v>
      </c>
      <c r="M2210">
        <v>1539</v>
      </c>
      <c r="N2210" t="s">
        <v>867</v>
      </c>
      <c r="O2210">
        <v>0</v>
      </c>
      <c r="P2210" s="5"/>
      <c r="Q2210" s="10">
        <f>INT(Tabela1[[#This Row],[DATA]])</f>
        <v>46230</v>
      </c>
      <c r="R2210" s="14" t="str">
        <f ca="1">IF(AND(Q2210&gt;=TODAY()-WEEKDAY(TODAY(),2)+1,Q2210&lt;TODAY()),"SIM","NÃO")</f>
        <v>NÃO</v>
      </c>
    </row>
    <row r="2211" spans="1:18" hidden="1">
      <c r="A2211" t="s">
        <v>2656</v>
      </c>
      <c r="B2211" t="s">
        <v>119</v>
      </c>
      <c r="C2211">
        <v>300282285</v>
      </c>
      <c r="D2211">
        <v>16488393</v>
      </c>
      <c r="E2211" t="s">
        <v>37</v>
      </c>
      <c r="F2211" t="s">
        <v>3502</v>
      </c>
      <c r="G2211">
        <v>5</v>
      </c>
      <c r="H2211" t="s">
        <v>4039</v>
      </c>
      <c r="J2211" t="s">
        <v>4040</v>
      </c>
      <c r="K2211" s="11">
        <v>46230.466423611113</v>
      </c>
      <c r="M2211">
        <v>1540</v>
      </c>
      <c r="N2211" t="s">
        <v>867</v>
      </c>
      <c r="O2211">
        <v>0</v>
      </c>
      <c r="P2211" s="5"/>
      <c r="Q2211" s="10">
        <f>INT(Tabela1[[#This Row],[DATA]])</f>
        <v>46230</v>
      </c>
      <c r="R2211" s="14" t="str">
        <f ca="1">IF(AND(Q2211&gt;=TODAY()-WEEKDAY(TODAY(),2)+1,Q2211&lt;TODAY()),"SIM","NÃO")</f>
        <v>NÃO</v>
      </c>
    </row>
    <row r="2212" spans="1:18" hidden="1">
      <c r="A2212" t="s">
        <v>2765</v>
      </c>
      <c r="B2212" t="s">
        <v>107</v>
      </c>
      <c r="C2212">
        <v>300281136</v>
      </c>
      <c r="D2212">
        <v>15973093</v>
      </c>
      <c r="E2212" t="s">
        <v>45</v>
      </c>
      <c r="F2212" t="s">
        <v>3212</v>
      </c>
      <c r="G2212">
        <v>50</v>
      </c>
      <c r="H2212" t="s">
        <v>2930</v>
      </c>
      <c r="K2212" s="11">
        <v>46230.549421296295</v>
      </c>
      <c r="M2212">
        <v>1541</v>
      </c>
      <c r="N2212" t="s">
        <v>867</v>
      </c>
      <c r="O2212">
        <v>0</v>
      </c>
      <c r="P2212" s="5"/>
      <c r="Q2212" s="10">
        <f>INT(Tabela1[[#This Row],[DATA]])</f>
        <v>46230</v>
      </c>
      <c r="R2212" s="14" t="str">
        <f ca="1">IF(AND(Q2212&gt;=TODAY()-WEEKDAY(TODAY(),2)+1,Q2212&lt;TODAY()),"SIM","NÃO")</f>
        <v>NÃO</v>
      </c>
    </row>
    <row r="2213" spans="1:18" hidden="1">
      <c r="A2213" t="s">
        <v>305</v>
      </c>
      <c r="B2213" t="s">
        <v>306</v>
      </c>
      <c r="C2213">
        <v>300279730</v>
      </c>
      <c r="D2213">
        <v>16461908</v>
      </c>
      <c r="E2213" t="s">
        <v>37</v>
      </c>
      <c r="F2213" t="s">
        <v>3241</v>
      </c>
      <c r="G2213">
        <v>15</v>
      </c>
      <c r="H2213" t="s">
        <v>2884</v>
      </c>
      <c r="J2213" t="s">
        <v>4041</v>
      </c>
      <c r="K2213" s="11">
        <v>46230.562083333331</v>
      </c>
      <c r="M2213">
        <v>1542</v>
      </c>
      <c r="N2213" t="s">
        <v>867</v>
      </c>
      <c r="O2213">
        <v>10000063189</v>
      </c>
      <c r="P2213" s="5"/>
      <c r="Q2213" s="10">
        <f>INT(Tabela1[[#This Row],[DATA]])</f>
        <v>46230</v>
      </c>
      <c r="R2213" s="14" t="str">
        <f ca="1">IF(AND(Q2213&gt;=TODAY()-WEEKDAY(TODAY(),2)+1,Q2213&lt;TODAY()),"SIM","NÃO")</f>
        <v>NÃO</v>
      </c>
    </row>
    <row r="2214" spans="1:18" hidden="1">
      <c r="A2214" t="s">
        <v>428</v>
      </c>
      <c r="B2214" t="s">
        <v>429</v>
      </c>
      <c r="C2214">
        <v>300282552</v>
      </c>
      <c r="D2214">
        <v>15238385</v>
      </c>
      <c r="E2214" t="s">
        <v>29</v>
      </c>
      <c r="F2214" t="s">
        <v>2405</v>
      </c>
      <c r="G2214">
        <v>20</v>
      </c>
      <c r="H2214" t="s">
        <v>4042</v>
      </c>
      <c r="K2214" s="11">
        <v>46230.564675925925</v>
      </c>
      <c r="M2214">
        <v>1543</v>
      </c>
      <c r="N2214" t="s">
        <v>867</v>
      </c>
      <c r="O2214">
        <v>0</v>
      </c>
      <c r="P2214" s="5"/>
      <c r="Q2214" s="10">
        <f>INT(Tabela1[[#This Row],[DATA]])</f>
        <v>46230</v>
      </c>
      <c r="R2214" s="14" t="str">
        <f ca="1">IF(AND(Q2214&gt;=TODAY()-WEEKDAY(TODAY(),2)+1,Q2214&lt;TODAY()),"SIM","NÃO")</f>
        <v>NÃO</v>
      </c>
    </row>
    <row r="2215" spans="1:18" hidden="1">
      <c r="A2215" t="s">
        <v>2541</v>
      </c>
      <c r="B2215" t="s">
        <v>388</v>
      </c>
      <c r="C2215">
        <v>300283561</v>
      </c>
      <c r="D2215">
        <v>16244087</v>
      </c>
      <c r="E2215" t="s">
        <v>37</v>
      </c>
      <c r="F2215" t="s">
        <v>2213</v>
      </c>
      <c r="G2215">
        <v>162</v>
      </c>
      <c r="H2215" t="s">
        <v>4043</v>
      </c>
      <c r="K2215" s="11">
        <v>46230.565763888888</v>
      </c>
      <c r="M2215">
        <v>1544</v>
      </c>
      <c r="N2215" t="s">
        <v>867</v>
      </c>
      <c r="O2215">
        <v>0</v>
      </c>
      <c r="P2215" s="5"/>
      <c r="Q2215" s="10">
        <f>INT(Tabela1[[#This Row],[DATA]])</f>
        <v>46230</v>
      </c>
      <c r="R2215" s="14" t="str">
        <f ca="1">IF(AND(Q2215&gt;=TODAY()-WEEKDAY(TODAY(),2)+1,Q2215&lt;TODAY()),"SIM","NÃO")</f>
        <v>NÃO</v>
      </c>
    </row>
    <row r="2216" spans="1:18" hidden="1">
      <c r="A2216" t="s">
        <v>2624</v>
      </c>
      <c r="B2216" t="s">
        <v>50</v>
      </c>
      <c r="C2216">
        <v>300281498</v>
      </c>
      <c r="D2216">
        <v>16507649</v>
      </c>
      <c r="E2216" t="s">
        <v>37</v>
      </c>
      <c r="F2216" t="s">
        <v>3438</v>
      </c>
      <c r="G2216" t="s">
        <v>4044</v>
      </c>
      <c r="H2216" t="s">
        <v>4045</v>
      </c>
      <c r="J2216" t="s">
        <v>4046</v>
      </c>
      <c r="K2216" s="11">
        <v>46230.57068287037</v>
      </c>
      <c r="M2216">
        <v>1545</v>
      </c>
      <c r="N2216" t="s">
        <v>867</v>
      </c>
      <c r="O2216">
        <v>300281498</v>
      </c>
      <c r="P2216" s="5"/>
      <c r="Q2216" s="10">
        <f>INT(Tabela1[[#This Row],[DATA]])</f>
        <v>46230</v>
      </c>
      <c r="R2216" s="14" t="str">
        <f ca="1">IF(AND(Q2216&gt;=TODAY()-WEEKDAY(TODAY(),2)+1,Q2216&lt;TODAY()),"SIM","NÃO")</f>
        <v>NÃO</v>
      </c>
    </row>
    <row r="2217" spans="1:18" hidden="1">
      <c r="A2217" t="s">
        <v>2765</v>
      </c>
      <c r="B2217" t="s">
        <v>107</v>
      </c>
      <c r="C2217">
        <v>300284843</v>
      </c>
      <c r="D2217">
        <v>16538196</v>
      </c>
      <c r="E2217" t="s">
        <v>45</v>
      </c>
      <c r="F2217" t="s">
        <v>3212</v>
      </c>
      <c r="G2217">
        <v>20</v>
      </c>
      <c r="H2217" t="s">
        <v>3096</v>
      </c>
      <c r="K2217" s="11">
        <v>46230.576319444444</v>
      </c>
      <c r="M2217">
        <v>1546</v>
      </c>
      <c r="N2217" t="s">
        <v>867</v>
      </c>
      <c r="O2217">
        <v>0</v>
      </c>
      <c r="P2217" s="5"/>
      <c r="Q2217" s="10">
        <f>INT(Tabela1[[#This Row],[DATA]])</f>
        <v>46230</v>
      </c>
      <c r="R2217" s="14" t="str">
        <f ca="1">IF(AND(Q2217&gt;=TODAY()-WEEKDAY(TODAY(),2)+1,Q2217&lt;TODAY()),"SIM","NÃO")</f>
        <v>NÃO</v>
      </c>
    </row>
    <row r="2218" spans="1:18" hidden="1">
      <c r="A2218" t="s">
        <v>2765</v>
      </c>
      <c r="B2218" t="s">
        <v>107</v>
      </c>
      <c r="C2218">
        <v>300283628</v>
      </c>
      <c r="D2218">
        <v>16229320</v>
      </c>
      <c r="E2218" t="s">
        <v>45</v>
      </c>
      <c r="F2218" t="s">
        <v>2405</v>
      </c>
      <c r="G2218">
        <v>2</v>
      </c>
      <c r="H2218" t="s">
        <v>2292</v>
      </c>
      <c r="K2218" s="11">
        <v>46230.583298611113</v>
      </c>
      <c r="M2218">
        <v>1547</v>
      </c>
      <c r="N2218" t="s">
        <v>867</v>
      </c>
      <c r="O2218">
        <v>0</v>
      </c>
      <c r="P2218" s="5"/>
      <c r="Q2218" s="10">
        <f>INT(Tabela1[[#This Row],[DATA]])</f>
        <v>46230</v>
      </c>
      <c r="R2218" s="14" t="str">
        <f ca="1">IF(AND(Q2218&gt;=TODAY()-WEEKDAY(TODAY(),2)+1,Q2218&lt;TODAY()),"SIM","NÃO")</f>
        <v>NÃO</v>
      </c>
    </row>
    <row r="2219" spans="1:18" hidden="1">
      <c r="A2219" t="s">
        <v>2624</v>
      </c>
      <c r="B2219" t="s">
        <v>50</v>
      </c>
      <c r="C2219">
        <v>300281498</v>
      </c>
      <c r="D2219">
        <v>16507649</v>
      </c>
      <c r="E2219" t="s">
        <v>37</v>
      </c>
      <c r="F2219" t="s">
        <v>3438</v>
      </c>
      <c r="G2219" t="s">
        <v>4047</v>
      </c>
      <c r="H2219" t="s">
        <v>4048</v>
      </c>
      <c r="J2219" t="s">
        <v>4049</v>
      </c>
      <c r="K2219" s="11">
        <v>46230.583414351851</v>
      </c>
      <c r="M2219">
        <v>1548</v>
      </c>
      <c r="N2219" t="s">
        <v>867</v>
      </c>
      <c r="O2219">
        <v>300281498</v>
      </c>
      <c r="P2219" s="5"/>
      <c r="Q2219" s="10">
        <f>INT(Tabela1[[#This Row],[DATA]])</f>
        <v>46230</v>
      </c>
      <c r="R2219" s="14" t="str">
        <f ca="1">IF(AND(Q2219&gt;=TODAY()-WEEKDAY(TODAY(),2)+1,Q2219&lt;TODAY()),"SIM","NÃO")</f>
        <v>NÃO</v>
      </c>
    </row>
    <row r="2220" spans="1:18" hidden="1">
      <c r="A2220" t="s">
        <v>249</v>
      </c>
      <c r="B2220" t="s">
        <v>112</v>
      </c>
      <c r="C2220">
        <v>300284834</v>
      </c>
      <c r="D2220">
        <v>16222326</v>
      </c>
      <c r="E2220" t="s">
        <v>45</v>
      </c>
      <c r="F2220" t="s">
        <v>2405</v>
      </c>
      <c r="G2220">
        <v>8</v>
      </c>
      <c r="H2220" t="s">
        <v>1335</v>
      </c>
      <c r="K2220" s="11">
        <v>46230.58866898148</v>
      </c>
      <c r="M2220">
        <v>1549</v>
      </c>
      <c r="N2220" t="s">
        <v>867</v>
      </c>
      <c r="O2220">
        <v>0</v>
      </c>
      <c r="P2220" s="5"/>
      <c r="Q2220" s="10">
        <f>INT(Tabela1[[#This Row],[DATA]])</f>
        <v>46230</v>
      </c>
      <c r="R2220" s="14" t="str">
        <f ca="1">IF(AND(Q2220&gt;=TODAY()-WEEKDAY(TODAY(),2)+1,Q2220&lt;TODAY()),"SIM","NÃO")</f>
        <v>NÃO</v>
      </c>
    </row>
    <row r="2221" spans="1:18" hidden="1">
      <c r="A2221" t="s">
        <v>787</v>
      </c>
      <c r="B2221" t="s">
        <v>788</v>
      </c>
      <c r="C2221">
        <v>300285047</v>
      </c>
      <c r="D2221">
        <v>15859096</v>
      </c>
      <c r="E2221" t="s">
        <v>37</v>
      </c>
      <c r="F2221" t="s">
        <v>3241</v>
      </c>
      <c r="G2221" t="s">
        <v>4050</v>
      </c>
      <c r="H2221" t="s">
        <v>4051</v>
      </c>
      <c r="J2221" t="s">
        <v>4052</v>
      </c>
      <c r="K2221" s="11">
        <v>46230.590358796297</v>
      </c>
      <c r="M2221">
        <v>1550</v>
      </c>
      <c r="N2221" t="s">
        <v>867</v>
      </c>
      <c r="O2221" t="s">
        <v>3994</v>
      </c>
      <c r="P2221" s="5"/>
      <c r="Q2221" s="10">
        <f>INT(Tabela1[[#This Row],[DATA]])</f>
        <v>46230</v>
      </c>
      <c r="R2221" s="14" t="str">
        <f ca="1">IF(AND(Q2221&gt;=TODAY()-WEEKDAY(TODAY(),2)+1,Q2221&lt;TODAY()),"SIM","NÃO")</f>
        <v>NÃO</v>
      </c>
    </row>
    <row r="2222" spans="1:18" hidden="1">
      <c r="A2222" t="s">
        <v>2748</v>
      </c>
      <c r="B2222" t="s">
        <v>3454</v>
      </c>
      <c r="C2222">
        <v>300281502</v>
      </c>
      <c r="D2222">
        <v>16507657</v>
      </c>
      <c r="E2222" t="s">
        <v>37</v>
      </c>
      <c r="F2222" t="s">
        <v>3502</v>
      </c>
      <c r="G2222" t="s">
        <v>4053</v>
      </c>
      <c r="H2222" t="s">
        <v>2401</v>
      </c>
      <c r="K2222" s="11">
        <v>46230.592835648145</v>
      </c>
      <c r="M2222">
        <v>1551</v>
      </c>
      <c r="N2222" t="s">
        <v>867</v>
      </c>
      <c r="O2222">
        <v>0</v>
      </c>
      <c r="P2222" s="5"/>
      <c r="Q2222" s="10">
        <f>INT(Tabela1[[#This Row],[DATA]])</f>
        <v>46230</v>
      </c>
      <c r="R2222" s="14" t="str">
        <f ca="1">IF(AND(Q2222&gt;=TODAY()-WEEKDAY(TODAY(),2)+1,Q2222&lt;TODAY()),"SIM","NÃO")</f>
        <v>NÃO</v>
      </c>
    </row>
    <row r="2223" spans="1:18" hidden="1">
      <c r="A2223" t="s">
        <v>2765</v>
      </c>
      <c r="B2223" t="s">
        <v>107</v>
      </c>
      <c r="C2223">
        <v>300274892</v>
      </c>
      <c r="D2223">
        <v>16510151</v>
      </c>
      <c r="E2223" t="s">
        <v>45</v>
      </c>
      <c r="F2223" t="s">
        <v>2405</v>
      </c>
      <c r="G2223">
        <v>18</v>
      </c>
      <c r="H2223" t="s">
        <v>3675</v>
      </c>
      <c r="K2223" s="11">
        <v>46230.602870370371</v>
      </c>
      <c r="M2223">
        <v>1552</v>
      </c>
      <c r="N2223" t="s">
        <v>867</v>
      </c>
      <c r="O2223">
        <v>0</v>
      </c>
      <c r="P2223" s="5"/>
      <c r="Q2223" s="10">
        <f>INT(Tabela1[[#This Row],[DATA]])</f>
        <v>46230</v>
      </c>
      <c r="R2223" s="14" t="str">
        <f ca="1">IF(AND(Q2223&gt;=TODAY()-WEEKDAY(TODAY(),2)+1,Q2223&lt;TODAY()),"SIM","NÃO")</f>
        <v>NÃO</v>
      </c>
    </row>
    <row r="2224" spans="1:18" hidden="1">
      <c r="A2224" t="s">
        <v>787</v>
      </c>
      <c r="B2224" t="s">
        <v>788</v>
      </c>
      <c r="C2224">
        <v>300285269</v>
      </c>
      <c r="D2224">
        <v>15764494</v>
      </c>
      <c r="E2224" t="s">
        <v>37</v>
      </c>
      <c r="F2224" t="s">
        <v>3241</v>
      </c>
      <c r="G2224">
        <v>150</v>
      </c>
      <c r="H2224" t="s">
        <v>2101</v>
      </c>
      <c r="J2224" t="s">
        <v>4054</v>
      </c>
      <c r="K2224" s="11">
        <v>46230.603854166664</v>
      </c>
      <c r="M2224">
        <v>1553</v>
      </c>
      <c r="N2224" t="s">
        <v>867</v>
      </c>
      <c r="O2224" t="s">
        <v>4055</v>
      </c>
      <c r="P2224" s="5"/>
      <c r="Q2224" s="10">
        <f>INT(Tabela1[[#This Row],[DATA]])</f>
        <v>46230</v>
      </c>
      <c r="R2224" s="14" t="str">
        <f ca="1">IF(AND(Q2224&gt;=TODAY()-WEEKDAY(TODAY(),2)+1,Q2224&lt;TODAY()),"SIM","NÃO")</f>
        <v>NÃO</v>
      </c>
    </row>
    <row r="2225" spans="1:18" hidden="1">
      <c r="A2225" t="s">
        <v>787</v>
      </c>
      <c r="B2225" t="s">
        <v>788</v>
      </c>
      <c r="C2225">
        <v>300285049</v>
      </c>
      <c r="D2225">
        <v>15859096</v>
      </c>
      <c r="E2225" t="s">
        <v>37</v>
      </c>
      <c r="F2225" t="s">
        <v>3241</v>
      </c>
      <c r="G2225">
        <v>50</v>
      </c>
      <c r="H2225" t="s">
        <v>2101</v>
      </c>
      <c r="J2225" t="s">
        <v>3993</v>
      </c>
      <c r="K2225" s="11">
        <v>46230.605347222219</v>
      </c>
      <c r="M2225">
        <v>1554</v>
      </c>
      <c r="N2225" t="s">
        <v>867</v>
      </c>
      <c r="O2225" t="s">
        <v>3994</v>
      </c>
      <c r="P2225" s="5"/>
      <c r="Q2225" s="10">
        <f>INT(Tabela1[[#This Row],[DATA]])</f>
        <v>46230</v>
      </c>
      <c r="R2225" s="14" t="str">
        <f ca="1">IF(AND(Q2225&gt;=TODAY()-WEEKDAY(TODAY(),2)+1,Q2225&lt;TODAY()),"SIM","NÃO")</f>
        <v>NÃO</v>
      </c>
    </row>
    <row r="2226" spans="1:18" hidden="1">
      <c r="A2226" t="s">
        <v>2578</v>
      </c>
      <c r="B2226" t="s">
        <v>69</v>
      </c>
      <c r="C2226">
        <v>300285466</v>
      </c>
      <c r="D2226">
        <v>16477324</v>
      </c>
      <c r="E2226" t="s">
        <v>45</v>
      </c>
      <c r="F2226" t="s">
        <v>3212</v>
      </c>
      <c r="G2226">
        <v>126</v>
      </c>
      <c r="H2226" t="s">
        <v>4056</v>
      </c>
      <c r="K2226" s="11">
        <v>46230.609247685185</v>
      </c>
      <c r="M2226">
        <v>1555</v>
      </c>
      <c r="N2226" t="s">
        <v>867</v>
      </c>
      <c r="O2226">
        <v>16477324</v>
      </c>
      <c r="P2226" s="5"/>
      <c r="Q2226" s="10">
        <f>INT(Tabela1[[#This Row],[DATA]])</f>
        <v>46230</v>
      </c>
      <c r="R2226" s="14" t="str">
        <f ca="1">IF(AND(Q2226&gt;=TODAY()-WEEKDAY(TODAY(),2)+1,Q2226&lt;TODAY()),"SIM","NÃO")</f>
        <v>NÃO</v>
      </c>
    </row>
    <row r="2227" spans="1:18" hidden="1">
      <c r="A2227" t="s">
        <v>123</v>
      </c>
      <c r="B2227" t="s">
        <v>124</v>
      </c>
      <c r="C2227">
        <v>300283684</v>
      </c>
      <c r="D2227">
        <v>16489128</v>
      </c>
      <c r="E2227" t="s">
        <v>20</v>
      </c>
      <c r="F2227" t="s">
        <v>3241</v>
      </c>
      <c r="G2227" t="s">
        <v>3983</v>
      </c>
      <c r="H2227" t="s">
        <v>4057</v>
      </c>
      <c r="J2227" t="s">
        <v>3984</v>
      </c>
      <c r="K2227" s="11">
        <v>46230.629259259258</v>
      </c>
      <c r="M2227">
        <v>1556</v>
      </c>
      <c r="N2227" t="s">
        <v>867</v>
      </c>
      <c r="O2227">
        <v>10000062479</v>
      </c>
      <c r="P2227" s="5"/>
      <c r="Q2227" s="10">
        <f>INT(Tabela1[[#This Row],[DATA]])</f>
        <v>46230</v>
      </c>
      <c r="R2227" s="14" t="str">
        <f ca="1">IF(AND(Q2227&gt;=TODAY()-WEEKDAY(TODAY(),2)+1,Q2227&lt;TODAY()),"SIM","NÃO")</f>
        <v>NÃO</v>
      </c>
    </row>
    <row r="2228" spans="1:18" hidden="1">
      <c r="A2228" t="s">
        <v>1096</v>
      </c>
      <c r="B2228" t="s">
        <v>1097</v>
      </c>
      <c r="C2228">
        <v>300282322</v>
      </c>
      <c r="D2228">
        <v>16482611</v>
      </c>
      <c r="E2228" t="s">
        <v>37</v>
      </c>
      <c r="F2228" t="s">
        <v>203</v>
      </c>
      <c r="G2228">
        <v>1265</v>
      </c>
      <c r="H2228" t="s">
        <v>2368</v>
      </c>
      <c r="J2228" t="s">
        <v>4058</v>
      </c>
      <c r="K2228" s="11">
        <v>46230.639849537038</v>
      </c>
      <c r="M2228">
        <v>1557</v>
      </c>
      <c r="N2228" t="s">
        <v>867</v>
      </c>
      <c r="O2228">
        <v>0</v>
      </c>
      <c r="P2228" s="5"/>
      <c r="Q2228" s="10">
        <f>INT(Tabela1[[#This Row],[DATA]])</f>
        <v>46230</v>
      </c>
      <c r="R2228" s="14" t="str">
        <f ca="1">IF(AND(Q2228&gt;=TODAY()-WEEKDAY(TODAY(),2)+1,Q2228&lt;TODAY()),"SIM","NÃO")</f>
        <v>NÃO</v>
      </c>
    </row>
    <row r="2229" spans="1:18" hidden="1">
      <c r="A2229" t="s">
        <v>332</v>
      </c>
      <c r="B2229" t="s">
        <v>28</v>
      </c>
      <c r="C2229">
        <v>300278634</v>
      </c>
      <c r="D2229">
        <v>15957152</v>
      </c>
      <c r="E2229" t="s">
        <v>45</v>
      </c>
      <c r="F2229" t="s">
        <v>3212</v>
      </c>
      <c r="G2229">
        <v>57</v>
      </c>
      <c r="H2229" t="s">
        <v>1966</v>
      </c>
      <c r="K2229" s="11">
        <v>46230.703692129631</v>
      </c>
      <c r="M2229">
        <v>1558</v>
      </c>
      <c r="N2229" t="s">
        <v>867</v>
      </c>
      <c r="O2229">
        <v>0</v>
      </c>
      <c r="P2229" s="5"/>
      <c r="Q2229" s="10">
        <f>INT(Tabela1[[#This Row],[DATA]])</f>
        <v>46230</v>
      </c>
      <c r="R2229" s="14" t="str">
        <f ca="1">IF(AND(Q2229&gt;=TODAY()-WEEKDAY(TODAY(),2)+1,Q2229&lt;TODAY()),"SIM","NÃO")</f>
        <v>NÃO</v>
      </c>
    </row>
    <row r="2230" spans="1:18" hidden="1">
      <c r="A2230" t="s">
        <v>130</v>
      </c>
      <c r="B2230" t="s">
        <v>131</v>
      </c>
      <c r="C2230">
        <v>300280651</v>
      </c>
      <c r="D2230">
        <v>0</v>
      </c>
      <c r="E2230" t="s">
        <v>37</v>
      </c>
      <c r="F2230" t="s">
        <v>3215</v>
      </c>
      <c r="G2230" t="s">
        <v>457</v>
      </c>
      <c r="H2230" t="s">
        <v>2751</v>
      </c>
      <c r="J2230" t="s">
        <v>4059</v>
      </c>
      <c r="K2230" s="11">
        <v>46230.707152777781</v>
      </c>
      <c r="M2230">
        <v>1559</v>
      </c>
      <c r="N2230" t="s">
        <v>878</v>
      </c>
      <c r="O2230">
        <v>0</v>
      </c>
      <c r="P2230" s="5"/>
      <c r="Q2230" s="10">
        <f>INT(Tabela1[[#This Row],[DATA]])</f>
        <v>46230</v>
      </c>
      <c r="R2230" s="14" t="str">
        <f ca="1">IF(AND(Q2230&gt;=TODAY()-WEEKDAY(TODAY(),2)+1,Q2230&lt;TODAY()),"SIM","NÃO")</f>
        <v>NÃO</v>
      </c>
    </row>
    <row r="2231" spans="1:18" hidden="1">
      <c r="A2231" t="s">
        <v>493</v>
      </c>
      <c r="B2231" t="s">
        <v>686</v>
      </c>
      <c r="C2231">
        <v>300278796</v>
      </c>
      <c r="D2231">
        <v>300278796</v>
      </c>
      <c r="E2231" t="s">
        <v>37</v>
      </c>
      <c r="F2231" t="s">
        <v>2213</v>
      </c>
      <c r="G2231">
        <v>120</v>
      </c>
      <c r="H2231" t="s">
        <v>2073</v>
      </c>
      <c r="K2231" s="11">
        <v>46230.708854166667</v>
      </c>
      <c r="M2231">
        <v>1560</v>
      </c>
      <c r="N2231" t="s">
        <v>867</v>
      </c>
      <c r="O2231" t="s">
        <v>4060</v>
      </c>
      <c r="P2231" s="5"/>
      <c r="Q2231" s="10">
        <f>INT(Tabela1[[#This Row],[DATA]])</f>
        <v>46230</v>
      </c>
      <c r="R2231" s="14" t="str">
        <f ca="1">IF(AND(Q2231&gt;=TODAY()-WEEKDAY(TODAY(),2)+1,Q2231&lt;TODAY()),"SIM","NÃO")</f>
        <v>NÃO</v>
      </c>
    </row>
    <row r="2232" spans="1:18" hidden="1">
      <c r="A2232" t="s">
        <v>493</v>
      </c>
      <c r="B2232" t="s">
        <v>686</v>
      </c>
      <c r="C2232">
        <v>300281507</v>
      </c>
      <c r="D2232">
        <v>16473965</v>
      </c>
      <c r="E2232" t="s">
        <v>37</v>
      </c>
      <c r="F2232" t="s">
        <v>177</v>
      </c>
      <c r="G2232">
        <v>20</v>
      </c>
      <c r="H2232" t="s">
        <v>2318</v>
      </c>
      <c r="K2232" s="11">
        <v>46230.710636574076</v>
      </c>
      <c r="M2232">
        <v>1561</v>
      </c>
      <c r="N2232" t="s">
        <v>867</v>
      </c>
      <c r="O2232" t="s">
        <v>4061</v>
      </c>
      <c r="P2232" s="5"/>
      <c r="Q2232" s="10">
        <f>INT(Tabela1[[#This Row],[DATA]])</f>
        <v>46230</v>
      </c>
      <c r="R2232" s="14" t="str">
        <f ca="1">IF(AND(Q2232&gt;=TODAY()-WEEKDAY(TODAY(),2)+1,Q2232&lt;TODAY()),"SIM","NÃO")</f>
        <v>NÃO</v>
      </c>
    </row>
    <row r="2233" spans="1:18" hidden="1">
      <c r="A2233" t="s">
        <v>2765</v>
      </c>
      <c r="B2233" t="s">
        <v>107</v>
      </c>
      <c r="C2233">
        <v>300274892</v>
      </c>
      <c r="D2233">
        <v>16510151</v>
      </c>
      <c r="E2233" t="s">
        <v>45</v>
      </c>
      <c r="F2233" t="s">
        <v>2405</v>
      </c>
      <c r="G2233">
        <v>20</v>
      </c>
      <c r="H2233" t="s">
        <v>2292</v>
      </c>
      <c r="K2233" s="11">
        <v>46230.714618055557</v>
      </c>
      <c r="M2233">
        <v>1562</v>
      </c>
      <c r="N2233" t="s">
        <v>867</v>
      </c>
      <c r="O2233">
        <v>0</v>
      </c>
      <c r="P2233" s="5"/>
      <c r="Q2233" s="10">
        <f>INT(Tabela1[[#This Row],[DATA]])</f>
        <v>46230</v>
      </c>
      <c r="R2233" s="14" t="str">
        <f ca="1">IF(AND(Q2233&gt;=TODAY()-WEEKDAY(TODAY(),2)+1,Q2233&lt;TODAY()),"SIM","NÃO")</f>
        <v>NÃO</v>
      </c>
    </row>
    <row r="2234" spans="1:18" hidden="1">
      <c r="A2234" t="s">
        <v>3285</v>
      </c>
      <c r="B2234" t="s">
        <v>306</v>
      </c>
      <c r="C2234">
        <v>300280139</v>
      </c>
      <c r="D2234">
        <v>16460944</v>
      </c>
      <c r="E2234" t="s">
        <v>37</v>
      </c>
      <c r="F2234" t="s">
        <v>2405</v>
      </c>
      <c r="G2234">
        <v>272</v>
      </c>
      <c r="H2234" t="s">
        <v>2884</v>
      </c>
      <c r="J2234" t="s">
        <v>4062</v>
      </c>
      <c r="K2234" s="11">
        <v>46230.726550925923</v>
      </c>
      <c r="M2234">
        <v>1563</v>
      </c>
      <c r="N2234" t="s">
        <v>867</v>
      </c>
      <c r="O2234">
        <v>0</v>
      </c>
      <c r="P2234" s="5"/>
      <c r="Q2234" s="10">
        <f>INT(Tabela1[[#This Row],[DATA]])</f>
        <v>46230</v>
      </c>
      <c r="R2234" s="14" t="str">
        <f ca="1">IF(AND(Q2234&gt;=TODAY()-WEEKDAY(TODAY(),2)+1,Q2234&lt;TODAY()),"SIM","NÃO")</f>
        <v>NÃO</v>
      </c>
    </row>
    <row r="2235" spans="1:18" hidden="1">
      <c r="A2235" t="s">
        <v>3062</v>
      </c>
      <c r="B2235" t="s">
        <v>3063</v>
      </c>
      <c r="C2235">
        <v>300283191</v>
      </c>
      <c r="D2235">
        <v>16447662</v>
      </c>
      <c r="E2235" t="s">
        <v>37</v>
      </c>
      <c r="F2235" t="s">
        <v>3215</v>
      </c>
      <c r="G2235" t="s">
        <v>4063</v>
      </c>
      <c r="H2235" t="s">
        <v>4064</v>
      </c>
      <c r="J2235" t="s">
        <v>4065</v>
      </c>
      <c r="K2235" s="11">
        <v>46230.727326388886</v>
      </c>
      <c r="M2235">
        <v>1564</v>
      </c>
      <c r="N2235" t="s">
        <v>878</v>
      </c>
      <c r="O2235">
        <v>999999999</v>
      </c>
      <c r="P2235" s="5"/>
      <c r="Q2235" s="10">
        <f>INT(Tabela1[[#This Row],[DATA]])</f>
        <v>46230</v>
      </c>
      <c r="R2235" s="14" t="str">
        <f ca="1">IF(AND(Q2235&gt;=TODAY()-WEEKDAY(TODAY(),2)+1,Q2235&lt;TODAY()),"SIM","NÃO")</f>
        <v>NÃO</v>
      </c>
    </row>
    <row r="2236" spans="1:18" hidden="1">
      <c r="A2236" t="s">
        <v>3513</v>
      </c>
      <c r="B2236" t="s">
        <v>3688</v>
      </c>
      <c r="C2236">
        <v>300278542</v>
      </c>
      <c r="D2236">
        <v>15773418</v>
      </c>
      <c r="E2236" t="s">
        <v>37</v>
      </c>
      <c r="F2236" t="s">
        <v>177</v>
      </c>
      <c r="G2236">
        <v>70</v>
      </c>
      <c r="H2236" t="s">
        <v>2804</v>
      </c>
      <c r="J2236" t="s">
        <v>4066</v>
      </c>
      <c r="K2236" s="11">
        <v>46230.746261574073</v>
      </c>
      <c r="M2236">
        <v>1565</v>
      </c>
      <c r="N2236" t="s">
        <v>867</v>
      </c>
      <c r="O2236">
        <v>0</v>
      </c>
      <c r="P2236" s="5"/>
      <c r="Q2236" s="10">
        <f>INT(Tabela1[[#This Row],[DATA]])</f>
        <v>46230</v>
      </c>
      <c r="R2236" s="14" t="str">
        <f ca="1">IF(AND(Q2236&gt;=TODAY()-WEEKDAY(TODAY(),2)+1,Q2236&lt;TODAY()),"SIM","NÃO")</f>
        <v>NÃO</v>
      </c>
    </row>
    <row r="2237" spans="1:18" hidden="1">
      <c r="A2237" t="s">
        <v>249</v>
      </c>
      <c r="B2237" t="s">
        <v>112</v>
      </c>
      <c r="C2237">
        <v>300284833</v>
      </c>
      <c r="D2237">
        <v>16222326</v>
      </c>
      <c r="E2237" t="s">
        <v>45</v>
      </c>
      <c r="F2237" t="s">
        <v>3212</v>
      </c>
      <c r="G2237">
        <v>70</v>
      </c>
      <c r="H2237" t="s">
        <v>1335</v>
      </c>
      <c r="K2237" s="11">
        <v>46231.304444444446</v>
      </c>
      <c r="M2237">
        <v>1566</v>
      </c>
      <c r="N2237" t="s">
        <v>867</v>
      </c>
      <c r="O2237">
        <v>0</v>
      </c>
      <c r="P2237" s="5"/>
      <c r="Q2237" s="10">
        <f>INT(Tabela1[[#This Row],[DATA]])</f>
        <v>46231</v>
      </c>
      <c r="R2237" s="14" t="str">
        <f ca="1">IF(AND(Q2237&gt;=TODAY()-WEEKDAY(TODAY(),2)+1,Q2237&lt;TODAY()),"SIM","NÃO")</f>
        <v>NÃO</v>
      </c>
    </row>
    <row r="2238" spans="1:18" hidden="1">
      <c r="A2238" t="s">
        <v>2177</v>
      </c>
      <c r="B2238" t="s">
        <v>1073</v>
      </c>
      <c r="C2238">
        <v>300282337</v>
      </c>
      <c r="D2238">
        <v>16482174</v>
      </c>
      <c r="E2238" t="s">
        <v>37</v>
      </c>
      <c r="F2238" t="s">
        <v>177</v>
      </c>
      <c r="G2238">
        <v>5</v>
      </c>
      <c r="H2238" t="s">
        <v>2795</v>
      </c>
      <c r="J2238" t="s">
        <v>4067</v>
      </c>
      <c r="K2238" s="11">
        <v>46231.314618055556</v>
      </c>
      <c r="M2238">
        <v>1567</v>
      </c>
      <c r="N2238" t="s">
        <v>867</v>
      </c>
      <c r="O2238">
        <v>10000211585</v>
      </c>
      <c r="P2238" s="5"/>
      <c r="Q2238" s="10">
        <f>INT(Tabela1[[#This Row],[DATA]])</f>
        <v>46231</v>
      </c>
      <c r="R2238" s="14" t="str">
        <f ca="1">IF(AND(Q2238&gt;=TODAY()-WEEKDAY(TODAY(),2)+1,Q2238&lt;TODAY()),"SIM","NÃO")</f>
        <v>NÃO</v>
      </c>
    </row>
    <row r="2239" spans="1:18" hidden="1">
      <c r="A2239" t="s">
        <v>2549</v>
      </c>
      <c r="B2239" t="s">
        <v>19</v>
      </c>
      <c r="C2239">
        <v>300279747</v>
      </c>
      <c r="D2239">
        <v>15572528</v>
      </c>
      <c r="E2239" t="s">
        <v>20</v>
      </c>
      <c r="F2239" t="s">
        <v>2405</v>
      </c>
      <c r="G2239">
        <v>16</v>
      </c>
      <c r="H2239" t="s">
        <v>3172</v>
      </c>
      <c r="J2239" t="s">
        <v>2802</v>
      </c>
      <c r="K2239" s="11">
        <v>46231.319467592592</v>
      </c>
      <c r="M2239">
        <v>1568</v>
      </c>
      <c r="N2239" t="s">
        <v>867</v>
      </c>
      <c r="O2239" t="s">
        <v>2802</v>
      </c>
      <c r="P2239" s="5"/>
      <c r="Q2239" s="10">
        <f>INT(Tabela1[[#This Row],[DATA]])</f>
        <v>46231</v>
      </c>
      <c r="R2239" s="14" t="str">
        <f ca="1">IF(AND(Q2239&gt;=TODAY()-WEEKDAY(TODAY(),2)+1,Q2239&lt;TODAY()),"SIM","NÃO")</f>
        <v>NÃO</v>
      </c>
    </row>
    <row r="2240" spans="1:18" hidden="1">
      <c r="A2240" t="s">
        <v>899</v>
      </c>
      <c r="B2240" t="s">
        <v>900</v>
      </c>
      <c r="C2240">
        <v>300285609</v>
      </c>
      <c r="D2240">
        <v>16508882</v>
      </c>
      <c r="E2240" t="s">
        <v>37</v>
      </c>
      <c r="F2240" t="s">
        <v>3215</v>
      </c>
      <c r="G2240">
        <v>10</v>
      </c>
      <c r="H2240" t="s">
        <v>655</v>
      </c>
      <c r="J2240" t="s">
        <v>4068</v>
      </c>
      <c r="K2240" s="11">
        <v>46231.329317129632</v>
      </c>
      <c r="M2240">
        <v>1569</v>
      </c>
      <c r="N2240" t="s">
        <v>878</v>
      </c>
      <c r="O2240">
        <v>0</v>
      </c>
      <c r="P2240" s="5"/>
      <c r="Q2240" s="10">
        <f>INT(Tabela1[[#This Row],[DATA]])</f>
        <v>46231</v>
      </c>
      <c r="R2240" s="14" t="str">
        <f ca="1">IF(AND(Q2240&gt;=TODAY()-WEEKDAY(TODAY(),2)+1,Q2240&lt;TODAY()),"SIM","NÃO")</f>
        <v>NÃO</v>
      </c>
    </row>
    <row r="2241" spans="1:18" hidden="1">
      <c r="A2241" t="s">
        <v>3311</v>
      </c>
      <c r="B2241" t="s">
        <v>768</v>
      </c>
      <c r="C2241">
        <v>300278585</v>
      </c>
      <c r="D2241">
        <v>16507665</v>
      </c>
      <c r="E2241" t="s">
        <v>37</v>
      </c>
      <c r="F2241" t="s">
        <v>2405</v>
      </c>
      <c r="G2241">
        <v>28</v>
      </c>
      <c r="H2241" t="s">
        <v>2795</v>
      </c>
      <c r="J2241" t="s">
        <v>4069</v>
      </c>
      <c r="K2241" s="11">
        <v>46231.329641203702</v>
      </c>
      <c r="M2241">
        <v>1570</v>
      </c>
      <c r="N2241" t="s">
        <v>867</v>
      </c>
      <c r="O2241" t="s">
        <v>3931</v>
      </c>
      <c r="P2241" s="5"/>
      <c r="Q2241" s="10">
        <f>INT(Tabela1[[#This Row],[DATA]])</f>
        <v>46231</v>
      </c>
      <c r="R2241" s="14" t="str">
        <f ca="1">IF(AND(Q2241&gt;=TODAY()-WEEKDAY(TODAY(),2)+1,Q2241&lt;TODAY()),"SIM","NÃO")</f>
        <v>NÃO</v>
      </c>
    </row>
    <row r="2242" spans="1:18" hidden="1">
      <c r="A2242" t="s">
        <v>214</v>
      </c>
      <c r="B2242" t="s">
        <v>4070</v>
      </c>
      <c r="C2242">
        <v>300278791</v>
      </c>
      <c r="D2242">
        <v>16480058</v>
      </c>
      <c r="E2242" t="s">
        <v>37</v>
      </c>
      <c r="F2242" t="s">
        <v>769</v>
      </c>
      <c r="G2242" t="s">
        <v>4071</v>
      </c>
      <c r="H2242" t="s">
        <v>2232</v>
      </c>
      <c r="J2242" t="s">
        <v>4072</v>
      </c>
      <c r="K2242" s="11">
        <v>46231.337037037039</v>
      </c>
      <c r="M2242">
        <v>1571</v>
      </c>
      <c r="N2242" t="s">
        <v>867</v>
      </c>
      <c r="O2242">
        <v>0</v>
      </c>
      <c r="P2242" s="5"/>
      <c r="Q2242" s="10">
        <f>INT(Tabela1[[#This Row],[DATA]])</f>
        <v>46231</v>
      </c>
      <c r="R2242" s="14" t="str">
        <f ca="1">IF(AND(Q2242&gt;=TODAY()-WEEKDAY(TODAY(),2)+1,Q2242&lt;TODAY()),"SIM","NÃO")</f>
        <v>NÃO</v>
      </c>
    </row>
    <row r="2243" spans="1:18" hidden="1">
      <c r="A2243" t="s">
        <v>497</v>
      </c>
      <c r="B2243" t="s">
        <v>498</v>
      </c>
      <c r="C2243">
        <v>300282906</v>
      </c>
      <c r="D2243">
        <v>14487004</v>
      </c>
      <c r="E2243" t="s">
        <v>29</v>
      </c>
      <c r="F2243" t="s">
        <v>3212</v>
      </c>
      <c r="G2243">
        <v>90</v>
      </c>
      <c r="H2243" t="s">
        <v>2284</v>
      </c>
      <c r="J2243" t="s">
        <v>1966</v>
      </c>
      <c r="K2243" s="11">
        <v>46231.377500000002</v>
      </c>
      <c r="M2243">
        <v>1572</v>
      </c>
      <c r="N2243" t="s">
        <v>867</v>
      </c>
      <c r="O2243">
        <v>150</v>
      </c>
      <c r="P2243" s="5"/>
      <c r="Q2243" s="10">
        <f>INT(Tabela1[[#This Row],[DATA]])</f>
        <v>46231</v>
      </c>
      <c r="R2243" s="14" t="str">
        <f ca="1">IF(AND(Q2243&gt;=TODAY()-WEEKDAY(TODAY(),2)+1,Q2243&lt;TODAY()),"SIM","NÃO")</f>
        <v>NÃO</v>
      </c>
    </row>
    <row r="2244" spans="1:18" hidden="1">
      <c r="A2244" t="s">
        <v>305</v>
      </c>
      <c r="B2244" t="s">
        <v>306</v>
      </c>
      <c r="C2244">
        <v>300281470</v>
      </c>
      <c r="D2244">
        <v>13044826</v>
      </c>
      <c r="E2244" t="s">
        <v>29</v>
      </c>
      <c r="F2244" t="s">
        <v>259</v>
      </c>
      <c r="G2244">
        <v>6</v>
      </c>
      <c r="H2244" t="s">
        <v>2884</v>
      </c>
      <c r="J2244" t="s">
        <v>4073</v>
      </c>
      <c r="K2244" s="11">
        <v>46231.37841435185</v>
      </c>
      <c r="M2244">
        <v>1573</v>
      </c>
      <c r="N2244" t="s">
        <v>867</v>
      </c>
      <c r="O2244">
        <v>10000072001</v>
      </c>
      <c r="P2244" s="5"/>
      <c r="Q2244" s="10">
        <f>INT(Tabela1[[#This Row],[DATA]])</f>
        <v>46231</v>
      </c>
      <c r="R2244" s="14" t="str">
        <f ca="1">IF(AND(Q2244&gt;=TODAY()-WEEKDAY(TODAY(),2)+1,Q2244&lt;TODAY()),"SIM","NÃO")</f>
        <v>NÃO</v>
      </c>
    </row>
    <row r="2245" spans="1:18" hidden="1">
      <c r="A2245" t="s">
        <v>2571</v>
      </c>
      <c r="B2245" t="s">
        <v>798</v>
      </c>
      <c r="C2245">
        <v>300282865</v>
      </c>
      <c r="D2245">
        <v>16441435</v>
      </c>
      <c r="E2245" t="s">
        <v>45</v>
      </c>
      <c r="F2245" t="s">
        <v>2405</v>
      </c>
      <c r="G2245">
        <v>8</v>
      </c>
      <c r="H2245" t="s">
        <v>867</v>
      </c>
      <c r="J2245" t="s">
        <v>4074</v>
      </c>
      <c r="K2245" s="11">
        <v>46231.38449074074</v>
      </c>
      <c r="M2245">
        <v>1574</v>
      </c>
      <c r="N2245" t="s">
        <v>867</v>
      </c>
      <c r="O2245" t="s">
        <v>2124</v>
      </c>
      <c r="P2245" s="5"/>
      <c r="Q2245" s="10">
        <f>INT(Tabela1[[#This Row],[DATA]])</f>
        <v>46231</v>
      </c>
      <c r="R2245" s="14" t="str">
        <f ca="1">IF(AND(Q2245&gt;=TODAY()-WEEKDAY(TODAY(),2)+1,Q2245&lt;TODAY()),"SIM","NÃO")</f>
        <v>NÃO</v>
      </c>
    </row>
    <row r="2246" spans="1:18" hidden="1">
      <c r="A2246" t="s">
        <v>3073</v>
      </c>
      <c r="B2246" t="s">
        <v>2323</v>
      </c>
      <c r="C2246">
        <v>300284299</v>
      </c>
      <c r="D2246">
        <v>16561384</v>
      </c>
      <c r="E2246" t="s">
        <v>37</v>
      </c>
      <c r="F2246" t="s">
        <v>2405</v>
      </c>
      <c r="G2246">
        <v>12</v>
      </c>
      <c r="H2246" t="s">
        <v>2559</v>
      </c>
      <c r="K2246" s="11">
        <v>46231.388715277775</v>
      </c>
      <c r="M2246">
        <v>1575</v>
      </c>
      <c r="N2246" t="s">
        <v>867</v>
      </c>
      <c r="O2246">
        <v>0</v>
      </c>
      <c r="P2246" s="5"/>
      <c r="Q2246" s="10">
        <f>INT(Tabela1[[#This Row],[DATA]])</f>
        <v>46231</v>
      </c>
      <c r="R2246" s="14" t="str">
        <f ca="1">IF(AND(Q2246&gt;=TODAY()-WEEKDAY(TODAY(),2)+1,Q2246&lt;TODAY()),"SIM","NÃO")</f>
        <v>NÃO</v>
      </c>
    </row>
    <row r="2247" spans="1:18" hidden="1">
      <c r="A2247" t="s">
        <v>2639</v>
      </c>
      <c r="B2247" t="s">
        <v>2640</v>
      </c>
      <c r="C2247">
        <v>300275027</v>
      </c>
      <c r="D2247">
        <v>16482204</v>
      </c>
      <c r="E2247" t="s">
        <v>37</v>
      </c>
      <c r="F2247" t="s">
        <v>216</v>
      </c>
      <c r="G2247">
        <v>28</v>
      </c>
      <c r="H2247" t="s">
        <v>4075</v>
      </c>
      <c r="K2247" s="11">
        <v>46231.389363425929</v>
      </c>
      <c r="M2247">
        <v>1576</v>
      </c>
      <c r="N2247" t="s">
        <v>867</v>
      </c>
      <c r="O2247">
        <v>10</v>
      </c>
      <c r="P2247" s="5"/>
      <c r="Q2247" s="10">
        <f>INT(Tabela1[[#This Row],[DATA]])</f>
        <v>46231</v>
      </c>
      <c r="R2247" s="14" t="str">
        <f ca="1">IF(AND(Q2247&gt;=TODAY()-WEEKDAY(TODAY(),2)+1,Q2247&lt;TODAY()),"SIM","NÃO")</f>
        <v>NÃO</v>
      </c>
    </row>
    <row r="2248" spans="1:18" hidden="1">
      <c r="A2248" t="s">
        <v>3073</v>
      </c>
      <c r="B2248" t="s">
        <v>2323</v>
      </c>
      <c r="C2248">
        <v>300284299</v>
      </c>
      <c r="D2248">
        <v>16561384</v>
      </c>
      <c r="E2248" t="s">
        <v>37</v>
      </c>
      <c r="F2248" t="s">
        <v>2213</v>
      </c>
      <c r="G2248">
        <v>30</v>
      </c>
      <c r="H2248" t="s">
        <v>4076</v>
      </c>
      <c r="K2248" s="11">
        <v>46231.390081018515</v>
      </c>
      <c r="M2248">
        <v>1577</v>
      </c>
      <c r="N2248" t="s">
        <v>867</v>
      </c>
      <c r="O2248">
        <v>10000216487</v>
      </c>
      <c r="P2248" s="5"/>
      <c r="Q2248" s="10">
        <f>INT(Tabela1[[#This Row],[DATA]])</f>
        <v>46231</v>
      </c>
      <c r="R2248" s="14" t="str">
        <f ca="1">IF(AND(Q2248&gt;=TODAY()-WEEKDAY(TODAY(),2)+1,Q2248&lt;TODAY()),"SIM","NÃO")</f>
        <v>NÃO</v>
      </c>
    </row>
    <row r="2249" spans="1:18" hidden="1">
      <c r="A2249" t="s">
        <v>2662</v>
      </c>
      <c r="B2249" t="s">
        <v>471</v>
      </c>
      <c r="C2249">
        <v>300282426</v>
      </c>
      <c r="D2249">
        <v>16054610</v>
      </c>
      <c r="E2249" t="s">
        <v>45</v>
      </c>
      <c r="F2249" t="s">
        <v>151</v>
      </c>
      <c r="G2249">
        <v>55</v>
      </c>
      <c r="H2249" t="s">
        <v>3293</v>
      </c>
      <c r="K2249" s="11">
        <v>46231.400879629633</v>
      </c>
      <c r="M2249">
        <v>1578</v>
      </c>
      <c r="N2249" t="s">
        <v>867</v>
      </c>
      <c r="O2249">
        <v>150</v>
      </c>
      <c r="P2249" s="5"/>
      <c r="Q2249" s="10">
        <f>INT(Tabela1[[#This Row],[DATA]])</f>
        <v>46231</v>
      </c>
      <c r="R2249" s="14" t="str">
        <f ca="1">IF(AND(Q2249&gt;=TODAY()-WEEKDAY(TODAY(),2)+1,Q2249&lt;TODAY()),"SIM","NÃO")</f>
        <v>NÃO</v>
      </c>
    </row>
    <row r="2250" spans="1:18" hidden="1">
      <c r="A2250" t="s">
        <v>185</v>
      </c>
      <c r="B2250" t="s">
        <v>1625</v>
      </c>
      <c r="C2250">
        <v>300281929</v>
      </c>
      <c r="D2250">
        <v>16466209</v>
      </c>
      <c r="E2250" t="s">
        <v>37</v>
      </c>
      <c r="F2250" t="s">
        <v>151</v>
      </c>
      <c r="G2250">
        <v>96</v>
      </c>
      <c r="H2250" t="s">
        <v>2137</v>
      </c>
      <c r="K2250" s="11">
        <v>46231.401747685188</v>
      </c>
      <c r="M2250">
        <v>1579</v>
      </c>
      <c r="N2250" t="s">
        <v>867</v>
      </c>
      <c r="O2250">
        <v>0</v>
      </c>
      <c r="P2250" s="5"/>
      <c r="Q2250" s="10">
        <f>INT(Tabela1[[#This Row],[DATA]])</f>
        <v>46231</v>
      </c>
      <c r="R2250" s="14" t="str">
        <f ca="1">IF(AND(Q2250&gt;=TODAY()-WEEKDAY(TODAY(),2)+1,Q2250&lt;TODAY()),"SIM","NÃO")</f>
        <v>NÃO</v>
      </c>
    </row>
    <row r="2251" spans="1:18" hidden="1">
      <c r="A2251" t="s">
        <v>185</v>
      </c>
      <c r="B2251" t="s">
        <v>1625</v>
      </c>
      <c r="C2251">
        <v>300281929</v>
      </c>
      <c r="D2251">
        <v>16466209</v>
      </c>
      <c r="E2251" t="s">
        <v>37</v>
      </c>
      <c r="F2251" t="s">
        <v>323</v>
      </c>
      <c r="G2251">
        <v>96</v>
      </c>
      <c r="H2251" t="s">
        <v>2137</v>
      </c>
      <c r="J2251" t="s">
        <v>4077</v>
      </c>
      <c r="K2251" s="11">
        <v>46231.402939814812</v>
      </c>
      <c r="M2251">
        <v>1580</v>
      </c>
      <c r="N2251" t="s">
        <v>867</v>
      </c>
      <c r="O2251">
        <v>0</v>
      </c>
      <c r="P2251" s="5"/>
      <c r="Q2251" s="10">
        <f>INT(Tabela1[[#This Row],[DATA]])</f>
        <v>46231</v>
      </c>
      <c r="R2251" s="14" t="str">
        <f ca="1">IF(AND(Q2251&gt;=TODAY()-WEEKDAY(TODAY(),2)+1,Q2251&lt;TODAY()),"SIM","NÃO")</f>
        <v>NÃO</v>
      </c>
    </row>
    <row r="2252" spans="1:18" hidden="1">
      <c r="A2252" t="s">
        <v>2565</v>
      </c>
      <c r="B2252" t="s">
        <v>95</v>
      </c>
      <c r="C2252">
        <v>300286717</v>
      </c>
      <c r="D2252">
        <v>16223608</v>
      </c>
      <c r="E2252" t="s">
        <v>45</v>
      </c>
      <c r="F2252" t="s">
        <v>3212</v>
      </c>
      <c r="G2252">
        <v>2.0859999999999999</v>
      </c>
      <c r="H2252" t="s">
        <v>1984</v>
      </c>
      <c r="J2252" t="s">
        <v>2864</v>
      </c>
      <c r="K2252" s="11">
        <v>46231.405324074076</v>
      </c>
      <c r="M2252">
        <v>1581</v>
      </c>
      <c r="N2252" t="s">
        <v>878</v>
      </c>
      <c r="O2252">
        <v>1</v>
      </c>
      <c r="P2252" s="5"/>
      <c r="Q2252" s="10">
        <f>INT(Tabela1[[#This Row],[DATA]])</f>
        <v>46231</v>
      </c>
      <c r="R2252" s="14" t="str">
        <f ca="1">IF(AND(Q2252&gt;=TODAY()-WEEKDAY(TODAY(),2)+1,Q2252&lt;TODAY()),"SIM","NÃO")</f>
        <v>NÃO</v>
      </c>
    </row>
    <row r="2253" spans="1:18" hidden="1">
      <c r="A2253" t="s">
        <v>185</v>
      </c>
      <c r="B2253" t="s">
        <v>1625</v>
      </c>
      <c r="C2253">
        <v>300281929</v>
      </c>
      <c r="D2253">
        <v>16466209</v>
      </c>
      <c r="E2253" t="s">
        <v>37</v>
      </c>
      <c r="F2253" t="s">
        <v>3595</v>
      </c>
      <c r="G2253">
        <v>96</v>
      </c>
      <c r="H2253" t="s">
        <v>522</v>
      </c>
      <c r="K2253" s="11">
        <v>46231.405405092592</v>
      </c>
      <c r="M2253">
        <v>1582</v>
      </c>
      <c r="N2253" t="s">
        <v>867</v>
      </c>
      <c r="O2253">
        <v>10000216488</v>
      </c>
      <c r="P2253" s="5"/>
      <c r="Q2253" s="10">
        <f>INT(Tabela1[[#This Row],[DATA]])</f>
        <v>46231</v>
      </c>
      <c r="R2253" s="14" t="str">
        <f ca="1">IF(AND(Q2253&gt;=TODAY()-WEEKDAY(TODAY(),2)+1,Q2253&lt;TODAY()),"SIM","NÃO")</f>
        <v>NÃO</v>
      </c>
    </row>
    <row r="2254" spans="1:18" hidden="1">
      <c r="A2254" t="s">
        <v>185</v>
      </c>
      <c r="B2254" t="s">
        <v>1625</v>
      </c>
      <c r="C2254">
        <v>300281929</v>
      </c>
      <c r="D2254">
        <v>16466209</v>
      </c>
      <c r="E2254" t="s">
        <v>37</v>
      </c>
      <c r="F2254" t="s">
        <v>2405</v>
      </c>
      <c r="G2254">
        <v>96</v>
      </c>
      <c r="H2254" t="s">
        <v>2137</v>
      </c>
      <c r="K2254" s="11">
        <v>46231.406446759262</v>
      </c>
      <c r="M2254">
        <v>1583</v>
      </c>
      <c r="N2254" t="s">
        <v>867</v>
      </c>
      <c r="O2254">
        <v>0</v>
      </c>
      <c r="P2254" s="5"/>
      <c r="Q2254" s="10">
        <f>INT(Tabela1[[#This Row],[DATA]])</f>
        <v>46231</v>
      </c>
      <c r="R2254" s="14" t="str">
        <f ca="1">IF(AND(Q2254&gt;=TODAY()-WEEKDAY(TODAY(),2)+1,Q2254&lt;TODAY()),"SIM","NÃO")</f>
        <v>NÃO</v>
      </c>
    </row>
    <row r="2255" spans="1:18" hidden="1">
      <c r="A2255" t="s">
        <v>2754</v>
      </c>
      <c r="B2255" t="s">
        <v>822</v>
      </c>
      <c r="C2255">
        <v>300273322</v>
      </c>
      <c r="D2255">
        <v>16523741</v>
      </c>
      <c r="E2255" t="s">
        <v>37</v>
      </c>
      <c r="F2255" t="s">
        <v>2213</v>
      </c>
      <c r="G2255">
        <v>45</v>
      </c>
      <c r="H2255" t="s">
        <v>2091</v>
      </c>
      <c r="K2255" s="11">
        <v>46231.406481481485</v>
      </c>
      <c r="M2255">
        <v>1584</v>
      </c>
      <c r="N2255" t="s">
        <v>867</v>
      </c>
      <c r="O2255">
        <v>10000214516</v>
      </c>
      <c r="P2255" s="5"/>
      <c r="Q2255" s="10">
        <f>INT(Tabela1[[#This Row],[DATA]])</f>
        <v>46231</v>
      </c>
      <c r="R2255" s="14" t="str">
        <f ca="1">IF(AND(Q2255&gt;=TODAY()-WEEKDAY(TODAY(),2)+1,Q2255&lt;TODAY()),"SIM","NÃO")</f>
        <v>NÃO</v>
      </c>
    </row>
    <row r="2256" spans="1:18" hidden="1">
      <c r="A2256" t="s">
        <v>2541</v>
      </c>
      <c r="B2256" t="s">
        <v>388</v>
      </c>
      <c r="C2256">
        <v>300284338</v>
      </c>
      <c r="D2256">
        <v>16244052</v>
      </c>
      <c r="E2256" t="s">
        <v>37</v>
      </c>
      <c r="F2256" t="s">
        <v>2405</v>
      </c>
      <c r="G2256">
        <v>9</v>
      </c>
      <c r="H2256" t="s">
        <v>2313</v>
      </c>
      <c r="K2256" s="11">
        <v>46231.407592592594</v>
      </c>
      <c r="M2256">
        <v>1585</v>
      </c>
      <c r="N2256" t="s">
        <v>867</v>
      </c>
      <c r="O2256">
        <v>0</v>
      </c>
      <c r="P2256" s="5"/>
      <c r="Q2256" s="10">
        <f>INT(Tabela1[[#This Row],[DATA]])</f>
        <v>46231</v>
      </c>
      <c r="R2256" s="14" t="str">
        <f ca="1">IF(AND(Q2256&gt;=TODAY()-WEEKDAY(TODAY(),2)+1,Q2256&lt;TODAY()),"SIM","NÃO")</f>
        <v>NÃO</v>
      </c>
    </row>
    <row r="2257" spans="1:18" hidden="1">
      <c r="A2257" t="s">
        <v>755</v>
      </c>
      <c r="B2257" t="s">
        <v>756</v>
      </c>
      <c r="C2257">
        <v>300279305</v>
      </c>
      <c r="D2257">
        <v>16513649</v>
      </c>
      <c r="E2257" t="s">
        <v>37</v>
      </c>
      <c r="F2257" t="s">
        <v>2213</v>
      </c>
      <c r="G2257">
        <v>50</v>
      </c>
      <c r="H2257" t="s">
        <v>1418</v>
      </c>
      <c r="J2257" t="s">
        <v>4078</v>
      </c>
      <c r="K2257" s="11">
        <v>46231.407870370371</v>
      </c>
      <c r="M2257">
        <v>1586</v>
      </c>
      <c r="N2257" t="s">
        <v>867</v>
      </c>
      <c r="O2257">
        <v>10000214496</v>
      </c>
      <c r="P2257" s="5"/>
      <c r="Q2257" s="10">
        <f>INT(Tabela1[[#This Row],[DATA]])</f>
        <v>46231</v>
      </c>
      <c r="R2257" s="14" t="str">
        <f ca="1">IF(AND(Q2257&gt;=TODAY()-WEEKDAY(TODAY(),2)+1,Q2257&lt;TODAY()),"SIM","NÃO")</f>
        <v>NÃO</v>
      </c>
    </row>
    <row r="2258" spans="1:18" hidden="1">
      <c r="A2258" t="s">
        <v>253</v>
      </c>
      <c r="B2258" t="s">
        <v>254</v>
      </c>
      <c r="C2258">
        <v>300284835</v>
      </c>
      <c r="D2258">
        <v>16222326</v>
      </c>
      <c r="E2258" t="s">
        <v>45</v>
      </c>
      <c r="F2258" t="s">
        <v>323</v>
      </c>
      <c r="G2258">
        <v>4</v>
      </c>
      <c r="H2258" t="s">
        <v>582</v>
      </c>
      <c r="K2258" s="11">
        <v>46231.410069444442</v>
      </c>
      <c r="M2258">
        <v>1587</v>
      </c>
      <c r="N2258" t="s">
        <v>867</v>
      </c>
      <c r="O2258">
        <v>0</v>
      </c>
      <c r="P2258" s="5"/>
      <c r="Q2258" s="10">
        <f>INT(Tabela1[[#This Row],[DATA]])</f>
        <v>46231</v>
      </c>
      <c r="R2258" s="14" t="str">
        <f ca="1">IF(AND(Q2258&gt;=TODAY()-WEEKDAY(TODAY(),2)+1,Q2258&lt;TODAY()),"SIM","NÃO")</f>
        <v>NÃO</v>
      </c>
    </row>
    <row r="2259" spans="1:18" hidden="1">
      <c r="A2259" t="s">
        <v>163</v>
      </c>
      <c r="B2259" t="s">
        <v>164</v>
      </c>
      <c r="C2259">
        <v>300276882</v>
      </c>
      <c r="D2259">
        <v>16229454</v>
      </c>
      <c r="E2259" t="s">
        <v>45</v>
      </c>
      <c r="F2259" t="s">
        <v>96</v>
      </c>
      <c r="G2259">
        <v>25</v>
      </c>
      <c r="H2259" t="s">
        <v>2292</v>
      </c>
      <c r="K2259" s="11">
        <v>46231.421400462961</v>
      </c>
      <c r="M2259">
        <v>1588</v>
      </c>
      <c r="N2259" t="s">
        <v>867</v>
      </c>
      <c r="O2259">
        <v>0</v>
      </c>
      <c r="P2259" s="5"/>
      <c r="Q2259" s="10">
        <f>INT(Tabela1[[#This Row],[DATA]])</f>
        <v>46231</v>
      </c>
      <c r="R2259" s="14" t="str">
        <f ca="1">IF(AND(Q2259&gt;=TODAY()-WEEKDAY(TODAY(),2)+1,Q2259&lt;TODAY()),"SIM","NÃO")</f>
        <v>NÃO</v>
      </c>
    </row>
    <row r="2260" spans="1:18" hidden="1">
      <c r="A2260" t="s">
        <v>163</v>
      </c>
      <c r="B2260" t="s">
        <v>164</v>
      </c>
      <c r="C2260">
        <v>300283943</v>
      </c>
      <c r="D2260">
        <v>16242998</v>
      </c>
      <c r="E2260" t="s">
        <v>37</v>
      </c>
      <c r="F2260" t="s">
        <v>221</v>
      </c>
      <c r="G2260">
        <v>1452</v>
      </c>
      <c r="H2260" t="s">
        <v>2880</v>
      </c>
      <c r="J2260" t="s">
        <v>4079</v>
      </c>
      <c r="K2260" s="11">
        <v>46231.423437500001</v>
      </c>
      <c r="M2260">
        <v>1589</v>
      </c>
      <c r="N2260" t="s">
        <v>867</v>
      </c>
      <c r="O2260">
        <v>10000195709</v>
      </c>
      <c r="P2260" s="5"/>
      <c r="Q2260" s="10">
        <f>INT(Tabela1[[#This Row],[DATA]])</f>
        <v>46231</v>
      </c>
      <c r="R2260" s="14" t="str">
        <f ca="1">IF(AND(Q2260&gt;=TODAY()-WEEKDAY(TODAY(),2)+1,Q2260&lt;TODAY()),"SIM","NÃO")</f>
        <v>NÃO</v>
      </c>
    </row>
    <row r="2261" spans="1:18" hidden="1">
      <c r="A2261" t="s">
        <v>2549</v>
      </c>
      <c r="B2261" t="s">
        <v>19</v>
      </c>
      <c r="C2261">
        <v>300281205</v>
      </c>
      <c r="D2261">
        <v>16454839</v>
      </c>
      <c r="E2261" t="s">
        <v>20</v>
      </c>
      <c r="F2261" t="s">
        <v>3241</v>
      </c>
      <c r="G2261">
        <v>7</v>
      </c>
      <c r="H2261" t="s">
        <v>4080</v>
      </c>
      <c r="J2261" t="s">
        <v>2802</v>
      </c>
      <c r="K2261" s="11">
        <v>46231.429826388892</v>
      </c>
      <c r="M2261">
        <v>1590</v>
      </c>
      <c r="N2261" t="s">
        <v>867</v>
      </c>
      <c r="O2261">
        <v>10000225450</v>
      </c>
      <c r="P2261" s="5"/>
      <c r="Q2261" s="10">
        <f>INT(Tabela1[[#This Row],[DATA]])</f>
        <v>46231</v>
      </c>
      <c r="R2261" s="14" t="str">
        <f ca="1">IF(AND(Q2261&gt;=TODAY()-WEEKDAY(TODAY(),2)+1,Q2261&lt;TODAY()),"SIM","NÃO")</f>
        <v>NÃO</v>
      </c>
    </row>
    <row r="2262" spans="1:18" hidden="1">
      <c r="A2262" t="s">
        <v>332</v>
      </c>
      <c r="B2262" t="s">
        <v>690</v>
      </c>
      <c r="C2262">
        <v>300282889</v>
      </c>
      <c r="D2262">
        <v>15972992</v>
      </c>
      <c r="E2262" t="s">
        <v>45</v>
      </c>
      <c r="F2262" t="s">
        <v>323</v>
      </c>
      <c r="G2262">
        <v>1</v>
      </c>
      <c r="H2262" t="s">
        <v>1966</v>
      </c>
      <c r="K2262" s="11">
        <v>46231.433865740742</v>
      </c>
      <c r="M2262">
        <v>1591</v>
      </c>
      <c r="N2262" t="s">
        <v>867</v>
      </c>
      <c r="O2262">
        <v>0</v>
      </c>
      <c r="P2262" s="5"/>
      <c r="Q2262" s="10">
        <f>INT(Tabela1[[#This Row],[DATA]])</f>
        <v>46231</v>
      </c>
      <c r="R2262" s="14" t="str">
        <f ca="1">IF(AND(Q2262&gt;=TODAY()-WEEKDAY(TODAY(),2)+1,Q2262&lt;TODAY()),"SIM","NÃO")</f>
        <v>NÃO</v>
      </c>
    </row>
    <row r="2263" spans="1:18" hidden="1">
      <c r="A2263" t="s">
        <v>332</v>
      </c>
      <c r="B2263" t="s">
        <v>690</v>
      </c>
      <c r="C2263">
        <v>300282889</v>
      </c>
      <c r="D2263">
        <v>15972992</v>
      </c>
      <c r="E2263" t="s">
        <v>45</v>
      </c>
      <c r="F2263" t="s">
        <v>151</v>
      </c>
      <c r="G2263">
        <v>3</v>
      </c>
      <c r="H2263" t="s">
        <v>1966</v>
      </c>
      <c r="K2263" s="11">
        <v>46231.434745370374</v>
      </c>
      <c r="M2263">
        <v>1592</v>
      </c>
      <c r="N2263" t="s">
        <v>867</v>
      </c>
      <c r="O2263">
        <v>0</v>
      </c>
      <c r="P2263" s="5"/>
      <c r="Q2263" s="10">
        <f>INT(Tabela1[[#This Row],[DATA]])</f>
        <v>46231</v>
      </c>
      <c r="R2263" s="14" t="str">
        <f ca="1">IF(AND(Q2263&gt;=TODAY()-WEEKDAY(TODAY(),2)+1,Q2263&lt;TODAY()),"SIM","NÃO")</f>
        <v>NÃO</v>
      </c>
    </row>
    <row r="2264" spans="1:18" hidden="1">
      <c r="A2264" t="s">
        <v>332</v>
      </c>
      <c r="B2264" t="s">
        <v>690</v>
      </c>
      <c r="C2264">
        <v>300272210</v>
      </c>
      <c r="D2264">
        <v>16247590</v>
      </c>
      <c r="E2264" t="s">
        <v>45</v>
      </c>
      <c r="F2264" t="s">
        <v>323</v>
      </c>
      <c r="G2264">
        <v>1</v>
      </c>
      <c r="H2264" t="s">
        <v>1966</v>
      </c>
      <c r="K2264" s="11">
        <v>46231.435601851852</v>
      </c>
      <c r="M2264">
        <v>1593</v>
      </c>
      <c r="N2264" t="s">
        <v>867</v>
      </c>
      <c r="O2264">
        <v>0</v>
      </c>
      <c r="P2264" s="5"/>
      <c r="Q2264" s="10">
        <f>INT(Tabela1[[#This Row],[DATA]])</f>
        <v>46231</v>
      </c>
      <c r="R2264" s="14" t="str">
        <f ca="1">IF(AND(Q2264&gt;=TODAY()-WEEKDAY(TODAY(),2)+1,Q2264&lt;TODAY()),"SIM","NÃO")</f>
        <v>NÃO</v>
      </c>
    </row>
    <row r="2265" spans="1:18" hidden="1">
      <c r="A2265" t="s">
        <v>2639</v>
      </c>
      <c r="B2265" t="s">
        <v>2640</v>
      </c>
      <c r="C2265">
        <v>300284287</v>
      </c>
      <c r="D2265">
        <v>15187632</v>
      </c>
      <c r="E2265" t="s">
        <v>37</v>
      </c>
      <c r="F2265" t="s">
        <v>3502</v>
      </c>
      <c r="G2265">
        <v>1128</v>
      </c>
      <c r="H2265" t="s">
        <v>4081</v>
      </c>
      <c r="J2265" t="s">
        <v>2833</v>
      </c>
      <c r="K2265" s="11">
        <v>46231.436099537037</v>
      </c>
      <c r="M2265">
        <v>1594</v>
      </c>
      <c r="N2265" t="s">
        <v>867</v>
      </c>
      <c r="O2265">
        <v>1</v>
      </c>
      <c r="P2265" s="5"/>
      <c r="Q2265" s="10">
        <f>INT(Tabela1[[#This Row],[DATA]])</f>
        <v>46231</v>
      </c>
      <c r="R2265" s="14" t="str">
        <f ca="1">IF(AND(Q2265&gt;=TODAY()-WEEKDAY(TODAY(),2)+1,Q2265&lt;TODAY()),"SIM","NÃO")</f>
        <v>NÃO</v>
      </c>
    </row>
    <row r="2266" spans="1:18" hidden="1">
      <c r="A2266" t="s">
        <v>332</v>
      </c>
      <c r="B2266" t="s">
        <v>690</v>
      </c>
      <c r="C2266">
        <v>300272210</v>
      </c>
      <c r="D2266">
        <v>16247590</v>
      </c>
      <c r="E2266" t="s">
        <v>45</v>
      </c>
      <c r="F2266" t="s">
        <v>525</v>
      </c>
      <c r="G2266">
        <v>1</v>
      </c>
      <c r="H2266" t="s">
        <v>1966</v>
      </c>
      <c r="K2266" s="11">
        <v>46231.436273148145</v>
      </c>
      <c r="M2266">
        <v>1595</v>
      </c>
      <c r="N2266" t="s">
        <v>867</v>
      </c>
      <c r="O2266">
        <v>0</v>
      </c>
      <c r="P2266" s="5"/>
      <c r="Q2266" s="10">
        <f>INT(Tabela1[[#This Row],[DATA]])</f>
        <v>46231</v>
      </c>
      <c r="R2266" s="14" t="str">
        <f ca="1">IF(AND(Q2266&gt;=TODAY()-WEEKDAY(TODAY(),2)+1,Q2266&lt;TODAY()),"SIM","NÃO")</f>
        <v>NÃO</v>
      </c>
    </row>
    <row r="2267" spans="1:18" hidden="1">
      <c r="A2267" t="s">
        <v>332</v>
      </c>
      <c r="B2267" t="s">
        <v>690</v>
      </c>
      <c r="C2267">
        <v>300272210</v>
      </c>
      <c r="D2267">
        <v>16247590</v>
      </c>
      <c r="E2267" t="s">
        <v>45</v>
      </c>
      <c r="F2267" t="s">
        <v>151</v>
      </c>
      <c r="G2267">
        <v>1</v>
      </c>
      <c r="H2267" t="s">
        <v>1966</v>
      </c>
      <c r="K2267" s="11">
        <v>46231.436921296299</v>
      </c>
      <c r="M2267">
        <v>1596</v>
      </c>
      <c r="N2267" t="s">
        <v>867</v>
      </c>
      <c r="O2267">
        <v>0</v>
      </c>
      <c r="P2267" s="5"/>
      <c r="Q2267" s="10">
        <f>INT(Tabela1[[#This Row],[DATA]])</f>
        <v>46231</v>
      </c>
      <c r="R2267" s="14" t="str">
        <f ca="1">IF(AND(Q2267&gt;=TODAY()-WEEKDAY(TODAY(),2)+1,Q2267&lt;TODAY()),"SIM","NÃO")</f>
        <v>NÃO</v>
      </c>
    </row>
    <row r="2268" spans="1:18" hidden="1">
      <c r="A2268" t="s">
        <v>101</v>
      </c>
      <c r="B2268" t="s">
        <v>990</v>
      </c>
      <c r="C2268">
        <v>300285262</v>
      </c>
      <c r="D2268">
        <v>15764494</v>
      </c>
      <c r="E2268" t="s">
        <v>37</v>
      </c>
      <c r="F2268" t="s">
        <v>3241</v>
      </c>
      <c r="G2268">
        <v>1493</v>
      </c>
      <c r="H2268" t="s">
        <v>3116</v>
      </c>
      <c r="J2268" t="s">
        <v>4082</v>
      </c>
      <c r="K2268" s="11">
        <v>46231.437534722223</v>
      </c>
      <c r="M2268">
        <v>1597</v>
      </c>
      <c r="N2268" t="s">
        <v>867</v>
      </c>
      <c r="O2268">
        <v>10000153931</v>
      </c>
      <c r="P2268" s="5"/>
      <c r="Q2268" s="10">
        <f>INT(Tabela1[[#This Row],[DATA]])</f>
        <v>46231</v>
      </c>
      <c r="R2268" s="14" t="str">
        <f ca="1">IF(AND(Q2268&gt;=TODAY()-WEEKDAY(TODAY(),2)+1,Q2268&lt;TODAY()),"SIM","NÃO")</f>
        <v>NÃO</v>
      </c>
    </row>
    <row r="2269" spans="1:18" hidden="1">
      <c r="A2269" t="s">
        <v>101</v>
      </c>
      <c r="B2269" t="s">
        <v>990</v>
      </c>
      <c r="C2269">
        <v>300285268</v>
      </c>
      <c r="D2269">
        <v>15764494</v>
      </c>
      <c r="E2269" t="s">
        <v>37</v>
      </c>
      <c r="F2269" t="s">
        <v>3241</v>
      </c>
      <c r="G2269" t="s">
        <v>4083</v>
      </c>
      <c r="H2269" t="s">
        <v>3116</v>
      </c>
      <c r="J2269" t="s">
        <v>4084</v>
      </c>
      <c r="K2269" s="11">
        <v>46231.439965277779</v>
      </c>
      <c r="M2269">
        <v>1598</v>
      </c>
      <c r="N2269" t="s">
        <v>867</v>
      </c>
      <c r="O2269" t="s">
        <v>4085</v>
      </c>
      <c r="P2269" s="5"/>
      <c r="Q2269" s="10">
        <f>INT(Tabela1[[#This Row],[DATA]])</f>
        <v>46231</v>
      </c>
      <c r="R2269" s="14" t="str">
        <f ca="1">IF(AND(Q2269&gt;=TODAY()-WEEKDAY(TODAY(),2)+1,Q2269&lt;TODAY()),"SIM","NÃO")</f>
        <v>NÃO</v>
      </c>
    </row>
    <row r="2270" spans="1:18" hidden="1">
      <c r="A2270" t="s">
        <v>111</v>
      </c>
      <c r="B2270" t="s">
        <v>4086</v>
      </c>
      <c r="C2270">
        <v>300277529</v>
      </c>
      <c r="D2270">
        <v>16212878</v>
      </c>
      <c r="E2270" t="s">
        <v>37</v>
      </c>
      <c r="F2270" t="s">
        <v>151</v>
      </c>
      <c r="G2270">
        <v>18</v>
      </c>
      <c r="H2270" t="s">
        <v>2155</v>
      </c>
      <c r="K2270" s="11">
        <v>46231.440648148149</v>
      </c>
      <c r="M2270">
        <v>1599</v>
      </c>
      <c r="N2270" t="s">
        <v>867</v>
      </c>
      <c r="O2270">
        <v>0</v>
      </c>
      <c r="P2270" s="5"/>
      <c r="Q2270" s="10">
        <f>INT(Tabela1[[#This Row],[DATA]])</f>
        <v>46231</v>
      </c>
      <c r="R2270" s="14" t="str">
        <f ca="1">IF(AND(Q2270&gt;=TODAY()-WEEKDAY(TODAY(),2)+1,Q2270&lt;TODAY()),"SIM","NÃO")</f>
        <v>NÃO</v>
      </c>
    </row>
    <row r="2271" spans="1:18" hidden="1">
      <c r="A2271" t="s">
        <v>111</v>
      </c>
      <c r="B2271" t="s">
        <v>4086</v>
      </c>
      <c r="C2271">
        <v>300277529</v>
      </c>
      <c r="D2271">
        <v>16212878</v>
      </c>
      <c r="E2271" t="s">
        <v>37</v>
      </c>
      <c r="F2271" t="s">
        <v>323</v>
      </c>
      <c r="G2271">
        <v>18</v>
      </c>
      <c r="H2271" t="s">
        <v>2155</v>
      </c>
      <c r="K2271" s="11">
        <v>46231.441747685189</v>
      </c>
      <c r="M2271">
        <v>1600</v>
      </c>
      <c r="N2271" t="s">
        <v>867</v>
      </c>
      <c r="O2271">
        <v>0</v>
      </c>
      <c r="P2271" s="5"/>
      <c r="Q2271" s="10">
        <f>INT(Tabela1[[#This Row],[DATA]])</f>
        <v>46231</v>
      </c>
      <c r="R2271" s="14" t="str">
        <f ca="1">IF(AND(Q2271&gt;=TODAY()-WEEKDAY(TODAY(),2)+1,Q2271&lt;TODAY()),"SIM","NÃO")</f>
        <v>NÃO</v>
      </c>
    </row>
    <row r="2272" spans="1:18" hidden="1">
      <c r="A2272" t="s">
        <v>111</v>
      </c>
      <c r="B2272" t="s">
        <v>4086</v>
      </c>
      <c r="C2272">
        <v>300277529</v>
      </c>
      <c r="D2272">
        <v>16212878</v>
      </c>
      <c r="E2272" t="s">
        <v>37</v>
      </c>
      <c r="F2272" t="s">
        <v>1564</v>
      </c>
      <c r="G2272">
        <v>18</v>
      </c>
      <c r="H2272" t="s">
        <v>2155</v>
      </c>
      <c r="K2272" s="11">
        <v>46231.443206018521</v>
      </c>
      <c r="M2272">
        <v>1601</v>
      </c>
      <c r="N2272" t="s">
        <v>867</v>
      </c>
      <c r="O2272">
        <v>0</v>
      </c>
      <c r="P2272" s="5"/>
      <c r="Q2272" s="10">
        <f>INT(Tabela1[[#This Row],[DATA]])</f>
        <v>46231</v>
      </c>
      <c r="R2272" s="14" t="str">
        <f ca="1">IF(AND(Q2272&gt;=TODAY()-WEEKDAY(TODAY(),2)+1,Q2272&lt;TODAY()),"SIM","NÃO")</f>
        <v>NÃO</v>
      </c>
    </row>
    <row r="2273" spans="1:18" hidden="1">
      <c r="A2273" t="s">
        <v>111</v>
      </c>
      <c r="B2273" t="s">
        <v>4086</v>
      </c>
      <c r="C2273">
        <v>300277529</v>
      </c>
      <c r="D2273">
        <v>16212878</v>
      </c>
      <c r="E2273" t="s">
        <v>37</v>
      </c>
      <c r="F2273" t="s">
        <v>3241</v>
      </c>
      <c r="G2273">
        <v>10</v>
      </c>
      <c r="H2273" t="s">
        <v>2172</v>
      </c>
      <c r="K2273" s="11">
        <v>46231.44462962963</v>
      </c>
      <c r="M2273">
        <v>1602</v>
      </c>
      <c r="N2273" t="s">
        <v>867</v>
      </c>
      <c r="O2273">
        <v>10000073449</v>
      </c>
      <c r="P2273" s="5"/>
      <c r="Q2273" s="10">
        <f>INT(Tabela1[[#This Row],[DATA]])</f>
        <v>46231</v>
      </c>
      <c r="R2273" s="14" t="str">
        <f ca="1">IF(AND(Q2273&gt;=TODAY()-WEEKDAY(TODAY(),2)+1,Q2273&lt;TODAY()),"SIM","NÃO")</f>
        <v>NÃO</v>
      </c>
    </row>
    <row r="2274" spans="1:18" hidden="1">
      <c r="A2274" t="s">
        <v>332</v>
      </c>
      <c r="B2274" t="s">
        <v>690</v>
      </c>
      <c r="C2274">
        <v>300280742</v>
      </c>
      <c r="D2274">
        <v>16441303</v>
      </c>
      <c r="E2274" t="s">
        <v>45</v>
      </c>
      <c r="F2274" t="s">
        <v>2405</v>
      </c>
      <c r="G2274">
        <v>1</v>
      </c>
      <c r="H2274" t="s">
        <v>1966</v>
      </c>
      <c r="K2274" s="11">
        <v>46231.446122685185</v>
      </c>
      <c r="M2274">
        <v>1603</v>
      </c>
      <c r="N2274" t="s">
        <v>867</v>
      </c>
      <c r="O2274">
        <v>0</v>
      </c>
      <c r="P2274" s="5"/>
      <c r="Q2274" s="10">
        <f>INT(Tabela1[[#This Row],[DATA]])</f>
        <v>46231</v>
      </c>
      <c r="R2274" s="14" t="str">
        <f ca="1">IF(AND(Q2274&gt;=TODAY()-WEEKDAY(TODAY(),2)+1,Q2274&lt;TODAY()),"SIM","NÃO")</f>
        <v>NÃO</v>
      </c>
    </row>
    <row r="2275" spans="1:18" hidden="1">
      <c r="A2275" t="s">
        <v>111</v>
      </c>
      <c r="B2275" t="s">
        <v>112</v>
      </c>
      <c r="C2275">
        <v>300277529</v>
      </c>
      <c r="D2275">
        <v>16212878</v>
      </c>
      <c r="E2275" t="s">
        <v>37</v>
      </c>
      <c r="F2275" t="s">
        <v>2405</v>
      </c>
      <c r="G2275">
        <v>1</v>
      </c>
      <c r="H2275" t="s">
        <v>2843</v>
      </c>
      <c r="K2275" s="11">
        <v>46231.447881944441</v>
      </c>
      <c r="M2275">
        <v>1604</v>
      </c>
      <c r="N2275" t="s">
        <v>867</v>
      </c>
      <c r="O2275">
        <v>0</v>
      </c>
      <c r="P2275" s="5"/>
      <c r="Q2275" s="10">
        <f>INT(Tabela1[[#This Row],[DATA]])</f>
        <v>46231</v>
      </c>
      <c r="R2275" s="14" t="str">
        <f ca="1">IF(AND(Q2275&gt;=TODAY()-WEEKDAY(TODAY(),2)+1,Q2275&lt;TODAY()),"SIM","NÃO")</f>
        <v>NÃO</v>
      </c>
    </row>
    <row r="2276" spans="1:18" hidden="1">
      <c r="A2276" t="s">
        <v>1835</v>
      </c>
      <c r="B2276" t="s">
        <v>1836</v>
      </c>
      <c r="C2276">
        <v>300278897</v>
      </c>
      <c r="D2276">
        <v>16293274</v>
      </c>
      <c r="E2276" t="s">
        <v>37</v>
      </c>
      <c r="F2276" t="s">
        <v>2213</v>
      </c>
      <c r="G2276">
        <v>147</v>
      </c>
      <c r="H2276" t="s">
        <v>1418</v>
      </c>
      <c r="K2276" s="11">
        <v>46231.459756944445</v>
      </c>
      <c r="M2276">
        <v>1605</v>
      </c>
      <c r="N2276" t="s">
        <v>867</v>
      </c>
      <c r="O2276">
        <v>10000214518</v>
      </c>
      <c r="P2276" s="5"/>
      <c r="Q2276" s="10">
        <f>INT(Tabela1[[#This Row],[DATA]])</f>
        <v>46231</v>
      </c>
      <c r="R2276" s="14" t="str">
        <f ca="1">IF(AND(Q2276&gt;=TODAY()-WEEKDAY(TODAY(),2)+1,Q2276&lt;TODAY()),"SIM","NÃO")</f>
        <v>NÃO</v>
      </c>
    </row>
    <row r="2277" spans="1:18" hidden="1">
      <c r="A2277" t="s">
        <v>3073</v>
      </c>
      <c r="B2277" t="s">
        <v>2323</v>
      </c>
      <c r="C2277">
        <v>300284299</v>
      </c>
      <c r="D2277">
        <v>16561384</v>
      </c>
      <c r="E2277" t="s">
        <v>37</v>
      </c>
      <c r="F2277" t="s">
        <v>2405</v>
      </c>
      <c r="G2277">
        <v>15</v>
      </c>
      <c r="H2277" t="s">
        <v>1335</v>
      </c>
      <c r="K2277" s="11">
        <v>46231.503842592596</v>
      </c>
      <c r="M2277">
        <v>1606</v>
      </c>
      <c r="N2277" t="s">
        <v>867</v>
      </c>
      <c r="O2277">
        <v>0</v>
      </c>
      <c r="P2277" s="5"/>
      <c r="Q2277" s="10">
        <f>INT(Tabela1[[#This Row],[DATA]])</f>
        <v>46231</v>
      </c>
      <c r="R2277" s="14" t="str">
        <f ca="1">IF(AND(Q2277&gt;=TODAY()-WEEKDAY(TODAY(),2)+1,Q2277&lt;TODAY()),"SIM","NÃO")</f>
        <v>NÃO</v>
      </c>
    </row>
    <row r="2278" spans="1:18" hidden="1">
      <c r="A2278" t="s">
        <v>313</v>
      </c>
      <c r="B2278" t="s">
        <v>314</v>
      </c>
      <c r="C2278">
        <v>300285833</v>
      </c>
      <c r="D2278">
        <v>16576667</v>
      </c>
      <c r="E2278" t="s">
        <v>45</v>
      </c>
      <c r="F2278" t="s">
        <v>2405</v>
      </c>
      <c r="G2278">
        <v>80</v>
      </c>
      <c r="H2278" t="s">
        <v>847</v>
      </c>
      <c r="K2278" s="11">
        <v>46231.518506944441</v>
      </c>
      <c r="M2278">
        <v>1607</v>
      </c>
      <c r="N2278" t="s">
        <v>867</v>
      </c>
      <c r="O2278">
        <v>0</v>
      </c>
      <c r="P2278" s="5"/>
      <c r="Q2278" s="10">
        <f>INT(Tabela1[[#This Row],[DATA]])</f>
        <v>46231</v>
      </c>
      <c r="R2278" s="14" t="str">
        <f ca="1">IF(AND(Q2278&gt;=TODAY()-WEEKDAY(TODAY(),2)+1,Q2278&lt;TODAY()),"SIM","NÃO")</f>
        <v>NÃO</v>
      </c>
    </row>
    <row r="2279" spans="1:18" hidden="1">
      <c r="A2279" t="s">
        <v>332</v>
      </c>
      <c r="B2279" t="s">
        <v>28</v>
      </c>
      <c r="C2279">
        <v>300280243</v>
      </c>
      <c r="D2279">
        <v>16441354</v>
      </c>
      <c r="E2279" t="s">
        <v>45</v>
      </c>
      <c r="F2279" t="s">
        <v>3212</v>
      </c>
      <c r="G2279">
        <v>1320</v>
      </c>
      <c r="H2279" t="s">
        <v>4087</v>
      </c>
      <c r="K2279" s="11">
        <v>46231.597395833334</v>
      </c>
      <c r="M2279">
        <v>1608</v>
      </c>
      <c r="N2279" t="s">
        <v>867</v>
      </c>
      <c r="O2279">
        <v>0</v>
      </c>
      <c r="P2279" s="5"/>
      <c r="Q2279" s="10">
        <f>INT(Tabela1[[#This Row],[DATA]])</f>
        <v>46231</v>
      </c>
      <c r="R2279" s="14" t="str">
        <f ca="1">IF(AND(Q2279&gt;=TODAY()-WEEKDAY(TODAY(),2)+1,Q2279&lt;TODAY()),"SIM","NÃO")</f>
        <v>NÃO</v>
      </c>
    </row>
    <row r="2280" spans="1:18" hidden="1">
      <c r="A2280" t="s">
        <v>332</v>
      </c>
      <c r="B2280" t="s">
        <v>690</v>
      </c>
      <c r="C2280">
        <v>300280732</v>
      </c>
      <c r="D2280">
        <v>12416746</v>
      </c>
      <c r="E2280" t="s">
        <v>45</v>
      </c>
      <c r="F2280" t="s">
        <v>3212</v>
      </c>
      <c r="G2280">
        <v>784</v>
      </c>
      <c r="H2280" t="s">
        <v>4087</v>
      </c>
      <c r="K2280" s="11">
        <v>46231.59915509259</v>
      </c>
      <c r="M2280">
        <v>1609</v>
      </c>
      <c r="N2280" t="s">
        <v>867</v>
      </c>
      <c r="O2280">
        <v>0</v>
      </c>
      <c r="P2280" s="5"/>
      <c r="Q2280" s="10">
        <f>INT(Tabela1[[#This Row],[DATA]])</f>
        <v>46231</v>
      </c>
      <c r="R2280" s="14" t="str">
        <f ca="1">IF(AND(Q2280&gt;=TODAY()-WEEKDAY(TODAY(),2)+1,Q2280&lt;TODAY()),"SIM","NÃO")</f>
        <v>NÃO</v>
      </c>
    </row>
    <row r="2281" spans="1:18" hidden="1">
      <c r="A2281" t="s">
        <v>332</v>
      </c>
      <c r="B2281" t="s">
        <v>690</v>
      </c>
      <c r="C2281">
        <v>300281660</v>
      </c>
      <c r="D2281">
        <v>16426010</v>
      </c>
      <c r="E2281" t="s">
        <v>45</v>
      </c>
      <c r="F2281" t="s">
        <v>2405</v>
      </c>
      <c r="G2281">
        <v>1</v>
      </c>
      <c r="H2281" t="s">
        <v>1966</v>
      </c>
      <c r="K2281" s="11">
        <v>46231.607060185182</v>
      </c>
      <c r="M2281">
        <v>1610</v>
      </c>
      <c r="N2281" t="s">
        <v>867</v>
      </c>
      <c r="O2281">
        <v>0</v>
      </c>
      <c r="P2281" s="5"/>
      <c r="Q2281" s="10">
        <f>INT(Tabela1[[#This Row],[DATA]])</f>
        <v>46231</v>
      </c>
      <c r="R2281" s="14" t="str">
        <f ca="1">IF(AND(Q2281&gt;=TODAY()-WEEKDAY(TODAY(),2)+1,Q2281&lt;TODAY()),"SIM","NÃO")</f>
        <v>NÃO</v>
      </c>
    </row>
    <row r="2282" spans="1:18" hidden="1">
      <c r="A2282" t="s">
        <v>253</v>
      </c>
      <c r="B2282" t="s">
        <v>254</v>
      </c>
      <c r="C2282">
        <v>300281956</v>
      </c>
      <c r="D2282">
        <v>16504615</v>
      </c>
      <c r="E2282" t="s">
        <v>37</v>
      </c>
      <c r="F2282" t="s">
        <v>323</v>
      </c>
      <c r="G2282">
        <v>5</v>
      </c>
      <c r="H2282" t="s">
        <v>582</v>
      </c>
      <c r="K2282" s="11">
        <v>46231.608449074076</v>
      </c>
      <c r="M2282">
        <v>1611</v>
      </c>
      <c r="N2282" t="s">
        <v>867</v>
      </c>
      <c r="O2282">
        <v>0</v>
      </c>
      <c r="P2282" s="5"/>
      <c r="Q2282" s="10">
        <f>INT(Tabela1[[#This Row],[DATA]])</f>
        <v>46231</v>
      </c>
      <c r="R2282" s="14" t="str">
        <f ca="1">IF(AND(Q2282&gt;=TODAY()-WEEKDAY(TODAY(),2)+1,Q2282&lt;TODAY()),"SIM","NÃO")</f>
        <v>NÃO</v>
      </c>
    </row>
    <row r="2283" spans="1:18" hidden="1">
      <c r="A2283" t="s">
        <v>3517</v>
      </c>
      <c r="B2283" t="s">
        <v>3518</v>
      </c>
      <c r="C2283">
        <v>300000000</v>
      </c>
      <c r="D2283">
        <v>0</v>
      </c>
      <c r="E2283" t="s">
        <v>45</v>
      </c>
      <c r="F2283" t="s">
        <v>103</v>
      </c>
      <c r="G2283">
        <v>1</v>
      </c>
      <c r="H2283" t="s">
        <v>547</v>
      </c>
      <c r="J2283" t="s">
        <v>4088</v>
      </c>
      <c r="K2283" s="11">
        <v>46231.610775462963</v>
      </c>
      <c r="M2283">
        <v>1612</v>
      </c>
      <c r="N2283" t="s">
        <v>878</v>
      </c>
      <c r="O2283">
        <v>0</v>
      </c>
      <c r="P2283" s="5"/>
      <c r="Q2283" s="10">
        <f>INT(Tabela1[[#This Row],[DATA]])</f>
        <v>46231</v>
      </c>
      <c r="R2283" s="14" t="str">
        <f ca="1">IF(AND(Q2283&gt;=TODAY()-WEEKDAY(TODAY(),2)+1,Q2283&lt;TODAY()),"SIM","NÃO")</f>
        <v>NÃO</v>
      </c>
    </row>
    <row r="2284" spans="1:18" hidden="1">
      <c r="A2284" t="s">
        <v>3513</v>
      </c>
      <c r="B2284" t="s">
        <v>3688</v>
      </c>
      <c r="C2284">
        <v>300273316</v>
      </c>
      <c r="D2284">
        <v>15775615</v>
      </c>
      <c r="E2284" t="s">
        <v>37</v>
      </c>
      <c r="F2284" t="s">
        <v>216</v>
      </c>
      <c r="G2284" t="s">
        <v>4089</v>
      </c>
      <c r="H2284" t="s">
        <v>4090</v>
      </c>
      <c r="J2284" t="s">
        <v>4091</v>
      </c>
      <c r="K2284" s="11">
        <v>46231.617685185185</v>
      </c>
      <c r="M2284">
        <v>1613</v>
      </c>
      <c r="N2284" t="s">
        <v>867</v>
      </c>
      <c r="O2284">
        <v>0</v>
      </c>
      <c r="P2284" s="5"/>
      <c r="Q2284" s="10">
        <f>INT(Tabela1[[#This Row],[DATA]])</f>
        <v>46231</v>
      </c>
      <c r="R2284" s="14" t="str">
        <f ca="1">IF(AND(Q2284&gt;=TODAY()-WEEKDAY(TODAY(),2)+1,Q2284&lt;TODAY()),"SIM","NÃO")</f>
        <v>NÃO</v>
      </c>
    </row>
    <row r="2285" spans="1:18" hidden="1">
      <c r="A2285" t="s">
        <v>249</v>
      </c>
      <c r="B2285" t="s">
        <v>112</v>
      </c>
      <c r="C2285">
        <v>300284834</v>
      </c>
      <c r="D2285">
        <v>16222326</v>
      </c>
      <c r="E2285" t="s">
        <v>45</v>
      </c>
      <c r="F2285" t="s">
        <v>2405</v>
      </c>
      <c r="G2285">
        <v>11</v>
      </c>
      <c r="H2285" t="s">
        <v>1335</v>
      </c>
      <c r="K2285" s="11">
        <v>46231.696423611109</v>
      </c>
      <c r="M2285">
        <v>1614</v>
      </c>
      <c r="N2285" t="s">
        <v>867</v>
      </c>
      <c r="O2285">
        <v>0</v>
      </c>
      <c r="P2285" s="5"/>
      <c r="Q2285" s="10">
        <f>INT(Tabela1[[#This Row],[DATA]])</f>
        <v>46231</v>
      </c>
      <c r="R2285" s="14" t="str">
        <f ca="1">IF(AND(Q2285&gt;=TODAY()-WEEKDAY(TODAY(),2)+1,Q2285&lt;TODAY()),"SIM","NÃO")</f>
        <v>NÃO</v>
      </c>
    </row>
    <row r="2286" spans="1:18" hidden="1">
      <c r="A2286" t="s">
        <v>1421</v>
      </c>
      <c r="B2286" t="s">
        <v>1422</v>
      </c>
      <c r="C2286">
        <v>300286252</v>
      </c>
      <c r="D2286">
        <v>16440960</v>
      </c>
      <c r="E2286" t="s">
        <v>45</v>
      </c>
      <c r="F2286" t="s">
        <v>103</v>
      </c>
      <c r="G2286">
        <v>100</v>
      </c>
      <c r="H2286" t="s">
        <v>655</v>
      </c>
      <c r="J2286" t="s">
        <v>4092</v>
      </c>
      <c r="K2286" s="11">
        <v>46231.715497685182</v>
      </c>
      <c r="M2286">
        <v>1615</v>
      </c>
      <c r="N2286" t="s">
        <v>867</v>
      </c>
      <c r="O2286" t="s">
        <v>848</v>
      </c>
      <c r="P2286" s="5"/>
      <c r="Q2286" s="10">
        <f>INT(Tabela1[[#This Row],[DATA]])</f>
        <v>46231</v>
      </c>
      <c r="R2286" s="14" t="str">
        <f ca="1">IF(AND(Q2286&gt;=TODAY()-WEEKDAY(TODAY(),2)+1,Q2286&lt;TODAY()),"SIM","NÃO")</f>
        <v>NÃO</v>
      </c>
    </row>
    <row r="2287" spans="1:18" hidden="1">
      <c r="A2287" t="s">
        <v>201</v>
      </c>
      <c r="B2287" t="s">
        <v>202</v>
      </c>
      <c r="C2287">
        <v>300284294</v>
      </c>
      <c r="D2287">
        <v>16561384</v>
      </c>
      <c r="E2287" t="s">
        <v>37</v>
      </c>
      <c r="F2287" t="s">
        <v>3215</v>
      </c>
      <c r="G2287">
        <v>6</v>
      </c>
      <c r="H2287" t="s">
        <v>13</v>
      </c>
      <c r="J2287" t="s">
        <v>13</v>
      </c>
      <c r="K2287" s="11">
        <v>46231.770462962966</v>
      </c>
      <c r="M2287">
        <v>1616</v>
      </c>
      <c r="N2287" t="s">
        <v>878</v>
      </c>
      <c r="O2287">
        <v>0</v>
      </c>
      <c r="P2287" s="5"/>
      <c r="Q2287" s="10">
        <f>INT(Tabela1[[#This Row],[DATA]])</f>
        <v>46231</v>
      </c>
      <c r="R2287" s="14" t="str">
        <f ca="1">IF(AND(Q2287&gt;=TODAY()-WEEKDAY(TODAY(),2)+1,Q2287&lt;TODAY()),"SIM","NÃO")</f>
        <v>NÃO</v>
      </c>
    </row>
    <row r="2288" spans="1:18" hidden="1">
      <c r="A2288" t="s">
        <v>79</v>
      </c>
      <c r="B2288" t="s">
        <v>80</v>
      </c>
      <c r="C2288">
        <v>300281012</v>
      </c>
      <c r="D2288">
        <v>16442660</v>
      </c>
      <c r="E2288" t="s">
        <v>29</v>
      </c>
      <c r="F2288" t="s">
        <v>96</v>
      </c>
      <c r="G2288">
        <v>108</v>
      </c>
      <c r="H2288" t="s">
        <v>4093</v>
      </c>
      <c r="J2288" t="s">
        <v>4094</v>
      </c>
      <c r="K2288" s="11">
        <v>46232.284409722219</v>
      </c>
      <c r="M2288">
        <v>1617</v>
      </c>
      <c r="N2288" t="s">
        <v>867</v>
      </c>
      <c r="O2288">
        <v>0</v>
      </c>
      <c r="P2288" s="5"/>
      <c r="Q2288" s="10">
        <f>INT(Tabela1[[#This Row],[DATA]])</f>
        <v>46232</v>
      </c>
      <c r="R2288" s="14" t="str">
        <f ca="1">IF(AND(Q2288&gt;=TODAY()-WEEKDAY(TODAY(),2)+1,Q2288&lt;TODAY()),"SIM","NÃO")</f>
        <v>NÃO</v>
      </c>
    </row>
    <row r="2289" spans="1:18" hidden="1">
      <c r="A2289" t="s">
        <v>111</v>
      </c>
      <c r="B2289" t="s">
        <v>112</v>
      </c>
      <c r="C2289">
        <v>300286264</v>
      </c>
      <c r="D2289">
        <v>15867164</v>
      </c>
      <c r="E2289" t="s">
        <v>45</v>
      </c>
      <c r="F2289" t="s">
        <v>2405</v>
      </c>
      <c r="G2289">
        <v>3</v>
      </c>
      <c r="H2289" t="s">
        <v>1335</v>
      </c>
      <c r="K2289" s="11">
        <v>46232.306712962964</v>
      </c>
      <c r="M2289">
        <v>1618</v>
      </c>
      <c r="N2289" t="s">
        <v>867</v>
      </c>
      <c r="O2289">
        <v>0</v>
      </c>
      <c r="P2289" s="5"/>
      <c r="Q2289" s="10">
        <f>INT(Tabela1[[#This Row],[DATA]])</f>
        <v>46232</v>
      </c>
      <c r="R2289" s="14" t="str">
        <f ca="1">IF(AND(Q2289&gt;=TODAY()-WEEKDAY(TODAY(),2)+1,Q2289&lt;TODAY()),"SIM","NÃO")</f>
        <v>NÃO</v>
      </c>
    </row>
    <row r="2290" spans="1:18" hidden="1">
      <c r="A2290" t="s">
        <v>249</v>
      </c>
      <c r="B2290" t="s">
        <v>112</v>
      </c>
      <c r="C2290">
        <v>300281183</v>
      </c>
      <c r="D2290">
        <v>16223462</v>
      </c>
      <c r="E2290" t="s">
        <v>45</v>
      </c>
      <c r="F2290" t="s">
        <v>3212</v>
      </c>
      <c r="G2290">
        <v>24</v>
      </c>
      <c r="H2290" t="s">
        <v>1335</v>
      </c>
      <c r="K2290" s="11">
        <v>46232.307893518519</v>
      </c>
      <c r="M2290">
        <v>1619</v>
      </c>
      <c r="N2290" t="s">
        <v>867</v>
      </c>
      <c r="O2290">
        <v>0</v>
      </c>
      <c r="P2290" s="5"/>
      <c r="Q2290" s="10">
        <f>INT(Tabela1[[#This Row],[DATA]])</f>
        <v>46232</v>
      </c>
      <c r="R2290" s="14" t="str">
        <f ca="1">IF(AND(Q2290&gt;=TODAY()-WEEKDAY(TODAY(),2)+1,Q2290&lt;TODAY()),"SIM","NÃO")</f>
        <v>NÃO</v>
      </c>
    </row>
    <row r="2291" spans="1:18" hidden="1">
      <c r="A2291" t="s">
        <v>2571</v>
      </c>
      <c r="B2291" t="s">
        <v>798</v>
      </c>
      <c r="C2291">
        <v>300280200</v>
      </c>
      <c r="D2291">
        <v>16472209</v>
      </c>
      <c r="E2291" t="s">
        <v>37</v>
      </c>
      <c r="F2291" t="s">
        <v>3241</v>
      </c>
      <c r="G2291">
        <v>216</v>
      </c>
      <c r="H2291" t="s">
        <v>2843</v>
      </c>
      <c r="J2291" t="s">
        <v>4095</v>
      </c>
      <c r="K2291" s="11">
        <v>46232.321168981478</v>
      </c>
      <c r="M2291">
        <v>1620</v>
      </c>
      <c r="N2291" t="s">
        <v>867</v>
      </c>
      <c r="O2291">
        <v>10000064067</v>
      </c>
      <c r="P2291" s="5"/>
      <c r="Q2291" s="10">
        <f>INT(Tabela1[[#This Row],[DATA]])</f>
        <v>46232</v>
      </c>
      <c r="R2291" s="14" t="str">
        <f ca="1">IF(AND(Q2291&gt;=TODAY()-WEEKDAY(TODAY(),2)+1,Q2291&lt;TODAY()),"SIM","NÃO")</f>
        <v>NÃO</v>
      </c>
    </row>
    <row r="2292" spans="1:18" hidden="1">
      <c r="A2292" t="s">
        <v>787</v>
      </c>
      <c r="B2292" t="s">
        <v>788</v>
      </c>
      <c r="C2292">
        <v>300279617</v>
      </c>
      <c r="D2292">
        <v>16557654</v>
      </c>
      <c r="E2292" t="s">
        <v>37</v>
      </c>
      <c r="F2292" t="s">
        <v>216</v>
      </c>
      <c r="G2292">
        <v>234</v>
      </c>
      <c r="H2292" t="s">
        <v>4096</v>
      </c>
      <c r="J2292" t="s">
        <v>3130</v>
      </c>
      <c r="K2292" s="11">
        <v>46232.329016203701</v>
      </c>
      <c r="M2292">
        <v>1621</v>
      </c>
      <c r="N2292" t="s">
        <v>867</v>
      </c>
      <c r="O2292" t="s">
        <v>2802</v>
      </c>
      <c r="P2292" s="5"/>
      <c r="Q2292" s="10">
        <f>INT(Tabela1[[#This Row],[DATA]])</f>
        <v>46232</v>
      </c>
      <c r="R2292" s="14" t="str">
        <f ca="1">IF(AND(Q2292&gt;=TODAY()-WEEKDAY(TODAY(),2)+1,Q2292&lt;TODAY()),"SIM","NÃO")</f>
        <v>NÃO</v>
      </c>
    </row>
    <row r="2293" spans="1:18" hidden="1">
      <c r="A2293" t="s">
        <v>3564</v>
      </c>
      <c r="B2293" t="s">
        <v>3565</v>
      </c>
      <c r="C2293">
        <v>300286704</v>
      </c>
      <c r="D2293">
        <v>16223691</v>
      </c>
      <c r="E2293" t="s">
        <v>45</v>
      </c>
      <c r="F2293" t="s">
        <v>3212</v>
      </c>
      <c r="G2293">
        <v>1.95</v>
      </c>
      <c r="H2293" t="s">
        <v>4097</v>
      </c>
      <c r="K2293" s="11">
        <v>46232.329155092593</v>
      </c>
      <c r="M2293">
        <v>1622</v>
      </c>
      <c r="N2293" t="s">
        <v>867</v>
      </c>
      <c r="O2293">
        <v>1000021360</v>
      </c>
      <c r="P2293" s="5"/>
      <c r="Q2293" s="10">
        <f>INT(Tabela1[[#This Row],[DATA]])</f>
        <v>46232</v>
      </c>
      <c r="R2293" s="14" t="str">
        <f ca="1">IF(AND(Q2293&gt;=TODAY()-WEEKDAY(TODAY(),2)+1,Q2293&lt;TODAY()),"SIM","NÃO")</f>
        <v>NÃO</v>
      </c>
    </row>
    <row r="2294" spans="1:18" hidden="1">
      <c r="A2294" t="s">
        <v>185</v>
      </c>
      <c r="B2294" t="s">
        <v>1625</v>
      </c>
      <c r="C2294">
        <v>300281929</v>
      </c>
      <c r="D2294">
        <v>16466209</v>
      </c>
      <c r="E2294" t="s">
        <v>37</v>
      </c>
      <c r="F2294" t="s">
        <v>177</v>
      </c>
      <c r="G2294">
        <v>35</v>
      </c>
      <c r="H2294" t="s">
        <v>1787</v>
      </c>
      <c r="K2294" s="11">
        <v>46232.330416666664</v>
      </c>
      <c r="M2294">
        <v>1623</v>
      </c>
      <c r="N2294" t="s">
        <v>867</v>
      </c>
      <c r="O2294" t="s">
        <v>4098</v>
      </c>
      <c r="P2294" s="5"/>
      <c r="Q2294" s="10">
        <f>INT(Tabela1[[#This Row],[DATA]])</f>
        <v>46232</v>
      </c>
      <c r="R2294" s="14" t="str">
        <f ca="1">IF(AND(Q2294&gt;=TODAY()-WEEKDAY(TODAY(),2)+1,Q2294&lt;TODAY()),"SIM","NÃO")</f>
        <v>NÃO</v>
      </c>
    </row>
    <row r="2295" spans="1:18" hidden="1">
      <c r="A2295" t="s">
        <v>185</v>
      </c>
      <c r="B2295" t="s">
        <v>1625</v>
      </c>
      <c r="C2295">
        <v>300281929</v>
      </c>
      <c r="D2295">
        <v>16466209</v>
      </c>
      <c r="E2295" t="s">
        <v>37</v>
      </c>
      <c r="F2295" t="s">
        <v>3502</v>
      </c>
      <c r="G2295" t="s">
        <v>4099</v>
      </c>
      <c r="H2295" t="s">
        <v>2948</v>
      </c>
      <c r="K2295" s="11">
        <v>46232.331226851849</v>
      </c>
      <c r="M2295">
        <v>1624</v>
      </c>
      <c r="N2295" t="s">
        <v>867</v>
      </c>
      <c r="O2295">
        <v>0</v>
      </c>
      <c r="P2295" s="5"/>
      <c r="Q2295" s="10">
        <f>INT(Tabela1[[#This Row],[DATA]])</f>
        <v>46232</v>
      </c>
      <c r="R2295" s="14" t="str">
        <f ca="1">IF(AND(Q2295&gt;=TODAY()-WEEKDAY(TODAY(),2)+1,Q2295&lt;TODAY()),"SIM","NÃO")</f>
        <v>NÃO</v>
      </c>
    </row>
    <row r="2296" spans="1:18" hidden="1">
      <c r="A2296" t="s">
        <v>313</v>
      </c>
      <c r="B2296" t="s">
        <v>314</v>
      </c>
      <c r="C2296">
        <v>300284826</v>
      </c>
      <c r="D2296">
        <v>16491920</v>
      </c>
      <c r="E2296" t="s">
        <v>45</v>
      </c>
      <c r="F2296" t="s">
        <v>1287</v>
      </c>
      <c r="G2296" t="s">
        <v>2851</v>
      </c>
      <c r="H2296" t="s">
        <v>847</v>
      </c>
      <c r="J2296" t="s">
        <v>4100</v>
      </c>
      <c r="K2296" s="11">
        <v>46232.332268518519</v>
      </c>
      <c r="M2296">
        <v>1625</v>
      </c>
      <c r="N2296" t="s">
        <v>878</v>
      </c>
      <c r="O2296">
        <v>0</v>
      </c>
      <c r="P2296" s="5"/>
      <c r="Q2296" s="10">
        <f>INT(Tabela1[[#This Row],[DATA]])</f>
        <v>46232</v>
      </c>
      <c r="R2296" s="14" t="str">
        <f ca="1">IF(AND(Q2296&gt;=TODAY()-WEEKDAY(TODAY(),2)+1,Q2296&lt;TODAY()),"SIM","NÃO")</f>
        <v>NÃO</v>
      </c>
    </row>
    <row r="2297" spans="1:18" hidden="1">
      <c r="A2297" t="s">
        <v>163</v>
      </c>
      <c r="B2297" t="s">
        <v>164</v>
      </c>
      <c r="C2297">
        <v>300284029</v>
      </c>
      <c r="D2297">
        <v>16442563</v>
      </c>
      <c r="E2297" t="s">
        <v>29</v>
      </c>
      <c r="F2297" t="s">
        <v>2405</v>
      </c>
      <c r="G2297">
        <v>4</v>
      </c>
      <c r="H2297" t="s">
        <v>2292</v>
      </c>
      <c r="K2297" s="11">
        <v>46232.351238425923</v>
      </c>
      <c r="M2297">
        <v>1626</v>
      </c>
      <c r="N2297" t="s">
        <v>867</v>
      </c>
      <c r="O2297">
        <v>0</v>
      </c>
      <c r="P2297" s="5"/>
      <c r="Q2297" s="10">
        <f>INT(Tabela1[[#This Row],[DATA]])</f>
        <v>46232</v>
      </c>
      <c r="R2297" s="14" t="str">
        <f ca="1">IF(AND(Q2297&gt;=TODAY()-WEEKDAY(TODAY(),2)+1,Q2297&lt;TODAY()),"SIM","NÃO")</f>
        <v>NÃO</v>
      </c>
    </row>
    <row r="2298" spans="1:18" hidden="1">
      <c r="A2298" t="s">
        <v>2551</v>
      </c>
      <c r="B2298" t="s">
        <v>274</v>
      </c>
      <c r="C2298">
        <v>300283297</v>
      </c>
      <c r="D2298">
        <v>15359492</v>
      </c>
      <c r="E2298" t="s">
        <v>29</v>
      </c>
      <c r="F2298" t="s">
        <v>323</v>
      </c>
      <c r="G2298">
        <v>9</v>
      </c>
      <c r="H2298" t="s">
        <v>4101</v>
      </c>
      <c r="K2298" s="11">
        <v>46232.377476851849</v>
      </c>
      <c r="M2298">
        <v>1627</v>
      </c>
      <c r="N2298" t="s">
        <v>867</v>
      </c>
      <c r="O2298">
        <v>0</v>
      </c>
      <c r="P2298" s="5"/>
      <c r="Q2298" s="10">
        <f>INT(Tabela1[[#This Row],[DATA]])</f>
        <v>46232</v>
      </c>
      <c r="R2298" s="14" t="str">
        <f ca="1">IF(AND(Q2298&gt;=TODAY()-WEEKDAY(TODAY(),2)+1,Q2298&lt;TODAY()),"SIM","NÃO")</f>
        <v>NÃO</v>
      </c>
    </row>
    <row r="2299" spans="1:18" hidden="1">
      <c r="A2299" t="s">
        <v>1236</v>
      </c>
      <c r="B2299" t="s">
        <v>1237</v>
      </c>
      <c r="C2299">
        <v>300281532</v>
      </c>
      <c r="D2299">
        <v>16494610</v>
      </c>
      <c r="E2299" t="s">
        <v>37</v>
      </c>
      <c r="F2299" t="s">
        <v>4102</v>
      </c>
      <c r="G2299" t="s">
        <v>4103</v>
      </c>
      <c r="H2299" t="s">
        <v>4104</v>
      </c>
      <c r="K2299" s="11">
        <v>46232.379317129627</v>
      </c>
      <c r="M2299">
        <v>1628</v>
      </c>
      <c r="N2299" t="s">
        <v>867</v>
      </c>
      <c r="O2299" t="s">
        <v>4105</v>
      </c>
      <c r="P2299" s="5"/>
      <c r="Q2299" s="10">
        <f>INT(Tabela1[[#This Row],[DATA]])</f>
        <v>46232</v>
      </c>
      <c r="R2299" s="14" t="str">
        <f ca="1">IF(AND(Q2299&gt;=TODAY()-WEEKDAY(TODAY(),2)+1,Q2299&lt;TODAY()),"SIM","NÃO")</f>
        <v>NÃO</v>
      </c>
    </row>
    <row r="2300" spans="1:18" hidden="1">
      <c r="A2300" t="s">
        <v>807</v>
      </c>
      <c r="B2300" t="s">
        <v>808</v>
      </c>
      <c r="C2300">
        <v>300282863</v>
      </c>
      <c r="D2300">
        <v>16441435</v>
      </c>
      <c r="E2300" t="s">
        <v>45</v>
      </c>
      <c r="F2300" t="s">
        <v>3212</v>
      </c>
      <c r="G2300">
        <v>140</v>
      </c>
      <c r="H2300" t="s">
        <v>4106</v>
      </c>
      <c r="K2300" s="11">
        <v>46232.380439814813</v>
      </c>
      <c r="M2300">
        <v>1629</v>
      </c>
      <c r="N2300" t="s">
        <v>867</v>
      </c>
      <c r="O2300">
        <v>0</v>
      </c>
      <c r="P2300" s="5"/>
      <c r="Q2300" s="10">
        <f>INT(Tabela1[[#This Row],[DATA]])</f>
        <v>46232</v>
      </c>
      <c r="R2300" s="14" t="str">
        <f ca="1">IF(AND(Q2300&gt;=TODAY()-WEEKDAY(TODAY(),2)+1,Q2300&lt;TODAY()),"SIM","NÃO")</f>
        <v>NÃO</v>
      </c>
    </row>
    <row r="2301" spans="1:18" hidden="1">
      <c r="A2301" t="s">
        <v>101</v>
      </c>
      <c r="B2301" t="s">
        <v>990</v>
      </c>
      <c r="C2301">
        <v>300276224</v>
      </c>
      <c r="D2301">
        <v>15859177</v>
      </c>
      <c r="E2301" t="s">
        <v>37</v>
      </c>
      <c r="F2301" t="s">
        <v>177</v>
      </c>
      <c r="G2301">
        <v>100</v>
      </c>
      <c r="H2301" t="s">
        <v>3116</v>
      </c>
      <c r="J2301" t="s">
        <v>4107</v>
      </c>
      <c r="K2301" s="11">
        <v>46232.388321759259</v>
      </c>
      <c r="M2301">
        <v>1630</v>
      </c>
      <c r="N2301" t="s">
        <v>867</v>
      </c>
      <c r="O2301">
        <v>10000064342</v>
      </c>
      <c r="P2301" s="5"/>
      <c r="Q2301" s="10">
        <f>INT(Tabela1[[#This Row],[DATA]])</f>
        <v>46232</v>
      </c>
      <c r="R2301" s="14" t="str">
        <f ca="1">IF(AND(Q2301&gt;=TODAY()-WEEKDAY(TODAY(),2)+1,Q2301&lt;TODAY()),"SIM","NÃO")</f>
        <v>NÃO</v>
      </c>
    </row>
    <row r="2302" spans="1:18" hidden="1">
      <c r="A2302" t="s">
        <v>253</v>
      </c>
      <c r="B2302" t="s">
        <v>254</v>
      </c>
      <c r="C2302">
        <v>300278645</v>
      </c>
      <c r="D2302">
        <v>15467783</v>
      </c>
      <c r="E2302" t="s">
        <v>45</v>
      </c>
      <c r="F2302" t="s">
        <v>259</v>
      </c>
      <c r="G2302">
        <v>6</v>
      </c>
      <c r="H2302" t="s">
        <v>4108</v>
      </c>
      <c r="K2302" s="11">
        <v>46232.393773148149</v>
      </c>
      <c r="M2302">
        <v>1631</v>
      </c>
      <c r="N2302" t="s">
        <v>867</v>
      </c>
      <c r="O2302">
        <v>10000071710</v>
      </c>
      <c r="P2302" s="5"/>
      <c r="Q2302" s="10">
        <f>INT(Tabela1[[#This Row],[DATA]])</f>
        <v>46232</v>
      </c>
      <c r="R2302" s="14" t="str">
        <f ca="1">IF(AND(Q2302&gt;=TODAY()-WEEKDAY(TODAY(),2)+1,Q2302&lt;TODAY()),"SIM","NÃO")</f>
        <v>NÃO</v>
      </c>
    </row>
    <row r="2303" spans="1:18" hidden="1">
      <c r="A2303" t="s">
        <v>253</v>
      </c>
      <c r="B2303" t="s">
        <v>254</v>
      </c>
      <c r="C2303">
        <v>300280733</v>
      </c>
      <c r="D2303">
        <v>12416746</v>
      </c>
      <c r="E2303" t="s">
        <v>45</v>
      </c>
      <c r="F2303" t="s">
        <v>3241</v>
      </c>
      <c r="G2303">
        <v>6</v>
      </c>
      <c r="H2303" t="s">
        <v>4109</v>
      </c>
      <c r="K2303" s="11">
        <v>46232.395219907405</v>
      </c>
      <c r="M2303">
        <v>1632</v>
      </c>
      <c r="N2303" t="s">
        <v>867</v>
      </c>
      <c r="O2303">
        <v>10000072651</v>
      </c>
      <c r="P2303" s="5"/>
      <c r="Q2303" s="10">
        <f>INT(Tabela1[[#This Row],[DATA]])</f>
        <v>46232</v>
      </c>
      <c r="R2303" s="14" t="str">
        <f ca="1">IF(AND(Q2303&gt;=TODAY()-WEEKDAY(TODAY(),2)+1,Q2303&lt;TODAY()),"SIM","NÃO")</f>
        <v>NÃO</v>
      </c>
    </row>
    <row r="2304" spans="1:18" hidden="1">
      <c r="A2304" t="s">
        <v>253</v>
      </c>
      <c r="B2304" t="s">
        <v>254</v>
      </c>
      <c r="C2304">
        <v>300280733</v>
      </c>
      <c r="D2304">
        <v>12416746</v>
      </c>
      <c r="E2304" t="s">
        <v>45</v>
      </c>
      <c r="F2304" t="s">
        <v>259</v>
      </c>
      <c r="G2304">
        <v>6</v>
      </c>
      <c r="H2304" t="s">
        <v>4110</v>
      </c>
      <c r="K2304" s="11">
        <v>46232.396087962959</v>
      </c>
      <c r="M2304">
        <v>1633</v>
      </c>
      <c r="N2304" t="s">
        <v>867</v>
      </c>
      <c r="O2304">
        <v>10000071710</v>
      </c>
      <c r="P2304" s="5"/>
      <c r="Q2304" s="10">
        <f>INT(Tabela1[[#This Row],[DATA]])</f>
        <v>46232</v>
      </c>
      <c r="R2304" s="14" t="str">
        <f ca="1">IF(AND(Q2304&gt;=TODAY()-WEEKDAY(TODAY(),2)+1,Q2304&lt;TODAY()),"SIM","NÃO")</f>
        <v>NÃO</v>
      </c>
    </row>
    <row r="2305" spans="1:18" hidden="1">
      <c r="A2305" t="s">
        <v>2605</v>
      </c>
      <c r="B2305" t="s">
        <v>2606</v>
      </c>
      <c r="C2305">
        <v>300278034</v>
      </c>
      <c r="D2305">
        <v>16488032</v>
      </c>
      <c r="E2305" t="s">
        <v>37</v>
      </c>
      <c r="F2305" t="s">
        <v>2213</v>
      </c>
      <c r="G2305">
        <v>10</v>
      </c>
      <c r="H2305" t="s">
        <v>4111</v>
      </c>
      <c r="J2305" t="s">
        <v>4111</v>
      </c>
      <c r="K2305" s="11">
        <v>46232.397141203706</v>
      </c>
      <c r="M2305">
        <v>1634</v>
      </c>
      <c r="N2305" t="s">
        <v>867</v>
      </c>
      <c r="O2305">
        <v>10000208288</v>
      </c>
      <c r="P2305" s="5"/>
      <c r="Q2305" s="10">
        <f>INT(Tabela1[[#This Row],[DATA]])</f>
        <v>46232</v>
      </c>
      <c r="R2305" s="14" t="str">
        <f ca="1">IF(AND(Q2305&gt;=TODAY()-WEEKDAY(TODAY(),2)+1,Q2305&lt;TODAY()),"SIM","NÃO")</f>
        <v>NÃO</v>
      </c>
    </row>
    <row r="2306" spans="1:18" hidden="1">
      <c r="A2306" t="s">
        <v>2610</v>
      </c>
      <c r="B2306" t="s">
        <v>74</v>
      </c>
      <c r="C2306">
        <v>300280767</v>
      </c>
      <c r="D2306">
        <v>16500270</v>
      </c>
      <c r="E2306" t="s">
        <v>45</v>
      </c>
      <c r="F2306" t="s">
        <v>3595</v>
      </c>
      <c r="G2306">
        <v>1730</v>
      </c>
      <c r="H2306" t="s">
        <v>4112</v>
      </c>
      <c r="J2306" t="s">
        <v>4113</v>
      </c>
      <c r="K2306" s="11">
        <v>46232.398819444446</v>
      </c>
      <c r="M2306">
        <v>1635</v>
      </c>
      <c r="N2306" t="s">
        <v>867</v>
      </c>
      <c r="O2306">
        <v>10000247913</v>
      </c>
      <c r="P2306" s="5"/>
      <c r="Q2306" s="10">
        <f>INT(Tabela1[[#This Row],[DATA]])</f>
        <v>46232</v>
      </c>
      <c r="R2306" s="14" t="str">
        <f ca="1">IF(AND(Q2306&gt;=TODAY()-WEEKDAY(TODAY(),2)+1,Q2306&lt;TODAY()),"SIM","NÃO")</f>
        <v>NÃO</v>
      </c>
    </row>
    <row r="2307" spans="1:18" hidden="1">
      <c r="A2307" t="s">
        <v>2610</v>
      </c>
      <c r="B2307" t="s">
        <v>74</v>
      </c>
      <c r="C2307">
        <v>300280766</v>
      </c>
      <c r="D2307">
        <v>16500270</v>
      </c>
      <c r="E2307" t="s">
        <v>45</v>
      </c>
      <c r="F2307" t="s">
        <v>3595</v>
      </c>
      <c r="G2307">
        <v>1670</v>
      </c>
      <c r="H2307" t="s">
        <v>4114</v>
      </c>
      <c r="J2307" t="s">
        <v>4115</v>
      </c>
      <c r="K2307" s="11">
        <v>46232.400868055556</v>
      </c>
      <c r="M2307">
        <v>1636</v>
      </c>
      <c r="N2307" t="s">
        <v>867</v>
      </c>
      <c r="O2307">
        <v>10000247913</v>
      </c>
      <c r="P2307" s="5"/>
      <c r="Q2307" s="10">
        <f>INT(Tabela1[[#This Row],[DATA]])</f>
        <v>46232</v>
      </c>
      <c r="R2307" s="14" t="str">
        <f ca="1">IF(AND(Q2307&gt;=TODAY()-WEEKDAY(TODAY(),2)+1,Q2307&lt;TODAY()),"SIM","NÃO")</f>
        <v>NÃO</v>
      </c>
    </row>
    <row r="2308" spans="1:18" hidden="1">
      <c r="A2308" t="s">
        <v>2775</v>
      </c>
      <c r="B2308" t="s">
        <v>512</v>
      </c>
      <c r="C2308">
        <v>300283188</v>
      </c>
      <c r="D2308">
        <v>16447662</v>
      </c>
      <c r="E2308" t="s">
        <v>37</v>
      </c>
      <c r="F2308" t="s">
        <v>2213</v>
      </c>
      <c r="G2308">
        <v>20</v>
      </c>
      <c r="H2308" t="s">
        <v>4116</v>
      </c>
      <c r="J2308" t="s">
        <v>2846</v>
      </c>
      <c r="K2308" s="11">
        <v>46232.410081018519</v>
      </c>
      <c r="M2308">
        <v>1637</v>
      </c>
      <c r="N2308" t="s">
        <v>867</v>
      </c>
      <c r="O2308" t="s">
        <v>2778</v>
      </c>
      <c r="P2308" s="5"/>
      <c r="Q2308" s="10">
        <f>INT(Tabela1[[#This Row],[DATA]])</f>
        <v>46232</v>
      </c>
      <c r="R2308" s="14" t="str">
        <f ca="1">IF(AND(Q2308&gt;=TODAY()-WEEKDAY(TODAY(),2)+1,Q2308&lt;TODAY()),"SIM","NÃO")</f>
        <v>NÃO</v>
      </c>
    </row>
    <row r="2309" spans="1:18" hidden="1">
      <c r="A2309" t="s">
        <v>2605</v>
      </c>
      <c r="B2309" t="s">
        <v>2606</v>
      </c>
      <c r="C2309">
        <v>300278034</v>
      </c>
      <c r="D2309">
        <v>16488032</v>
      </c>
      <c r="E2309" t="s">
        <v>37</v>
      </c>
      <c r="F2309" t="s">
        <v>3224</v>
      </c>
      <c r="G2309">
        <v>10</v>
      </c>
      <c r="H2309" t="s">
        <v>4111</v>
      </c>
      <c r="J2309" t="s">
        <v>4111</v>
      </c>
      <c r="K2309" s="11">
        <v>46232.415185185186</v>
      </c>
      <c r="M2309">
        <v>1638</v>
      </c>
      <c r="N2309" t="s">
        <v>867</v>
      </c>
      <c r="O2309">
        <v>0</v>
      </c>
      <c r="P2309" s="5"/>
      <c r="Q2309" s="10">
        <f>INT(Tabela1[[#This Row],[DATA]])</f>
        <v>46232</v>
      </c>
      <c r="R2309" s="14" t="str">
        <f ca="1">IF(AND(Q2309&gt;=TODAY()-WEEKDAY(TODAY(),2)+1,Q2309&lt;TODAY()),"SIM","NÃO")</f>
        <v>NÃO</v>
      </c>
    </row>
    <row r="2310" spans="1:18" hidden="1">
      <c r="A2310" t="s">
        <v>2605</v>
      </c>
      <c r="B2310" t="s">
        <v>2606</v>
      </c>
      <c r="C2310">
        <v>300278036</v>
      </c>
      <c r="D2310">
        <v>16488032</v>
      </c>
      <c r="E2310" t="s">
        <v>37</v>
      </c>
      <c r="F2310" t="s">
        <v>3224</v>
      </c>
      <c r="G2310">
        <v>12</v>
      </c>
      <c r="H2310" t="s">
        <v>4111</v>
      </c>
      <c r="J2310" t="s">
        <v>4111</v>
      </c>
      <c r="K2310" s="11">
        <v>46232.417037037034</v>
      </c>
      <c r="M2310">
        <v>1639</v>
      </c>
      <c r="N2310" t="s">
        <v>867</v>
      </c>
      <c r="O2310">
        <v>0</v>
      </c>
      <c r="P2310" s="5"/>
      <c r="Q2310" s="10">
        <f>INT(Tabela1[[#This Row],[DATA]])</f>
        <v>46232</v>
      </c>
      <c r="R2310" s="14" t="str">
        <f ca="1">IF(AND(Q2310&gt;=TODAY()-WEEKDAY(TODAY(),2)+1,Q2310&lt;TODAY()),"SIM","NÃO")</f>
        <v>NÃO</v>
      </c>
    </row>
    <row r="2311" spans="1:18" hidden="1">
      <c r="A2311" t="s">
        <v>2765</v>
      </c>
      <c r="B2311" t="s">
        <v>107</v>
      </c>
      <c r="C2311">
        <v>300283628</v>
      </c>
      <c r="D2311">
        <v>16229320</v>
      </c>
      <c r="E2311" t="s">
        <v>45</v>
      </c>
      <c r="F2311" t="s">
        <v>3212</v>
      </c>
      <c r="G2311">
        <v>180</v>
      </c>
      <c r="H2311" t="s">
        <v>2292</v>
      </c>
      <c r="K2311" s="11">
        <v>46232.419537037036</v>
      </c>
      <c r="M2311">
        <v>1640</v>
      </c>
      <c r="N2311" t="s">
        <v>867</v>
      </c>
      <c r="O2311">
        <v>0</v>
      </c>
      <c r="P2311" s="5"/>
      <c r="Q2311" s="10">
        <f>INT(Tabela1[[#This Row],[DATA]])</f>
        <v>46232</v>
      </c>
      <c r="R2311" s="14" t="str">
        <f ca="1">IF(AND(Q2311&gt;=TODAY()-WEEKDAY(TODAY(),2)+1,Q2311&lt;TODAY()),"SIM","NÃO")</f>
        <v>NÃO</v>
      </c>
    </row>
    <row r="2312" spans="1:18" hidden="1">
      <c r="A2312" t="s">
        <v>2565</v>
      </c>
      <c r="B2312" t="s">
        <v>95</v>
      </c>
      <c r="C2312">
        <v>300286718</v>
      </c>
      <c r="D2312">
        <v>16223608</v>
      </c>
      <c r="E2312" t="s">
        <v>45</v>
      </c>
      <c r="F2312" t="s">
        <v>3212</v>
      </c>
      <c r="G2312">
        <v>2058</v>
      </c>
      <c r="H2312" t="s">
        <v>4117</v>
      </c>
      <c r="J2312" t="s">
        <v>1984</v>
      </c>
      <c r="K2312" s="11">
        <v>46232.450439814813</v>
      </c>
      <c r="M2312">
        <v>1641</v>
      </c>
      <c r="N2312" t="s">
        <v>867</v>
      </c>
      <c r="O2312">
        <v>1</v>
      </c>
      <c r="P2312" s="5"/>
      <c r="Q2312" s="10">
        <f>INT(Tabela1[[#This Row],[DATA]])</f>
        <v>46232</v>
      </c>
      <c r="R2312" s="14" t="str">
        <f ca="1">IF(AND(Q2312&gt;=TODAY()-WEEKDAY(TODAY(),2)+1,Q2312&lt;TODAY()),"SIM","NÃO")</f>
        <v>NÃO</v>
      </c>
    </row>
    <row r="2313" spans="1:18" hidden="1">
      <c r="A2313" t="s">
        <v>2991</v>
      </c>
      <c r="B2313" t="s">
        <v>534</v>
      </c>
      <c r="C2313">
        <v>300278894</v>
      </c>
      <c r="D2313">
        <v>16293274</v>
      </c>
      <c r="E2313" t="s">
        <v>37</v>
      </c>
      <c r="F2313" t="s">
        <v>3502</v>
      </c>
      <c r="G2313">
        <v>8</v>
      </c>
      <c r="H2313" t="s">
        <v>4118</v>
      </c>
      <c r="J2313" t="s">
        <v>4119</v>
      </c>
      <c r="K2313" s="11">
        <v>46232.469328703701</v>
      </c>
      <c r="M2313">
        <v>1642</v>
      </c>
      <c r="N2313" t="s">
        <v>867</v>
      </c>
      <c r="O2313">
        <v>0</v>
      </c>
      <c r="P2313" s="5"/>
      <c r="Q2313" s="10">
        <f>INT(Tabela1[[#This Row],[DATA]])</f>
        <v>46232</v>
      </c>
      <c r="R2313" s="14" t="str">
        <f ca="1">IF(AND(Q2313&gt;=TODAY()-WEEKDAY(TODAY(),2)+1,Q2313&lt;TODAY()),"SIM","NÃO")</f>
        <v>NÃO</v>
      </c>
    </row>
    <row r="2314" spans="1:18" hidden="1">
      <c r="A2314" t="s">
        <v>428</v>
      </c>
      <c r="B2314" t="s">
        <v>429</v>
      </c>
      <c r="C2314">
        <v>300284379</v>
      </c>
      <c r="D2314">
        <v>16463668</v>
      </c>
      <c r="E2314" t="s">
        <v>29</v>
      </c>
      <c r="F2314" t="s">
        <v>259</v>
      </c>
      <c r="G2314" t="s">
        <v>2208</v>
      </c>
      <c r="H2314" t="s">
        <v>3665</v>
      </c>
      <c r="K2314" s="11">
        <v>46232.482951388891</v>
      </c>
      <c r="M2314">
        <v>1643</v>
      </c>
      <c r="N2314" t="s">
        <v>867</v>
      </c>
      <c r="O2314">
        <v>0</v>
      </c>
      <c r="P2314" s="5"/>
      <c r="Q2314" s="10">
        <f>INT(Tabela1[[#This Row],[DATA]])</f>
        <v>46232</v>
      </c>
      <c r="R2314" s="14" t="str">
        <f ca="1">IF(AND(Q2314&gt;=TODAY()-WEEKDAY(TODAY(),2)+1,Q2314&lt;TODAY()),"SIM","NÃO")</f>
        <v>NÃO</v>
      </c>
    </row>
    <row r="2315" spans="1:18" hidden="1">
      <c r="A2315" t="s">
        <v>428</v>
      </c>
      <c r="B2315" t="s">
        <v>429</v>
      </c>
      <c r="C2315">
        <v>300284379</v>
      </c>
      <c r="D2315">
        <v>16463668</v>
      </c>
      <c r="E2315" t="s">
        <v>29</v>
      </c>
      <c r="F2315" t="s">
        <v>3241</v>
      </c>
      <c r="G2315" t="s">
        <v>2208</v>
      </c>
      <c r="H2315" t="s">
        <v>3665</v>
      </c>
      <c r="K2315" s="11">
        <v>46232.484097222223</v>
      </c>
      <c r="M2315">
        <v>1644</v>
      </c>
      <c r="N2315" t="s">
        <v>867</v>
      </c>
      <c r="O2315">
        <v>0</v>
      </c>
      <c r="P2315" s="5"/>
      <c r="Q2315" s="10">
        <f>INT(Tabela1[[#This Row],[DATA]])</f>
        <v>46232</v>
      </c>
      <c r="R2315" s="14" t="str">
        <f ca="1">IF(AND(Q2315&gt;=TODAY()-WEEKDAY(TODAY(),2)+1,Q2315&lt;TODAY()),"SIM","NÃO")</f>
        <v>NÃO</v>
      </c>
    </row>
    <row r="2316" spans="1:18" hidden="1">
      <c r="A2316" t="s">
        <v>428</v>
      </c>
      <c r="B2316" t="s">
        <v>429</v>
      </c>
      <c r="C2316">
        <v>300284376</v>
      </c>
      <c r="D2316">
        <v>16463668</v>
      </c>
      <c r="E2316" t="s">
        <v>29</v>
      </c>
      <c r="F2316" t="s">
        <v>259</v>
      </c>
      <c r="G2316" t="s">
        <v>708</v>
      </c>
      <c r="H2316" t="s">
        <v>3665</v>
      </c>
      <c r="K2316" s="11">
        <v>46232.485046296293</v>
      </c>
      <c r="M2316">
        <v>1645</v>
      </c>
      <c r="N2316" t="s">
        <v>867</v>
      </c>
      <c r="O2316">
        <v>0</v>
      </c>
      <c r="P2316" s="5"/>
      <c r="Q2316" s="10">
        <f>INT(Tabela1[[#This Row],[DATA]])</f>
        <v>46232</v>
      </c>
      <c r="R2316" s="14" t="str">
        <f ca="1">IF(AND(Q2316&gt;=TODAY()-WEEKDAY(TODAY(),2)+1,Q2316&lt;TODAY()),"SIM","NÃO")</f>
        <v>NÃO</v>
      </c>
    </row>
    <row r="2317" spans="1:18" hidden="1">
      <c r="A2317" t="s">
        <v>428</v>
      </c>
      <c r="B2317" t="s">
        <v>429</v>
      </c>
      <c r="C2317">
        <v>300284376</v>
      </c>
      <c r="D2317">
        <v>16463668</v>
      </c>
      <c r="E2317" t="s">
        <v>29</v>
      </c>
      <c r="F2317" t="s">
        <v>3241</v>
      </c>
      <c r="G2317" t="s">
        <v>708</v>
      </c>
      <c r="H2317" t="s">
        <v>3665</v>
      </c>
      <c r="K2317" s="11">
        <v>46232.485868055555</v>
      </c>
      <c r="M2317">
        <v>1646</v>
      </c>
      <c r="N2317" t="s">
        <v>867</v>
      </c>
      <c r="O2317">
        <v>0</v>
      </c>
      <c r="P2317" s="5"/>
      <c r="Q2317" s="10">
        <f>INT(Tabela1[[#This Row],[DATA]])</f>
        <v>46232</v>
      </c>
      <c r="R2317" s="14" t="str">
        <f ca="1">IF(AND(Q2317&gt;=TODAY()-WEEKDAY(TODAY(),2)+1,Q2317&lt;TODAY()),"SIM","NÃO")</f>
        <v>NÃO</v>
      </c>
    </row>
    <row r="2318" spans="1:18" hidden="1">
      <c r="A2318" t="s">
        <v>3062</v>
      </c>
      <c r="B2318" t="s">
        <v>3063</v>
      </c>
      <c r="C2318">
        <v>300277548</v>
      </c>
      <c r="D2318">
        <v>16523806</v>
      </c>
      <c r="E2318" t="s">
        <v>37</v>
      </c>
      <c r="F2318" t="s">
        <v>2405</v>
      </c>
      <c r="G2318" t="s">
        <v>4120</v>
      </c>
      <c r="H2318" t="s">
        <v>3280</v>
      </c>
      <c r="J2318" t="s">
        <v>4121</v>
      </c>
      <c r="K2318" s="11">
        <v>46232.513773148145</v>
      </c>
      <c r="M2318">
        <v>1647</v>
      </c>
      <c r="N2318" t="s">
        <v>867</v>
      </c>
      <c r="O2318" t="s">
        <v>4122</v>
      </c>
      <c r="P2318" s="5"/>
      <c r="Q2318" s="10">
        <f>INT(Tabela1[[#This Row],[DATA]])</f>
        <v>46232</v>
      </c>
      <c r="R2318" s="14" t="str">
        <f ca="1">IF(AND(Q2318&gt;=TODAY()-WEEKDAY(TODAY(),2)+1,Q2318&lt;TODAY()),"SIM","NÃO")</f>
        <v>NÃO</v>
      </c>
    </row>
    <row r="2319" spans="1:18" hidden="1">
      <c r="A2319" t="s">
        <v>428</v>
      </c>
      <c r="B2319" t="s">
        <v>429</v>
      </c>
      <c r="C2319">
        <v>300284379</v>
      </c>
      <c r="D2319">
        <v>16463668</v>
      </c>
      <c r="E2319" t="s">
        <v>29</v>
      </c>
      <c r="F2319" t="s">
        <v>96</v>
      </c>
      <c r="G2319">
        <v>65</v>
      </c>
      <c r="H2319" t="s">
        <v>3665</v>
      </c>
      <c r="K2319" s="11">
        <v>46232.559016203704</v>
      </c>
      <c r="M2319">
        <v>1648</v>
      </c>
      <c r="N2319" t="s">
        <v>867</v>
      </c>
      <c r="O2319">
        <v>0</v>
      </c>
      <c r="P2319" s="5"/>
      <c r="Q2319" s="10">
        <f>INT(Tabela1[[#This Row],[DATA]])</f>
        <v>46232</v>
      </c>
      <c r="R2319" s="14" t="str">
        <f ca="1">IF(AND(Q2319&gt;=TODAY()-WEEKDAY(TODAY(),2)+1,Q2319&lt;TODAY()),"SIM","NÃO")</f>
        <v>NÃO</v>
      </c>
    </row>
    <row r="2320" spans="1:18" hidden="1">
      <c r="A2320" t="s">
        <v>428</v>
      </c>
      <c r="B2320" t="s">
        <v>429</v>
      </c>
      <c r="C2320">
        <v>300284379</v>
      </c>
      <c r="D2320">
        <v>16463668</v>
      </c>
      <c r="E2320" t="s">
        <v>29</v>
      </c>
      <c r="F2320" t="s">
        <v>4123</v>
      </c>
      <c r="G2320">
        <v>1</v>
      </c>
      <c r="H2320" t="s">
        <v>4124</v>
      </c>
      <c r="K2320" s="11">
        <v>46232.563113425924</v>
      </c>
      <c r="M2320">
        <v>1649</v>
      </c>
      <c r="N2320" t="s">
        <v>867</v>
      </c>
      <c r="O2320">
        <v>0</v>
      </c>
      <c r="P2320" s="5"/>
      <c r="Q2320" s="10">
        <f>INT(Tabela1[[#This Row],[DATA]])</f>
        <v>46232</v>
      </c>
      <c r="R2320" s="14" t="str">
        <f ca="1">IF(AND(Q2320&gt;=TODAY()-WEEKDAY(TODAY(),2)+1,Q2320&lt;TODAY()),"SIM","NÃO")</f>
        <v>NÃO</v>
      </c>
    </row>
    <row r="2321" spans="1:18" hidden="1">
      <c r="A2321" t="s">
        <v>3564</v>
      </c>
      <c r="B2321" t="s">
        <v>3565</v>
      </c>
      <c r="C2321">
        <v>300286703</v>
      </c>
      <c r="D2321">
        <v>16223691</v>
      </c>
      <c r="E2321" t="s">
        <v>45</v>
      </c>
      <c r="F2321" t="s">
        <v>3212</v>
      </c>
      <c r="G2321">
        <v>1.8420000000000001</v>
      </c>
      <c r="H2321" t="s">
        <v>4097</v>
      </c>
      <c r="K2321" s="11">
        <v>46232.600219907406</v>
      </c>
      <c r="M2321">
        <v>1650</v>
      </c>
      <c r="N2321" t="s">
        <v>867</v>
      </c>
      <c r="O2321">
        <v>1000021360</v>
      </c>
      <c r="P2321" s="5"/>
      <c r="Q2321" s="10">
        <f>INT(Tabela1[[#This Row],[DATA]])</f>
        <v>46232</v>
      </c>
      <c r="R2321" s="14" t="str">
        <f ca="1">IF(AND(Q2321&gt;=TODAY()-WEEKDAY(TODAY(),2)+1,Q2321&lt;TODAY()),"SIM","NÃO")</f>
        <v>NÃO</v>
      </c>
    </row>
    <row r="2322" spans="1:18" hidden="1">
      <c r="A2322" t="s">
        <v>3285</v>
      </c>
      <c r="B2322" t="s">
        <v>306</v>
      </c>
      <c r="C2322">
        <v>300279730</v>
      </c>
      <c r="D2322">
        <v>16461908</v>
      </c>
      <c r="E2322" t="s">
        <v>37</v>
      </c>
      <c r="F2322" t="s">
        <v>216</v>
      </c>
      <c r="G2322">
        <v>48</v>
      </c>
      <c r="H2322" t="s">
        <v>2884</v>
      </c>
      <c r="J2322" t="s">
        <v>4125</v>
      </c>
      <c r="K2322" s="11">
        <v>46232.606493055559</v>
      </c>
      <c r="M2322">
        <v>1651</v>
      </c>
      <c r="N2322" t="s">
        <v>867</v>
      </c>
      <c r="O2322">
        <v>0</v>
      </c>
      <c r="P2322" s="5"/>
      <c r="Q2322" s="10">
        <f>INT(Tabela1[[#This Row],[DATA]])</f>
        <v>46232</v>
      </c>
      <c r="R2322" s="14" t="str">
        <f ca="1">IF(AND(Q2322&gt;=TODAY()-WEEKDAY(TODAY(),2)+1,Q2322&lt;TODAY()),"SIM","NÃO")</f>
        <v>NÃO</v>
      </c>
    </row>
    <row r="2323" spans="1:18" hidden="1">
      <c r="A2323" t="s">
        <v>111</v>
      </c>
      <c r="B2323" t="s">
        <v>112</v>
      </c>
      <c r="C2323">
        <v>300284491</v>
      </c>
      <c r="D2323">
        <v>16288211</v>
      </c>
      <c r="E2323" t="s">
        <v>20</v>
      </c>
      <c r="F2323" t="s">
        <v>3595</v>
      </c>
      <c r="G2323">
        <v>2</v>
      </c>
      <c r="H2323" t="s">
        <v>1335</v>
      </c>
      <c r="K2323" s="11">
        <v>46232.648495370369</v>
      </c>
      <c r="M2323">
        <v>1652</v>
      </c>
      <c r="N2323" t="s">
        <v>867</v>
      </c>
      <c r="O2323">
        <v>10000209078</v>
      </c>
      <c r="P2323" s="5"/>
      <c r="Q2323" s="10">
        <f>INT(Tabela1[[#This Row],[DATA]])</f>
        <v>46232</v>
      </c>
      <c r="R2323" s="14" t="str">
        <f ca="1">IF(AND(Q2323&gt;=TODAY()-WEEKDAY(TODAY(),2)+1,Q2323&lt;TODAY()),"SIM","NÃO")</f>
        <v>NÃO</v>
      </c>
    </row>
    <row r="2324" spans="1:18" hidden="1">
      <c r="A2324" t="s">
        <v>111</v>
      </c>
      <c r="B2324" t="s">
        <v>112</v>
      </c>
      <c r="C2324">
        <v>300286265</v>
      </c>
      <c r="D2324">
        <v>15267164</v>
      </c>
      <c r="E2324" t="s">
        <v>45</v>
      </c>
      <c r="F2324" t="s">
        <v>2405</v>
      </c>
      <c r="G2324">
        <v>11</v>
      </c>
      <c r="H2324" t="s">
        <v>2843</v>
      </c>
      <c r="K2324" s="11">
        <v>46232.65111111111</v>
      </c>
      <c r="M2324">
        <v>1653</v>
      </c>
      <c r="N2324" t="s">
        <v>867</v>
      </c>
      <c r="O2324">
        <v>0</v>
      </c>
      <c r="P2324" s="5"/>
      <c r="Q2324" s="10">
        <f>INT(Tabela1[[#This Row],[DATA]])</f>
        <v>46232</v>
      </c>
      <c r="R2324" s="14" t="str">
        <f ca="1">IF(AND(Q2324&gt;=TODAY()-WEEKDAY(TODAY(),2)+1,Q2324&lt;TODAY()),"SIM","NÃO")</f>
        <v>NÃO</v>
      </c>
    </row>
    <row r="2325" spans="1:18" hidden="1">
      <c r="A2325" t="s">
        <v>159</v>
      </c>
      <c r="B2325" t="s">
        <v>1293</v>
      </c>
      <c r="C2325">
        <v>300281114</v>
      </c>
      <c r="D2325">
        <v>16508920</v>
      </c>
      <c r="E2325" t="s">
        <v>37</v>
      </c>
      <c r="F2325" t="s">
        <v>3502</v>
      </c>
      <c r="G2325">
        <v>1484</v>
      </c>
      <c r="H2325" t="s">
        <v>4126</v>
      </c>
      <c r="J2325" t="s">
        <v>4127</v>
      </c>
      <c r="K2325" s="11">
        <v>46232.682974537034</v>
      </c>
      <c r="M2325">
        <v>1654</v>
      </c>
      <c r="N2325" t="s">
        <v>867</v>
      </c>
      <c r="O2325" t="s">
        <v>4128</v>
      </c>
      <c r="P2325" s="5"/>
      <c r="Q2325" s="10">
        <f>INT(Tabela1[[#This Row],[DATA]])</f>
        <v>46232</v>
      </c>
      <c r="R2325" s="14" t="str">
        <f ca="1">IF(AND(Q2325&gt;=TODAY()-WEEKDAY(TODAY(),2)+1,Q2325&lt;TODAY()),"SIM","NÃO")</f>
        <v>NÃO</v>
      </c>
    </row>
    <row r="2326" spans="1:18" hidden="1">
      <c r="A2326" t="s">
        <v>605</v>
      </c>
      <c r="B2326" t="s">
        <v>606</v>
      </c>
      <c r="C2326">
        <v>300280666</v>
      </c>
      <c r="D2326">
        <v>0</v>
      </c>
      <c r="E2326" t="s">
        <v>37</v>
      </c>
      <c r="F2326" t="s">
        <v>3215</v>
      </c>
      <c r="G2326" t="s">
        <v>4129</v>
      </c>
      <c r="H2326" t="s">
        <v>13</v>
      </c>
      <c r="K2326" s="11">
        <v>46232.685925925929</v>
      </c>
      <c r="M2326">
        <v>1655</v>
      </c>
      <c r="N2326" t="s">
        <v>867</v>
      </c>
      <c r="O2326">
        <v>0</v>
      </c>
      <c r="P2326" s="5"/>
      <c r="Q2326" s="10">
        <f>INT(Tabela1[[#This Row],[DATA]])</f>
        <v>46232</v>
      </c>
      <c r="R2326" s="14" t="str">
        <f ca="1">IF(AND(Q2326&gt;=TODAY()-WEEKDAY(TODAY(),2)+1,Q2326&lt;TODAY()),"SIM","NÃO")</f>
        <v>NÃO</v>
      </c>
    </row>
    <row r="2327" spans="1:18" hidden="1">
      <c r="A2327" t="s">
        <v>2624</v>
      </c>
      <c r="B2327" t="s">
        <v>50</v>
      </c>
      <c r="C2327">
        <v>300284282</v>
      </c>
      <c r="D2327">
        <v>15252434</v>
      </c>
      <c r="E2327" t="s">
        <v>37</v>
      </c>
      <c r="F2327" t="s">
        <v>2405</v>
      </c>
      <c r="G2327" t="s">
        <v>4130</v>
      </c>
      <c r="H2327" t="s">
        <v>4131</v>
      </c>
      <c r="J2327" t="s">
        <v>4132</v>
      </c>
      <c r="K2327" s="11">
        <v>46232.695925925924</v>
      </c>
      <c r="M2327">
        <v>1656</v>
      </c>
      <c r="N2327" t="s">
        <v>867</v>
      </c>
      <c r="O2327" t="s">
        <v>4133</v>
      </c>
      <c r="P2327" s="5"/>
      <c r="Q2327" s="10">
        <f>INT(Tabela1[[#This Row],[DATA]])</f>
        <v>46232</v>
      </c>
      <c r="R2327" s="14" t="str">
        <f ca="1">IF(AND(Q2327&gt;=TODAY()-WEEKDAY(TODAY(),2)+1,Q2327&lt;TODAY()),"SIM","NÃO")</f>
        <v>NÃO</v>
      </c>
    </row>
    <row r="2328" spans="1:18" hidden="1">
      <c r="A2328" t="s">
        <v>4134</v>
      </c>
      <c r="B2328" t="s">
        <v>4135</v>
      </c>
      <c r="C2328">
        <v>300274690</v>
      </c>
      <c r="D2328">
        <v>16453247</v>
      </c>
      <c r="E2328" t="s">
        <v>20</v>
      </c>
      <c r="F2328" t="s">
        <v>2405</v>
      </c>
      <c r="G2328">
        <v>538</v>
      </c>
      <c r="H2328" t="s">
        <v>4136</v>
      </c>
      <c r="J2328" t="s">
        <v>4137</v>
      </c>
      <c r="K2328" s="11">
        <v>46232.700057870374</v>
      </c>
      <c r="M2328">
        <v>1657</v>
      </c>
      <c r="N2328" t="s">
        <v>878</v>
      </c>
      <c r="O2328">
        <v>1234</v>
      </c>
      <c r="P2328" s="5"/>
      <c r="Q2328" s="10">
        <f>INT(Tabela1[[#This Row],[DATA]])</f>
        <v>46232</v>
      </c>
      <c r="R2328" s="14" t="str">
        <f ca="1">IF(AND(Q2328&gt;=TODAY()-WEEKDAY(TODAY(),2)+1,Q2328&lt;TODAY()),"SIM","NÃO")</f>
        <v>NÃO</v>
      </c>
    </row>
    <row r="2329" spans="1:18" hidden="1">
      <c r="A2329" t="s">
        <v>2565</v>
      </c>
      <c r="B2329" t="s">
        <v>95</v>
      </c>
      <c r="C2329">
        <v>300286717</v>
      </c>
      <c r="D2329">
        <v>16223608</v>
      </c>
      <c r="E2329" t="s">
        <v>45</v>
      </c>
      <c r="F2329" t="s">
        <v>3212</v>
      </c>
      <c r="G2329">
        <v>2.0859999999999999</v>
      </c>
      <c r="H2329" t="s">
        <v>4138</v>
      </c>
      <c r="J2329" t="s">
        <v>4139</v>
      </c>
      <c r="K2329" s="11">
        <v>46232.709386574075</v>
      </c>
      <c r="M2329">
        <v>1658</v>
      </c>
      <c r="N2329" t="s">
        <v>878</v>
      </c>
      <c r="O2329">
        <v>1</v>
      </c>
      <c r="P2329" s="5"/>
      <c r="Q2329" s="10">
        <f>INT(Tabela1[[#This Row],[DATA]])</f>
        <v>46232</v>
      </c>
      <c r="R2329" s="14" t="str">
        <f ca="1">IF(AND(Q2329&gt;=TODAY()-WEEKDAY(TODAY(),2)+1,Q2329&lt;TODAY()),"SIM","NÃO")</f>
        <v>NÃO</v>
      </c>
    </row>
    <row r="2330" spans="1:18" hidden="1">
      <c r="A2330" t="s">
        <v>1175</v>
      </c>
      <c r="B2330" t="s">
        <v>1176</v>
      </c>
      <c r="C2330">
        <v>300285267</v>
      </c>
      <c r="D2330">
        <v>15764494</v>
      </c>
      <c r="E2330" t="s">
        <v>37</v>
      </c>
      <c r="F2330" t="s">
        <v>203</v>
      </c>
      <c r="G2330">
        <v>376</v>
      </c>
      <c r="H2330" t="s">
        <v>4140</v>
      </c>
      <c r="J2330" t="s">
        <v>4141</v>
      </c>
      <c r="K2330" s="11">
        <v>46232.714317129627</v>
      </c>
      <c r="M2330">
        <v>1659</v>
      </c>
      <c r="N2330" t="s">
        <v>867</v>
      </c>
      <c r="O2330">
        <v>0</v>
      </c>
      <c r="P2330" s="5"/>
      <c r="Q2330" s="10">
        <f>INT(Tabela1[[#This Row],[DATA]])</f>
        <v>46232</v>
      </c>
      <c r="R2330" s="14" t="str">
        <f ca="1">IF(AND(Q2330&gt;=TODAY()-WEEKDAY(TODAY(),2)+1,Q2330&lt;TODAY()),"SIM","NÃO")</f>
        <v>NÃO</v>
      </c>
    </row>
    <row r="2331" spans="1:18" hidden="1">
      <c r="A2331" t="s">
        <v>305</v>
      </c>
      <c r="B2331" t="s">
        <v>306</v>
      </c>
      <c r="C2331">
        <v>300281470</v>
      </c>
      <c r="D2331">
        <v>13044826</v>
      </c>
      <c r="E2331" t="s">
        <v>29</v>
      </c>
      <c r="F2331" t="s">
        <v>430</v>
      </c>
      <c r="G2331">
        <v>260</v>
      </c>
      <c r="H2331" t="s">
        <v>2884</v>
      </c>
      <c r="J2331" t="s">
        <v>4142</v>
      </c>
      <c r="K2331" s="11">
        <v>46232.714999999997</v>
      </c>
      <c r="M2331">
        <v>1660</v>
      </c>
      <c r="N2331" t="s">
        <v>867</v>
      </c>
      <c r="O2331">
        <v>10000216131</v>
      </c>
      <c r="P2331" s="5"/>
      <c r="Q2331" s="10">
        <f>INT(Tabela1[[#This Row],[DATA]])</f>
        <v>46232</v>
      </c>
      <c r="R2331" s="14" t="str">
        <f ca="1">IF(AND(Q2331&gt;=TODAY()-WEEKDAY(TODAY(),2)+1,Q2331&lt;TODAY()),"SIM","NÃO")</f>
        <v>NÃO</v>
      </c>
    </row>
    <row r="2332" spans="1:18" hidden="1">
      <c r="A2332" t="s">
        <v>249</v>
      </c>
      <c r="B2332" t="s">
        <v>112</v>
      </c>
      <c r="C2332">
        <v>300282777</v>
      </c>
      <c r="D2332">
        <v>15243153</v>
      </c>
      <c r="E2332" t="s">
        <v>37</v>
      </c>
      <c r="F2332" t="s">
        <v>2213</v>
      </c>
      <c r="G2332">
        <v>3</v>
      </c>
      <c r="H2332" t="s">
        <v>2843</v>
      </c>
      <c r="K2332" s="11">
        <v>46233.32172453704</v>
      </c>
      <c r="M2332">
        <v>1661</v>
      </c>
      <c r="N2332" t="s">
        <v>867</v>
      </c>
      <c r="O2332">
        <v>10000248114</v>
      </c>
      <c r="P2332" s="5"/>
      <c r="Q2332" s="10">
        <f>INT(Tabela1[[#This Row],[DATA]])</f>
        <v>46233</v>
      </c>
      <c r="R2332" s="14" t="str">
        <f ca="1">IF(AND(Q2332&gt;=TODAY()-WEEKDAY(TODAY(),2)+1,Q2332&lt;TODAY()),"SIM","NÃO")</f>
        <v>NÃO</v>
      </c>
    </row>
    <row r="2333" spans="1:18" hidden="1">
      <c r="A2333" t="s">
        <v>787</v>
      </c>
      <c r="B2333" t="s">
        <v>788</v>
      </c>
      <c r="C2333">
        <v>300285265</v>
      </c>
      <c r="D2333">
        <v>15764494</v>
      </c>
      <c r="E2333" t="s">
        <v>37</v>
      </c>
      <c r="F2333" t="s">
        <v>3241</v>
      </c>
      <c r="G2333" t="s">
        <v>4143</v>
      </c>
      <c r="H2333" t="s">
        <v>2101</v>
      </c>
      <c r="J2333" t="s">
        <v>4054</v>
      </c>
      <c r="K2333" s="11">
        <v>46233.326643518521</v>
      </c>
      <c r="M2333">
        <v>1662</v>
      </c>
      <c r="N2333" t="s">
        <v>878</v>
      </c>
      <c r="O2333" t="s">
        <v>4055</v>
      </c>
      <c r="P2333" s="5"/>
      <c r="Q2333" s="10">
        <f>INT(Tabela1[[#This Row],[DATA]])</f>
        <v>46233</v>
      </c>
      <c r="R2333" s="14" t="str">
        <f ca="1">IF(AND(Q2333&gt;=TODAY()-WEEKDAY(TODAY(),2)+1,Q2333&lt;TODAY()),"SIM","NÃO")</f>
        <v>NÃO</v>
      </c>
    </row>
    <row r="2334" spans="1:18" hidden="1">
      <c r="A2334" t="s">
        <v>123</v>
      </c>
      <c r="B2334" t="s">
        <v>124</v>
      </c>
      <c r="C2334">
        <v>300279360</v>
      </c>
      <c r="D2334">
        <v>16457900</v>
      </c>
      <c r="E2334" t="s">
        <v>37</v>
      </c>
      <c r="F2334" t="s">
        <v>2213</v>
      </c>
      <c r="G2334">
        <v>40</v>
      </c>
      <c r="H2334" t="s">
        <v>4144</v>
      </c>
      <c r="K2334" s="11">
        <v>46233.331354166665</v>
      </c>
      <c r="M2334">
        <v>1663</v>
      </c>
      <c r="N2334" t="s">
        <v>867</v>
      </c>
      <c r="O2334" t="s">
        <v>4145</v>
      </c>
      <c r="P2334" s="5"/>
      <c r="Q2334" s="10">
        <f>INT(Tabela1[[#This Row],[DATA]])</f>
        <v>46233</v>
      </c>
      <c r="R2334" s="14" t="str">
        <f ca="1">IF(AND(Q2334&gt;=TODAY()-WEEKDAY(TODAY(),2)+1,Q2334&lt;TODAY()),"SIM","NÃO")</f>
        <v>NÃO</v>
      </c>
    </row>
    <row r="2335" spans="1:18" hidden="1">
      <c r="A2335" t="s">
        <v>163</v>
      </c>
      <c r="B2335" t="s">
        <v>164</v>
      </c>
      <c r="C2335">
        <v>300280242</v>
      </c>
      <c r="D2335">
        <v>16441354</v>
      </c>
      <c r="E2335" t="s">
        <v>45</v>
      </c>
      <c r="F2335" t="s">
        <v>2405</v>
      </c>
      <c r="G2335">
        <v>2</v>
      </c>
      <c r="H2335" t="s">
        <v>2292</v>
      </c>
      <c r="K2335" s="11">
        <v>46233.336446759262</v>
      </c>
      <c r="M2335">
        <v>1664</v>
      </c>
      <c r="N2335" t="s">
        <v>867</v>
      </c>
      <c r="O2335">
        <v>0</v>
      </c>
      <c r="P2335" s="5"/>
      <c r="Q2335" s="10">
        <f>INT(Tabela1[[#This Row],[DATA]])</f>
        <v>46233</v>
      </c>
      <c r="R2335" s="14" t="str">
        <f ca="1">IF(AND(Q2335&gt;=TODAY()-WEEKDAY(TODAY(),2)+1,Q2335&lt;TODAY()),"SIM","NÃO")</f>
        <v>NÃO</v>
      </c>
    </row>
    <row r="2336" spans="1:18" hidden="1">
      <c r="A2336" t="s">
        <v>163</v>
      </c>
      <c r="B2336" t="s">
        <v>164</v>
      </c>
      <c r="C2336">
        <v>300280242</v>
      </c>
      <c r="D2336">
        <v>16441354</v>
      </c>
      <c r="E2336" t="s">
        <v>45</v>
      </c>
      <c r="F2336" t="s">
        <v>3212</v>
      </c>
      <c r="G2336">
        <v>4</v>
      </c>
      <c r="H2336" t="s">
        <v>2292</v>
      </c>
      <c r="K2336" s="11">
        <v>46233.337210648147</v>
      </c>
      <c r="M2336">
        <v>1665</v>
      </c>
      <c r="N2336" t="s">
        <v>867</v>
      </c>
      <c r="O2336">
        <v>0</v>
      </c>
      <c r="P2336" s="5"/>
      <c r="Q2336" s="10">
        <f>INT(Tabela1[[#This Row],[DATA]])</f>
        <v>46233</v>
      </c>
      <c r="R2336" s="14" t="str">
        <f ca="1">IF(AND(Q2336&gt;=TODAY()-WEEKDAY(TODAY(),2)+1,Q2336&lt;TODAY()),"SIM","NÃO")</f>
        <v>NÃO</v>
      </c>
    </row>
    <row r="2337" spans="1:18" hidden="1">
      <c r="A2337" t="s">
        <v>2578</v>
      </c>
      <c r="B2337" t="s">
        <v>69</v>
      </c>
      <c r="C2337">
        <v>300282323</v>
      </c>
      <c r="D2337">
        <v>16482611</v>
      </c>
      <c r="E2337" t="s">
        <v>37</v>
      </c>
      <c r="F2337" t="s">
        <v>2405</v>
      </c>
      <c r="G2337">
        <v>15</v>
      </c>
      <c r="H2337" t="s">
        <v>3954</v>
      </c>
      <c r="K2337" s="11">
        <v>46233.33965277778</v>
      </c>
      <c r="M2337">
        <v>1666</v>
      </c>
      <c r="N2337" t="s">
        <v>867</v>
      </c>
      <c r="O2337">
        <v>16482611</v>
      </c>
      <c r="P2337" s="5"/>
      <c r="Q2337" s="10">
        <f>INT(Tabela1[[#This Row],[DATA]])</f>
        <v>46233</v>
      </c>
      <c r="R2337" s="14" t="str">
        <f ca="1">IF(AND(Q2337&gt;=TODAY()-WEEKDAY(TODAY(),2)+1,Q2337&lt;TODAY()),"SIM","NÃO")</f>
        <v>NÃO</v>
      </c>
    </row>
    <row r="2338" spans="1:18" hidden="1">
      <c r="A2338" t="s">
        <v>1421</v>
      </c>
      <c r="B2338" t="s">
        <v>1422</v>
      </c>
      <c r="C2338">
        <v>300286229</v>
      </c>
      <c r="D2338">
        <v>16227425</v>
      </c>
      <c r="E2338" t="s">
        <v>45</v>
      </c>
      <c r="F2338" t="s">
        <v>3212</v>
      </c>
      <c r="G2338">
        <v>260</v>
      </c>
      <c r="H2338" t="s">
        <v>4146</v>
      </c>
      <c r="J2338" t="s">
        <v>82</v>
      </c>
      <c r="K2338" s="11">
        <v>46233.355069444442</v>
      </c>
      <c r="M2338">
        <v>1667</v>
      </c>
      <c r="N2338" t="s">
        <v>867</v>
      </c>
      <c r="O2338" t="s">
        <v>848</v>
      </c>
      <c r="P2338" s="5"/>
      <c r="Q2338" s="10">
        <f>INT(Tabela1[[#This Row],[DATA]])</f>
        <v>46233</v>
      </c>
      <c r="R2338" s="14" t="str">
        <f ca="1">IF(AND(Q2338&gt;=TODAY()-WEEKDAY(TODAY(),2)+1,Q2338&lt;TODAY()),"SIM","NÃO")</f>
        <v>NÃO</v>
      </c>
    </row>
    <row r="2339" spans="1:18" hidden="1">
      <c r="A2339" t="s">
        <v>249</v>
      </c>
      <c r="B2339" t="s">
        <v>112</v>
      </c>
      <c r="C2339">
        <v>300283158</v>
      </c>
      <c r="D2339">
        <v>16472217</v>
      </c>
      <c r="E2339" t="s">
        <v>37</v>
      </c>
      <c r="F2339" t="s">
        <v>2405</v>
      </c>
      <c r="G2339">
        <v>7</v>
      </c>
      <c r="H2339" t="s">
        <v>1335</v>
      </c>
      <c r="K2339" s="11">
        <v>46233.360717592594</v>
      </c>
      <c r="M2339">
        <v>1668</v>
      </c>
      <c r="N2339" t="s">
        <v>867</v>
      </c>
      <c r="O2339">
        <v>0</v>
      </c>
      <c r="P2339" s="5"/>
      <c r="Q2339" s="10">
        <f>INT(Tabela1[[#This Row],[DATA]])</f>
        <v>46233</v>
      </c>
      <c r="R2339" s="14" t="str">
        <f ca="1">IF(AND(Q2339&gt;=TODAY()-WEEKDAY(TODAY(),2)+1,Q2339&lt;TODAY()),"SIM","NÃO")</f>
        <v>NÃO</v>
      </c>
    </row>
    <row r="2340" spans="1:18" hidden="1">
      <c r="A2340" t="s">
        <v>332</v>
      </c>
      <c r="B2340" t="s">
        <v>690</v>
      </c>
      <c r="C2340">
        <v>300280243</v>
      </c>
      <c r="D2340">
        <v>16441354</v>
      </c>
      <c r="E2340" t="s">
        <v>45</v>
      </c>
      <c r="F2340" t="s">
        <v>96</v>
      </c>
      <c r="G2340">
        <v>36</v>
      </c>
      <c r="H2340" t="s">
        <v>1966</v>
      </c>
      <c r="K2340" s="11">
        <v>46233.369895833333</v>
      </c>
      <c r="M2340">
        <v>1669</v>
      </c>
      <c r="N2340" t="s">
        <v>867</v>
      </c>
      <c r="O2340">
        <v>0</v>
      </c>
      <c r="P2340" s="5"/>
      <c r="Q2340" s="10">
        <f>INT(Tabela1[[#This Row],[DATA]])</f>
        <v>46233</v>
      </c>
      <c r="R2340" s="14" t="str">
        <f ca="1">IF(AND(Q2340&gt;=TODAY()-WEEKDAY(TODAY(),2)+1,Q2340&lt;TODAY()),"SIM","NÃO")</f>
        <v>NÃO</v>
      </c>
    </row>
    <row r="2341" spans="1:18" hidden="1">
      <c r="A2341" t="s">
        <v>332</v>
      </c>
      <c r="B2341" t="s">
        <v>690</v>
      </c>
      <c r="C2341">
        <v>300280243</v>
      </c>
      <c r="D2341">
        <v>16441354</v>
      </c>
      <c r="E2341" t="s">
        <v>45</v>
      </c>
      <c r="F2341" t="s">
        <v>2405</v>
      </c>
      <c r="G2341">
        <v>27</v>
      </c>
      <c r="H2341" t="s">
        <v>1966</v>
      </c>
      <c r="K2341" s="11">
        <v>46233.373657407406</v>
      </c>
      <c r="M2341">
        <v>1670</v>
      </c>
      <c r="N2341" t="s">
        <v>867</v>
      </c>
      <c r="O2341">
        <v>0</v>
      </c>
      <c r="P2341" s="5"/>
      <c r="Q2341" s="10">
        <f>INT(Tabela1[[#This Row],[DATA]])</f>
        <v>46233</v>
      </c>
      <c r="R2341" s="14" t="str">
        <f ca="1">IF(AND(Q2341&gt;=TODAY()-WEEKDAY(TODAY(),2)+1,Q2341&lt;TODAY()),"SIM","NÃO")</f>
        <v>NÃO</v>
      </c>
    </row>
    <row r="2342" spans="1:18" hidden="1">
      <c r="A2342" t="s">
        <v>2654</v>
      </c>
      <c r="B2342" t="s">
        <v>2655</v>
      </c>
      <c r="C2342">
        <v>300285692</v>
      </c>
      <c r="D2342">
        <v>15420000</v>
      </c>
      <c r="E2342" t="s">
        <v>37</v>
      </c>
      <c r="F2342" t="s">
        <v>177</v>
      </c>
      <c r="G2342">
        <v>53</v>
      </c>
      <c r="H2342" t="s">
        <v>3175</v>
      </c>
      <c r="K2342" s="11">
        <v>46233.390787037039</v>
      </c>
      <c r="M2342">
        <v>1671</v>
      </c>
      <c r="N2342" t="s">
        <v>867</v>
      </c>
      <c r="O2342">
        <v>10000241456</v>
      </c>
      <c r="P2342" s="5"/>
      <c r="Q2342" s="10">
        <f>INT(Tabela1[[#This Row],[DATA]])</f>
        <v>46233</v>
      </c>
      <c r="R2342" s="14" t="str">
        <f ca="1">IF(AND(Q2342&gt;=TODAY()-WEEKDAY(TODAY(),2)+1,Q2342&lt;TODAY()),"SIM","NÃO")</f>
        <v>NÃO</v>
      </c>
    </row>
    <row r="2343" spans="1:18" hidden="1">
      <c r="A2343" t="s">
        <v>123</v>
      </c>
      <c r="B2343" t="s">
        <v>124</v>
      </c>
      <c r="C2343">
        <v>300283685</v>
      </c>
      <c r="D2343">
        <v>16489128</v>
      </c>
      <c r="E2343" t="s">
        <v>20</v>
      </c>
      <c r="F2343" t="s">
        <v>3241</v>
      </c>
      <c r="G2343">
        <v>2</v>
      </c>
      <c r="H2343" t="s">
        <v>2795</v>
      </c>
      <c r="J2343" t="s">
        <v>4147</v>
      </c>
      <c r="K2343" s="11">
        <v>46233.393680555557</v>
      </c>
      <c r="M2343">
        <v>1672</v>
      </c>
      <c r="N2343" t="s">
        <v>867</v>
      </c>
      <c r="O2343">
        <v>10000062479</v>
      </c>
      <c r="P2343" s="5"/>
      <c r="Q2343" s="10">
        <f>INT(Tabela1[[#This Row],[DATA]])</f>
        <v>46233</v>
      </c>
      <c r="R2343" s="14" t="str">
        <f ca="1">IF(AND(Q2343&gt;=TODAY()-WEEKDAY(TODAY(),2)+1,Q2343&lt;TODAY()),"SIM","NÃO")</f>
        <v>NÃO</v>
      </c>
    </row>
    <row r="2344" spans="1:18" hidden="1">
      <c r="A2344" t="s">
        <v>111</v>
      </c>
      <c r="B2344" t="s">
        <v>112</v>
      </c>
      <c r="C2344">
        <v>300286263</v>
      </c>
      <c r="D2344">
        <v>15267164</v>
      </c>
      <c r="E2344" t="s">
        <v>45</v>
      </c>
      <c r="F2344" t="s">
        <v>2405</v>
      </c>
      <c r="G2344">
        <v>11</v>
      </c>
      <c r="H2344" t="s">
        <v>1335</v>
      </c>
      <c r="K2344" s="11">
        <v>46233.400821759256</v>
      </c>
      <c r="M2344">
        <v>1673</v>
      </c>
      <c r="N2344" t="s">
        <v>867</v>
      </c>
      <c r="O2344">
        <v>0</v>
      </c>
      <c r="P2344" s="5"/>
      <c r="Q2344" s="10">
        <f>INT(Tabela1[[#This Row],[DATA]])</f>
        <v>46233</v>
      </c>
      <c r="R2344" s="14" t="str">
        <f ca="1">IF(AND(Q2344&gt;=TODAY()-WEEKDAY(TODAY(),2)+1,Q2344&lt;TODAY()),"SIM","NÃO")</f>
        <v>NÃO</v>
      </c>
    </row>
    <row r="2345" spans="1:18" hidden="1">
      <c r="A2345" t="s">
        <v>2775</v>
      </c>
      <c r="B2345" t="s">
        <v>512</v>
      </c>
      <c r="C2345">
        <v>300284533</v>
      </c>
      <c r="D2345">
        <v>15483936</v>
      </c>
      <c r="E2345" t="s">
        <v>45</v>
      </c>
      <c r="F2345" t="s">
        <v>2405</v>
      </c>
      <c r="G2345">
        <v>20</v>
      </c>
      <c r="H2345" t="s">
        <v>4148</v>
      </c>
      <c r="J2345" t="s">
        <v>4149</v>
      </c>
      <c r="K2345" s="11">
        <v>46233.404618055552</v>
      </c>
      <c r="M2345">
        <v>1674</v>
      </c>
      <c r="N2345" t="s">
        <v>867</v>
      </c>
      <c r="O2345" t="s">
        <v>2778</v>
      </c>
      <c r="P2345" s="5"/>
      <c r="Q2345" s="10">
        <f>INT(Tabela1[[#This Row],[DATA]])</f>
        <v>46233</v>
      </c>
      <c r="R2345" s="14" t="str">
        <f ca="1">IF(AND(Q2345&gt;=TODAY()-WEEKDAY(TODAY(),2)+1,Q2345&lt;TODAY()),"SIM","NÃO")</f>
        <v>NÃO</v>
      </c>
    </row>
    <row r="2346" spans="1:18" hidden="1">
      <c r="A2346" t="s">
        <v>249</v>
      </c>
      <c r="B2346" t="s">
        <v>112</v>
      </c>
      <c r="C2346">
        <v>300280210</v>
      </c>
      <c r="D2346">
        <v>15699293</v>
      </c>
      <c r="E2346" t="s">
        <v>37</v>
      </c>
      <c r="F2346" t="s">
        <v>2405</v>
      </c>
      <c r="G2346">
        <v>2</v>
      </c>
      <c r="H2346" t="s">
        <v>1335</v>
      </c>
      <c r="K2346" s="11">
        <v>46233.40519675926</v>
      </c>
      <c r="M2346">
        <v>1675</v>
      </c>
      <c r="N2346" t="s">
        <v>867</v>
      </c>
      <c r="O2346">
        <v>0</v>
      </c>
      <c r="P2346" s="5"/>
      <c r="Q2346" s="10">
        <f>INT(Tabela1[[#This Row],[DATA]])</f>
        <v>46233</v>
      </c>
      <c r="R2346" s="14" t="str">
        <f ca="1">IF(AND(Q2346&gt;=TODAY()-WEEKDAY(TODAY(),2)+1,Q2346&lt;TODAY()),"SIM","NÃO")</f>
        <v>NÃO</v>
      </c>
    </row>
    <row r="2347" spans="1:18" hidden="1">
      <c r="A2347" t="s">
        <v>249</v>
      </c>
      <c r="B2347" t="s">
        <v>112</v>
      </c>
      <c r="C2347">
        <v>300280210</v>
      </c>
      <c r="D2347">
        <v>15699293</v>
      </c>
      <c r="E2347" t="s">
        <v>37</v>
      </c>
      <c r="F2347" t="s">
        <v>177</v>
      </c>
      <c r="G2347">
        <v>10</v>
      </c>
      <c r="H2347" t="s">
        <v>1335</v>
      </c>
      <c r="K2347" s="11">
        <v>46233.406099537038</v>
      </c>
      <c r="M2347">
        <v>1676</v>
      </c>
      <c r="N2347" t="s">
        <v>867</v>
      </c>
      <c r="O2347">
        <v>10000064476</v>
      </c>
      <c r="P2347" s="5"/>
      <c r="Q2347" s="10">
        <f>INT(Tabela1[[#This Row],[DATA]])</f>
        <v>46233</v>
      </c>
      <c r="R2347" s="14" t="str">
        <f ca="1">IF(AND(Q2347&gt;=TODAY()-WEEKDAY(TODAY(),2)+1,Q2347&lt;TODAY()),"SIM","NÃO")</f>
        <v>NÃO</v>
      </c>
    </row>
    <row r="2348" spans="1:18" hidden="1">
      <c r="A2348" t="s">
        <v>2551</v>
      </c>
      <c r="B2348" t="s">
        <v>274</v>
      </c>
      <c r="C2348">
        <v>300280446</v>
      </c>
      <c r="D2348">
        <v>16557654</v>
      </c>
      <c r="E2348" t="s">
        <v>37</v>
      </c>
      <c r="F2348" t="s">
        <v>216</v>
      </c>
      <c r="G2348">
        <v>50</v>
      </c>
      <c r="H2348" t="s">
        <v>4150</v>
      </c>
      <c r="K2348" s="11">
        <v>46233.427986111114</v>
      </c>
      <c r="M2348">
        <v>1677</v>
      </c>
      <c r="N2348" t="s">
        <v>867</v>
      </c>
      <c r="O2348">
        <v>0</v>
      </c>
      <c r="P2348" s="5"/>
      <c r="Q2348" s="10">
        <f>INT(Tabela1[[#This Row],[DATA]])</f>
        <v>46233</v>
      </c>
      <c r="R2348" s="14" t="str">
        <f ca="1">IF(AND(Q2348&gt;=TODAY()-WEEKDAY(TODAY(),2)+1,Q2348&lt;TODAY()),"SIM","NÃO")</f>
        <v>NÃO</v>
      </c>
    </row>
    <row r="2349" spans="1:18" hidden="1">
      <c r="A2349" t="s">
        <v>3022</v>
      </c>
      <c r="B2349" t="s">
        <v>3023</v>
      </c>
      <c r="C2349">
        <v>300283438</v>
      </c>
      <c r="D2349">
        <v>14938570</v>
      </c>
      <c r="E2349" t="s">
        <v>45</v>
      </c>
      <c r="F2349" t="s">
        <v>525</v>
      </c>
      <c r="G2349">
        <v>10</v>
      </c>
      <c r="H2349" t="s">
        <v>4151</v>
      </c>
      <c r="J2349" t="s">
        <v>4152</v>
      </c>
      <c r="K2349" s="11">
        <v>46233.439340277779</v>
      </c>
      <c r="M2349">
        <v>1678</v>
      </c>
      <c r="N2349" t="s">
        <v>867</v>
      </c>
      <c r="O2349" t="s">
        <v>3153</v>
      </c>
      <c r="P2349" s="5"/>
      <c r="Q2349" s="10">
        <f>INT(Tabela1[[#This Row],[DATA]])</f>
        <v>46233</v>
      </c>
      <c r="R2349" s="14" t="str">
        <f ca="1">IF(AND(Q2349&gt;=TODAY()-WEEKDAY(TODAY(),2)+1,Q2349&lt;TODAY()),"SIM","NÃO")</f>
        <v>NÃO</v>
      </c>
    </row>
    <row r="2350" spans="1:18" hidden="1">
      <c r="A2350" t="s">
        <v>2605</v>
      </c>
      <c r="B2350" t="s">
        <v>2606</v>
      </c>
      <c r="C2350">
        <v>300284181</v>
      </c>
      <c r="D2350">
        <v>16479181</v>
      </c>
      <c r="E2350" t="s">
        <v>37</v>
      </c>
      <c r="F2350" t="s">
        <v>3461</v>
      </c>
      <c r="G2350">
        <v>10</v>
      </c>
      <c r="H2350" t="s">
        <v>4153</v>
      </c>
      <c r="J2350" t="s">
        <v>4153</v>
      </c>
      <c r="K2350" s="11">
        <v>46233.45140046296</v>
      </c>
      <c r="M2350">
        <v>1679</v>
      </c>
      <c r="N2350" t="s">
        <v>867</v>
      </c>
      <c r="O2350">
        <v>0</v>
      </c>
      <c r="P2350" s="5"/>
      <c r="Q2350" s="10">
        <f>INT(Tabela1[[#This Row],[DATA]])</f>
        <v>46233</v>
      </c>
      <c r="R2350" s="14" t="str">
        <f ca="1">IF(AND(Q2350&gt;=TODAY()-WEEKDAY(TODAY(),2)+1,Q2350&lt;TODAY()),"SIM","NÃO")</f>
        <v>NÃO</v>
      </c>
    </row>
    <row r="2351" spans="1:18" hidden="1">
      <c r="A2351" t="s">
        <v>287</v>
      </c>
      <c r="B2351" t="s">
        <v>288</v>
      </c>
      <c r="C2351">
        <v>300265820</v>
      </c>
      <c r="D2351">
        <v>16482395</v>
      </c>
      <c r="E2351" t="s">
        <v>37</v>
      </c>
      <c r="F2351" t="s">
        <v>216</v>
      </c>
      <c r="G2351">
        <v>154</v>
      </c>
      <c r="H2351" t="s">
        <v>4154</v>
      </c>
      <c r="J2351" t="s">
        <v>4155</v>
      </c>
      <c r="K2351" s="11">
        <v>46233.490879629629</v>
      </c>
      <c r="M2351">
        <v>1680</v>
      </c>
      <c r="N2351" t="s">
        <v>867</v>
      </c>
      <c r="O2351">
        <v>0</v>
      </c>
      <c r="P2351" s="5"/>
      <c r="Q2351" s="10">
        <f>INT(Tabela1[[#This Row],[DATA]])</f>
        <v>46233</v>
      </c>
      <c r="R2351" s="14" t="str">
        <f ca="1">IF(AND(Q2351&gt;=TODAY()-WEEKDAY(TODAY(),2)+1,Q2351&lt;TODAY()),"SIM","NÃO")</f>
        <v>NÃO</v>
      </c>
    </row>
    <row r="2352" spans="1:18" hidden="1">
      <c r="A2352" t="s">
        <v>287</v>
      </c>
      <c r="B2352" t="s">
        <v>288</v>
      </c>
      <c r="C2352">
        <v>300278891</v>
      </c>
      <c r="D2352">
        <v>16293274</v>
      </c>
      <c r="E2352" t="s">
        <v>37</v>
      </c>
      <c r="F2352" t="s">
        <v>216</v>
      </c>
      <c r="G2352">
        <v>21</v>
      </c>
      <c r="H2352" t="s">
        <v>4156</v>
      </c>
      <c r="J2352" t="s">
        <v>4157</v>
      </c>
      <c r="K2352" s="11">
        <v>46233.525763888887</v>
      </c>
      <c r="M2352">
        <v>1681</v>
      </c>
      <c r="N2352" t="s">
        <v>867</v>
      </c>
      <c r="O2352">
        <v>0</v>
      </c>
      <c r="P2352" s="5"/>
      <c r="Q2352" s="10">
        <f>INT(Tabela1[[#This Row],[DATA]])</f>
        <v>46233</v>
      </c>
      <c r="R2352" s="14" t="str">
        <f ca="1">IF(AND(Q2352&gt;=TODAY()-WEEKDAY(TODAY(),2)+1,Q2352&lt;TODAY()),"SIM","NÃO")</f>
        <v>NÃO</v>
      </c>
    </row>
    <row r="2353" spans="1:18" hidden="1">
      <c r="A2353" t="s">
        <v>305</v>
      </c>
      <c r="B2353" t="s">
        <v>306</v>
      </c>
      <c r="C2353">
        <v>300283692</v>
      </c>
      <c r="D2353">
        <v>16443004</v>
      </c>
      <c r="E2353" t="s">
        <v>29</v>
      </c>
      <c r="F2353" t="s">
        <v>3241</v>
      </c>
      <c r="G2353">
        <v>12</v>
      </c>
      <c r="H2353" t="s">
        <v>2884</v>
      </c>
      <c r="J2353" t="s">
        <v>4158</v>
      </c>
      <c r="K2353" s="11">
        <v>46233.558692129627</v>
      </c>
      <c r="M2353">
        <v>1682</v>
      </c>
      <c r="N2353" t="s">
        <v>867</v>
      </c>
      <c r="O2353" t="s">
        <v>4159</v>
      </c>
      <c r="P2353" s="5"/>
      <c r="Q2353" s="10">
        <f>INT(Tabela1[[#This Row],[DATA]])</f>
        <v>46233</v>
      </c>
      <c r="R2353" s="14" t="str">
        <f ca="1">IF(AND(Q2353&gt;=TODAY()-WEEKDAY(TODAY(),2)+1,Q2353&lt;TODAY()),"SIM","NÃO")</f>
        <v>NÃO</v>
      </c>
    </row>
    <row r="2354" spans="1:18" hidden="1">
      <c r="A2354" t="s">
        <v>35</v>
      </c>
      <c r="B2354" t="s">
        <v>36</v>
      </c>
      <c r="C2354">
        <v>300281501</v>
      </c>
      <c r="D2354">
        <v>16507657</v>
      </c>
      <c r="E2354" t="s">
        <v>37</v>
      </c>
      <c r="F2354" t="s">
        <v>177</v>
      </c>
      <c r="G2354">
        <v>489</v>
      </c>
      <c r="H2354" t="s">
        <v>4160</v>
      </c>
      <c r="J2354" t="s">
        <v>4161</v>
      </c>
      <c r="K2354" s="11">
        <v>46233.563796296294</v>
      </c>
      <c r="M2354">
        <v>1683</v>
      </c>
      <c r="N2354" t="s">
        <v>867</v>
      </c>
      <c r="O2354" t="s">
        <v>4162</v>
      </c>
      <c r="P2354" s="5"/>
      <c r="Q2354" s="10">
        <f>INT(Tabela1[[#This Row],[DATA]])</f>
        <v>46233</v>
      </c>
      <c r="R2354" s="14" t="str">
        <f ca="1">IF(AND(Q2354&gt;=TODAY()-WEEKDAY(TODAY(),2)+1,Q2354&lt;TODAY()),"SIM","NÃO")</f>
        <v>NÃO</v>
      </c>
    </row>
    <row r="2355" spans="1:18" hidden="1">
      <c r="A2355" t="s">
        <v>2775</v>
      </c>
      <c r="B2355" t="s">
        <v>512</v>
      </c>
      <c r="C2355">
        <v>300283930</v>
      </c>
      <c r="D2355">
        <v>16482174</v>
      </c>
      <c r="E2355" t="s">
        <v>37</v>
      </c>
      <c r="F2355" t="s">
        <v>3215</v>
      </c>
      <c r="G2355">
        <v>10000</v>
      </c>
      <c r="H2355" t="s">
        <v>2795</v>
      </c>
      <c r="J2355" t="s">
        <v>4163</v>
      </c>
      <c r="K2355" s="11">
        <v>46233.579247685186</v>
      </c>
      <c r="M2355">
        <v>1684</v>
      </c>
      <c r="N2355" t="s">
        <v>867</v>
      </c>
      <c r="O2355" t="s">
        <v>2778</v>
      </c>
      <c r="P2355" s="5"/>
      <c r="Q2355" s="10">
        <f>INT(Tabela1[[#This Row],[DATA]])</f>
        <v>46233</v>
      </c>
      <c r="R2355" s="14" t="str">
        <f ca="1">IF(AND(Q2355&gt;=TODAY()-WEEKDAY(TODAY(),2)+1,Q2355&lt;TODAY()),"SIM","NÃO")</f>
        <v>NÃO</v>
      </c>
    </row>
    <row r="2356" spans="1:18" hidden="1">
      <c r="A2356" t="s">
        <v>111</v>
      </c>
      <c r="B2356" t="s">
        <v>112</v>
      </c>
      <c r="C2356">
        <v>300286230</v>
      </c>
      <c r="D2356">
        <v>16227425</v>
      </c>
      <c r="E2356" t="s">
        <v>45</v>
      </c>
      <c r="F2356" t="s">
        <v>2405</v>
      </c>
      <c r="G2356">
        <v>9</v>
      </c>
      <c r="H2356" t="s">
        <v>1335</v>
      </c>
      <c r="K2356" s="11">
        <v>46233.593368055554</v>
      </c>
      <c r="M2356">
        <v>1685</v>
      </c>
      <c r="N2356" t="s">
        <v>867</v>
      </c>
      <c r="O2356">
        <v>0</v>
      </c>
      <c r="P2356" s="5"/>
      <c r="Q2356" s="10">
        <f>INT(Tabela1[[#This Row],[DATA]])</f>
        <v>46233</v>
      </c>
      <c r="R2356" s="14" t="str">
        <f ca="1">IF(AND(Q2356&gt;=TODAY()-WEEKDAY(TODAY(),2)+1,Q2356&lt;TODAY()),"SIM","NÃO")</f>
        <v>NÃO</v>
      </c>
    </row>
    <row r="2357" spans="1:18" hidden="1">
      <c r="A2357" t="s">
        <v>185</v>
      </c>
      <c r="B2357" t="s">
        <v>1625</v>
      </c>
      <c r="C2357">
        <v>300281929</v>
      </c>
      <c r="D2357">
        <v>16466209</v>
      </c>
      <c r="E2357" t="s">
        <v>37</v>
      </c>
      <c r="F2357" t="s">
        <v>3595</v>
      </c>
      <c r="G2357">
        <v>20</v>
      </c>
      <c r="H2357" t="s">
        <v>2137</v>
      </c>
      <c r="K2357" s="11">
        <v>46233.607291666667</v>
      </c>
      <c r="M2357">
        <v>1686</v>
      </c>
      <c r="N2357" t="s">
        <v>867</v>
      </c>
      <c r="O2357">
        <v>10000216487</v>
      </c>
      <c r="P2357" s="5"/>
      <c r="Q2357" s="10">
        <f>INT(Tabela1[[#This Row],[DATA]])</f>
        <v>46233</v>
      </c>
      <c r="R2357" s="14" t="str">
        <f ca="1">IF(AND(Q2357&gt;=TODAY()-WEEKDAY(TODAY(),2)+1,Q2357&lt;TODAY()),"SIM","NÃO")</f>
        <v>NÃO</v>
      </c>
    </row>
    <row r="2358" spans="1:18" hidden="1">
      <c r="A2358" t="s">
        <v>3022</v>
      </c>
      <c r="B2358" t="s">
        <v>3023</v>
      </c>
      <c r="C2358">
        <v>300283444</v>
      </c>
      <c r="D2358">
        <v>14938570</v>
      </c>
      <c r="E2358" t="s">
        <v>45</v>
      </c>
      <c r="F2358" t="s">
        <v>525</v>
      </c>
      <c r="G2358">
        <v>36</v>
      </c>
      <c r="H2358" t="s">
        <v>4164</v>
      </c>
      <c r="J2358" t="s">
        <v>4165</v>
      </c>
      <c r="K2358" s="11">
        <v>46233.610983796294</v>
      </c>
      <c r="M2358">
        <v>1687</v>
      </c>
      <c r="N2358" t="s">
        <v>867</v>
      </c>
      <c r="O2358" t="s">
        <v>3153</v>
      </c>
      <c r="P2358" s="5"/>
      <c r="Q2358" s="10">
        <f>INT(Tabela1[[#This Row],[DATA]])</f>
        <v>46233</v>
      </c>
      <c r="R2358" s="14" t="str">
        <f ca="1">IF(AND(Q2358&gt;=TODAY()-WEEKDAY(TODAY(),2)+1,Q2358&lt;TODAY()),"SIM","NÃO")</f>
        <v>NÃO</v>
      </c>
    </row>
    <row r="2359" spans="1:18" hidden="1">
      <c r="A2359" t="s">
        <v>111</v>
      </c>
      <c r="B2359" t="s">
        <v>112</v>
      </c>
      <c r="C2359">
        <v>300284490</v>
      </c>
      <c r="D2359">
        <v>16288211</v>
      </c>
      <c r="E2359" t="s">
        <v>20</v>
      </c>
      <c r="F2359" t="s">
        <v>3595</v>
      </c>
      <c r="G2359">
        <v>11</v>
      </c>
      <c r="H2359" t="s">
        <v>1335</v>
      </c>
      <c r="K2359" s="11">
        <v>46233.619722222225</v>
      </c>
      <c r="M2359">
        <v>1688</v>
      </c>
      <c r="N2359" t="s">
        <v>867</v>
      </c>
      <c r="O2359" t="s">
        <v>4166</v>
      </c>
      <c r="P2359" s="5"/>
      <c r="Q2359" s="10">
        <f>INT(Tabela1[[#This Row],[DATA]])</f>
        <v>46233</v>
      </c>
      <c r="R2359" s="14" t="str">
        <f ca="1">IF(AND(Q2359&gt;=TODAY()-WEEKDAY(TODAY(),2)+1,Q2359&lt;TODAY()),"SIM","NÃO")</f>
        <v>NÃO</v>
      </c>
    </row>
    <row r="2360" spans="1:18" hidden="1">
      <c r="A2360" t="s">
        <v>3022</v>
      </c>
      <c r="B2360" t="s">
        <v>3023</v>
      </c>
      <c r="C2360">
        <v>300280735</v>
      </c>
      <c r="D2360">
        <v>12416746</v>
      </c>
      <c r="E2360" t="s">
        <v>45</v>
      </c>
      <c r="F2360" t="s">
        <v>151</v>
      </c>
      <c r="G2360">
        <v>472</v>
      </c>
      <c r="H2360" t="s">
        <v>4167</v>
      </c>
      <c r="K2360" s="11">
        <v>46233.626493055555</v>
      </c>
      <c r="M2360">
        <v>1689</v>
      </c>
      <c r="N2360" t="s">
        <v>867</v>
      </c>
      <c r="O2360" t="s">
        <v>2153</v>
      </c>
      <c r="P2360" s="5"/>
      <c r="Q2360" s="10">
        <f>INT(Tabela1[[#This Row],[DATA]])</f>
        <v>46233</v>
      </c>
      <c r="R2360" s="14" t="str">
        <f ca="1">IF(AND(Q2360&gt;=TODAY()-WEEKDAY(TODAY(),2)+1,Q2360&lt;TODAY()),"SIM","NÃO")</f>
        <v>NÃO</v>
      </c>
    </row>
    <row r="2361" spans="1:18" hidden="1">
      <c r="A2361" t="s">
        <v>2671</v>
      </c>
      <c r="B2361" t="s">
        <v>89</v>
      </c>
      <c r="C2361">
        <v>300281523</v>
      </c>
      <c r="D2361">
        <v>16473965</v>
      </c>
      <c r="E2361" t="s">
        <v>37</v>
      </c>
      <c r="F2361" t="s">
        <v>3366</v>
      </c>
      <c r="G2361">
        <v>10</v>
      </c>
      <c r="H2361" t="s">
        <v>4168</v>
      </c>
      <c r="J2361" t="s">
        <v>4169</v>
      </c>
      <c r="K2361" s="11">
        <v>46233.642372685186</v>
      </c>
      <c r="M2361">
        <v>1690</v>
      </c>
      <c r="N2361" t="s">
        <v>867</v>
      </c>
      <c r="O2361">
        <v>0</v>
      </c>
      <c r="P2361" s="5"/>
      <c r="Q2361" s="10">
        <f>INT(Tabela1[[#This Row],[DATA]])</f>
        <v>46233</v>
      </c>
      <c r="R2361" s="14" t="str">
        <f ca="1">IF(AND(Q2361&gt;=TODAY()-WEEKDAY(TODAY(),2)+1,Q2361&lt;TODAY()),"SIM","NÃO")</f>
        <v>NÃO</v>
      </c>
    </row>
    <row r="2362" spans="1:18" hidden="1">
      <c r="A2362" t="s">
        <v>428</v>
      </c>
      <c r="B2362" t="s">
        <v>429</v>
      </c>
      <c r="C2362">
        <v>300285089</v>
      </c>
      <c r="D2362">
        <v>16448014</v>
      </c>
      <c r="E2362" t="s">
        <v>29</v>
      </c>
      <c r="F2362" t="s">
        <v>259</v>
      </c>
      <c r="G2362" t="s">
        <v>2208</v>
      </c>
      <c r="H2362" t="s">
        <v>3665</v>
      </c>
      <c r="K2362" s="11">
        <v>46233.643287037034</v>
      </c>
      <c r="M2362">
        <v>1691</v>
      </c>
      <c r="N2362" t="s">
        <v>867</v>
      </c>
      <c r="O2362">
        <v>0</v>
      </c>
      <c r="P2362" s="5"/>
      <c r="Q2362" s="10">
        <f>INT(Tabela1[[#This Row],[DATA]])</f>
        <v>46233</v>
      </c>
      <c r="R2362" s="14" t="str">
        <f ca="1">IF(AND(Q2362&gt;=TODAY()-WEEKDAY(TODAY(),2)+1,Q2362&lt;TODAY()),"SIM","NÃO")</f>
        <v>NÃO</v>
      </c>
    </row>
    <row r="2363" spans="1:18" hidden="1">
      <c r="A2363" t="s">
        <v>428</v>
      </c>
      <c r="B2363" t="s">
        <v>429</v>
      </c>
      <c r="C2363">
        <v>300285089</v>
      </c>
      <c r="D2363">
        <v>16448014</v>
      </c>
      <c r="E2363" t="s">
        <v>29</v>
      </c>
      <c r="F2363" t="s">
        <v>3241</v>
      </c>
      <c r="G2363" t="s">
        <v>708</v>
      </c>
      <c r="H2363" t="s">
        <v>3665</v>
      </c>
      <c r="K2363" s="11">
        <v>46233.644189814811</v>
      </c>
      <c r="M2363">
        <v>1692</v>
      </c>
      <c r="N2363" t="s">
        <v>867</v>
      </c>
      <c r="O2363">
        <v>0</v>
      </c>
      <c r="P2363" s="5"/>
      <c r="Q2363" s="10">
        <f>INT(Tabela1[[#This Row],[DATA]])</f>
        <v>46233</v>
      </c>
      <c r="R2363" s="14" t="str">
        <f ca="1">IF(AND(Q2363&gt;=TODAY()-WEEKDAY(TODAY(),2)+1,Q2363&lt;TODAY()),"SIM","NÃO")</f>
        <v>NÃO</v>
      </c>
    </row>
    <row r="2364" spans="1:18" hidden="1">
      <c r="A2364" t="s">
        <v>428</v>
      </c>
      <c r="B2364" t="s">
        <v>429</v>
      </c>
      <c r="C2364">
        <v>300286616</v>
      </c>
      <c r="D2364">
        <v>15178927</v>
      </c>
      <c r="E2364" t="s">
        <v>29</v>
      </c>
      <c r="F2364" t="s">
        <v>259</v>
      </c>
      <c r="G2364" t="s">
        <v>2208</v>
      </c>
      <c r="H2364" t="s">
        <v>3665</v>
      </c>
      <c r="K2364" s="11">
        <v>46233.646053240744</v>
      </c>
      <c r="M2364">
        <v>1693</v>
      </c>
      <c r="N2364" t="s">
        <v>867</v>
      </c>
      <c r="O2364">
        <v>0</v>
      </c>
      <c r="P2364" s="5"/>
      <c r="Q2364" s="10">
        <f>INT(Tabela1[[#This Row],[DATA]])</f>
        <v>46233</v>
      </c>
      <c r="R2364" s="14" t="str">
        <f ca="1">IF(AND(Q2364&gt;=TODAY()-WEEKDAY(TODAY(),2)+1,Q2364&lt;TODAY()),"SIM","NÃO")</f>
        <v>NÃO</v>
      </c>
    </row>
    <row r="2365" spans="1:18" hidden="1">
      <c r="A2365" t="s">
        <v>428</v>
      </c>
      <c r="B2365" t="s">
        <v>429</v>
      </c>
      <c r="C2365">
        <v>300286616</v>
      </c>
      <c r="D2365">
        <v>15178927</v>
      </c>
      <c r="E2365" t="s">
        <v>29</v>
      </c>
      <c r="F2365" t="s">
        <v>3241</v>
      </c>
      <c r="G2365" t="s">
        <v>3882</v>
      </c>
      <c r="H2365" t="s">
        <v>3665</v>
      </c>
      <c r="K2365" s="11">
        <v>46233.646840277775</v>
      </c>
      <c r="M2365">
        <v>1694</v>
      </c>
      <c r="N2365" t="s">
        <v>867</v>
      </c>
      <c r="O2365">
        <v>0</v>
      </c>
      <c r="P2365" s="5"/>
      <c r="Q2365" s="10">
        <f>INT(Tabela1[[#This Row],[DATA]])</f>
        <v>46233</v>
      </c>
      <c r="R2365" s="14" t="str">
        <f ca="1">IF(AND(Q2365&gt;=TODAY()-WEEKDAY(TODAY(),2)+1,Q2365&lt;TODAY()),"SIM","NÃO")</f>
        <v>NÃO</v>
      </c>
    </row>
    <row r="2366" spans="1:18" hidden="1">
      <c r="A2366" t="s">
        <v>185</v>
      </c>
      <c r="B2366" t="s">
        <v>1625</v>
      </c>
      <c r="C2366">
        <v>300274635</v>
      </c>
      <c r="D2366">
        <v>16310373</v>
      </c>
      <c r="E2366" t="s">
        <v>37</v>
      </c>
      <c r="F2366" t="s">
        <v>3241</v>
      </c>
      <c r="G2366">
        <v>10</v>
      </c>
      <c r="H2366" t="s">
        <v>579</v>
      </c>
      <c r="K2366" s="11">
        <v>46233.64707175926</v>
      </c>
      <c r="M2366">
        <v>1695</v>
      </c>
      <c r="N2366" t="s">
        <v>867</v>
      </c>
      <c r="O2366">
        <v>10000064051</v>
      </c>
      <c r="P2366" s="5"/>
      <c r="Q2366" s="10">
        <f>INT(Tabela1[[#This Row],[DATA]])</f>
        <v>46233</v>
      </c>
      <c r="R2366" s="14" t="str">
        <f ca="1">IF(AND(Q2366&gt;=TODAY()-WEEKDAY(TODAY(),2)+1,Q2366&lt;TODAY()),"SIM","NÃO")</f>
        <v>NÃO</v>
      </c>
    </row>
    <row r="2367" spans="1:18" hidden="1">
      <c r="A2367" t="s">
        <v>185</v>
      </c>
      <c r="B2367" t="s">
        <v>1625</v>
      </c>
      <c r="C2367">
        <v>300274635</v>
      </c>
      <c r="D2367">
        <v>16310373</v>
      </c>
      <c r="E2367" t="s">
        <v>37</v>
      </c>
      <c r="F2367" t="s">
        <v>2405</v>
      </c>
      <c r="G2367">
        <v>10</v>
      </c>
      <c r="H2367" t="s">
        <v>2137</v>
      </c>
      <c r="K2367" s="11">
        <v>46233.648206018515</v>
      </c>
      <c r="M2367">
        <v>1696</v>
      </c>
      <c r="N2367" t="s">
        <v>867</v>
      </c>
      <c r="O2367">
        <v>0</v>
      </c>
      <c r="P2367" s="5"/>
      <c r="Q2367" s="10">
        <f>INT(Tabela1[[#This Row],[DATA]])</f>
        <v>46233</v>
      </c>
      <c r="R2367" s="14" t="str">
        <f ca="1">IF(AND(Q2367&gt;=TODAY()-WEEKDAY(TODAY(),2)+1,Q2367&lt;TODAY()),"SIM","NÃO")</f>
        <v>NÃO</v>
      </c>
    </row>
    <row r="2368" spans="1:18" hidden="1">
      <c r="A2368" t="s">
        <v>185</v>
      </c>
      <c r="B2368" t="s">
        <v>1625</v>
      </c>
      <c r="C2368">
        <v>300274635</v>
      </c>
      <c r="D2368">
        <v>16310373</v>
      </c>
      <c r="E2368" t="s">
        <v>37</v>
      </c>
      <c r="F2368" t="s">
        <v>2213</v>
      </c>
      <c r="G2368">
        <v>2</v>
      </c>
      <c r="H2368" t="s">
        <v>579</v>
      </c>
      <c r="K2368" s="11">
        <v>46233.652766203704</v>
      </c>
      <c r="M2368">
        <v>1697</v>
      </c>
      <c r="N2368" t="s">
        <v>867</v>
      </c>
      <c r="O2368">
        <v>100000214497</v>
      </c>
      <c r="P2368" s="5"/>
      <c r="Q2368" s="10">
        <f>INT(Tabela1[[#This Row],[DATA]])</f>
        <v>46233</v>
      </c>
      <c r="R2368" s="14" t="str">
        <f ca="1">IF(AND(Q2368&gt;=TODAY()-WEEKDAY(TODAY(),2)+1,Q2368&lt;TODAY()),"SIM","NÃO")</f>
        <v>NÃO</v>
      </c>
    </row>
    <row r="2369" spans="1:18" hidden="1">
      <c r="A2369" t="s">
        <v>2610</v>
      </c>
      <c r="B2369" t="s">
        <v>74</v>
      </c>
      <c r="C2369">
        <v>300285462</v>
      </c>
      <c r="D2369">
        <v>16457897</v>
      </c>
      <c r="E2369" t="s">
        <v>20</v>
      </c>
      <c r="F2369" t="s">
        <v>145</v>
      </c>
      <c r="G2369">
        <v>2</v>
      </c>
      <c r="H2369" t="s">
        <v>4170</v>
      </c>
      <c r="J2369" t="s">
        <v>4171</v>
      </c>
      <c r="K2369" s="11">
        <v>46233.673784722225</v>
      </c>
      <c r="M2369">
        <v>1698</v>
      </c>
      <c r="N2369" t="s">
        <v>878</v>
      </c>
      <c r="O2369">
        <v>0</v>
      </c>
      <c r="P2369" s="5"/>
      <c r="Q2369" s="10">
        <f>INT(Tabela1[[#This Row],[DATA]])</f>
        <v>46233</v>
      </c>
      <c r="R2369" s="14" t="str">
        <f ca="1">IF(AND(Q2369&gt;=TODAY()-WEEKDAY(TODAY(),2)+1,Q2369&lt;TODAY()),"SIM","NÃO")</f>
        <v>NÃO</v>
      </c>
    </row>
    <row r="2370" spans="1:18" hidden="1">
      <c r="A2370" t="s">
        <v>2610</v>
      </c>
      <c r="B2370" t="s">
        <v>74</v>
      </c>
      <c r="C2370">
        <v>300282458</v>
      </c>
      <c r="D2370">
        <v>16457218</v>
      </c>
      <c r="E2370" t="s">
        <v>45</v>
      </c>
      <c r="F2370" t="s">
        <v>2405</v>
      </c>
      <c r="G2370">
        <v>15</v>
      </c>
      <c r="H2370" t="s">
        <v>4172</v>
      </c>
      <c r="J2370" t="s">
        <v>4173</v>
      </c>
      <c r="K2370" s="11">
        <v>46233.675520833334</v>
      </c>
      <c r="M2370">
        <v>1699</v>
      </c>
      <c r="N2370" t="s">
        <v>867</v>
      </c>
      <c r="O2370">
        <v>0</v>
      </c>
      <c r="P2370" s="5"/>
      <c r="Q2370" s="10">
        <f>INT(Tabela1[[#This Row],[DATA]])</f>
        <v>46233</v>
      </c>
      <c r="R2370" s="14" t="str">
        <f ca="1">IF(AND(Q2370&gt;=TODAY()-WEEKDAY(TODAY(),2)+1,Q2370&lt;TODAY()),"SIM","NÃO")</f>
        <v>NÃO</v>
      </c>
    </row>
    <row r="2371" spans="1:18" hidden="1">
      <c r="A2371" t="s">
        <v>2541</v>
      </c>
      <c r="B2371" t="s">
        <v>388</v>
      </c>
      <c r="C2371">
        <v>300280615</v>
      </c>
      <c r="D2371">
        <v>16429559</v>
      </c>
      <c r="E2371" t="s">
        <v>37</v>
      </c>
      <c r="F2371" t="s">
        <v>323</v>
      </c>
      <c r="G2371">
        <v>7</v>
      </c>
      <c r="H2371" t="s">
        <v>2313</v>
      </c>
      <c r="J2371" t="s">
        <v>3126</v>
      </c>
      <c r="K2371" s="11">
        <v>46233.682349537034</v>
      </c>
      <c r="M2371">
        <v>1700</v>
      </c>
      <c r="N2371" t="s">
        <v>867</v>
      </c>
      <c r="O2371">
        <v>0</v>
      </c>
      <c r="P2371" s="5"/>
      <c r="Q2371" s="10">
        <f>INT(Tabela1[[#This Row],[DATA]])</f>
        <v>46233</v>
      </c>
      <c r="R2371" s="14" t="str">
        <f ca="1">IF(AND(Q2371&gt;=TODAY()-WEEKDAY(TODAY(),2)+1,Q2371&lt;TODAY()),"SIM","NÃO")</f>
        <v>NÃO</v>
      </c>
    </row>
    <row r="2372" spans="1:18" hidden="1">
      <c r="A2372" t="s">
        <v>123</v>
      </c>
      <c r="B2372" t="s">
        <v>124</v>
      </c>
      <c r="C2372">
        <v>300279706</v>
      </c>
      <c r="D2372">
        <v>16457900</v>
      </c>
      <c r="E2372" t="s">
        <v>37</v>
      </c>
      <c r="F2372" t="s">
        <v>2213</v>
      </c>
      <c r="G2372">
        <v>130</v>
      </c>
      <c r="H2372" t="s">
        <v>4174</v>
      </c>
      <c r="J2372" t="s">
        <v>4174</v>
      </c>
      <c r="K2372" s="11">
        <v>46233.709768518522</v>
      </c>
      <c r="M2372">
        <v>1701</v>
      </c>
      <c r="N2372" t="s">
        <v>867</v>
      </c>
      <c r="O2372" t="s">
        <v>4175</v>
      </c>
      <c r="P2372" s="5"/>
      <c r="Q2372" s="10">
        <f>INT(Tabela1[[#This Row],[DATA]])</f>
        <v>46233</v>
      </c>
      <c r="R2372" s="14" t="str">
        <f ca="1">IF(AND(Q2372&gt;=TODAY()-WEEKDAY(TODAY(),2)+1,Q2372&lt;TODAY()),"SIM","NÃO")</f>
        <v>NÃO</v>
      </c>
    </row>
    <row r="2373" spans="1:18" hidden="1">
      <c r="A2373" t="s">
        <v>2541</v>
      </c>
      <c r="B2373" t="s">
        <v>388</v>
      </c>
      <c r="C2373">
        <v>300284337</v>
      </c>
      <c r="D2373">
        <v>16244052</v>
      </c>
      <c r="E2373" t="s">
        <v>37</v>
      </c>
      <c r="F2373" t="s">
        <v>2405</v>
      </c>
      <c r="G2373">
        <v>1</v>
      </c>
      <c r="H2373" t="s">
        <v>2313</v>
      </c>
      <c r="K2373" s="11">
        <v>46234.377928240741</v>
      </c>
      <c r="M2373">
        <v>1702</v>
      </c>
      <c r="N2373" t="s">
        <v>867</v>
      </c>
      <c r="O2373">
        <v>0</v>
      </c>
      <c r="P2373" s="5"/>
      <c r="Q2373" s="10">
        <f>INT(Tabela1[[#This Row],[DATA]])</f>
        <v>46234</v>
      </c>
      <c r="R2373" s="14" t="str">
        <f ca="1">IF(AND(Q2373&gt;=TODAY()-WEEKDAY(TODAY(),2)+1,Q2373&lt;TODAY()),"SIM","NÃO")</f>
        <v>NÃO</v>
      </c>
    </row>
    <row r="2374" spans="1:18" hidden="1">
      <c r="A2374" t="s">
        <v>914</v>
      </c>
      <c r="B2374" t="s">
        <v>2651</v>
      </c>
      <c r="C2374">
        <v>300282789</v>
      </c>
      <c r="D2374">
        <v>16520157</v>
      </c>
      <c r="E2374" t="s">
        <v>37</v>
      </c>
      <c r="F2374" t="s">
        <v>177</v>
      </c>
      <c r="G2374">
        <v>438</v>
      </c>
      <c r="H2374" t="s">
        <v>3448</v>
      </c>
      <c r="J2374" t="s">
        <v>3448</v>
      </c>
      <c r="K2374" s="11">
        <v>46234.379201388889</v>
      </c>
      <c r="M2374">
        <v>1703</v>
      </c>
      <c r="N2374" t="s">
        <v>867</v>
      </c>
      <c r="O2374">
        <v>0</v>
      </c>
      <c r="P2374" s="5"/>
      <c r="Q2374" s="10">
        <f>INT(Tabela1[[#This Row],[DATA]])</f>
        <v>46234</v>
      </c>
      <c r="R2374" s="14" t="str">
        <f ca="1">IF(AND(Q2374&gt;=TODAY()-WEEKDAY(TODAY(),2)+1,Q2374&lt;TODAY()),"SIM","NÃO")</f>
        <v>NÃO</v>
      </c>
    </row>
    <row r="2375" spans="1:18" hidden="1">
      <c r="A2375" t="s">
        <v>2624</v>
      </c>
      <c r="B2375" t="s">
        <v>50</v>
      </c>
      <c r="C2375">
        <v>300284281</v>
      </c>
      <c r="D2375">
        <v>15252434</v>
      </c>
      <c r="E2375" t="s">
        <v>37</v>
      </c>
      <c r="F2375" t="s">
        <v>769</v>
      </c>
      <c r="G2375">
        <v>100</v>
      </c>
      <c r="H2375" t="s">
        <v>4176</v>
      </c>
      <c r="J2375" t="s">
        <v>4177</v>
      </c>
      <c r="K2375" s="11">
        <v>46234.398680555554</v>
      </c>
      <c r="M2375">
        <v>1704</v>
      </c>
      <c r="N2375" t="s">
        <v>867</v>
      </c>
      <c r="O2375">
        <v>300284281</v>
      </c>
      <c r="P2375" s="5"/>
      <c r="Q2375" s="10">
        <f>INT(Tabela1[[#This Row],[DATA]])</f>
        <v>46234</v>
      </c>
      <c r="R2375" s="14" t="str">
        <f ca="1">IF(AND(Q2375&gt;=TODAY()-WEEKDAY(TODAY(),2)+1,Q2375&lt;TODAY()),"SIM","NÃO")</f>
        <v>NÃO</v>
      </c>
    </row>
    <row r="2376" spans="1:18" hidden="1">
      <c r="A2376" t="s">
        <v>2605</v>
      </c>
      <c r="B2376" t="s">
        <v>2606</v>
      </c>
      <c r="C2376">
        <v>300284181</v>
      </c>
      <c r="D2376">
        <v>16479181</v>
      </c>
      <c r="E2376" t="s">
        <v>37</v>
      </c>
      <c r="F2376" t="s">
        <v>2213</v>
      </c>
      <c r="G2376">
        <v>28</v>
      </c>
      <c r="H2376" t="s">
        <v>4178</v>
      </c>
      <c r="J2376" t="s">
        <v>4178</v>
      </c>
      <c r="K2376" s="11">
        <v>46234.400393518517</v>
      </c>
      <c r="M2376">
        <v>1705</v>
      </c>
      <c r="N2376" t="s">
        <v>867</v>
      </c>
      <c r="O2376" t="s">
        <v>4179</v>
      </c>
      <c r="P2376" s="5"/>
      <c r="Q2376" s="10">
        <f>INT(Tabela1[[#This Row],[DATA]])</f>
        <v>46234</v>
      </c>
      <c r="R2376" s="14" t="str">
        <f ca="1">IF(AND(Q2376&gt;=TODAY()-WEEKDAY(TODAY(),2)+1,Q2376&lt;TODAY()),"SIM","NÃO")</f>
        <v>NÃO</v>
      </c>
    </row>
    <row r="2377" spans="1:18" hidden="1">
      <c r="A2377" t="s">
        <v>249</v>
      </c>
      <c r="B2377" t="s">
        <v>112</v>
      </c>
      <c r="C2377">
        <v>300277124</v>
      </c>
      <c r="D2377">
        <v>16505956</v>
      </c>
      <c r="E2377" t="s">
        <v>37</v>
      </c>
      <c r="F2377" t="s">
        <v>2213</v>
      </c>
      <c r="G2377">
        <v>2</v>
      </c>
      <c r="H2377" t="s">
        <v>1335</v>
      </c>
      <c r="K2377" s="11">
        <v>46234.401550925926</v>
      </c>
      <c r="M2377">
        <v>1706</v>
      </c>
      <c r="N2377" t="s">
        <v>867</v>
      </c>
      <c r="O2377">
        <v>10000214517</v>
      </c>
      <c r="P2377" s="5"/>
      <c r="Q2377" s="10">
        <f>INT(Tabela1[[#This Row],[DATA]])</f>
        <v>46234</v>
      </c>
      <c r="R2377" s="14" t="str">
        <f ca="1">IF(AND(Q2377&gt;=TODAY()-WEEKDAY(TODAY(),2)+1,Q2377&lt;TODAY()),"SIM","NÃO")</f>
        <v>NÃO</v>
      </c>
    </row>
    <row r="2378" spans="1:18" hidden="1">
      <c r="A2378" t="s">
        <v>101</v>
      </c>
      <c r="B2378" t="s">
        <v>990</v>
      </c>
      <c r="C2378">
        <v>300276224</v>
      </c>
      <c r="D2378">
        <v>15859177</v>
      </c>
      <c r="E2378" t="s">
        <v>37</v>
      </c>
      <c r="F2378" t="s">
        <v>2405</v>
      </c>
      <c r="G2378">
        <v>6</v>
      </c>
      <c r="H2378" t="s">
        <v>3903</v>
      </c>
      <c r="J2378" t="s">
        <v>4180</v>
      </c>
      <c r="K2378" s="11">
        <v>46234.4065162037</v>
      </c>
      <c r="M2378">
        <v>1707</v>
      </c>
      <c r="N2378" t="s">
        <v>867</v>
      </c>
      <c r="O2378">
        <v>0</v>
      </c>
      <c r="P2378" s="5"/>
      <c r="Q2378" s="10">
        <f>INT(Tabela1[[#This Row],[DATA]])</f>
        <v>46234</v>
      </c>
      <c r="R2378" s="14" t="str">
        <f ca="1">IF(AND(Q2378&gt;=TODAY()-WEEKDAY(TODAY(),2)+1,Q2378&lt;TODAY()),"SIM","NÃO")</f>
        <v>NÃO</v>
      </c>
    </row>
    <row r="2379" spans="1:18" hidden="1">
      <c r="A2379" t="s">
        <v>2565</v>
      </c>
      <c r="B2379" t="s">
        <v>95</v>
      </c>
      <c r="C2379">
        <v>300000000</v>
      </c>
      <c r="D2379">
        <v>1</v>
      </c>
      <c r="E2379" t="s">
        <v>45</v>
      </c>
      <c r="F2379" t="s">
        <v>145</v>
      </c>
      <c r="G2379">
        <v>2</v>
      </c>
      <c r="H2379" t="s">
        <v>4181</v>
      </c>
      <c r="J2379" t="s">
        <v>4182</v>
      </c>
      <c r="K2379" s="11">
        <v>46234.408182870371</v>
      </c>
      <c r="M2379">
        <v>1708</v>
      </c>
      <c r="N2379" t="s">
        <v>878</v>
      </c>
      <c r="O2379">
        <v>1</v>
      </c>
      <c r="P2379" s="5"/>
      <c r="Q2379" s="10">
        <f>INT(Tabela1[[#This Row],[DATA]])</f>
        <v>46234</v>
      </c>
      <c r="R2379" s="14" t="str">
        <f ca="1">IF(AND(Q2379&gt;=TODAY()-WEEKDAY(TODAY(),2)+1,Q2379&lt;TODAY()),"SIM","NÃO")</f>
        <v>NÃO</v>
      </c>
    </row>
    <row r="2380" spans="1:18" hidden="1">
      <c r="A2380" t="s">
        <v>899</v>
      </c>
      <c r="B2380" t="s">
        <v>900</v>
      </c>
      <c r="C2380">
        <v>300285683</v>
      </c>
      <c r="D2380">
        <v>16218159</v>
      </c>
      <c r="E2380" t="s">
        <v>37</v>
      </c>
      <c r="F2380" t="s">
        <v>177</v>
      </c>
      <c r="G2380">
        <v>1.1240000000000001</v>
      </c>
      <c r="H2380" t="s">
        <v>4183</v>
      </c>
      <c r="J2380" t="s">
        <v>4184</v>
      </c>
      <c r="K2380" s="11">
        <v>46234.432303240741</v>
      </c>
      <c r="M2380">
        <v>1709</v>
      </c>
      <c r="N2380" t="s">
        <v>867</v>
      </c>
      <c r="O2380" t="s">
        <v>4185</v>
      </c>
      <c r="P2380" s="5"/>
      <c r="Q2380" s="10">
        <f>INT(Tabela1[[#This Row],[DATA]])</f>
        <v>46234</v>
      </c>
      <c r="R2380" s="14" t="str">
        <f ca="1">IF(AND(Q2380&gt;=TODAY()-WEEKDAY(TODAY(),2)+1,Q2380&lt;TODAY()),"SIM","NÃO")</f>
        <v>NÃO</v>
      </c>
    </row>
    <row r="2381" spans="1:18" hidden="1">
      <c r="A2381" t="s">
        <v>899</v>
      </c>
      <c r="B2381" t="s">
        <v>900</v>
      </c>
      <c r="C2381">
        <v>300285683</v>
      </c>
      <c r="D2381">
        <v>16218159</v>
      </c>
      <c r="E2381" t="s">
        <v>37</v>
      </c>
      <c r="F2381" t="s">
        <v>2213</v>
      </c>
      <c r="G2381">
        <v>1.6319999999999999</v>
      </c>
      <c r="H2381" t="s">
        <v>4186</v>
      </c>
      <c r="J2381" t="s">
        <v>4187</v>
      </c>
      <c r="K2381" s="11">
        <v>46234.436990740738</v>
      </c>
      <c r="M2381">
        <v>1710</v>
      </c>
      <c r="N2381" t="s">
        <v>867</v>
      </c>
      <c r="O2381" t="s">
        <v>4188</v>
      </c>
      <c r="P2381" s="5"/>
      <c r="Q2381" s="10">
        <f>INT(Tabela1[[#This Row],[DATA]])</f>
        <v>46234</v>
      </c>
      <c r="R2381" s="14" t="str">
        <f ca="1">IF(AND(Q2381&gt;=TODAY()-WEEKDAY(TODAY(),2)+1,Q2381&lt;TODAY()),"SIM","NÃO")</f>
        <v>NÃO</v>
      </c>
    </row>
    <row r="2382" spans="1:18" hidden="1">
      <c r="A2382" t="s">
        <v>2610</v>
      </c>
      <c r="B2382" t="s">
        <v>74</v>
      </c>
      <c r="C2382">
        <v>300280766</v>
      </c>
      <c r="D2382">
        <v>16500270</v>
      </c>
      <c r="E2382" t="s">
        <v>45</v>
      </c>
      <c r="F2382" t="s">
        <v>259</v>
      </c>
      <c r="G2382">
        <v>1010</v>
      </c>
      <c r="H2382" t="s">
        <v>3865</v>
      </c>
      <c r="K2382" s="11">
        <v>46234.44804398148</v>
      </c>
      <c r="M2382">
        <v>1711</v>
      </c>
      <c r="N2382" t="s">
        <v>867</v>
      </c>
      <c r="O2382">
        <v>0</v>
      </c>
      <c r="P2382" s="5"/>
      <c r="Q2382" s="10">
        <f>INT(Tabela1[[#This Row],[DATA]])</f>
        <v>46234</v>
      </c>
      <c r="R2382" s="14" t="str">
        <f ca="1">IF(AND(Q2382&gt;=TODAY()-WEEKDAY(TODAY(),2)+1,Q2382&lt;TODAY()),"SIM","NÃO")</f>
        <v>NÃO</v>
      </c>
    </row>
    <row r="2383" spans="1:18" hidden="1">
      <c r="A2383" t="s">
        <v>2610</v>
      </c>
      <c r="B2383" t="s">
        <v>74</v>
      </c>
      <c r="C2383">
        <v>300280766</v>
      </c>
      <c r="D2383">
        <v>16500270</v>
      </c>
      <c r="E2383" t="s">
        <v>45</v>
      </c>
      <c r="F2383" t="s">
        <v>3241</v>
      </c>
      <c r="G2383">
        <v>10</v>
      </c>
      <c r="H2383" t="s">
        <v>4189</v>
      </c>
      <c r="K2383" s="11">
        <v>46234.450289351851</v>
      </c>
      <c r="M2383">
        <v>1712</v>
      </c>
      <c r="N2383" t="s">
        <v>867</v>
      </c>
      <c r="O2383">
        <v>10000216008</v>
      </c>
      <c r="P2383" s="5"/>
      <c r="Q2383" s="10">
        <f>INT(Tabela1[[#This Row],[DATA]])</f>
        <v>46234</v>
      </c>
      <c r="R2383" s="14" t="str">
        <f ca="1">IF(AND(Q2383&gt;=TODAY()-WEEKDAY(TODAY(),2)+1,Q2383&lt;TODAY()),"SIM","NÃO")</f>
        <v>NÃO</v>
      </c>
    </row>
    <row r="2384" spans="1:18" hidden="1">
      <c r="A2384" t="s">
        <v>185</v>
      </c>
      <c r="B2384" t="s">
        <v>1625</v>
      </c>
      <c r="C2384">
        <v>300281929</v>
      </c>
      <c r="D2384">
        <v>16466209</v>
      </c>
      <c r="E2384" t="s">
        <v>37</v>
      </c>
      <c r="F2384" t="s">
        <v>177</v>
      </c>
      <c r="G2384">
        <v>110</v>
      </c>
      <c r="H2384" t="s">
        <v>2137</v>
      </c>
      <c r="K2384" s="11">
        <v>46234.451504629629</v>
      </c>
      <c r="M2384">
        <v>1713</v>
      </c>
      <c r="N2384" t="s">
        <v>867</v>
      </c>
      <c r="O2384">
        <v>10000218944</v>
      </c>
      <c r="P2384" s="5"/>
      <c r="Q2384" s="10">
        <f>INT(Tabela1[[#This Row],[DATA]])</f>
        <v>46234</v>
      </c>
      <c r="R2384" s="14" t="str">
        <f ca="1">IF(AND(Q2384&gt;=TODAY()-WEEKDAY(TODAY(),2)+1,Q2384&lt;TODAY()),"SIM","NÃO")</f>
        <v>NÃO</v>
      </c>
    </row>
    <row r="2385" spans="1:18" hidden="1">
      <c r="A2385" t="s">
        <v>428</v>
      </c>
      <c r="B2385" t="s">
        <v>429</v>
      </c>
      <c r="C2385">
        <v>300281466</v>
      </c>
      <c r="D2385">
        <v>13044826</v>
      </c>
      <c r="E2385" t="s">
        <v>29</v>
      </c>
      <c r="F2385" t="s">
        <v>2405</v>
      </c>
      <c r="G2385">
        <v>7</v>
      </c>
      <c r="H2385" t="s">
        <v>4190</v>
      </c>
      <c r="K2385" s="11">
        <v>46234.485150462962</v>
      </c>
      <c r="M2385">
        <v>1714</v>
      </c>
      <c r="N2385" t="s">
        <v>867</v>
      </c>
      <c r="O2385">
        <v>0</v>
      </c>
      <c r="P2385" s="5"/>
      <c r="Q2385" s="10">
        <f>INT(Tabela1[[#This Row],[DATA]])</f>
        <v>46234</v>
      </c>
      <c r="R2385" s="14" t="str">
        <f ca="1">IF(AND(Q2385&gt;=TODAY()-WEEKDAY(TODAY(),2)+1,Q2385&lt;TODAY()),"SIM","NÃO")</f>
        <v>NÃO</v>
      </c>
    </row>
    <row r="2386" spans="1:18" hidden="1">
      <c r="A2386" t="s">
        <v>1236</v>
      </c>
      <c r="B2386" t="s">
        <v>1237</v>
      </c>
      <c r="C2386">
        <v>300281532</v>
      </c>
      <c r="D2386">
        <v>16494610</v>
      </c>
      <c r="E2386" t="s">
        <v>37</v>
      </c>
      <c r="F2386" t="s">
        <v>3343</v>
      </c>
      <c r="G2386">
        <v>230</v>
      </c>
      <c r="H2386" t="s">
        <v>4191</v>
      </c>
      <c r="K2386" s="11">
        <v>46234.510092592594</v>
      </c>
      <c r="M2386">
        <v>1715</v>
      </c>
      <c r="N2386" t="s">
        <v>867</v>
      </c>
      <c r="O2386" t="s">
        <v>3343</v>
      </c>
      <c r="P2386" s="5"/>
      <c r="Q2386" s="10">
        <f>INT(Tabela1[[#This Row],[DATA]])</f>
        <v>46234</v>
      </c>
      <c r="R2386" s="14" t="str">
        <f ca="1">IF(AND(Q2386&gt;=TODAY()-WEEKDAY(TODAY(),2)+1,Q2386&lt;TODAY()),"SIM","NÃO")</f>
        <v>NÃO</v>
      </c>
    </row>
    <row r="2387" spans="1:18" hidden="1">
      <c r="A2387" t="s">
        <v>1236</v>
      </c>
      <c r="B2387" t="s">
        <v>1237</v>
      </c>
      <c r="C2387">
        <v>300281532</v>
      </c>
      <c r="D2387">
        <v>16494610</v>
      </c>
      <c r="E2387" t="s">
        <v>37</v>
      </c>
      <c r="F2387" t="s">
        <v>3297</v>
      </c>
      <c r="G2387">
        <v>230</v>
      </c>
      <c r="H2387" t="s">
        <v>4192</v>
      </c>
      <c r="K2387" s="11">
        <v>46234.514120370368</v>
      </c>
      <c r="M2387">
        <v>1716</v>
      </c>
      <c r="N2387" t="s">
        <v>867</v>
      </c>
      <c r="O2387" t="s">
        <v>3297</v>
      </c>
      <c r="P2387" s="5"/>
      <c r="Q2387" s="10">
        <f>INT(Tabela1[[#This Row],[DATA]])</f>
        <v>46234</v>
      </c>
      <c r="R2387" s="14" t="str">
        <f ca="1">IF(AND(Q2387&gt;=TODAY()-WEEKDAY(TODAY(),2)+1,Q2387&lt;TODAY()),"SIM","NÃO")</f>
        <v>NÃO</v>
      </c>
    </row>
    <row r="2388" spans="1:18" hidden="1">
      <c r="A2388" t="s">
        <v>1236</v>
      </c>
      <c r="B2388" t="s">
        <v>1237</v>
      </c>
      <c r="C2388">
        <v>300281532</v>
      </c>
      <c r="D2388">
        <v>16494610</v>
      </c>
      <c r="E2388" t="s">
        <v>37</v>
      </c>
      <c r="F2388" t="s">
        <v>3343</v>
      </c>
      <c r="G2388">
        <v>233</v>
      </c>
      <c r="H2388" t="s">
        <v>4192</v>
      </c>
      <c r="K2388" s="11">
        <v>46234.519629629627</v>
      </c>
      <c r="M2388">
        <v>1717</v>
      </c>
      <c r="N2388" t="s">
        <v>867</v>
      </c>
      <c r="O2388" t="s">
        <v>3343</v>
      </c>
      <c r="P2388" s="5"/>
      <c r="Q2388" s="10">
        <f>INT(Tabela1[[#This Row],[DATA]])</f>
        <v>46234</v>
      </c>
      <c r="R2388" s="14" t="str">
        <f ca="1">IF(AND(Q2388&gt;=TODAY()-WEEKDAY(TODAY(),2)+1,Q2388&lt;TODAY()),"SIM","NÃO")</f>
        <v>NÃO</v>
      </c>
    </row>
    <row r="2389" spans="1:18" hidden="1">
      <c r="A2389" t="s">
        <v>332</v>
      </c>
      <c r="B2389" t="s">
        <v>28</v>
      </c>
      <c r="C2389">
        <v>300284138</v>
      </c>
      <c r="D2389">
        <v>16479157</v>
      </c>
      <c r="E2389" t="s">
        <v>45</v>
      </c>
      <c r="F2389" t="s">
        <v>2405</v>
      </c>
      <c r="G2389">
        <v>1</v>
      </c>
      <c r="H2389" t="s">
        <v>1966</v>
      </c>
      <c r="K2389" s="11">
        <v>46234.553344907406</v>
      </c>
      <c r="M2389">
        <v>1718</v>
      </c>
      <c r="N2389" t="s">
        <v>867</v>
      </c>
      <c r="O2389">
        <v>0</v>
      </c>
      <c r="P2389" s="5"/>
      <c r="Q2389" s="10">
        <f>INT(Tabela1[[#This Row],[DATA]])</f>
        <v>46234</v>
      </c>
      <c r="R2389" s="14" t="str">
        <f ca="1">IF(AND(Q2389&gt;=TODAY()-WEEKDAY(TODAY(),2)+1,Q2389&lt;TODAY()),"SIM","NÃO")</f>
        <v>NÃO</v>
      </c>
    </row>
    <row r="2390" spans="1:18" hidden="1">
      <c r="A2390" t="s">
        <v>249</v>
      </c>
      <c r="B2390" t="s">
        <v>112</v>
      </c>
      <c r="C2390">
        <v>300280737</v>
      </c>
      <c r="D2390">
        <v>12416746</v>
      </c>
      <c r="E2390" t="s">
        <v>45</v>
      </c>
      <c r="F2390" t="s">
        <v>96</v>
      </c>
      <c r="G2390">
        <v>20</v>
      </c>
      <c r="H2390" t="s">
        <v>1335</v>
      </c>
      <c r="J2390" t="s">
        <v>4193</v>
      </c>
      <c r="K2390" s="11">
        <v>46234.562094907407</v>
      </c>
      <c r="M2390">
        <v>1719</v>
      </c>
      <c r="N2390" t="s">
        <v>867</v>
      </c>
      <c r="O2390">
        <v>0</v>
      </c>
      <c r="P2390" s="5"/>
      <c r="Q2390" s="10">
        <f>INT(Tabela1[[#This Row],[DATA]])</f>
        <v>46234</v>
      </c>
      <c r="R2390" s="14" t="str">
        <f ca="1">IF(AND(Q2390&gt;=TODAY()-WEEKDAY(TODAY(),2)+1,Q2390&lt;TODAY()),"SIM","NÃO")</f>
        <v>NÃO</v>
      </c>
    </row>
    <row r="2391" spans="1:18" hidden="1">
      <c r="A2391" t="s">
        <v>2649</v>
      </c>
      <c r="B2391" t="s">
        <v>137</v>
      </c>
      <c r="C2391">
        <v>300284927</v>
      </c>
      <c r="D2391">
        <v>16249984</v>
      </c>
      <c r="E2391" t="s">
        <v>45</v>
      </c>
      <c r="F2391" t="s">
        <v>2405</v>
      </c>
      <c r="G2391">
        <v>25</v>
      </c>
      <c r="H2391" t="s">
        <v>2318</v>
      </c>
      <c r="K2391" s="11">
        <v>46234.574224537035</v>
      </c>
      <c r="M2391">
        <v>1720</v>
      </c>
      <c r="N2391" t="s">
        <v>867</v>
      </c>
      <c r="O2391" t="s">
        <v>138</v>
      </c>
      <c r="P2391" s="5"/>
      <c r="Q2391" s="10">
        <f>INT(Tabela1[[#This Row],[DATA]])</f>
        <v>46234</v>
      </c>
      <c r="R2391" s="14" t="str">
        <f ca="1">IF(AND(Q2391&gt;=TODAY()-WEEKDAY(TODAY(),2)+1,Q2391&lt;TODAY()),"SIM","NÃO")</f>
        <v>NÃO</v>
      </c>
    </row>
    <row r="2392" spans="1:18" hidden="1">
      <c r="A2392" t="s">
        <v>541</v>
      </c>
      <c r="B2392" t="s">
        <v>542</v>
      </c>
      <c r="C2392">
        <v>300286756</v>
      </c>
      <c r="D2392">
        <v>16223462</v>
      </c>
      <c r="E2392" t="s">
        <v>45</v>
      </c>
      <c r="F2392" t="s">
        <v>3212</v>
      </c>
      <c r="G2392">
        <v>1.8380000000000001</v>
      </c>
      <c r="H2392" t="s">
        <v>2137</v>
      </c>
      <c r="J2392" t="s">
        <v>4194</v>
      </c>
      <c r="K2392" s="11">
        <v>46234.576724537037</v>
      </c>
      <c r="M2392">
        <v>1721</v>
      </c>
      <c r="N2392" t="s">
        <v>867</v>
      </c>
      <c r="O2392">
        <v>0</v>
      </c>
      <c r="P2392" s="5"/>
      <c r="Q2392" s="10">
        <f>INT(Tabela1[[#This Row],[DATA]])</f>
        <v>46234</v>
      </c>
      <c r="R2392" s="14" t="str">
        <f ca="1">IF(AND(Q2392&gt;=TODAY()-WEEKDAY(TODAY(),2)+1,Q2392&lt;TODAY()),"SIM","NÃO")</f>
        <v>NÃO</v>
      </c>
    </row>
    <row r="2393" spans="1:18" hidden="1">
      <c r="A2393" t="s">
        <v>3513</v>
      </c>
      <c r="B2393" t="s">
        <v>3688</v>
      </c>
      <c r="C2393">
        <v>300282334</v>
      </c>
      <c r="D2393">
        <v>16507630</v>
      </c>
      <c r="E2393" t="s">
        <v>37</v>
      </c>
      <c r="F2393" t="s">
        <v>3241</v>
      </c>
      <c r="G2393" t="s">
        <v>4195</v>
      </c>
      <c r="H2393" t="s">
        <v>4196</v>
      </c>
      <c r="J2393" t="s">
        <v>4197</v>
      </c>
      <c r="K2393" s="11">
        <v>46234.594328703701</v>
      </c>
      <c r="M2393">
        <v>1722</v>
      </c>
      <c r="N2393" t="s">
        <v>867</v>
      </c>
      <c r="O2393">
        <v>0</v>
      </c>
      <c r="P2393" s="5"/>
      <c r="Q2393" s="10">
        <f>INT(Tabela1[[#This Row],[DATA]])</f>
        <v>46234</v>
      </c>
      <c r="R2393" s="14" t="str">
        <f ca="1">IF(AND(Q2393&gt;=TODAY()-WEEKDAY(TODAY(),2)+1,Q2393&lt;TODAY()),"SIM","NÃO")</f>
        <v>NÃO</v>
      </c>
    </row>
    <row r="2394" spans="1:18" hidden="1">
      <c r="A2394" t="s">
        <v>605</v>
      </c>
      <c r="B2394" t="s">
        <v>606</v>
      </c>
      <c r="C2394">
        <v>300278731</v>
      </c>
      <c r="D2394">
        <v>16443266</v>
      </c>
      <c r="E2394" t="s">
        <v>29</v>
      </c>
      <c r="F2394" t="s">
        <v>259</v>
      </c>
      <c r="G2394" t="s">
        <v>2208</v>
      </c>
      <c r="H2394" t="s">
        <v>2091</v>
      </c>
      <c r="K2394" s="11">
        <v>46234.60869212963</v>
      </c>
      <c r="M2394">
        <v>1723</v>
      </c>
      <c r="N2394" t="s">
        <v>867</v>
      </c>
      <c r="O2394">
        <v>72007</v>
      </c>
      <c r="P2394" s="5"/>
      <c r="Q2394" s="10">
        <f>INT(Tabela1[[#This Row],[DATA]])</f>
        <v>46234</v>
      </c>
      <c r="R2394" s="14" t="str">
        <f ca="1">IF(AND(Q2394&gt;=TODAY()-WEEKDAY(TODAY(),2)+1,Q2394&lt;TODAY()),"SIM","NÃO")</f>
        <v>NÃO</v>
      </c>
    </row>
    <row r="2395" spans="1:18" hidden="1">
      <c r="A2395" t="s">
        <v>605</v>
      </c>
      <c r="B2395" t="s">
        <v>606</v>
      </c>
      <c r="C2395">
        <v>300278731</v>
      </c>
      <c r="D2395">
        <v>16443266</v>
      </c>
      <c r="E2395" t="s">
        <v>29</v>
      </c>
      <c r="F2395" t="s">
        <v>3241</v>
      </c>
      <c r="G2395">
        <v>10</v>
      </c>
      <c r="H2395" t="s">
        <v>2709</v>
      </c>
      <c r="K2395" s="11">
        <v>46234.609918981485</v>
      </c>
      <c r="M2395">
        <v>1724</v>
      </c>
      <c r="N2395" t="s">
        <v>867</v>
      </c>
      <c r="O2395">
        <v>72579</v>
      </c>
      <c r="P2395" s="5"/>
      <c r="Q2395" s="10">
        <f>INT(Tabela1[[#This Row],[DATA]])</f>
        <v>46234</v>
      </c>
      <c r="R2395" s="14" t="str">
        <f ca="1">IF(AND(Q2395&gt;=TODAY()-WEEKDAY(TODAY(),2)+1,Q2395&lt;TODAY()),"SIM","NÃO")</f>
        <v>NÃO</v>
      </c>
    </row>
    <row r="2396" spans="1:18" hidden="1">
      <c r="A2396" t="s">
        <v>1236</v>
      </c>
      <c r="B2396" t="s">
        <v>1237</v>
      </c>
      <c r="C2396">
        <v>300181532</v>
      </c>
      <c r="D2396">
        <v>16494610</v>
      </c>
      <c r="E2396" t="s">
        <v>37</v>
      </c>
      <c r="F2396" t="s">
        <v>216</v>
      </c>
      <c r="G2396">
        <v>235</v>
      </c>
      <c r="H2396" t="s">
        <v>4198</v>
      </c>
      <c r="K2396" s="11">
        <v>46234.624988425923</v>
      </c>
      <c r="M2396">
        <v>1725</v>
      </c>
      <c r="N2396" t="s">
        <v>867</v>
      </c>
      <c r="O2396" t="s">
        <v>216</v>
      </c>
      <c r="P2396" s="5"/>
      <c r="Q2396" s="10">
        <f>INT(Tabela1[[#This Row],[DATA]])</f>
        <v>46234</v>
      </c>
      <c r="R2396" s="14" t="str">
        <f ca="1">IF(AND(Q2396&gt;=TODAY()-WEEKDAY(TODAY(),2)+1,Q2396&lt;TODAY()),"SIM","NÃO")</f>
        <v>NÃO</v>
      </c>
    </row>
    <row r="2397" spans="1:18" hidden="1">
      <c r="A2397" t="s">
        <v>253</v>
      </c>
      <c r="B2397" t="s">
        <v>254</v>
      </c>
      <c r="C2397">
        <v>300286142</v>
      </c>
      <c r="D2397">
        <v>15859177</v>
      </c>
      <c r="E2397" t="s">
        <v>37</v>
      </c>
      <c r="F2397" t="s">
        <v>4102</v>
      </c>
      <c r="G2397">
        <v>10</v>
      </c>
      <c r="H2397" t="s">
        <v>4199</v>
      </c>
      <c r="J2397" t="s">
        <v>3265</v>
      </c>
      <c r="K2397" s="11">
        <v>46234.679282407407</v>
      </c>
      <c r="M2397">
        <v>1726</v>
      </c>
      <c r="N2397" t="s">
        <v>867</v>
      </c>
      <c r="O2397">
        <v>0</v>
      </c>
      <c r="P2397" s="5"/>
      <c r="Q2397" s="10">
        <f>INT(Tabela1[[#This Row],[DATA]])</f>
        <v>46234</v>
      </c>
      <c r="R2397" s="14" t="str">
        <f ca="1">IF(AND(Q2397&gt;=TODAY()-WEEKDAY(TODAY(),2)+1,Q2397&lt;TODAY()),"SIM","NÃO")</f>
        <v>NÃO</v>
      </c>
    </row>
    <row r="2398" spans="1:18" hidden="1">
      <c r="A2398" t="s">
        <v>489</v>
      </c>
      <c r="B2398" t="s">
        <v>490</v>
      </c>
      <c r="C2398">
        <v>300281534</v>
      </c>
      <c r="D2398">
        <v>16494610</v>
      </c>
      <c r="E2398" t="s">
        <v>37</v>
      </c>
      <c r="F2398" t="s">
        <v>2213</v>
      </c>
      <c r="G2398">
        <v>38</v>
      </c>
      <c r="H2398" t="s">
        <v>4200</v>
      </c>
      <c r="J2398" t="s">
        <v>4201</v>
      </c>
      <c r="K2398" s="11">
        <v>46234.690972222219</v>
      </c>
      <c r="M2398">
        <v>1727</v>
      </c>
      <c r="N2398" t="s">
        <v>867</v>
      </c>
      <c r="O2398" t="s">
        <v>4202</v>
      </c>
      <c r="P2398" s="5"/>
      <c r="Q2398" s="10">
        <f>INT(Tabela1[[#This Row],[DATA]])</f>
        <v>46234</v>
      </c>
      <c r="R2398" s="14" t="str">
        <f ca="1">IF(AND(Q2398&gt;=TODAY()-WEEKDAY(TODAY(),2)+1,Q2398&lt;TODAY()),"SIM","NÃO")</f>
        <v>NÃO</v>
      </c>
    </row>
    <row r="2399" spans="1:18" hidden="1">
      <c r="A2399" t="s">
        <v>313</v>
      </c>
      <c r="B2399" t="s">
        <v>314</v>
      </c>
      <c r="C2399">
        <v>300285834</v>
      </c>
      <c r="D2399">
        <v>16576667</v>
      </c>
      <c r="E2399" t="s">
        <v>45</v>
      </c>
      <c r="F2399" t="s">
        <v>3502</v>
      </c>
      <c r="G2399">
        <v>200</v>
      </c>
      <c r="H2399" t="s">
        <v>4203</v>
      </c>
      <c r="J2399" t="s">
        <v>4204</v>
      </c>
      <c r="K2399" s="11">
        <v>46234.706921296296</v>
      </c>
      <c r="M2399">
        <v>1728</v>
      </c>
      <c r="N2399" t="s">
        <v>867</v>
      </c>
      <c r="O2399">
        <v>0</v>
      </c>
      <c r="P2399" s="5"/>
      <c r="Q2399" s="10">
        <f>INT(Tabela1[[#This Row],[DATA]])</f>
        <v>46234</v>
      </c>
      <c r="R2399" s="14" t="str">
        <f ca="1">IF(AND(Q2399&gt;=TODAY()-WEEKDAY(TODAY(),2)+1,Q2399&lt;TODAY()),"SIM","NÃO")</f>
        <v>NÃO</v>
      </c>
    </row>
    <row r="2400" spans="1:18" hidden="1">
      <c r="A2400" t="s">
        <v>185</v>
      </c>
      <c r="B2400" t="s">
        <v>1625</v>
      </c>
      <c r="C2400">
        <v>300281929</v>
      </c>
      <c r="D2400">
        <v>16466209</v>
      </c>
      <c r="E2400" t="s">
        <v>37</v>
      </c>
      <c r="F2400" t="s">
        <v>2405</v>
      </c>
      <c r="G2400">
        <v>25</v>
      </c>
      <c r="H2400" t="s">
        <v>2313</v>
      </c>
      <c r="K2400" s="11">
        <v>46234.739803240744</v>
      </c>
      <c r="M2400">
        <v>1729</v>
      </c>
      <c r="N2400" t="s">
        <v>867</v>
      </c>
      <c r="O2400">
        <v>0</v>
      </c>
      <c r="P2400" s="5"/>
      <c r="Q2400" s="10">
        <f>INT(Tabela1[[#This Row],[DATA]])</f>
        <v>46234</v>
      </c>
      <c r="R2400" s="14" t="str">
        <f ca="1">IF(AND(Q2400&gt;=TODAY()-WEEKDAY(TODAY(),2)+1,Q2400&lt;TODAY()),"SIM","NÃO")</f>
        <v>NÃO</v>
      </c>
    </row>
    <row r="2401" spans="1:18" hidden="1">
      <c r="A2401" t="s">
        <v>130</v>
      </c>
      <c r="B2401" t="s">
        <v>4205</v>
      </c>
      <c r="C2401">
        <v>300285105</v>
      </c>
      <c r="D2401">
        <v>16261542</v>
      </c>
      <c r="E2401" t="s">
        <v>37</v>
      </c>
      <c r="F2401" t="s">
        <v>177</v>
      </c>
      <c r="G2401">
        <v>50</v>
      </c>
      <c r="H2401" t="s">
        <v>4206</v>
      </c>
      <c r="K2401" s="11">
        <v>46234.745092592595</v>
      </c>
      <c r="M2401">
        <v>1730</v>
      </c>
      <c r="N2401" t="s">
        <v>867</v>
      </c>
      <c r="O2401">
        <v>0</v>
      </c>
      <c r="P2401" s="5"/>
      <c r="Q2401" s="10">
        <f>INT(Tabela1[[#This Row],[DATA]])</f>
        <v>46234</v>
      </c>
      <c r="R2401" s="14" t="str">
        <f ca="1">IF(AND(Q2401&gt;=TODAY()-WEEKDAY(TODAY(),2)+1,Q2401&lt;TODAY()),"SIM","NÃO")</f>
        <v>NÃO</v>
      </c>
    </row>
    <row r="2402" spans="1:18" hidden="1">
      <c r="A2402" t="s">
        <v>79</v>
      </c>
      <c r="B2402" t="s">
        <v>80</v>
      </c>
      <c r="C2402">
        <v>300282807</v>
      </c>
      <c r="D2402">
        <v>16474244</v>
      </c>
      <c r="E2402" t="s">
        <v>29</v>
      </c>
      <c r="F2402" t="s">
        <v>3241</v>
      </c>
      <c r="G2402" t="s">
        <v>4207</v>
      </c>
      <c r="H2402" t="s">
        <v>2206</v>
      </c>
      <c r="J2402" t="s">
        <v>1992</v>
      </c>
      <c r="K2402" s="11">
        <v>46234.775729166664</v>
      </c>
      <c r="M2402">
        <v>1731</v>
      </c>
      <c r="N2402" t="s">
        <v>867</v>
      </c>
      <c r="O2402" t="s">
        <v>4208</v>
      </c>
      <c r="P2402" s="5"/>
      <c r="Q2402" s="10">
        <f>INT(Tabela1[[#This Row],[DATA]])</f>
        <v>46234</v>
      </c>
      <c r="R2402" s="14" t="str">
        <f ca="1">IF(AND(Q2402&gt;=TODAY()-WEEKDAY(TODAY(),2)+1,Q2402&lt;TODAY()),"SIM","NÃO")</f>
        <v>NÃO</v>
      </c>
    </row>
    <row r="2403" spans="1:18" hidden="1">
      <c r="A2403" t="s">
        <v>79</v>
      </c>
      <c r="B2403" t="s">
        <v>3629</v>
      </c>
      <c r="C2403">
        <v>300284019</v>
      </c>
      <c r="D2403">
        <v>16443004</v>
      </c>
      <c r="E2403" t="s">
        <v>29</v>
      </c>
      <c r="F2403" t="s">
        <v>3502</v>
      </c>
      <c r="G2403" t="s">
        <v>4209</v>
      </c>
      <c r="H2403" t="s">
        <v>4210</v>
      </c>
      <c r="K2403" s="11">
        <v>46234.777048611111</v>
      </c>
      <c r="M2403">
        <v>1732</v>
      </c>
      <c r="N2403" t="s">
        <v>867</v>
      </c>
      <c r="O2403">
        <v>0</v>
      </c>
      <c r="P2403" s="5"/>
      <c r="Q2403" s="10">
        <f>INT(Tabela1[[#This Row],[DATA]])</f>
        <v>46234</v>
      </c>
      <c r="R2403" s="14" t="str">
        <f ca="1">IF(AND(Q2403&gt;=TODAY()-WEEKDAY(TODAY(),2)+1,Q2403&lt;TODAY()),"SIM","NÃO")</f>
        <v>NÃO</v>
      </c>
    </row>
    <row r="2404" spans="1:18" hidden="1">
      <c r="A2404" t="s">
        <v>79</v>
      </c>
      <c r="B2404" t="s">
        <v>80</v>
      </c>
      <c r="C2404">
        <v>300283691</v>
      </c>
      <c r="D2404">
        <v>15215539</v>
      </c>
      <c r="E2404" t="s">
        <v>29</v>
      </c>
      <c r="F2404" t="s">
        <v>3241</v>
      </c>
      <c r="G2404" t="s">
        <v>2792</v>
      </c>
      <c r="H2404" t="s">
        <v>4210</v>
      </c>
      <c r="K2404" s="11">
        <v>46234.779791666668</v>
      </c>
      <c r="M2404">
        <v>1733</v>
      </c>
      <c r="N2404" t="s">
        <v>867</v>
      </c>
      <c r="O2404" t="s">
        <v>4211</v>
      </c>
      <c r="P2404" s="5"/>
      <c r="Q2404" s="10">
        <f>INT(Tabela1[[#This Row],[DATA]])</f>
        <v>46234</v>
      </c>
      <c r="R2404" s="14" t="str">
        <f ca="1">IF(AND(Q2404&gt;=TODAY()-WEEKDAY(TODAY(),2)+1,Q2404&lt;TODAY()),"SIM","NÃO")</f>
        <v>NÃO</v>
      </c>
    </row>
    <row r="2405" spans="1:18" hidden="1">
      <c r="A2405" t="s">
        <v>79</v>
      </c>
      <c r="B2405" t="s">
        <v>80</v>
      </c>
      <c r="C2405">
        <v>300282807</v>
      </c>
      <c r="D2405">
        <v>16474244</v>
      </c>
      <c r="E2405" t="s">
        <v>29</v>
      </c>
      <c r="F2405" t="s">
        <v>259</v>
      </c>
      <c r="G2405" t="s">
        <v>2792</v>
      </c>
      <c r="H2405" t="s">
        <v>4210</v>
      </c>
      <c r="J2405" t="s">
        <v>4212</v>
      </c>
      <c r="K2405" s="11">
        <v>46234.781273148146</v>
      </c>
      <c r="M2405">
        <v>1734</v>
      </c>
      <c r="N2405" t="s">
        <v>867</v>
      </c>
      <c r="O2405" t="s">
        <v>4213</v>
      </c>
      <c r="P2405" s="5"/>
      <c r="Q2405" s="10">
        <f>INT(Tabela1[[#This Row],[DATA]])</f>
        <v>46234</v>
      </c>
      <c r="R2405" s="14" t="str">
        <f ca="1">IF(AND(Q2405&gt;=TODAY()-WEEKDAY(TODAY(),2)+1,Q2405&lt;TODAY()),"SIM","NÃO")</f>
        <v>NÃO</v>
      </c>
    </row>
    <row r="2406" spans="1:18" hidden="1">
      <c r="A2406" t="s">
        <v>79</v>
      </c>
      <c r="B2406" t="s">
        <v>80</v>
      </c>
      <c r="C2406">
        <v>300284019</v>
      </c>
      <c r="D2406">
        <v>16443004</v>
      </c>
      <c r="E2406" t="s">
        <v>29</v>
      </c>
      <c r="F2406" t="s">
        <v>3502</v>
      </c>
      <c r="G2406" t="s">
        <v>4214</v>
      </c>
      <c r="H2406" t="s">
        <v>4210</v>
      </c>
      <c r="K2406" s="11">
        <v>46234.782858796294</v>
      </c>
      <c r="M2406">
        <v>1735</v>
      </c>
      <c r="N2406" t="s">
        <v>867</v>
      </c>
      <c r="O2406">
        <v>0</v>
      </c>
      <c r="P2406" s="5"/>
      <c r="Q2406" s="10">
        <f>INT(Tabela1[[#This Row],[DATA]])</f>
        <v>46234</v>
      </c>
      <c r="R2406" s="14" t="str">
        <f ca="1">IF(AND(Q2406&gt;=TODAY()-WEEKDAY(TODAY(),2)+1,Q2406&lt;TODAY()),"SIM","NÃO")</f>
        <v>NÃO</v>
      </c>
    </row>
    <row r="2407" spans="1:18" hidden="1">
      <c r="A2407" t="s">
        <v>79</v>
      </c>
      <c r="B2407" t="s">
        <v>80</v>
      </c>
      <c r="C2407">
        <v>300285086</v>
      </c>
      <c r="D2407">
        <v>16442717</v>
      </c>
      <c r="E2407" t="s">
        <v>29</v>
      </c>
      <c r="F2407" t="s">
        <v>3241</v>
      </c>
      <c r="G2407" t="s">
        <v>4207</v>
      </c>
      <c r="H2407" t="s">
        <v>4210</v>
      </c>
      <c r="K2407" s="11">
        <v>46234.784733796296</v>
      </c>
      <c r="M2407">
        <v>1736</v>
      </c>
      <c r="N2407" t="s">
        <v>867</v>
      </c>
      <c r="O2407" t="s">
        <v>4215</v>
      </c>
      <c r="P2407" s="5"/>
      <c r="Q2407" s="10">
        <f>INT(Tabela1[[#This Row],[DATA]])</f>
        <v>46234</v>
      </c>
      <c r="R2407" s="14" t="str">
        <f ca="1">IF(AND(Q2407&gt;=TODAY()-WEEKDAY(TODAY(),2)+1,Q2407&lt;TODAY()),"SIM","NÃO")</f>
        <v>NÃO</v>
      </c>
    </row>
    <row r="2408" spans="1:18" hidden="1">
      <c r="A2408" t="s">
        <v>79</v>
      </c>
      <c r="B2408" t="s">
        <v>80</v>
      </c>
      <c r="C2408">
        <v>300285086</v>
      </c>
      <c r="D2408">
        <v>16442717</v>
      </c>
      <c r="E2408" t="s">
        <v>29</v>
      </c>
      <c r="F2408" t="s">
        <v>259</v>
      </c>
      <c r="G2408" t="s">
        <v>255</v>
      </c>
      <c r="H2408" t="s">
        <v>4216</v>
      </c>
      <c r="K2408" s="11">
        <v>46234.785671296297</v>
      </c>
      <c r="M2408">
        <v>1737</v>
      </c>
      <c r="N2408" t="s">
        <v>867</v>
      </c>
      <c r="O2408" t="s">
        <v>4217</v>
      </c>
      <c r="P2408" s="5"/>
      <c r="Q2408" s="10">
        <f>INT(Tabela1[[#This Row],[DATA]])</f>
        <v>46234</v>
      </c>
      <c r="R2408" s="14" t="str">
        <f ca="1">IF(AND(Q2408&gt;=TODAY()-WEEKDAY(TODAY(),2)+1,Q2408&lt;TODAY()),"SIM","NÃO")</f>
        <v>NÃO</v>
      </c>
    </row>
    <row r="2409" spans="1:18" hidden="1">
      <c r="A2409" t="s">
        <v>79</v>
      </c>
      <c r="B2409" t="s">
        <v>80</v>
      </c>
      <c r="C2409">
        <v>300284373</v>
      </c>
      <c r="D2409">
        <v>16460863</v>
      </c>
      <c r="E2409" t="s">
        <v>29</v>
      </c>
      <c r="F2409" t="s">
        <v>3241</v>
      </c>
      <c r="G2409" t="s">
        <v>2208</v>
      </c>
      <c r="H2409" t="s">
        <v>4216</v>
      </c>
      <c r="K2409" s="11">
        <v>46234.794861111113</v>
      </c>
      <c r="M2409">
        <v>1738</v>
      </c>
      <c r="N2409" t="s">
        <v>867</v>
      </c>
      <c r="O2409">
        <v>16460863</v>
      </c>
      <c r="P2409" s="5"/>
      <c r="Q2409" s="10">
        <f>INT(Tabela1[[#This Row],[DATA]])</f>
        <v>46234</v>
      </c>
      <c r="R2409" s="14" t="str">
        <f ca="1">IF(AND(Q2409&gt;=TODAY()-WEEKDAY(TODAY(),2)+1,Q2409&lt;TODAY()),"SIM","NÃO")</f>
        <v>NÃO</v>
      </c>
    </row>
    <row r="2410" spans="1:18" hidden="1">
      <c r="A2410" t="s">
        <v>2654</v>
      </c>
      <c r="B2410" t="s">
        <v>2655</v>
      </c>
      <c r="C2410">
        <v>300285106</v>
      </c>
      <c r="D2410">
        <v>16261542</v>
      </c>
      <c r="E2410" t="s">
        <v>37</v>
      </c>
      <c r="F2410" t="s">
        <v>3215</v>
      </c>
      <c r="G2410">
        <v>0</v>
      </c>
      <c r="H2410" t="s">
        <v>2091</v>
      </c>
      <c r="K2410" s="11">
        <v>46235.355381944442</v>
      </c>
      <c r="M2410">
        <v>1739</v>
      </c>
      <c r="N2410" t="s">
        <v>878</v>
      </c>
      <c r="O2410" t="s">
        <v>4218</v>
      </c>
      <c r="P2410" s="5"/>
      <c r="Q2410" s="10">
        <f>INT(Tabela1[[#This Row],[DATA]])</f>
        <v>46235</v>
      </c>
      <c r="R2410" s="14" t="str">
        <f ca="1">IF(AND(Q2410&gt;=TODAY()-WEEKDAY(TODAY(),2)+1,Q2410&lt;TODAY()),"SIM","NÃO")</f>
        <v>NÃO</v>
      </c>
    </row>
    <row r="2411" spans="1:18" hidden="1">
      <c r="A2411" t="s">
        <v>163</v>
      </c>
      <c r="B2411" t="s">
        <v>164</v>
      </c>
      <c r="C2411">
        <v>300283555</v>
      </c>
      <c r="D2411">
        <v>16559550</v>
      </c>
      <c r="E2411" t="s">
        <v>37</v>
      </c>
      <c r="F2411" t="s">
        <v>2213</v>
      </c>
      <c r="G2411">
        <v>10</v>
      </c>
      <c r="H2411" t="s">
        <v>2292</v>
      </c>
      <c r="K2411" s="11">
        <v>46235.707268518519</v>
      </c>
      <c r="M2411">
        <v>1740</v>
      </c>
      <c r="N2411" t="s">
        <v>867</v>
      </c>
      <c r="O2411">
        <v>10000247658</v>
      </c>
      <c r="P2411" s="5"/>
      <c r="Q2411" s="10">
        <f>INT(Tabela1[[#This Row],[DATA]])</f>
        <v>46235</v>
      </c>
      <c r="R2411" s="14" t="str">
        <f ca="1">IF(AND(Q2411&gt;=TODAY()-WEEKDAY(TODAY(),2)+1,Q2411&lt;TODAY()),"SIM","NÃO")</f>
        <v>NÃO</v>
      </c>
    </row>
    <row r="2412" spans="1:18" hidden="1">
      <c r="A2412" t="s">
        <v>163</v>
      </c>
      <c r="B2412" t="s">
        <v>164</v>
      </c>
      <c r="C2412">
        <v>300283555</v>
      </c>
      <c r="D2412">
        <v>16559550</v>
      </c>
      <c r="E2412" t="s">
        <v>37</v>
      </c>
      <c r="F2412" t="s">
        <v>2213</v>
      </c>
      <c r="G2412">
        <v>10</v>
      </c>
      <c r="H2412" t="s">
        <v>2292</v>
      </c>
      <c r="K2412" s="11">
        <v>46235.708067129628</v>
      </c>
      <c r="M2412">
        <v>1741</v>
      </c>
      <c r="N2412" t="s">
        <v>867</v>
      </c>
      <c r="O2412">
        <v>10000253895</v>
      </c>
      <c r="P2412" s="5"/>
      <c r="Q2412" s="10">
        <f>INT(Tabela1[[#This Row],[DATA]])</f>
        <v>46235</v>
      </c>
      <c r="R2412" s="14" t="str">
        <f ca="1">IF(AND(Q2412&gt;=TODAY()-WEEKDAY(TODAY(),2)+1,Q2412&lt;TODAY()),"SIM","NÃO")</f>
        <v>NÃO</v>
      </c>
    </row>
    <row r="2413" spans="1:18" hidden="1">
      <c r="A2413" t="s">
        <v>163</v>
      </c>
      <c r="B2413" t="s">
        <v>164</v>
      </c>
      <c r="C2413">
        <v>300283555</v>
      </c>
      <c r="D2413">
        <v>16559550</v>
      </c>
      <c r="E2413" t="s">
        <v>37</v>
      </c>
      <c r="F2413" t="s">
        <v>2213</v>
      </c>
      <c r="G2413">
        <v>10</v>
      </c>
      <c r="H2413" t="s">
        <v>2292</v>
      </c>
      <c r="K2413" s="11">
        <v>46235.709050925929</v>
      </c>
      <c r="M2413">
        <v>1742</v>
      </c>
      <c r="N2413" t="s">
        <v>867</v>
      </c>
      <c r="O2413">
        <v>10000247655</v>
      </c>
      <c r="P2413" s="5"/>
      <c r="Q2413" s="10">
        <f>INT(Tabela1[[#This Row],[DATA]])</f>
        <v>46235</v>
      </c>
      <c r="R2413" s="14" t="str">
        <f ca="1">IF(AND(Q2413&gt;=TODAY()-WEEKDAY(TODAY(),2)+1,Q2413&lt;TODAY()),"SIM","NÃO")</f>
        <v>NÃO</v>
      </c>
    </row>
    <row r="2414" spans="1:18" hidden="1">
      <c r="A2414" t="s">
        <v>163</v>
      </c>
      <c r="B2414" t="s">
        <v>164</v>
      </c>
      <c r="C2414">
        <v>300283555</v>
      </c>
      <c r="D2414">
        <v>16559550</v>
      </c>
      <c r="E2414" t="s">
        <v>37</v>
      </c>
      <c r="F2414" t="s">
        <v>2213</v>
      </c>
      <c r="G2414">
        <v>10</v>
      </c>
      <c r="H2414" t="s">
        <v>2766</v>
      </c>
      <c r="K2414" s="11">
        <v>46235.70988425926</v>
      </c>
      <c r="M2414">
        <v>1743</v>
      </c>
      <c r="N2414" t="s">
        <v>867</v>
      </c>
      <c r="O2414">
        <v>10000247650</v>
      </c>
      <c r="P2414" s="5"/>
      <c r="Q2414" s="10">
        <f>INT(Tabela1[[#This Row],[DATA]])</f>
        <v>46235</v>
      </c>
      <c r="R2414" s="14" t="str">
        <f ca="1">IF(AND(Q2414&gt;=TODAY()-WEEKDAY(TODAY(),2)+1,Q2414&lt;TODAY()),"SIM","NÃO")</f>
        <v>NÃO</v>
      </c>
    </row>
    <row r="2415" spans="1:18" hidden="1">
      <c r="A2415" t="s">
        <v>163</v>
      </c>
      <c r="B2415" t="s">
        <v>164</v>
      </c>
      <c r="C2415">
        <v>300283555</v>
      </c>
      <c r="D2415">
        <v>16559550</v>
      </c>
      <c r="E2415" t="s">
        <v>37</v>
      </c>
      <c r="F2415" t="s">
        <v>2213</v>
      </c>
      <c r="G2415">
        <v>10</v>
      </c>
      <c r="H2415" t="s">
        <v>2930</v>
      </c>
      <c r="K2415" s="11">
        <v>46235.710787037038</v>
      </c>
      <c r="M2415">
        <v>1744</v>
      </c>
      <c r="N2415" t="s">
        <v>867</v>
      </c>
      <c r="O2415">
        <v>10000247623</v>
      </c>
      <c r="P2415" s="5"/>
      <c r="Q2415" s="10">
        <f>INT(Tabela1[[#This Row],[DATA]])</f>
        <v>46235</v>
      </c>
      <c r="R2415" s="14" t="str">
        <f ca="1">IF(AND(Q2415&gt;=TODAY()-WEEKDAY(TODAY(),2)+1,Q2415&lt;TODAY()),"SIM","NÃO")</f>
        <v>NÃO</v>
      </c>
    </row>
    <row r="2416" spans="1:18" hidden="1">
      <c r="A2416" t="s">
        <v>163</v>
      </c>
      <c r="B2416" t="s">
        <v>164</v>
      </c>
      <c r="C2416">
        <v>300283555</v>
      </c>
      <c r="D2416">
        <v>16559550</v>
      </c>
      <c r="E2416" t="s">
        <v>37</v>
      </c>
      <c r="F2416" t="s">
        <v>2213</v>
      </c>
      <c r="G2416">
        <v>10</v>
      </c>
      <c r="H2416" t="s">
        <v>2292</v>
      </c>
      <c r="K2416" s="11">
        <v>46235.711597222224</v>
      </c>
      <c r="M2416">
        <v>1745</v>
      </c>
      <c r="N2416" t="s">
        <v>867</v>
      </c>
      <c r="O2416">
        <v>10000249817</v>
      </c>
      <c r="P2416" s="5"/>
      <c r="Q2416" s="10">
        <f>INT(Tabela1[[#This Row],[DATA]])</f>
        <v>46235</v>
      </c>
      <c r="R2416" s="14" t="str">
        <f ca="1">IF(AND(Q2416&gt;=TODAY()-WEEKDAY(TODAY(),2)+1,Q2416&lt;TODAY()),"SIM","NÃO")</f>
        <v>NÃO</v>
      </c>
    </row>
    <row r="2417" spans="1:18" hidden="1">
      <c r="A2417" t="s">
        <v>2765</v>
      </c>
      <c r="B2417" t="s">
        <v>107</v>
      </c>
      <c r="C2417">
        <v>300282709</v>
      </c>
      <c r="D2417">
        <v>16474937</v>
      </c>
      <c r="E2417" t="s">
        <v>45</v>
      </c>
      <c r="F2417" t="s">
        <v>3212</v>
      </c>
      <c r="G2417">
        <v>12</v>
      </c>
      <c r="H2417" t="s">
        <v>2292</v>
      </c>
      <c r="K2417" s="11">
        <v>46235.712696759256</v>
      </c>
      <c r="M2417">
        <v>1746</v>
      </c>
      <c r="N2417" t="s">
        <v>867</v>
      </c>
      <c r="O2417">
        <v>0</v>
      </c>
      <c r="P2417" s="5"/>
      <c r="Q2417" s="10">
        <f>INT(Tabela1[[#This Row],[DATA]])</f>
        <v>46235</v>
      </c>
      <c r="R2417" s="14" t="str">
        <f ca="1">IF(AND(Q2417&gt;=TODAY()-WEEKDAY(TODAY(),2)+1,Q2417&lt;TODAY()),"SIM","NÃO")</f>
        <v>NÃO</v>
      </c>
    </row>
    <row r="2418" spans="1:18" hidden="1">
      <c r="A2418" t="s">
        <v>787</v>
      </c>
      <c r="B2418" t="s">
        <v>788</v>
      </c>
      <c r="C2418">
        <v>300000000</v>
      </c>
      <c r="D2418">
        <v>0</v>
      </c>
      <c r="E2418" t="s">
        <v>37</v>
      </c>
      <c r="F2418" t="s">
        <v>3215</v>
      </c>
      <c r="G2418">
        <v>10</v>
      </c>
      <c r="H2418" t="s">
        <v>2843</v>
      </c>
      <c r="K2418" s="11">
        <v>46237.319861111115</v>
      </c>
      <c r="M2418">
        <v>1747</v>
      </c>
      <c r="N2418" t="s">
        <v>878</v>
      </c>
      <c r="O2418">
        <v>0</v>
      </c>
      <c r="P2418" s="5"/>
      <c r="Q2418" s="10">
        <f>INT(Tabela1[[#This Row],[DATA]])</f>
        <v>46237</v>
      </c>
      <c r="R2418" s="14" t="str">
        <f ca="1">IF(AND(Q2418&gt;=TODAY()-WEEKDAY(TODAY(),2)+1,Q2418&lt;TODAY()),"SIM","NÃO")</f>
        <v>NÃO</v>
      </c>
    </row>
    <row r="2419" spans="1:18" hidden="1">
      <c r="A2419" t="s">
        <v>3513</v>
      </c>
      <c r="B2419" t="s">
        <v>3688</v>
      </c>
      <c r="C2419">
        <v>300278542</v>
      </c>
      <c r="D2419">
        <v>15773418</v>
      </c>
      <c r="E2419" t="s">
        <v>37</v>
      </c>
      <c r="F2419" t="s">
        <v>3215</v>
      </c>
      <c r="G2419">
        <v>10</v>
      </c>
      <c r="H2419" t="s">
        <v>2804</v>
      </c>
      <c r="J2419" t="s">
        <v>4219</v>
      </c>
      <c r="K2419" s="11">
        <v>46237.326122685183</v>
      </c>
      <c r="M2419">
        <v>1748</v>
      </c>
      <c r="N2419" t="s">
        <v>878</v>
      </c>
      <c r="O2419">
        <v>0</v>
      </c>
      <c r="P2419" s="5"/>
      <c r="Q2419" s="10">
        <f>INT(Tabela1[[#This Row],[DATA]])</f>
        <v>46237</v>
      </c>
      <c r="R2419" s="14" t="str">
        <f ca="1">IF(AND(Q2419&gt;=TODAY()-WEEKDAY(TODAY(),2)+1,Q2419&lt;TODAY()),"SIM","NÃO")</f>
        <v>NÃO</v>
      </c>
    </row>
    <row r="2420" spans="1:18" hidden="1">
      <c r="A2420" t="s">
        <v>2541</v>
      </c>
      <c r="B2420" t="s">
        <v>388</v>
      </c>
      <c r="C2420">
        <v>300286124</v>
      </c>
      <c r="D2420">
        <v>16444876</v>
      </c>
      <c r="E2420" t="s">
        <v>37</v>
      </c>
      <c r="F2420" t="s">
        <v>221</v>
      </c>
      <c r="G2420">
        <v>1083</v>
      </c>
      <c r="H2420" t="s">
        <v>2313</v>
      </c>
      <c r="J2420" t="s">
        <v>4220</v>
      </c>
      <c r="K2420" s="11">
        <v>46237.336493055554</v>
      </c>
      <c r="M2420">
        <v>1749</v>
      </c>
      <c r="N2420" t="s">
        <v>878</v>
      </c>
      <c r="O2420">
        <v>0</v>
      </c>
      <c r="P2420" s="5"/>
      <c r="Q2420" s="10">
        <f>INT(Tabela1[[#This Row],[DATA]])</f>
        <v>46237</v>
      </c>
      <c r="R2420" s="14" t="str">
        <f ca="1">IF(AND(Q2420&gt;=TODAY()-WEEKDAY(TODAY(),2)+1,Q2420&lt;TODAY()),"SIM","NÃO")</f>
        <v>NÃO</v>
      </c>
    </row>
    <row r="2421" spans="1:18" hidden="1">
      <c r="A2421" t="s">
        <v>2991</v>
      </c>
      <c r="B2421" t="s">
        <v>534</v>
      </c>
      <c r="C2421">
        <v>300286553</v>
      </c>
      <c r="D2421">
        <v>16272641</v>
      </c>
      <c r="E2421" t="s">
        <v>37</v>
      </c>
      <c r="F2421" t="s">
        <v>3241</v>
      </c>
      <c r="G2421">
        <v>50000</v>
      </c>
      <c r="H2421" t="s">
        <v>4221</v>
      </c>
      <c r="J2421" t="s">
        <v>4222</v>
      </c>
      <c r="K2421" s="11">
        <v>46237.337256944447</v>
      </c>
      <c r="M2421">
        <v>1750</v>
      </c>
      <c r="N2421" t="s">
        <v>867</v>
      </c>
      <c r="O2421">
        <v>10000073226</v>
      </c>
      <c r="P2421" s="5"/>
      <c r="Q2421" s="10">
        <f>INT(Tabela1[[#This Row],[DATA]])</f>
        <v>46237</v>
      </c>
      <c r="R2421" s="14" t="str">
        <f ca="1">IF(AND(Q2421&gt;=TODAY()-WEEKDAY(TODAY(),2)+1,Q2421&lt;TODAY()),"SIM","NÃO")</f>
        <v>NÃO</v>
      </c>
    </row>
    <row r="2422" spans="1:18" hidden="1">
      <c r="A2422" t="s">
        <v>2562</v>
      </c>
      <c r="B2422" t="s">
        <v>612</v>
      </c>
      <c r="C2422">
        <v>300278806</v>
      </c>
      <c r="D2422">
        <v>16461010</v>
      </c>
      <c r="E2422" t="s">
        <v>37</v>
      </c>
      <c r="F2422" t="s">
        <v>151</v>
      </c>
      <c r="G2422" t="s">
        <v>4223</v>
      </c>
      <c r="H2422" t="s">
        <v>1418</v>
      </c>
      <c r="J2422" t="s">
        <v>4224</v>
      </c>
      <c r="K2422" s="11">
        <v>46237.337453703702</v>
      </c>
      <c r="M2422">
        <v>1751</v>
      </c>
      <c r="N2422" t="s">
        <v>867</v>
      </c>
      <c r="O2422">
        <v>0</v>
      </c>
      <c r="P2422" s="5"/>
      <c r="Q2422" s="10">
        <f>INT(Tabela1[[#This Row],[DATA]])</f>
        <v>46237</v>
      </c>
      <c r="R2422" s="14" t="str">
        <f ca="1">IF(AND(Q2422&gt;=TODAY()-WEEKDAY(TODAY(),2)+1,Q2422&lt;TODAY()),"SIM","NÃO")</f>
        <v>NÃO</v>
      </c>
    </row>
    <row r="2423" spans="1:18" hidden="1">
      <c r="A2423" t="s">
        <v>2541</v>
      </c>
      <c r="B2423" t="s">
        <v>388</v>
      </c>
      <c r="C2423">
        <v>300283940</v>
      </c>
      <c r="D2423">
        <v>16448430</v>
      </c>
      <c r="E2423" t="s">
        <v>37</v>
      </c>
      <c r="F2423" t="s">
        <v>221</v>
      </c>
      <c r="G2423">
        <v>1656</v>
      </c>
      <c r="H2423" t="s">
        <v>2313</v>
      </c>
      <c r="J2423" t="s">
        <v>4225</v>
      </c>
      <c r="K2423" s="11">
        <v>46237.338564814818</v>
      </c>
      <c r="M2423">
        <v>1752</v>
      </c>
      <c r="N2423" t="s">
        <v>878</v>
      </c>
      <c r="O2423">
        <v>0</v>
      </c>
      <c r="P2423" s="5"/>
      <c r="Q2423" s="10">
        <f>INT(Tabela1[[#This Row],[DATA]])</f>
        <v>46237</v>
      </c>
      <c r="R2423" s="14" t="str">
        <f ca="1">IF(AND(Q2423&gt;=TODAY()-WEEKDAY(TODAY(),2)+1,Q2423&lt;TODAY()),"SIM","NÃO")</f>
        <v>NÃO</v>
      </c>
    </row>
    <row r="2424" spans="1:18" hidden="1">
      <c r="A2424" t="s">
        <v>2541</v>
      </c>
      <c r="B2424" t="s">
        <v>388</v>
      </c>
      <c r="C2424">
        <v>300283941</v>
      </c>
      <c r="D2424">
        <v>16448430</v>
      </c>
      <c r="E2424" t="s">
        <v>37</v>
      </c>
      <c r="F2424" t="s">
        <v>221</v>
      </c>
      <c r="G2424">
        <v>1400</v>
      </c>
      <c r="H2424" t="s">
        <v>2313</v>
      </c>
      <c r="J2424" t="s">
        <v>4225</v>
      </c>
      <c r="K2424" s="11">
        <v>46237.340162037035</v>
      </c>
      <c r="M2424">
        <v>1753</v>
      </c>
      <c r="N2424" t="s">
        <v>878</v>
      </c>
      <c r="O2424">
        <v>0</v>
      </c>
      <c r="P2424" s="5"/>
      <c r="Q2424" s="10">
        <f>INT(Tabela1[[#This Row],[DATA]])</f>
        <v>46237</v>
      </c>
      <c r="R2424" s="14" t="str">
        <f ca="1">IF(AND(Q2424&gt;=TODAY()-WEEKDAY(TODAY(),2)+1,Q2424&lt;TODAY()),"SIM","NÃO")</f>
        <v>NÃO</v>
      </c>
    </row>
    <row r="2425" spans="1:18" hidden="1">
      <c r="A2425" t="s">
        <v>2541</v>
      </c>
      <c r="B2425" t="s">
        <v>388</v>
      </c>
      <c r="C2425">
        <v>300283942</v>
      </c>
      <c r="D2425">
        <v>16448430</v>
      </c>
      <c r="E2425" t="s">
        <v>37</v>
      </c>
      <c r="F2425" t="s">
        <v>221</v>
      </c>
      <c r="G2425">
        <v>1476</v>
      </c>
      <c r="H2425" t="s">
        <v>2313</v>
      </c>
      <c r="J2425" t="s">
        <v>4225</v>
      </c>
      <c r="K2425" s="11">
        <v>46237.341643518521</v>
      </c>
      <c r="M2425">
        <v>1754</v>
      </c>
      <c r="N2425" t="s">
        <v>878</v>
      </c>
      <c r="O2425">
        <v>0</v>
      </c>
      <c r="P2425" s="5"/>
      <c r="Q2425" s="10">
        <f>INT(Tabela1[[#This Row],[DATA]])</f>
        <v>46237</v>
      </c>
      <c r="R2425" s="14" t="str">
        <f ca="1">IF(AND(Q2425&gt;=TODAY()-WEEKDAY(TODAY(),2)+1,Q2425&lt;TODAY()),"SIM","NÃO")</f>
        <v>NÃO</v>
      </c>
    </row>
    <row r="2426" spans="1:18" hidden="1">
      <c r="A2426" t="s">
        <v>2991</v>
      </c>
      <c r="B2426" t="s">
        <v>534</v>
      </c>
      <c r="C2426">
        <v>300281926</v>
      </c>
      <c r="D2426">
        <v>16520092</v>
      </c>
      <c r="E2426" t="s">
        <v>37</v>
      </c>
      <c r="F2426" t="s">
        <v>177</v>
      </c>
      <c r="G2426">
        <v>100</v>
      </c>
      <c r="H2426" t="s">
        <v>1992</v>
      </c>
      <c r="J2426" t="s">
        <v>4222</v>
      </c>
      <c r="K2426" s="11">
        <v>46237.347557870373</v>
      </c>
      <c r="M2426">
        <v>1755</v>
      </c>
      <c r="N2426" t="s">
        <v>867</v>
      </c>
      <c r="O2426">
        <v>100000177423</v>
      </c>
      <c r="P2426" s="5"/>
      <c r="Q2426" s="10">
        <f>INT(Tabela1[[#This Row],[DATA]])</f>
        <v>46237</v>
      </c>
      <c r="R2426" s="14" t="str">
        <f ca="1">IF(AND(Q2426&gt;=TODAY()-WEEKDAY(TODAY(),2)+1,Q2426&lt;TODAY()),"SIM","NÃO")</f>
        <v>NÃO</v>
      </c>
    </row>
    <row r="2427" spans="1:18" hidden="1">
      <c r="A2427" t="s">
        <v>2774</v>
      </c>
      <c r="B2427" t="s">
        <v>1910</v>
      </c>
      <c r="C2427">
        <v>300286128</v>
      </c>
      <c r="D2427">
        <v>16444876</v>
      </c>
      <c r="E2427" t="s">
        <v>37</v>
      </c>
      <c r="F2427" t="s">
        <v>221</v>
      </c>
      <c r="G2427">
        <v>1155</v>
      </c>
      <c r="H2427" t="s">
        <v>4226</v>
      </c>
      <c r="J2427" t="s">
        <v>4227</v>
      </c>
      <c r="K2427" s="11">
        <v>46237.349710648145</v>
      </c>
      <c r="M2427">
        <v>1756</v>
      </c>
      <c r="N2427" t="s">
        <v>878</v>
      </c>
      <c r="O2427">
        <v>0</v>
      </c>
      <c r="P2427" s="5"/>
      <c r="Q2427" s="10">
        <f>INT(Tabela1[[#This Row],[DATA]])</f>
        <v>46237</v>
      </c>
      <c r="R2427" s="14" t="str">
        <f ca="1">IF(AND(Q2427&gt;=TODAY()-WEEKDAY(TODAY(),2)+1,Q2427&lt;TODAY()),"SIM","NÃO")</f>
        <v>NÃO</v>
      </c>
    </row>
    <row r="2428" spans="1:18" hidden="1">
      <c r="A2428" t="s">
        <v>2774</v>
      </c>
      <c r="B2428" t="s">
        <v>1910</v>
      </c>
      <c r="C2428">
        <v>300286145</v>
      </c>
      <c r="D2428">
        <v>16445015</v>
      </c>
      <c r="E2428" t="s">
        <v>37</v>
      </c>
      <c r="F2428" t="s">
        <v>221</v>
      </c>
      <c r="G2428">
        <v>1197</v>
      </c>
      <c r="H2428" t="s">
        <v>4228</v>
      </c>
      <c r="J2428" t="s">
        <v>4229</v>
      </c>
      <c r="K2428" s="11">
        <v>46237.3515162037</v>
      </c>
      <c r="M2428">
        <v>1757</v>
      </c>
      <c r="N2428" t="s">
        <v>878</v>
      </c>
      <c r="O2428">
        <v>0</v>
      </c>
      <c r="P2428" s="5"/>
      <c r="Q2428" s="10">
        <f>INT(Tabela1[[#This Row],[DATA]])</f>
        <v>46237</v>
      </c>
      <c r="R2428" s="14" t="str">
        <f ca="1">IF(AND(Q2428&gt;=TODAY()-WEEKDAY(TODAY(),2)+1,Q2428&lt;TODAY()),"SIM","NÃO")</f>
        <v>NÃO</v>
      </c>
    </row>
    <row r="2429" spans="1:18" hidden="1">
      <c r="A2429" t="s">
        <v>101</v>
      </c>
      <c r="B2429" t="s">
        <v>990</v>
      </c>
      <c r="C2429">
        <v>300285268</v>
      </c>
      <c r="D2429">
        <v>15764494</v>
      </c>
      <c r="E2429" t="s">
        <v>37</v>
      </c>
      <c r="F2429" t="s">
        <v>3215</v>
      </c>
      <c r="G2429">
        <v>100000</v>
      </c>
      <c r="H2429" t="s">
        <v>2214</v>
      </c>
      <c r="J2429" t="s">
        <v>4230</v>
      </c>
      <c r="K2429" s="11">
        <v>46237.362511574072</v>
      </c>
      <c r="M2429">
        <v>1758</v>
      </c>
      <c r="N2429" t="s">
        <v>867</v>
      </c>
      <c r="O2429">
        <v>0</v>
      </c>
      <c r="P2429" s="5"/>
      <c r="Q2429" s="10">
        <f>INT(Tabela1[[#This Row],[DATA]])</f>
        <v>46237</v>
      </c>
      <c r="R2429" s="14" t="str">
        <f ca="1">IF(AND(Q2429&gt;=TODAY()-WEEKDAY(TODAY(),2)+1,Q2429&lt;TODAY()),"SIM","NÃO")</f>
        <v>NÃO</v>
      </c>
    </row>
    <row r="2430" spans="1:18" hidden="1">
      <c r="A2430" t="s">
        <v>111</v>
      </c>
      <c r="B2430" t="s">
        <v>112</v>
      </c>
      <c r="C2430">
        <v>300282867</v>
      </c>
      <c r="D2430">
        <v>16443136</v>
      </c>
      <c r="E2430" t="s">
        <v>45</v>
      </c>
      <c r="F2430" t="s">
        <v>96</v>
      </c>
      <c r="G2430">
        <v>15</v>
      </c>
      <c r="H2430" t="s">
        <v>1335</v>
      </c>
      <c r="J2430" t="s">
        <v>4231</v>
      </c>
      <c r="K2430" s="11">
        <v>46237.390787037039</v>
      </c>
      <c r="M2430">
        <v>1759</v>
      </c>
      <c r="N2430" t="s">
        <v>867</v>
      </c>
      <c r="O2430">
        <v>0</v>
      </c>
      <c r="P2430" s="5"/>
      <c r="Q2430" s="10">
        <f>INT(Tabela1[[#This Row],[DATA]])</f>
        <v>46237</v>
      </c>
      <c r="R2430" s="14" t="str">
        <f ca="1">IF(AND(Q2430&gt;=TODAY()-WEEKDAY(TODAY(),2)+1,Q2430&lt;TODAY()),"SIM","NÃO")</f>
        <v>NÃO</v>
      </c>
    </row>
    <row r="2431" spans="1:18" hidden="1">
      <c r="A2431" t="s">
        <v>2578</v>
      </c>
      <c r="B2431" t="s">
        <v>69</v>
      </c>
      <c r="C2431">
        <v>300282320</v>
      </c>
      <c r="D2431">
        <v>16508203</v>
      </c>
      <c r="E2431" t="s">
        <v>37</v>
      </c>
      <c r="F2431" t="s">
        <v>2405</v>
      </c>
      <c r="G2431">
        <v>35</v>
      </c>
      <c r="H2431" t="s">
        <v>3954</v>
      </c>
      <c r="K2431" s="11">
        <v>46237.398078703707</v>
      </c>
      <c r="M2431">
        <v>1760</v>
      </c>
      <c r="N2431" t="s">
        <v>867</v>
      </c>
      <c r="O2431">
        <v>16508203</v>
      </c>
      <c r="P2431" s="5"/>
      <c r="Q2431" s="10">
        <f>INT(Tabela1[[#This Row],[DATA]])</f>
        <v>46237</v>
      </c>
      <c r="R2431" s="14" t="str">
        <f ca="1">IF(AND(Q2431&gt;=TODAY()-WEEKDAY(TODAY(),2)+1,Q2431&lt;TODAY()),"SIM","NÃO")</f>
        <v>NÃO</v>
      </c>
    </row>
    <row r="2432" spans="1:18" hidden="1">
      <c r="A2432" t="s">
        <v>111</v>
      </c>
      <c r="B2432" t="s">
        <v>112</v>
      </c>
      <c r="C2432">
        <v>300277529</v>
      </c>
      <c r="D2432">
        <v>16212878</v>
      </c>
      <c r="E2432" t="s">
        <v>37</v>
      </c>
      <c r="F2432" t="s">
        <v>323</v>
      </c>
      <c r="G2432">
        <v>7</v>
      </c>
      <c r="H2432" t="s">
        <v>1335</v>
      </c>
      <c r="J2432" t="s">
        <v>4232</v>
      </c>
      <c r="K2432" s="11">
        <v>46237.399293981478</v>
      </c>
      <c r="M2432">
        <v>1761</v>
      </c>
      <c r="N2432" t="s">
        <v>867</v>
      </c>
      <c r="O2432">
        <v>0</v>
      </c>
      <c r="P2432" s="5"/>
      <c r="Q2432" s="10">
        <f>INT(Tabela1[[#This Row],[DATA]])</f>
        <v>46237</v>
      </c>
      <c r="R2432" s="14" t="str">
        <f ca="1">IF(AND(Q2432&gt;=TODAY()-WEEKDAY(TODAY(),2)+1,Q2432&lt;TODAY()),"SIM","NÃO")</f>
        <v>NÃO</v>
      </c>
    </row>
    <row r="2433" spans="1:18" hidden="1">
      <c r="A2433" t="s">
        <v>111</v>
      </c>
      <c r="B2433" t="s">
        <v>112</v>
      </c>
      <c r="C2433">
        <v>300277529</v>
      </c>
      <c r="D2433">
        <v>16212878</v>
      </c>
      <c r="E2433" t="s">
        <v>37</v>
      </c>
      <c r="F2433" t="s">
        <v>323</v>
      </c>
      <c r="G2433">
        <v>13</v>
      </c>
      <c r="H2433" t="s">
        <v>2843</v>
      </c>
      <c r="J2433" t="s">
        <v>4233</v>
      </c>
      <c r="K2433" s="11">
        <v>46237.400231481479</v>
      </c>
      <c r="M2433">
        <v>1762</v>
      </c>
      <c r="N2433" t="s">
        <v>867</v>
      </c>
      <c r="O2433">
        <v>0</v>
      </c>
      <c r="P2433" s="5"/>
      <c r="Q2433" s="10">
        <f>INT(Tabela1[[#This Row],[DATA]])</f>
        <v>46237</v>
      </c>
      <c r="R2433" s="14" t="str">
        <f ca="1">IF(AND(Q2433&gt;=TODAY()-WEEKDAY(TODAY(),2)+1,Q2433&lt;TODAY()),"SIM","NÃO")</f>
        <v>NÃO</v>
      </c>
    </row>
    <row r="2434" spans="1:18" hidden="1">
      <c r="A2434" t="s">
        <v>111</v>
      </c>
      <c r="B2434" t="s">
        <v>112</v>
      </c>
      <c r="C2434">
        <v>300277529</v>
      </c>
      <c r="D2434">
        <v>16212878</v>
      </c>
      <c r="E2434" t="s">
        <v>37</v>
      </c>
      <c r="F2434" t="s">
        <v>1522</v>
      </c>
      <c r="G2434" t="s">
        <v>4234</v>
      </c>
      <c r="H2434" t="s">
        <v>1335</v>
      </c>
      <c r="K2434" s="11">
        <v>46237.400937500002</v>
      </c>
      <c r="M2434">
        <v>1763</v>
      </c>
      <c r="N2434" t="s">
        <v>867</v>
      </c>
      <c r="O2434">
        <v>0</v>
      </c>
      <c r="P2434" s="5"/>
      <c r="Q2434" s="10">
        <f>INT(Tabela1[[#This Row],[DATA]])</f>
        <v>46237</v>
      </c>
      <c r="R2434" s="14" t="str">
        <f ca="1">IF(AND(Q2434&gt;=TODAY()-WEEKDAY(TODAY(),2)+1,Q2434&lt;TODAY()),"SIM","NÃO")</f>
        <v>NÃO</v>
      </c>
    </row>
    <row r="2435" spans="1:18" hidden="1">
      <c r="A2435" t="s">
        <v>111</v>
      </c>
      <c r="B2435" t="s">
        <v>112</v>
      </c>
      <c r="C2435">
        <v>300277529</v>
      </c>
      <c r="D2435">
        <v>16212878</v>
      </c>
      <c r="E2435" t="s">
        <v>37</v>
      </c>
      <c r="F2435" t="s">
        <v>2213</v>
      </c>
      <c r="G2435">
        <v>13</v>
      </c>
      <c r="H2435" t="s">
        <v>1335</v>
      </c>
      <c r="K2435" s="11">
        <v>46237.401770833334</v>
      </c>
      <c r="M2435">
        <v>1764</v>
      </c>
      <c r="N2435" t="s">
        <v>867</v>
      </c>
      <c r="O2435">
        <v>10000068896</v>
      </c>
      <c r="P2435" s="5"/>
      <c r="Q2435" s="10">
        <f>INT(Tabela1[[#This Row],[DATA]])</f>
        <v>46237</v>
      </c>
      <c r="R2435" s="14" t="str">
        <f ca="1">IF(AND(Q2435&gt;=TODAY()-WEEKDAY(TODAY(),2)+1,Q2435&lt;TODAY()),"SIM","NÃO")</f>
        <v>NÃO</v>
      </c>
    </row>
    <row r="2436" spans="1:18" hidden="1">
      <c r="A2436" t="s">
        <v>111</v>
      </c>
      <c r="B2436" t="s">
        <v>112</v>
      </c>
      <c r="C2436">
        <v>300277529</v>
      </c>
      <c r="D2436">
        <v>16212878</v>
      </c>
      <c r="E2436" t="s">
        <v>37</v>
      </c>
      <c r="F2436" t="s">
        <v>3333</v>
      </c>
      <c r="G2436">
        <v>13</v>
      </c>
      <c r="H2436" t="s">
        <v>1335</v>
      </c>
      <c r="K2436" s="11">
        <v>46237.402986111112</v>
      </c>
      <c r="M2436">
        <v>1765</v>
      </c>
      <c r="N2436" t="s">
        <v>867</v>
      </c>
      <c r="O2436">
        <v>10000120172</v>
      </c>
      <c r="P2436" s="5"/>
      <c r="Q2436" s="10">
        <f>INT(Tabela1[[#This Row],[DATA]])</f>
        <v>46237</v>
      </c>
      <c r="R2436" s="14" t="str">
        <f ca="1">IF(AND(Q2436&gt;=TODAY()-WEEKDAY(TODAY(),2)+1,Q2436&lt;TODAY()),"SIM","NÃO")</f>
        <v>NÃO</v>
      </c>
    </row>
    <row r="2437" spans="1:18" hidden="1">
      <c r="A2437" t="s">
        <v>111</v>
      </c>
      <c r="B2437" t="s">
        <v>112</v>
      </c>
      <c r="C2437">
        <v>300277529</v>
      </c>
      <c r="D2437">
        <v>16212878</v>
      </c>
      <c r="E2437" t="s">
        <v>37</v>
      </c>
      <c r="F2437" t="s">
        <v>2405</v>
      </c>
      <c r="G2437">
        <v>18</v>
      </c>
      <c r="H2437" t="s">
        <v>1335</v>
      </c>
      <c r="K2437" s="11">
        <v>46237.403645833336</v>
      </c>
      <c r="M2437">
        <v>1766</v>
      </c>
      <c r="N2437" t="s">
        <v>867</v>
      </c>
      <c r="O2437">
        <v>0</v>
      </c>
      <c r="P2437" s="5"/>
      <c r="Q2437" s="10">
        <f>INT(Tabela1[[#This Row],[DATA]])</f>
        <v>46237</v>
      </c>
      <c r="R2437" s="14" t="str">
        <f ca="1">IF(AND(Q2437&gt;=TODAY()-WEEKDAY(TODAY(),2)+1,Q2437&lt;TODAY()),"SIM","NÃO")</f>
        <v>NÃO</v>
      </c>
    </row>
    <row r="2438" spans="1:18" hidden="1">
      <c r="A2438" t="s">
        <v>2681</v>
      </c>
      <c r="B2438" t="s">
        <v>1284</v>
      </c>
      <c r="C2438">
        <v>300286121</v>
      </c>
      <c r="D2438">
        <v>16272641</v>
      </c>
      <c r="E2438" t="s">
        <v>37</v>
      </c>
      <c r="F2438" t="s">
        <v>2405</v>
      </c>
      <c r="G2438" t="s">
        <v>4235</v>
      </c>
      <c r="H2438" t="s">
        <v>1984</v>
      </c>
      <c r="K2438" s="11">
        <v>46237.418981481482</v>
      </c>
      <c r="M2438">
        <v>1767</v>
      </c>
      <c r="N2438" t="s">
        <v>867</v>
      </c>
      <c r="O2438">
        <v>150</v>
      </c>
      <c r="P2438" s="5"/>
      <c r="Q2438" s="10">
        <f>INT(Tabela1[[#This Row],[DATA]])</f>
        <v>46237</v>
      </c>
      <c r="R2438" s="14" t="str">
        <f ca="1">IF(AND(Q2438&gt;=TODAY()-WEEKDAY(TODAY(),2)+1,Q2438&lt;TODAY()),"SIM","NÃO")</f>
        <v>NÃO</v>
      </c>
    </row>
    <row r="2439" spans="1:18" hidden="1">
      <c r="A2439" t="s">
        <v>1110</v>
      </c>
      <c r="B2439" t="s">
        <v>1111</v>
      </c>
      <c r="C2439">
        <v>300278584</v>
      </c>
      <c r="D2439">
        <v>16520157</v>
      </c>
      <c r="E2439" t="s">
        <v>37</v>
      </c>
      <c r="F2439" t="s">
        <v>2405</v>
      </c>
      <c r="G2439" t="s">
        <v>4236</v>
      </c>
      <c r="H2439" t="s">
        <v>2914</v>
      </c>
      <c r="J2439" t="s">
        <v>1117</v>
      </c>
      <c r="K2439" s="11">
        <v>46237.419456018521</v>
      </c>
      <c r="M2439">
        <v>1768</v>
      </c>
      <c r="N2439" t="s">
        <v>867</v>
      </c>
      <c r="O2439">
        <v>0</v>
      </c>
      <c r="P2439" s="5"/>
      <c r="Q2439" s="10">
        <f>INT(Tabela1[[#This Row],[DATA]])</f>
        <v>46237</v>
      </c>
      <c r="R2439" s="14" t="str">
        <f ca="1">IF(AND(Q2439&gt;=TODAY()-WEEKDAY(TODAY(),2)+1,Q2439&lt;TODAY()),"SIM","NÃO")</f>
        <v>NÃO</v>
      </c>
    </row>
    <row r="2440" spans="1:18" hidden="1">
      <c r="A2440" t="s">
        <v>287</v>
      </c>
      <c r="B2440" t="s">
        <v>288</v>
      </c>
      <c r="C2440">
        <v>300282795</v>
      </c>
      <c r="D2440">
        <v>16520157</v>
      </c>
      <c r="E2440" t="s">
        <v>37</v>
      </c>
      <c r="F2440" t="s">
        <v>177</v>
      </c>
      <c r="G2440">
        <v>320</v>
      </c>
      <c r="H2440" t="s">
        <v>4237</v>
      </c>
      <c r="J2440" t="s">
        <v>4238</v>
      </c>
      <c r="K2440" s="11">
        <v>46237.422199074077</v>
      </c>
      <c r="M2440">
        <v>1769</v>
      </c>
      <c r="N2440" t="s">
        <v>867</v>
      </c>
      <c r="O2440">
        <v>10000245278</v>
      </c>
      <c r="P2440" s="5"/>
      <c r="Q2440" s="10">
        <f>INT(Tabela1[[#This Row],[DATA]])</f>
        <v>46237</v>
      </c>
      <c r="R2440" s="14" t="str">
        <f ca="1">IF(AND(Q2440&gt;=TODAY()-WEEKDAY(TODAY(),2)+1,Q2440&lt;TODAY()),"SIM","NÃO")</f>
        <v>NÃO</v>
      </c>
    </row>
    <row r="2441" spans="1:18" hidden="1">
      <c r="A2441" t="s">
        <v>2571</v>
      </c>
      <c r="B2441" t="s">
        <v>4239</v>
      </c>
      <c r="C2441">
        <v>300286537</v>
      </c>
      <c r="D2441">
        <v>16217780</v>
      </c>
      <c r="E2441" t="s">
        <v>37</v>
      </c>
      <c r="F2441" t="s">
        <v>3215</v>
      </c>
      <c r="G2441">
        <v>209</v>
      </c>
      <c r="H2441" t="s">
        <v>4240</v>
      </c>
      <c r="K2441" s="11">
        <v>46237.427557870367</v>
      </c>
      <c r="M2441">
        <v>1771</v>
      </c>
      <c r="N2441" t="s">
        <v>867</v>
      </c>
      <c r="O2441" t="s">
        <v>4241</v>
      </c>
      <c r="P2441" s="5"/>
      <c r="Q2441" s="10">
        <f>INT(Tabela1[[#This Row],[DATA]])</f>
        <v>46237</v>
      </c>
      <c r="R2441" s="14" t="str">
        <f ca="1">IF(AND(Q2441&gt;=TODAY()-WEEKDAY(TODAY(),2)+1,Q2441&lt;TODAY()),"SIM","NÃO")</f>
        <v>NÃO</v>
      </c>
    </row>
    <row r="2442" spans="1:18" hidden="1">
      <c r="A2442" t="s">
        <v>4134</v>
      </c>
      <c r="B2442" t="s">
        <v>2590</v>
      </c>
      <c r="C2442">
        <v>300286242</v>
      </c>
      <c r="D2442">
        <v>16116852</v>
      </c>
      <c r="E2442" t="s">
        <v>20</v>
      </c>
      <c r="F2442" t="s">
        <v>96</v>
      </c>
      <c r="G2442">
        <v>32</v>
      </c>
      <c r="H2442" t="s">
        <v>4242</v>
      </c>
      <c r="J2442" t="s">
        <v>4243</v>
      </c>
      <c r="K2442" s="11">
        <v>46237.429050925923</v>
      </c>
      <c r="M2442">
        <v>1772</v>
      </c>
      <c r="N2442" t="s">
        <v>867</v>
      </c>
      <c r="O2442">
        <v>123</v>
      </c>
      <c r="P2442" s="5"/>
      <c r="Q2442" s="10">
        <f>INT(Tabela1[[#This Row],[DATA]])</f>
        <v>46237</v>
      </c>
      <c r="R2442" s="14" t="str">
        <f ca="1">IF(AND(Q2442&gt;=TODAY()-WEEKDAY(TODAY(),2)+1,Q2442&lt;TODAY()),"SIM","NÃO")</f>
        <v>NÃO</v>
      </c>
    </row>
    <row r="2443" spans="1:18" hidden="1">
      <c r="A2443" t="s">
        <v>1175</v>
      </c>
      <c r="B2443" t="s">
        <v>1176</v>
      </c>
      <c r="C2443">
        <v>300274665</v>
      </c>
      <c r="D2443">
        <v>15774104</v>
      </c>
      <c r="E2443" t="s">
        <v>37</v>
      </c>
      <c r="F2443" t="s">
        <v>2213</v>
      </c>
      <c r="G2443">
        <v>1222</v>
      </c>
      <c r="H2443" t="s">
        <v>4244</v>
      </c>
      <c r="J2443" t="s">
        <v>4245</v>
      </c>
      <c r="K2443" s="11">
        <v>46237.429201388892</v>
      </c>
      <c r="M2443">
        <v>1773</v>
      </c>
      <c r="N2443" t="s">
        <v>878</v>
      </c>
      <c r="O2443">
        <v>10000228906</v>
      </c>
      <c r="P2443" s="5"/>
      <c r="Q2443" s="10">
        <f>INT(Tabela1[[#This Row],[DATA]])</f>
        <v>46237</v>
      </c>
      <c r="R2443" s="14" t="str">
        <f ca="1">IF(AND(Q2443&gt;=TODAY()-WEEKDAY(TODAY(),2)+1,Q2443&lt;TODAY()),"SIM","NÃO")</f>
        <v>NÃO</v>
      </c>
    </row>
    <row r="2444" spans="1:18" hidden="1">
      <c r="A2444" t="s">
        <v>2571</v>
      </c>
      <c r="B2444" t="s">
        <v>798</v>
      </c>
      <c r="C2444">
        <v>300282759</v>
      </c>
      <c r="D2444">
        <v>16480430</v>
      </c>
      <c r="E2444" t="s">
        <v>37</v>
      </c>
      <c r="F2444" t="s">
        <v>3215</v>
      </c>
      <c r="G2444">
        <v>1</v>
      </c>
      <c r="H2444" t="s">
        <v>3702</v>
      </c>
      <c r="J2444" t="s">
        <v>4246</v>
      </c>
      <c r="K2444" s="11">
        <v>46237.429236111115</v>
      </c>
      <c r="M2444">
        <v>1770</v>
      </c>
      <c r="N2444" t="s">
        <v>867</v>
      </c>
      <c r="O2444" t="s">
        <v>4247</v>
      </c>
      <c r="P2444" s="5"/>
      <c r="Q2444" s="10">
        <f>INT(Tabela1[[#This Row],[DATA]])</f>
        <v>46237</v>
      </c>
      <c r="R2444" s="14" t="str">
        <f ca="1">IF(AND(Q2444&gt;=TODAY()-WEEKDAY(TODAY(),2)+1,Q2444&lt;TODAY()),"SIM","NÃO")</f>
        <v>NÃO</v>
      </c>
    </row>
    <row r="2445" spans="1:18" hidden="1">
      <c r="A2445" t="s">
        <v>2565</v>
      </c>
      <c r="B2445" t="s">
        <v>95</v>
      </c>
      <c r="C2445">
        <v>300285799</v>
      </c>
      <c r="D2445">
        <v>16448162</v>
      </c>
      <c r="E2445" t="s">
        <v>45</v>
      </c>
      <c r="F2445" t="s">
        <v>3502</v>
      </c>
      <c r="G2445">
        <v>920</v>
      </c>
      <c r="H2445" t="s">
        <v>4248</v>
      </c>
      <c r="J2445" t="s">
        <v>4249</v>
      </c>
      <c r="K2445" s="11">
        <v>46237.43173611111</v>
      </c>
      <c r="M2445">
        <v>1774</v>
      </c>
      <c r="N2445" t="s">
        <v>867</v>
      </c>
      <c r="O2445" t="s">
        <v>848</v>
      </c>
      <c r="P2445" s="5"/>
      <c r="Q2445" s="10">
        <f>INT(Tabela1[[#This Row],[DATA]])</f>
        <v>46237</v>
      </c>
      <c r="R2445" s="14" t="str">
        <f ca="1">IF(AND(Q2445&gt;=TODAY()-WEEKDAY(TODAY(),2)+1,Q2445&lt;TODAY()),"SIM","NÃO")</f>
        <v>NÃO</v>
      </c>
    </row>
    <row r="2446" spans="1:18" hidden="1">
      <c r="A2446" t="s">
        <v>4134</v>
      </c>
      <c r="B2446" t="s">
        <v>4135</v>
      </c>
      <c r="C2446">
        <v>300286244</v>
      </c>
      <c r="D2446">
        <v>16116852</v>
      </c>
      <c r="E2446" t="s">
        <v>20</v>
      </c>
      <c r="F2446" t="s">
        <v>96</v>
      </c>
      <c r="G2446">
        <v>292</v>
      </c>
      <c r="H2446" t="s">
        <v>4250</v>
      </c>
      <c r="J2446" t="s">
        <v>4251</v>
      </c>
      <c r="K2446" s="11">
        <v>46237.431805555556</v>
      </c>
      <c r="M2446">
        <v>1775</v>
      </c>
      <c r="N2446" t="s">
        <v>867</v>
      </c>
      <c r="O2446">
        <v>123</v>
      </c>
      <c r="P2446" s="5"/>
      <c r="Q2446" s="10">
        <f>INT(Tabela1[[#This Row],[DATA]])</f>
        <v>46237</v>
      </c>
      <c r="R2446" s="14" t="str">
        <f ca="1">IF(AND(Q2446&gt;=TODAY()-WEEKDAY(TODAY(),2)+1,Q2446&lt;TODAY()),"SIM","NÃO")</f>
        <v>NÃO</v>
      </c>
    </row>
    <row r="2447" spans="1:18" hidden="1">
      <c r="A2447" t="s">
        <v>159</v>
      </c>
      <c r="B2447" t="s">
        <v>1293</v>
      </c>
      <c r="C2447">
        <v>300283509</v>
      </c>
      <c r="D2447">
        <v>16273311</v>
      </c>
      <c r="E2447" t="s">
        <v>37</v>
      </c>
      <c r="F2447" t="s">
        <v>177</v>
      </c>
      <c r="G2447">
        <v>198</v>
      </c>
      <c r="H2447" t="s">
        <v>4252</v>
      </c>
      <c r="J2447" t="s">
        <v>4253</v>
      </c>
      <c r="K2447" s="11">
        <v>46237.443877314814</v>
      </c>
      <c r="M2447">
        <v>1776</v>
      </c>
      <c r="N2447" t="s">
        <v>867</v>
      </c>
      <c r="O2447" t="s">
        <v>3950</v>
      </c>
      <c r="P2447" s="5"/>
      <c r="Q2447" s="10">
        <f>INT(Tabela1[[#This Row],[DATA]])</f>
        <v>46237</v>
      </c>
      <c r="R2447" s="14" t="str">
        <f ca="1">IF(AND(Q2447&gt;=TODAY()-WEEKDAY(TODAY(),2)+1,Q2447&lt;TODAY()),"SIM","NÃO")</f>
        <v>NÃO</v>
      </c>
    </row>
    <row r="2448" spans="1:18" hidden="1">
      <c r="A2448" t="s">
        <v>2713</v>
      </c>
      <c r="B2448" t="s">
        <v>55</v>
      </c>
      <c r="C2448">
        <v>300273023</v>
      </c>
      <c r="D2448">
        <v>16228960</v>
      </c>
      <c r="E2448" t="s">
        <v>45</v>
      </c>
      <c r="F2448" t="s">
        <v>3502</v>
      </c>
      <c r="G2448" t="s">
        <v>4254</v>
      </c>
      <c r="H2448" t="s">
        <v>3098</v>
      </c>
      <c r="J2448" t="s">
        <v>4255</v>
      </c>
      <c r="K2448" s="11">
        <v>46237.454687500001</v>
      </c>
      <c r="M2448">
        <v>1777</v>
      </c>
      <c r="N2448" t="s">
        <v>867</v>
      </c>
      <c r="O2448" t="s">
        <v>4256</v>
      </c>
      <c r="P2448" s="5"/>
      <c r="Q2448" s="10">
        <f>INT(Tabela1[[#This Row],[DATA]])</f>
        <v>46237</v>
      </c>
      <c r="R2448" s="14" t="str">
        <f ca="1">IF(AND(Q2448&gt;=TODAY()-WEEKDAY(TODAY(),2)+1,Q2448&lt;TODAY()),"SIM","NÃO")</f>
        <v>NÃO</v>
      </c>
    </row>
    <row r="2449" spans="1:18" hidden="1">
      <c r="A2449" t="s">
        <v>2551</v>
      </c>
      <c r="B2449" t="s">
        <v>274</v>
      </c>
      <c r="C2449">
        <v>300282834</v>
      </c>
      <c r="D2449">
        <v>15238385</v>
      </c>
      <c r="E2449" t="s">
        <v>29</v>
      </c>
      <c r="F2449" t="s">
        <v>323</v>
      </c>
      <c r="G2449">
        <v>29</v>
      </c>
      <c r="H2449" t="s">
        <v>4257</v>
      </c>
      <c r="K2449" s="11">
        <v>46237.45753472222</v>
      </c>
      <c r="M2449">
        <v>1778</v>
      </c>
      <c r="N2449" t="s">
        <v>867</v>
      </c>
      <c r="O2449">
        <v>0</v>
      </c>
      <c r="P2449" s="5"/>
      <c r="Q2449" s="10">
        <f>INT(Tabela1[[#This Row],[DATA]])</f>
        <v>46237</v>
      </c>
      <c r="R2449" s="14" t="str">
        <f ca="1">IF(AND(Q2449&gt;=TODAY()-WEEKDAY(TODAY(),2)+1,Q2449&lt;TODAY()),"SIM","NÃO")</f>
        <v>NÃO</v>
      </c>
    </row>
    <row r="2450" spans="1:18" hidden="1">
      <c r="A2450" t="s">
        <v>2991</v>
      </c>
      <c r="B2450" t="s">
        <v>534</v>
      </c>
      <c r="C2450">
        <v>300281926</v>
      </c>
      <c r="D2450">
        <v>16520092</v>
      </c>
      <c r="E2450" t="s">
        <v>37</v>
      </c>
      <c r="F2450" t="s">
        <v>3241</v>
      </c>
      <c r="G2450">
        <v>30000</v>
      </c>
      <c r="H2450" t="s">
        <v>1992</v>
      </c>
      <c r="J2450" t="s">
        <v>4258</v>
      </c>
      <c r="K2450" s="11">
        <v>46237.458090277774</v>
      </c>
      <c r="M2450">
        <v>1779</v>
      </c>
      <c r="N2450" t="s">
        <v>867</v>
      </c>
      <c r="O2450">
        <v>10000073272</v>
      </c>
      <c r="P2450" s="5"/>
      <c r="Q2450" s="10">
        <f>INT(Tabela1[[#This Row],[DATA]])</f>
        <v>46237</v>
      </c>
      <c r="R2450" s="14" t="str">
        <f ca="1">IF(AND(Q2450&gt;=TODAY()-WEEKDAY(TODAY(),2)+1,Q2450&lt;TODAY()),"SIM","NÃO")</f>
        <v>NÃO</v>
      </c>
    </row>
    <row r="2451" spans="1:18" hidden="1">
      <c r="A2451" t="s">
        <v>35</v>
      </c>
      <c r="B2451" t="s">
        <v>36</v>
      </c>
      <c r="C2451">
        <v>300285698</v>
      </c>
      <c r="D2451">
        <v>16602013</v>
      </c>
      <c r="E2451" t="s">
        <v>37</v>
      </c>
      <c r="F2451" t="s">
        <v>2405</v>
      </c>
      <c r="G2451">
        <v>260</v>
      </c>
      <c r="H2451" t="s">
        <v>4259</v>
      </c>
      <c r="J2451" t="s">
        <v>4260</v>
      </c>
      <c r="K2451" s="11">
        <v>46237.460393518515</v>
      </c>
      <c r="M2451">
        <v>1780</v>
      </c>
      <c r="N2451" t="s">
        <v>867</v>
      </c>
      <c r="O2451">
        <v>0</v>
      </c>
      <c r="P2451" s="5"/>
      <c r="Q2451" s="10">
        <f>INT(Tabela1[[#This Row],[DATA]])</f>
        <v>46237</v>
      </c>
      <c r="R2451" s="14" t="str">
        <f ca="1">IF(AND(Q2451&gt;=TODAY()-WEEKDAY(TODAY(),2)+1,Q2451&lt;TODAY()),"SIM","NÃO")</f>
        <v>NÃO</v>
      </c>
    </row>
    <row r="2452" spans="1:18" hidden="1">
      <c r="A2452" t="s">
        <v>35</v>
      </c>
      <c r="B2452" t="s">
        <v>36</v>
      </c>
      <c r="C2452">
        <v>300285698</v>
      </c>
      <c r="D2452">
        <v>16602013</v>
      </c>
      <c r="E2452" t="s">
        <v>37</v>
      </c>
      <c r="F2452" t="s">
        <v>177</v>
      </c>
      <c r="G2452">
        <v>260</v>
      </c>
      <c r="H2452" t="s">
        <v>4259</v>
      </c>
      <c r="J2452" t="s">
        <v>4261</v>
      </c>
      <c r="K2452" s="11">
        <v>46237.466087962966</v>
      </c>
      <c r="M2452">
        <v>1781</v>
      </c>
      <c r="N2452" t="s">
        <v>867</v>
      </c>
      <c r="O2452">
        <v>10000247197</v>
      </c>
      <c r="P2452" s="5"/>
      <c r="Q2452" s="10">
        <f>INT(Tabela1[[#This Row],[DATA]])</f>
        <v>46237</v>
      </c>
      <c r="R2452" s="14" t="str">
        <f ca="1">IF(AND(Q2452&gt;=TODAY()-WEEKDAY(TODAY(),2)+1,Q2452&lt;TODAY()),"SIM","NÃO")</f>
        <v>NÃO</v>
      </c>
    </row>
    <row r="2453" spans="1:18" hidden="1">
      <c r="A2453" t="s">
        <v>163</v>
      </c>
      <c r="B2453" t="s">
        <v>164</v>
      </c>
      <c r="C2453">
        <v>300286817</v>
      </c>
      <c r="D2453">
        <v>16226917</v>
      </c>
      <c r="E2453" t="s">
        <v>29</v>
      </c>
      <c r="F2453" t="s">
        <v>3212</v>
      </c>
      <c r="G2453">
        <v>100</v>
      </c>
      <c r="H2453" t="s">
        <v>2292</v>
      </c>
      <c r="K2453" s="11">
        <v>46237.526759259257</v>
      </c>
      <c r="M2453">
        <v>1782</v>
      </c>
      <c r="N2453" t="s">
        <v>867</v>
      </c>
      <c r="O2453">
        <v>0</v>
      </c>
      <c r="P2453" s="5"/>
      <c r="Q2453" s="10">
        <f>INT(Tabela1[[#This Row],[DATA]])</f>
        <v>46237</v>
      </c>
      <c r="R2453" s="14" t="str">
        <f ca="1">IF(AND(Q2453&gt;=TODAY()-WEEKDAY(TODAY(),2)+1,Q2453&lt;TODAY()),"SIM","NÃO")</f>
        <v>NÃO</v>
      </c>
    </row>
    <row r="2454" spans="1:18" hidden="1">
      <c r="A2454" t="s">
        <v>35</v>
      </c>
      <c r="B2454" t="s">
        <v>36</v>
      </c>
      <c r="C2454">
        <v>300285698</v>
      </c>
      <c r="D2454">
        <v>16602013</v>
      </c>
      <c r="E2454" t="s">
        <v>37</v>
      </c>
      <c r="F2454" t="s">
        <v>2213</v>
      </c>
      <c r="G2454">
        <v>305</v>
      </c>
      <c r="H2454" t="s">
        <v>4259</v>
      </c>
      <c r="J2454" t="s">
        <v>4262</v>
      </c>
      <c r="K2454" s="11">
        <v>46237.556805555556</v>
      </c>
      <c r="M2454">
        <v>1783</v>
      </c>
      <c r="N2454" t="s">
        <v>867</v>
      </c>
      <c r="O2454" t="s">
        <v>4263</v>
      </c>
      <c r="P2454" s="5"/>
      <c r="Q2454" s="10">
        <f>INT(Tabela1[[#This Row],[DATA]])</f>
        <v>46237</v>
      </c>
      <c r="R2454" s="14" t="str">
        <f ca="1">IF(AND(Q2454&gt;=TODAY()-WEEKDAY(TODAY(),2)+1,Q2454&lt;TODAY()),"SIM","NÃO")</f>
        <v>NÃO</v>
      </c>
    </row>
    <row r="2455" spans="1:18" hidden="1">
      <c r="A2455" t="s">
        <v>253</v>
      </c>
      <c r="B2455" t="s">
        <v>254</v>
      </c>
      <c r="C2455">
        <v>300285043</v>
      </c>
      <c r="D2455">
        <v>15859096</v>
      </c>
      <c r="E2455" t="s">
        <v>37</v>
      </c>
      <c r="F2455" t="s">
        <v>651</v>
      </c>
      <c r="G2455">
        <v>120</v>
      </c>
      <c r="H2455" t="s">
        <v>4264</v>
      </c>
      <c r="J2455" t="s">
        <v>4264</v>
      </c>
      <c r="K2455" s="11">
        <v>46237.572152777779</v>
      </c>
      <c r="M2455">
        <v>1784</v>
      </c>
      <c r="N2455" t="s">
        <v>867</v>
      </c>
      <c r="O2455">
        <v>0</v>
      </c>
      <c r="P2455" s="5"/>
      <c r="Q2455" s="10">
        <f>INT(Tabela1[[#This Row],[DATA]])</f>
        <v>46237</v>
      </c>
      <c r="R2455" s="14" t="str">
        <f ca="1">IF(AND(Q2455&gt;=TODAY()-WEEKDAY(TODAY(),2)+1,Q2455&lt;TODAY()),"SIM","NÃO")</f>
        <v>NÃO</v>
      </c>
    </row>
    <row r="2456" spans="1:18" hidden="1">
      <c r="A2456" t="s">
        <v>253</v>
      </c>
      <c r="B2456" t="s">
        <v>254</v>
      </c>
      <c r="C2456">
        <v>300285043</v>
      </c>
      <c r="D2456">
        <v>15859096</v>
      </c>
      <c r="E2456" t="s">
        <v>37</v>
      </c>
      <c r="F2456" t="s">
        <v>3241</v>
      </c>
      <c r="G2456">
        <v>10</v>
      </c>
      <c r="H2456" t="s">
        <v>582</v>
      </c>
      <c r="J2456" t="s">
        <v>582</v>
      </c>
      <c r="K2456" s="11">
        <v>46237.573321759257</v>
      </c>
      <c r="M2456">
        <v>1785</v>
      </c>
      <c r="N2456" t="s">
        <v>867</v>
      </c>
      <c r="O2456">
        <v>10000063107</v>
      </c>
      <c r="P2456" s="5"/>
      <c r="Q2456" s="10">
        <f>INT(Tabela1[[#This Row],[DATA]])</f>
        <v>46237</v>
      </c>
      <c r="R2456" s="14" t="str">
        <f ca="1">IF(AND(Q2456&gt;=TODAY()-WEEKDAY(TODAY(),2)+1,Q2456&lt;TODAY()),"SIM","NÃO")</f>
        <v>NÃO</v>
      </c>
    </row>
    <row r="2457" spans="1:18" hidden="1">
      <c r="A2457" t="s">
        <v>79</v>
      </c>
      <c r="B2457" t="s">
        <v>80</v>
      </c>
      <c r="C2457">
        <v>300282533</v>
      </c>
      <c r="D2457">
        <v>15238385</v>
      </c>
      <c r="E2457" t="s">
        <v>29</v>
      </c>
      <c r="F2457" t="s">
        <v>3212</v>
      </c>
      <c r="G2457" t="s">
        <v>4265</v>
      </c>
      <c r="H2457" t="s">
        <v>4266</v>
      </c>
      <c r="J2457" t="s">
        <v>4266</v>
      </c>
      <c r="K2457" s="11">
        <v>46237.587731481479</v>
      </c>
      <c r="M2457">
        <v>1786</v>
      </c>
      <c r="N2457" t="s">
        <v>867</v>
      </c>
      <c r="O2457">
        <v>0</v>
      </c>
      <c r="P2457" s="5"/>
      <c r="Q2457" s="10">
        <f>INT(Tabela1[[#This Row],[DATA]])</f>
        <v>46237</v>
      </c>
      <c r="R2457" s="14" t="str">
        <f ca="1">IF(AND(Q2457&gt;=TODAY()-WEEKDAY(TODAY(),2)+1,Q2457&lt;TODAY()),"SIM","NÃO")</f>
        <v>NÃO</v>
      </c>
    </row>
    <row r="2458" spans="1:18" hidden="1">
      <c r="A2458" t="s">
        <v>2549</v>
      </c>
      <c r="B2458" t="s">
        <v>19</v>
      </c>
      <c r="C2458">
        <v>300283988</v>
      </c>
      <c r="D2458">
        <v>16288211</v>
      </c>
      <c r="E2458" t="s">
        <v>20</v>
      </c>
      <c r="F2458" t="s">
        <v>3502</v>
      </c>
      <c r="G2458">
        <v>6</v>
      </c>
      <c r="H2458" t="s">
        <v>2228</v>
      </c>
      <c r="J2458" t="s">
        <v>4267</v>
      </c>
      <c r="K2458" s="11">
        <v>46237.595717592594</v>
      </c>
      <c r="M2458">
        <v>1787</v>
      </c>
      <c r="N2458" t="s">
        <v>867</v>
      </c>
      <c r="O2458" t="s">
        <v>2802</v>
      </c>
      <c r="P2458" s="5"/>
      <c r="Q2458" s="10">
        <f>INT(Tabela1[[#This Row],[DATA]])</f>
        <v>46237</v>
      </c>
      <c r="R2458" s="14" t="str">
        <f ca="1">IF(AND(Q2458&gt;=TODAY()-WEEKDAY(TODAY(),2)+1,Q2458&lt;TODAY()),"SIM","NÃO")</f>
        <v>NÃO</v>
      </c>
    </row>
    <row r="2459" spans="1:18" hidden="1">
      <c r="A2459" t="s">
        <v>2610</v>
      </c>
      <c r="B2459" t="s">
        <v>74</v>
      </c>
      <c r="C2459">
        <v>300287947</v>
      </c>
      <c r="D2459">
        <v>16487494</v>
      </c>
      <c r="E2459" t="s">
        <v>20</v>
      </c>
      <c r="F2459" t="s">
        <v>259</v>
      </c>
      <c r="G2459">
        <v>10</v>
      </c>
      <c r="H2459" t="s">
        <v>4268</v>
      </c>
      <c r="K2459" s="11">
        <v>46237.597418981481</v>
      </c>
      <c r="M2459">
        <v>1788</v>
      </c>
      <c r="N2459" t="s">
        <v>867</v>
      </c>
      <c r="O2459">
        <v>10000072544</v>
      </c>
      <c r="P2459" s="5"/>
      <c r="Q2459" s="10">
        <f>INT(Tabela1[[#This Row],[DATA]])</f>
        <v>46237</v>
      </c>
      <c r="R2459" s="14" t="str">
        <f ca="1">IF(AND(Q2459&gt;=TODAY()-WEEKDAY(TODAY(),2)+1,Q2459&lt;TODAY()),"SIM","NÃO")</f>
        <v>NÃO</v>
      </c>
    </row>
    <row r="2460" spans="1:18" hidden="1">
      <c r="A2460" t="s">
        <v>111</v>
      </c>
      <c r="B2460" t="s">
        <v>112</v>
      </c>
      <c r="C2460">
        <v>300283928</v>
      </c>
      <c r="D2460">
        <v>16447565</v>
      </c>
      <c r="E2460" t="s">
        <v>37</v>
      </c>
      <c r="F2460" t="s">
        <v>216</v>
      </c>
      <c r="G2460">
        <v>15</v>
      </c>
      <c r="H2460" t="s">
        <v>1335</v>
      </c>
      <c r="K2460" s="11">
        <v>46237.602627314816</v>
      </c>
      <c r="M2460">
        <v>1789</v>
      </c>
      <c r="N2460" t="s">
        <v>867</v>
      </c>
      <c r="O2460">
        <v>0</v>
      </c>
      <c r="P2460" s="5"/>
      <c r="Q2460" s="10">
        <f>INT(Tabela1[[#This Row],[DATA]])</f>
        <v>46237</v>
      </c>
      <c r="R2460" s="14" t="str">
        <f ca="1">IF(AND(Q2460&gt;=TODAY()-WEEKDAY(TODAY(),2)+1,Q2460&lt;TODAY()),"SIM","NÃO")</f>
        <v>NÃO</v>
      </c>
    </row>
    <row r="2461" spans="1:18" hidden="1">
      <c r="A2461" t="s">
        <v>2765</v>
      </c>
      <c r="B2461" t="s">
        <v>107</v>
      </c>
      <c r="C2461">
        <v>300273879</v>
      </c>
      <c r="D2461">
        <v>16222954</v>
      </c>
      <c r="E2461" t="s">
        <v>45</v>
      </c>
      <c r="F2461" t="s">
        <v>2405</v>
      </c>
      <c r="G2461">
        <v>20</v>
      </c>
      <c r="H2461" t="s">
        <v>2292</v>
      </c>
      <c r="K2461" s="11">
        <v>46237.616226851853</v>
      </c>
      <c r="M2461">
        <v>1790</v>
      </c>
      <c r="N2461" t="s">
        <v>867</v>
      </c>
      <c r="O2461">
        <v>0</v>
      </c>
      <c r="P2461" s="5"/>
      <c r="Q2461" s="10">
        <f>INT(Tabela1[[#This Row],[DATA]])</f>
        <v>46237</v>
      </c>
      <c r="R2461" s="14" t="str">
        <f ca="1">IF(AND(Q2461&gt;=TODAY()-WEEKDAY(TODAY(),2)+1,Q2461&lt;TODAY()),"SIM","NÃO")</f>
        <v>NÃO</v>
      </c>
    </row>
    <row r="2462" spans="1:18" hidden="1">
      <c r="A2462" t="s">
        <v>2578</v>
      </c>
      <c r="B2462" t="s">
        <v>69</v>
      </c>
      <c r="C2462">
        <v>300287259</v>
      </c>
      <c r="D2462">
        <v>16311639</v>
      </c>
      <c r="E2462" t="s">
        <v>45</v>
      </c>
      <c r="F2462" t="s">
        <v>145</v>
      </c>
      <c r="G2462">
        <v>1</v>
      </c>
      <c r="H2462" t="s">
        <v>4269</v>
      </c>
      <c r="K2462" s="11">
        <v>46237.622164351851</v>
      </c>
      <c r="M2462">
        <v>1791</v>
      </c>
      <c r="N2462" t="s">
        <v>867</v>
      </c>
      <c r="O2462">
        <v>16311639</v>
      </c>
      <c r="P2462" s="5"/>
      <c r="Q2462" s="10">
        <f>INT(Tabela1[[#This Row],[DATA]])</f>
        <v>46237</v>
      </c>
      <c r="R2462" s="14" t="str">
        <f ca="1">IF(AND(Q2462&gt;=TODAY()-WEEKDAY(TODAY(),2)+1,Q2462&lt;TODAY()),"SIM","NÃO")</f>
        <v>NÃO</v>
      </c>
    </row>
    <row r="2463" spans="1:18" hidden="1">
      <c r="A2463" t="s">
        <v>163</v>
      </c>
      <c r="B2463" t="s">
        <v>164</v>
      </c>
      <c r="C2463">
        <v>300284308</v>
      </c>
      <c r="D2463">
        <v>16450272</v>
      </c>
      <c r="E2463" t="s">
        <v>37</v>
      </c>
      <c r="F2463" t="s">
        <v>221</v>
      </c>
      <c r="G2463">
        <v>1269</v>
      </c>
      <c r="H2463" t="s">
        <v>2880</v>
      </c>
      <c r="K2463" s="11">
        <v>46237.647349537037</v>
      </c>
      <c r="M2463">
        <v>1792</v>
      </c>
      <c r="N2463" t="s">
        <v>867</v>
      </c>
      <c r="O2463">
        <v>10000195709</v>
      </c>
      <c r="P2463" s="5"/>
      <c r="Q2463" s="10">
        <f>INT(Tabela1[[#This Row],[DATA]])</f>
        <v>46237</v>
      </c>
      <c r="R2463" s="14" t="str">
        <f ca="1">IF(AND(Q2463&gt;=TODAY()-WEEKDAY(TODAY(),2)+1,Q2463&lt;TODAY()),"SIM","NÃO")</f>
        <v>NÃO</v>
      </c>
    </row>
    <row r="2464" spans="1:18" hidden="1">
      <c r="A2464" t="s">
        <v>1835</v>
      </c>
      <c r="B2464" t="s">
        <v>1836</v>
      </c>
      <c r="C2464">
        <v>300284280</v>
      </c>
      <c r="D2464">
        <v>16497767</v>
      </c>
      <c r="E2464" t="s">
        <v>37</v>
      </c>
      <c r="F2464" t="s">
        <v>216</v>
      </c>
      <c r="G2464">
        <v>36</v>
      </c>
      <c r="H2464" t="s">
        <v>2914</v>
      </c>
      <c r="J2464" t="s">
        <v>4270</v>
      </c>
      <c r="K2464" s="11">
        <v>46237.648182870369</v>
      </c>
      <c r="M2464">
        <v>1793</v>
      </c>
      <c r="N2464" t="s">
        <v>867</v>
      </c>
      <c r="O2464">
        <v>10000244940</v>
      </c>
      <c r="P2464" s="5"/>
      <c r="Q2464" s="10">
        <f>INT(Tabela1[[#This Row],[DATA]])</f>
        <v>46237</v>
      </c>
      <c r="R2464" s="14" t="str">
        <f ca="1">IF(AND(Q2464&gt;=TODAY()-WEEKDAY(TODAY(),2)+1,Q2464&lt;TODAY()),"SIM","NÃO")</f>
        <v>NÃO</v>
      </c>
    </row>
    <row r="2465" spans="1:18" hidden="1">
      <c r="A2465" t="s">
        <v>3311</v>
      </c>
      <c r="B2465" t="s">
        <v>768</v>
      </c>
      <c r="C2465">
        <v>300282796</v>
      </c>
      <c r="D2465">
        <v>16520157</v>
      </c>
      <c r="E2465" t="s">
        <v>37</v>
      </c>
      <c r="F2465" t="s">
        <v>3502</v>
      </c>
      <c r="G2465">
        <v>10</v>
      </c>
      <c r="H2465" t="s">
        <v>2380</v>
      </c>
      <c r="K2465" s="11">
        <v>46237.666377314818</v>
      </c>
      <c r="M2465">
        <v>1794</v>
      </c>
      <c r="N2465" t="s">
        <v>867</v>
      </c>
      <c r="O2465" t="s">
        <v>4271</v>
      </c>
      <c r="P2465" s="5"/>
      <c r="Q2465" s="10">
        <f>INT(Tabela1[[#This Row],[DATA]])</f>
        <v>46237</v>
      </c>
      <c r="R2465" s="14" t="str">
        <f ca="1">IF(AND(Q2465&gt;=TODAY()-WEEKDAY(TODAY(),2)+1,Q2465&lt;TODAY()),"SIM","NÃO")</f>
        <v>NÃO</v>
      </c>
    </row>
    <row r="2466" spans="1:18" hidden="1">
      <c r="A2466" t="s">
        <v>1421</v>
      </c>
      <c r="B2466" t="s">
        <v>1422</v>
      </c>
      <c r="C2466">
        <v>300287651</v>
      </c>
      <c r="D2466">
        <v>16589068</v>
      </c>
      <c r="E2466" t="s">
        <v>45</v>
      </c>
      <c r="F2466" t="s">
        <v>323</v>
      </c>
      <c r="G2466">
        <v>34</v>
      </c>
      <c r="H2466" t="s">
        <v>82</v>
      </c>
      <c r="J2466" t="s">
        <v>4272</v>
      </c>
      <c r="K2466" s="11">
        <v>46237.67260416667</v>
      </c>
      <c r="M2466">
        <v>1795</v>
      </c>
      <c r="N2466" t="s">
        <v>867</v>
      </c>
      <c r="O2466" t="s">
        <v>848</v>
      </c>
      <c r="P2466" s="5"/>
      <c r="Q2466" s="10">
        <f>INT(Tabela1[[#This Row],[DATA]])</f>
        <v>46237</v>
      </c>
      <c r="R2466" s="14" t="str">
        <f ca="1">IF(AND(Q2466&gt;=TODAY()-WEEKDAY(TODAY(),2)+1,Q2466&lt;TODAY()),"SIM","NÃO")</f>
        <v>NÃO</v>
      </c>
    </row>
    <row r="2467" spans="1:18" hidden="1">
      <c r="A2467" t="s">
        <v>2967</v>
      </c>
      <c r="B2467" t="s">
        <v>2968</v>
      </c>
      <c r="C2467">
        <v>300286120</v>
      </c>
      <c r="D2467">
        <v>16272641</v>
      </c>
      <c r="E2467" t="s">
        <v>37</v>
      </c>
      <c r="F2467" t="s">
        <v>3215</v>
      </c>
      <c r="G2467">
        <v>10</v>
      </c>
      <c r="H2467" t="s">
        <v>2380</v>
      </c>
      <c r="J2467" t="s">
        <v>4273</v>
      </c>
      <c r="K2467" s="11">
        <v>46237.677847222221</v>
      </c>
      <c r="M2467">
        <v>1796</v>
      </c>
      <c r="N2467" t="s">
        <v>867</v>
      </c>
      <c r="O2467">
        <v>350</v>
      </c>
      <c r="P2467" s="5"/>
      <c r="Q2467" s="10">
        <f>INT(Tabela1[[#This Row],[DATA]])</f>
        <v>46237</v>
      </c>
      <c r="R2467" s="14" t="str">
        <f ca="1">IF(AND(Q2467&gt;=TODAY()-WEEKDAY(TODAY(),2)+1,Q2467&lt;TODAY()),"SIM","NÃO")</f>
        <v>NÃO</v>
      </c>
    </row>
    <row r="2468" spans="1:18" hidden="1">
      <c r="A2468" t="s">
        <v>2541</v>
      </c>
      <c r="B2468" t="s">
        <v>388</v>
      </c>
      <c r="C2468">
        <v>300279756</v>
      </c>
      <c r="D2468">
        <v>16360311</v>
      </c>
      <c r="E2468" t="s">
        <v>37</v>
      </c>
      <c r="F2468" t="s">
        <v>2213</v>
      </c>
      <c r="G2468">
        <v>10</v>
      </c>
      <c r="H2468" t="s">
        <v>2689</v>
      </c>
      <c r="K2468" s="11">
        <v>46237.695416666669</v>
      </c>
      <c r="M2468">
        <v>1797</v>
      </c>
      <c r="N2468" t="s">
        <v>867</v>
      </c>
      <c r="O2468">
        <v>10000248114</v>
      </c>
      <c r="P2468" s="5"/>
      <c r="Q2468" s="10">
        <f>INT(Tabela1[[#This Row],[DATA]])</f>
        <v>46237</v>
      </c>
      <c r="R2468" s="14" t="str">
        <f ca="1">IF(AND(Q2468&gt;=TODAY()-WEEKDAY(TODAY(),2)+1,Q2468&lt;TODAY()),"SIM","NÃO")</f>
        <v>NÃO</v>
      </c>
    </row>
    <row r="2469" spans="1:18" hidden="1">
      <c r="A2469" t="s">
        <v>2603</v>
      </c>
      <c r="B2469" t="s">
        <v>929</v>
      </c>
      <c r="C2469">
        <v>300280216</v>
      </c>
      <c r="D2469">
        <v>0</v>
      </c>
      <c r="E2469" t="s">
        <v>37</v>
      </c>
      <c r="F2469" t="s">
        <v>2405</v>
      </c>
      <c r="G2469">
        <v>2</v>
      </c>
      <c r="H2469" t="s">
        <v>1831</v>
      </c>
      <c r="J2469" t="s">
        <v>2709</v>
      </c>
      <c r="K2469" s="11">
        <v>46237.695625</v>
      </c>
      <c r="M2469">
        <v>1798</v>
      </c>
      <c r="N2469" t="s">
        <v>867</v>
      </c>
      <c r="O2469">
        <v>0</v>
      </c>
      <c r="P2469" s="5"/>
      <c r="Q2469" s="10">
        <f>INT(Tabela1[[#This Row],[DATA]])</f>
        <v>46237</v>
      </c>
      <c r="R2469" s="14" t="str">
        <f ca="1">IF(AND(Q2469&gt;=TODAY()-WEEKDAY(TODAY(),2)+1,Q2469&lt;TODAY()),"SIM","NÃO")</f>
        <v>NÃO</v>
      </c>
    </row>
    <row r="2470" spans="1:18" hidden="1">
      <c r="A2470" t="s">
        <v>2610</v>
      </c>
      <c r="B2470" t="s">
        <v>74</v>
      </c>
      <c r="C2470">
        <v>300280767</v>
      </c>
      <c r="D2470">
        <v>16500270</v>
      </c>
      <c r="E2470" t="s">
        <v>45</v>
      </c>
      <c r="F2470" t="s">
        <v>2405</v>
      </c>
      <c r="G2470">
        <v>12</v>
      </c>
      <c r="H2470" t="s">
        <v>4274</v>
      </c>
      <c r="K2470" s="11">
        <v>46237.700046296297</v>
      </c>
      <c r="M2470">
        <v>1799</v>
      </c>
      <c r="N2470" t="s">
        <v>867</v>
      </c>
      <c r="O2470">
        <v>0</v>
      </c>
      <c r="P2470" s="5"/>
      <c r="Q2470" s="10">
        <f>INT(Tabela1[[#This Row],[DATA]])</f>
        <v>46237</v>
      </c>
      <c r="R2470" s="14" t="str">
        <f ca="1">IF(AND(Q2470&gt;=TODAY()-WEEKDAY(TODAY(),2)+1,Q2470&lt;TODAY()),"SIM","NÃO")</f>
        <v>NÃO</v>
      </c>
    </row>
    <row r="2471" spans="1:18" hidden="1">
      <c r="A2471" t="s">
        <v>2603</v>
      </c>
      <c r="B2471" t="s">
        <v>929</v>
      </c>
      <c r="C2471">
        <v>300280216</v>
      </c>
      <c r="D2471">
        <v>16473825</v>
      </c>
      <c r="E2471" t="s">
        <v>37</v>
      </c>
      <c r="F2471" t="s">
        <v>3217</v>
      </c>
      <c r="G2471">
        <v>1</v>
      </c>
      <c r="H2471" t="s">
        <v>847</v>
      </c>
      <c r="J2471" t="s">
        <v>3284</v>
      </c>
      <c r="K2471" s="11">
        <v>46237.700798611113</v>
      </c>
      <c r="M2471">
        <v>1800</v>
      </c>
      <c r="N2471" t="s">
        <v>867</v>
      </c>
      <c r="O2471">
        <v>0</v>
      </c>
      <c r="P2471" s="5"/>
      <c r="Q2471" s="10">
        <f>INT(Tabela1[[#This Row],[DATA]])</f>
        <v>46237</v>
      </c>
      <c r="R2471" s="14" t="str">
        <f ca="1">IF(AND(Q2471&gt;=TODAY()-WEEKDAY(TODAY(),2)+1,Q2471&lt;TODAY()),"SIM","NÃO")</f>
        <v>NÃO</v>
      </c>
    </row>
    <row r="2472" spans="1:18" hidden="1">
      <c r="A2472" t="s">
        <v>2610</v>
      </c>
      <c r="B2472" t="s">
        <v>74</v>
      </c>
      <c r="C2472">
        <v>300280767</v>
      </c>
      <c r="D2472">
        <v>16500270</v>
      </c>
      <c r="E2472" t="s">
        <v>45</v>
      </c>
      <c r="F2472" t="s">
        <v>103</v>
      </c>
      <c r="G2472">
        <v>100</v>
      </c>
      <c r="H2472" t="s">
        <v>4275</v>
      </c>
      <c r="K2472" s="11">
        <v>46237.701956018522</v>
      </c>
      <c r="M2472">
        <v>1801</v>
      </c>
      <c r="N2472" t="s">
        <v>867</v>
      </c>
      <c r="O2472">
        <v>0</v>
      </c>
      <c r="P2472" s="5"/>
      <c r="Q2472" s="10">
        <f>INT(Tabela1[[#This Row],[DATA]])</f>
        <v>46237</v>
      </c>
      <c r="R2472" s="14" t="str">
        <f ca="1">IF(AND(Q2472&gt;=TODAY()-WEEKDAY(TODAY(),2)+1,Q2472&lt;TODAY()),"SIM","NÃO")</f>
        <v>NÃO</v>
      </c>
    </row>
    <row r="2473" spans="1:18" hidden="1">
      <c r="A2473" t="s">
        <v>253</v>
      </c>
      <c r="B2473" t="s">
        <v>254</v>
      </c>
      <c r="C2473">
        <v>300286762</v>
      </c>
      <c r="D2473">
        <v>16223462</v>
      </c>
      <c r="E2473" t="s">
        <v>45</v>
      </c>
      <c r="F2473" t="s">
        <v>151</v>
      </c>
      <c r="G2473">
        <v>2</v>
      </c>
      <c r="H2473" t="s">
        <v>582</v>
      </c>
      <c r="K2473" s="11">
        <v>46237.704976851855</v>
      </c>
      <c r="M2473">
        <v>1802</v>
      </c>
      <c r="N2473" t="s">
        <v>867</v>
      </c>
      <c r="O2473">
        <v>0</v>
      </c>
      <c r="P2473" s="5"/>
      <c r="Q2473" s="10">
        <f>INT(Tabela1[[#This Row],[DATA]])</f>
        <v>46237</v>
      </c>
      <c r="R2473" s="14" t="str">
        <f ca="1">IF(AND(Q2473&gt;=TODAY()-WEEKDAY(TODAY(),2)+1,Q2473&lt;TODAY()),"SIM","NÃO")</f>
        <v>NÃO</v>
      </c>
    </row>
    <row r="2474" spans="1:18" hidden="1">
      <c r="A2474" t="s">
        <v>1439</v>
      </c>
      <c r="B2474" t="s">
        <v>1440</v>
      </c>
      <c r="C2474">
        <v>300278093</v>
      </c>
      <c r="D2474">
        <v>16488040</v>
      </c>
      <c r="E2474" t="s">
        <v>45</v>
      </c>
      <c r="F2474" t="s">
        <v>1522</v>
      </c>
      <c r="G2474">
        <v>100</v>
      </c>
      <c r="H2474" t="s">
        <v>2632</v>
      </c>
      <c r="J2474" t="s">
        <v>4276</v>
      </c>
      <c r="K2474" s="11">
        <v>46237.728576388887</v>
      </c>
      <c r="M2474">
        <v>1803</v>
      </c>
      <c r="N2474" t="s">
        <v>867</v>
      </c>
      <c r="O2474">
        <v>0</v>
      </c>
      <c r="P2474" s="5"/>
      <c r="Q2474" s="10">
        <f>INT(Tabela1[[#This Row],[DATA]])</f>
        <v>46237</v>
      </c>
      <c r="R2474" s="14" t="str">
        <f ca="1">IF(AND(Q2474&gt;=TODAY()-WEEKDAY(TODAY(),2)+1,Q2474&lt;TODAY()),"SIM","NÃO")</f>
        <v>NÃO</v>
      </c>
    </row>
    <row r="2475" spans="1:18" hidden="1">
      <c r="A2475" t="s">
        <v>605</v>
      </c>
      <c r="B2475" t="s">
        <v>606</v>
      </c>
      <c r="C2475">
        <v>300285374</v>
      </c>
      <c r="D2475">
        <v>16442660</v>
      </c>
      <c r="E2475" t="s">
        <v>29</v>
      </c>
      <c r="F2475" t="s">
        <v>3241</v>
      </c>
      <c r="G2475">
        <v>5</v>
      </c>
      <c r="H2475" t="s">
        <v>1831</v>
      </c>
      <c r="K2475" s="11">
        <v>46237.757048611114</v>
      </c>
      <c r="M2475">
        <v>1804</v>
      </c>
      <c r="N2475" t="s">
        <v>867</v>
      </c>
      <c r="O2475">
        <v>71713</v>
      </c>
      <c r="P2475" s="5"/>
      <c r="Q2475" s="10">
        <f>INT(Tabela1[[#This Row],[DATA]])</f>
        <v>46237</v>
      </c>
      <c r="R2475" s="14" t="str">
        <f ca="1">IF(AND(Q2475&gt;=TODAY()-WEEKDAY(TODAY(),2)+1,Q2475&lt;TODAY()),"SIM","NÃO")</f>
        <v>NÃO</v>
      </c>
    </row>
    <row r="2476" spans="1:18" hidden="1">
      <c r="A2476" t="s">
        <v>605</v>
      </c>
      <c r="B2476" t="s">
        <v>606</v>
      </c>
      <c r="C2476">
        <v>300285257</v>
      </c>
      <c r="D2476">
        <v>16626729</v>
      </c>
      <c r="E2476" t="s">
        <v>37</v>
      </c>
      <c r="F2476" t="s">
        <v>769</v>
      </c>
      <c r="G2476">
        <v>30</v>
      </c>
      <c r="H2476" t="s">
        <v>1332</v>
      </c>
      <c r="J2476" t="s">
        <v>1332</v>
      </c>
      <c r="K2476" s="11">
        <v>46237.759363425925</v>
      </c>
      <c r="M2476">
        <v>1805</v>
      </c>
      <c r="N2476" t="s">
        <v>867</v>
      </c>
      <c r="O2476">
        <v>0</v>
      </c>
      <c r="P2476" s="5"/>
      <c r="Q2476" s="10">
        <f>INT(Tabela1[[#This Row],[DATA]])</f>
        <v>46237</v>
      </c>
      <c r="R2476" s="14" t="str">
        <f ca="1">IF(AND(Q2476&gt;=TODAY()-WEEKDAY(TODAY(),2)+1,Q2476&lt;TODAY()),"SIM","NÃO")</f>
        <v>NÃO</v>
      </c>
    </row>
    <row r="2477" spans="1:18" hidden="1">
      <c r="A2477" t="s">
        <v>253</v>
      </c>
      <c r="B2477" t="s">
        <v>254</v>
      </c>
      <c r="C2477">
        <v>300285261</v>
      </c>
      <c r="D2477">
        <v>15764494</v>
      </c>
      <c r="E2477" t="s">
        <v>37</v>
      </c>
      <c r="F2477" t="s">
        <v>323</v>
      </c>
      <c r="G2477">
        <v>1</v>
      </c>
      <c r="H2477" t="s">
        <v>582</v>
      </c>
      <c r="J2477" t="s">
        <v>4277</v>
      </c>
      <c r="K2477" s="11">
        <v>46238.30840277778</v>
      </c>
      <c r="M2477">
        <v>1806</v>
      </c>
      <c r="N2477" t="s">
        <v>867</v>
      </c>
      <c r="O2477">
        <v>0</v>
      </c>
      <c r="P2477" s="5"/>
      <c r="Q2477" s="10">
        <f>INT(Tabela1[[#This Row],[DATA]])</f>
        <v>46238</v>
      </c>
      <c r="R2477" s="14" t="str">
        <f ca="1">IF(AND(Q2477&gt;=TODAY()-WEEKDAY(TODAY(),2)+1,Q2477&lt;TODAY()),"SIM","NÃO")</f>
        <v>NÃO</v>
      </c>
    </row>
    <row r="2478" spans="1:18" hidden="1">
      <c r="A2478" t="s">
        <v>2571</v>
      </c>
      <c r="B2478" t="s">
        <v>798</v>
      </c>
      <c r="C2478">
        <v>300286537</v>
      </c>
      <c r="D2478">
        <v>16217780</v>
      </c>
      <c r="E2478" t="s">
        <v>37</v>
      </c>
      <c r="F2478" t="s">
        <v>177</v>
      </c>
      <c r="G2478">
        <v>209</v>
      </c>
      <c r="H2478" t="s">
        <v>3713</v>
      </c>
      <c r="J2478" t="s">
        <v>4278</v>
      </c>
      <c r="K2478" s="11">
        <v>46238.32603009259</v>
      </c>
      <c r="M2478">
        <v>1807</v>
      </c>
      <c r="N2478" t="s">
        <v>867</v>
      </c>
      <c r="O2478">
        <v>10000241454</v>
      </c>
      <c r="P2478" s="5"/>
      <c r="Q2478" s="10">
        <f>INT(Tabela1[[#This Row],[DATA]])</f>
        <v>46238</v>
      </c>
      <c r="R2478" s="14" t="str">
        <f ca="1">IF(AND(Q2478&gt;=TODAY()-WEEKDAY(TODAY(),2)+1,Q2478&lt;TODAY()),"SIM","NÃO")</f>
        <v>NÃO</v>
      </c>
    </row>
    <row r="2479" spans="1:18" hidden="1">
      <c r="A2479" t="s">
        <v>2571</v>
      </c>
      <c r="B2479" t="s">
        <v>1487</v>
      </c>
      <c r="C2479">
        <v>300286537</v>
      </c>
      <c r="D2479">
        <v>16217780</v>
      </c>
      <c r="E2479" t="s">
        <v>37</v>
      </c>
      <c r="F2479" t="s">
        <v>2213</v>
      </c>
      <c r="G2479">
        <v>209</v>
      </c>
      <c r="H2479" t="s">
        <v>3713</v>
      </c>
      <c r="J2479" t="s">
        <v>4279</v>
      </c>
      <c r="K2479" s="11">
        <v>46238.327731481484</v>
      </c>
      <c r="M2479">
        <v>1808</v>
      </c>
      <c r="N2479" t="s">
        <v>867</v>
      </c>
      <c r="O2479">
        <v>10000247753</v>
      </c>
      <c r="P2479" s="5"/>
      <c r="Q2479" s="10">
        <f>INT(Tabela1[[#This Row],[DATA]])</f>
        <v>46238</v>
      </c>
      <c r="R2479" s="14" t="str">
        <f ca="1">IF(AND(Q2479&gt;=TODAY()-WEEKDAY(TODAY(),2)+1,Q2479&lt;TODAY()),"SIM","NÃO")</f>
        <v>NÃO</v>
      </c>
    </row>
    <row r="2480" spans="1:18" hidden="1">
      <c r="A2480" t="s">
        <v>2571</v>
      </c>
      <c r="B2480" t="s">
        <v>1487</v>
      </c>
      <c r="C2480">
        <v>300282759</v>
      </c>
      <c r="D2480">
        <v>16480430</v>
      </c>
      <c r="E2480" t="s">
        <v>37</v>
      </c>
      <c r="F2480" t="s">
        <v>3217</v>
      </c>
      <c r="G2480">
        <v>1</v>
      </c>
      <c r="H2480" t="s">
        <v>4280</v>
      </c>
      <c r="J2480" t="s">
        <v>4281</v>
      </c>
      <c r="K2480" s="11">
        <v>46238.330891203703</v>
      </c>
      <c r="M2480">
        <v>1809</v>
      </c>
      <c r="N2480" t="s">
        <v>867</v>
      </c>
      <c r="O2480" t="s">
        <v>4282</v>
      </c>
      <c r="P2480" s="5"/>
      <c r="Q2480" s="10">
        <f>INT(Tabela1[[#This Row],[DATA]])</f>
        <v>46238</v>
      </c>
      <c r="R2480" s="14" t="str">
        <f ca="1">IF(AND(Q2480&gt;=TODAY()-WEEKDAY(TODAY(),2)+1,Q2480&lt;TODAY()),"SIM","NÃO")</f>
        <v>NÃO</v>
      </c>
    </row>
    <row r="2481" spans="1:18" hidden="1">
      <c r="A2481" t="s">
        <v>2571</v>
      </c>
      <c r="B2481" t="s">
        <v>1487</v>
      </c>
      <c r="C2481">
        <v>300287375</v>
      </c>
      <c r="D2481">
        <v>16243951</v>
      </c>
      <c r="E2481" t="s">
        <v>37</v>
      </c>
      <c r="F2481" t="s">
        <v>3217</v>
      </c>
      <c r="G2481">
        <v>1</v>
      </c>
      <c r="H2481" t="s">
        <v>2069</v>
      </c>
      <c r="J2481" t="s">
        <v>4283</v>
      </c>
      <c r="K2481" s="11">
        <v>46238.332858796297</v>
      </c>
      <c r="M2481">
        <v>1810</v>
      </c>
      <c r="N2481" t="s">
        <v>867</v>
      </c>
      <c r="O2481" t="s">
        <v>4282</v>
      </c>
      <c r="P2481" s="5"/>
      <c r="Q2481" s="10">
        <f>INT(Tabela1[[#This Row],[DATA]])</f>
        <v>46238</v>
      </c>
      <c r="R2481" s="14" t="str">
        <f ca="1">IF(AND(Q2481&gt;=TODAY()-WEEKDAY(TODAY(),2)+1,Q2481&lt;TODAY()),"SIM","NÃO")</f>
        <v>NÃO</v>
      </c>
    </row>
    <row r="2482" spans="1:18" hidden="1">
      <c r="A2482" t="s">
        <v>101</v>
      </c>
      <c r="B2482" t="s">
        <v>990</v>
      </c>
      <c r="C2482">
        <v>300280184</v>
      </c>
      <c r="D2482">
        <v>15775496</v>
      </c>
      <c r="E2482" t="s">
        <v>37</v>
      </c>
      <c r="F2482" t="s">
        <v>2405</v>
      </c>
      <c r="G2482">
        <v>3</v>
      </c>
      <c r="H2482" t="s">
        <v>4284</v>
      </c>
      <c r="J2482" t="s">
        <v>4285</v>
      </c>
      <c r="K2482" s="11">
        <v>46238.351909722223</v>
      </c>
      <c r="M2482">
        <v>1811</v>
      </c>
      <c r="N2482" t="s">
        <v>867</v>
      </c>
      <c r="O2482">
        <v>0</v>
      </c>
      <c r="P2482" s="5"/>
      <c r="Q2482" s="10">
        <f>INT(Tabela1[[#This Row],[DATA]])</f>
        <v>46238</v>
      </c>
      <c r="R2482" s="14" t="str">
        <f ca="1">IF(AND(Q2482&gt;=TODAY()-WEEKDAY(TODAY(),2)+1,Q2482&lt;TODAY()),"SIM","NÃO")</f>
        <v>NÃO</v>
      </c>
    </row>
    <row r="2483" spans="1:18" hidden="1">
      <c r="A2483" t="s">
        <v>2624</v>
      </c>
      <c r="B2483" t="s">
        <v>50</v>
      </c>
      <c r="C2483">
        <v>300284281</v>
      </c>
      <c r="D2483">
        <v>15252434</v>
      </c>
      <c r="E2483" t="s">
        <v>37</v>
      </c>
      <c r="F2483" t="s">
        <v>3215</v>
      </c>
      <c r="G2483" t="s">
        <v>4286</v>
      </c>
      <c r="H2483" t="s">
        <v>2380</v>
      </c>
      <c r="J2483" t="s">
        <v>4287</v>
      </c>
      <c r="K2483" s="11">
        <v>46238.368055555555</v>
      </c>
      <c r="M2483">
        <v>1812</v>
      </c>
      <c r="N2483" t="s">
        <v>867</v>
      </c>
      <c r="O2483">
        <v>300284281</v>
      </c>
      <c r="P2483" s="5"/>
      <c r="Q2483" s="10">
        <f>INT(Tabela1[[#This Row],[DATA]])</f>
        <v>46238</v>
      </c>
      <c r="R2483" s="14" t="str">
        <f ca="1">IF(AND(Q2483&gt;=TODAY()-WEEKDAY(TODAY(),2)+1,Q2483&lt;TODAY()),"SIM","NÃO")</f>
        <v>NÃO</v>
      </c>
    </row>
    <row r="2484" spans="1:18" hidden="1">
      <c r="A2484" t="s">
        <v>2578</v>
      </c>
      <c r="B2484" t="s">
        <v>69</v>
      </c>
      <c r="C2484">
        <v>300287259</v>
      </c>
      <c r="D2484">
        <v>16311639</v>
      </c>
      <c r="E2484" t="s">
        <v>45</v>
      </c>
      <c r="F2484" t="s">
        <v>323</v>
      </c>
      <c r="G2484">
        <v>20</v>
      </c>
      <c r="H2484" t="s">
        <v>4288</v>
      </c>
      <c r="J2484" t="s">
        <v>4289</v>
      </c>
      <c r="K2484" s="11">
        <v>46238.370462962965</v>
      </c>
      <c r="M2484">
        <v>1813</v>
      </c>
      <c r="N2484" t="s">
        <v>867</v>
      </c>
      <c r="O2484">
        <v>16311639</v>
      </c>
      <c r="P2484" s="5"/>
      <c r="Q2484" s="10">
        <f>INT(Tabela1[[#This Row],[DATA]])</f>
        <v>46238</v>
      </c>
      <c r="R2484" s="14" t="str">
        <f ca="1">IF(AND(Q2484&gt;=TODAY()-WEEKDAY(TODAY(),2)+1,Q2484&lt;TODAY()),"SIM","NÃO")</f>
        <v>NÃO</v>
      </c>
    </row>
    <row r="2485" spans="1:18" hidden="1">
      <c r="A2485" t="s">
        <v>163</v>
      </c>
      <c r="B2485" t="s">
        <v>164</v>
      </c>
      <c r="C2485">
        <v>300286617</v>
      </c>
      <c r="D2485">
        <v>16226917</v>
      </c>
      <c r="E2485" t="s">
        <v>29</v>
      </c>
      <c r="F2485" t="s">
        <v>3502</v>
      </c>
      <c r="G2485">
        <v>220</v>
      </c>
      <c r="H2485" t="s">
        <v>2766</v>
      </c>
      <c r="J2485" t="s">
        <v>4290</v>
      </c>
      <c r="K2485" s="11">
        <v>46238.415150462963</v>
      </c>
      <c r="M2485">
        <v>1814</v>
      </c>
      <c r="N2485" t="s">
        <v>867</v>
      </c>
      <c r="O2485">
        <v>0</v>
      </c>
      <c r="P2485" s="5"/>
      <c r="Q2485" s="10">
        <f>INT(Tabela1[[#This Row],[DATA]])</f>
        <v>46238</v>
      </c>
      <c r="R2485" s="14" t="str">
        <f ca="1">IF(AND(Q2485&gt;=TODAY()-WEEKDAY(TODAY(),2)+1,Q2485&lt;TODAY()),"SIM","NÃO")</f>
        <v>NÃO</v>
      </c>
    </row>
    <row r="2486" spans="1:18" hidden="1">
      <c r="A2486" t="s">
        <v>249</v>
      </c>
      <c r="B2486" t="s">
        <v>112</v>
      </c>
      <c r="C2486">
        <v>300287625</v>
      </c>
      <c r="D2486">
        <v>15724344</v>
      </c>
      <c r="E2486" t="s">
        <v>45</v>
      </c>
      <c r="F2486" t="s">
        <v>2405</v>
      </c>
      <c r="G2486">
        <v>10</v>
      </c>
      <c r="H2486" t="s">
        <v>2172</v>
      </c>
      <c r="K2486" s="11">
        <v>46238.43136574074</v>
      </c>
      <c r="M2486">
        <v>1815</v>
      </c>
      <c r="N2486" t="s">
        <v>867</v>
      </c>
      <c r="O2486">
        <v>0</v>
      </c>
      <c r="P2486" s="5"/>
      <c r="Q2486" s="10">
        <f>INT(Tabela1[[#This Row],[DATA]])</f>
        <v>46238</v>
      </c>
      <c r="R2486" s="14" t="str">
        <f ca="1">IF(AND(Q2486&gt;=TODAY()-WEEKDAY(TODAY(),2)+1,Q2486&lt;TODAY()),"SIM","NÃO")</f>
        <v>NÃO</v>
      </c>
    </row>
    <row r="2487" spans="1:18" hidden="1">
      <c r="A2487" t="s">
        <v>111</v>
      </c>
      <c r="B2487" t="s">
        <v>112</v>
      </c>
      <c r="C2487">
        <v>300276371</v>
      </c>
      <c r="D2487">
        <v>16419839</v>
      </c>
      <c r="E2487" t="s">
        <v>20</v>
      </c>
      <c r="F2487" t="s">
        <v>3595</v>
      </c>
      <c r="G2487">
        <v>2</v>
      </c>
      <c r="H2487" t="s">
        <v>2843</v>
      </c>
      <c r="K2487" s="11">
        <v>46238.433298611111</v>
      </c>
      <c r="M2487">
        <v>1816</v>
      </c>
      <c r="N2487" t="s">
        <v>867</v>
      </c>
      <c r="O2487">
        <v>10000209181</v>
      </c>
      <c r="P2487" s="5"/>
      <c r="Q2487" s="10">
        <f>INT(Tabela1[[#This Row],[DATA]])</f>
        <v>46238</v>
      </c>
      <c r="R2487" s="14" t="str">
        <f ca="1">IF(AND(Q2487&gt;=TODAY()-WEEKDAY(TODAY(),2)+1,Q2487&lt;TODAY()),"SIM","NÃO")</f>
        <v>NÃO</v>
      </c>
    </row>
    <row r="2488" spans="1:18" hidden="1">
      <c r="A2488" t="s">
        <v>111</v>
      </c>
      <c r="B2488" t="s">
        <v>112</v>
      </c>
      <c r="C2488">
        <v>300276371</v>
      </c>
      <c r="D2488">
        <v>16419839</v>
      </c>
      <c r="E2488" t="s">
        <v>20</v>
      </c>
      <c r="F2488" t="s">
        <v>3241</v>
      </c>
      <c r="G2488">
        <v>180</v>
      </c>
      <c r="H2488" t="s">
        <v>2843</v>
      </c>
      <c r="J2488" t="s">
        <v>4291</v>
      </c>
      <c r="K2488" s="11">
        <v>46238.436678240738</v>
      </c>
      <c r="M2488">
        <v>1817</v>
      </c>
      <c r="N2488" t="s">
        <v>867</v>
      </c>
      <c r="O2488">
        <v>10000072709</v>
      </c>
      <c r="P2488" s="5"/>
      <c r="Q2488" s="10">
        <f>INT(Tabela1[[#This Row],[DATA]])</f>
        <v>46238</v>
      </c>
      <c r="R2488" s="14" t="str">
        <f ca="1">IF(AND(Q2488&gt;=TODAY()-WEEKDAY(TODAY(),2)+1,Q2488&lt;TODAY()),"SIM","NÃO")</f>
        <v>NÃO</v>
      </c>
    </row>
    <row r="2489" spans="1:18" hidden="1">
      <c r="A2489" t="s">
        <v>2775</v>
      </c>
      <c r="B2489" t="s">
        <v>512</v>
      </c>
      <c r="C2489">
        <v>300284929</v>
      </c>
      <c r="D2489">
        <v>16483936</v>
      </c>
      <c r="E2489" t="s">
        <v>45</v>
      </c>
      <c r="F2489" t="s">
        <v>3212</v>
      </c>
      <c r="G2489">
        <v>600</v>
      </c>
      <c r="H2489" t="s">
        <v>4292</v>
      </c>
      <c r="J2489" t="s">
        <v>4293</v>
      </c>
      <c r="K2489" s="11">
        <v>46238.442106481481</v>
      </c>
      <c r="M2489">
        <v>1818</v>
      </c>
      <c r="N2489" t="s">
        <v>867</v>
      </c>
      <c r="O2489" t="s">
        <v>2778</v>
      </c>
      <c r="P2489" s="5"/>
      <c r="Q2489" s="10">
        <f>INT(Tabela1[[#This Row],[DATA]])</f>
        <v>46238</v>
      </c>
      <c r="R2489" s="14" t="str">
        <f ca="1">IF(AND(Q2489&gt;=TODAY()-WEEKDAY(TODAY(),2)+1,Q2489&lt;TODAY()),"SIM","NÃO")</f>
        <v>NÃO</v>
      </c>
    </row>
    <row r="2490" spans="1:18" hidden="1">
      <c r="A2490" t="s">
        <v>2671</v>
      </c>
      <c r="B2490" t="s">
        <v>89</v>
      </c>
      <c r="C2490">
        <v>300286129</v>
      </c>
      <c r="D2490">
        <v>15252566</v>
      </c>
      <c r="E2490" t="s">
        <v>37</v>
      </c>
      <c r="F2490" t="s">
        <v>2405</v>
      </c>
      <c r="G2490">
        <v>21</v>
      </c>
      <c r="H2490" t="s">
        <v>4294</v>
      </c>
      <c r="J2490" t="s">
        <v>4295</v>
      </c>
      <c r="K2490" s="11">
        <v>46238.449907407405</v>
      </c>
      <c r="M2490">
        <v>1819</v>
      </c>
      <c r="N2490" t="s">
        <v>867</v>
      </c>
      <c r="O2490">
        <v>0</v>
      </c>
      <c r="P2490" s="5"/>
      <c r="Q2490" s="10">
        <f>INT(Tabela1[[#This Row],[DATA]])</f>
        <v>46238</v>
      </c>
      <c r="R2490" s="14" t="str">
        <f ca="1">IF(AND(Q2490&gt;=TODAY()-WEEKDAY(TODAY(),2)+1,Q2490&lt;TODAY()),"SIM","NÃO")</f>
        <v>NÃO</v>
      </c>
    </row>
    <row r="2491" spans="1:18" hidden="1">
      <c r="A2491" t="s">
        <v>2541</v>
      </c>
      <c r="B2491" t="s">
        <v>388</v>
      </c>
      <c r="C2491">
        <v>300283941</v>
      </c>
      <c r="D2491">
        <v>16448430</v>
      </c>
      <c r="E2491" t="s">
        <v>37</v>
      </c>
      <c r="F2491" t="s">
        <v>216</v>
      </c>
      <c r="G2491">
        <v>5</v>
      </c>
      <c r="H2491" t="s">
        <v>2313</v>
      </c>
      <c r="K2491" s="11">
        <v>46238.464131944442</v>
      </c>
      <c r="M2491">
        <v>1820</v>
      </c>
      <c r="N2491" t="s">
        <v>867</v>
      </c>
      <c r="O2491">
        <v>10000247751</v>
      </c>
      <c r="P2491" s="5"/>
      <c r="Q2491" s="10">
        <f>INT(Tabela1[[#This Row],[DATA]])</f>
        <v>46238</v>
      </c>
      <c r="R2491" s="14" t="str">
        <f ca="1">IF(AND(Q2491&gt;=TODAY()-WEEKDAY(TODAY(),2)+1,Q2491&lt;TODAY()),"SIM","NÃO")</f>
        <v>NÃO</v>
      </c>
    </row>
    <row r="2492" spans="1:18" hidden="1">
      <c r="A2492" t="s">
        <v>2541</v>
      </c>
      <c r="B2492" t="s">
        <v>388</v>
      </c>
      <c r="C2492">
        <v>300279756</v>
      </c>
      <c r="D2492">
        <v>16360311</v>
      </c>
      <c r="E2492" t="s">
        <v>37</v>
      </c>
      <c r="F2492" t="s">
        <v>2213</v>
      </c>
      <c r="G2492">
        <v>4</v>
      </c>
      <c r="H2492" t="s">
        <v>2313</v>
      </c>
      <c r="K2492" s="11">
        <v>46238.481006944443</v>
      </c>
      <c r="M2492">
        <v>1821</v>
      </c>
      <c r="N2492" t="s">
        <v>867</v>
      </c>
      <c r="O2492">
        <v>10000248114</v>
      </c>
      <c r="P2492" s="5"/>
      <c r="Q2492" s="10">
        <f>INT(Tabela1[[#This Row],[DATA]])</f>
        <v>46238</v>
      </c>
      <c r="R2492" s="14" t="str">
        <f ca="1">IF(AND(Q2492&gt;=TODAY()-WEEKDAY(TODAY(),2)+1,Q2492&lt;TODAY()),"SIM","NÃO")</f>
        <v>NÃO</v>
      </c>
    </row>
    <row r="2493" spans="1:18" hidden="1">
      <c r="A2493" t="s">
        <v>305</v>
      </c>
      <c r="B2493" t="s">
        <v>306</v>
      </c>
      <c r="C2493">
        <v>300286533</v>
      </c>
      <c r="D2493">
        <v>16217780</v>
      </c>
      <c r="E2493" t="s">
        <v>37</v>
      </c>
      <c r="F2493" t="s">
        <v>177</v>
      </c>
      <c r="G2493">
        <v>484</v>
      </c>
      <c r="H2493" t="s">
        <v>4296</v>
      </c>
      <c r="J2493" t="s">
        <v>4297</v>
      </c>
      <c r="K2493" s="11">
        <v>46238.547395833331</v>
      </c>
      <c r="M2493">
        <v>1822</v>
      </c>
      <c r="N2493" t="s">
        <v>867</v>
      </c>
      <c r="O2493">
        <v>10000241454</v>
      </c>
      <c r="P2493" s="5"/>
      <c r="Q2493" s="10">
        <f>INT(Tabela1[[#This Row],[DATA]])</f>
        <v>46238</v>
      </c>
      <c r="R2493" s="14" t="str">
        <f ca="1">IF(AND(Q2493&gt;=TODAY()-WEEKDAY(TODAY(),2)+1,Q2493&lt;TODAY()),"SIM","NÃO")</f>
        <v>NÃO</v>
      </c>
    </row>
    <row r="2494" spans="1:18" hidden="1">
      <c r="A2494" t="s">
        <v>233</v>
      </c>
      <c r="B2494" t="s">
        <v>234</v>
      </c>
      <c r="C2494">
        <v>300282781</v>
      </c>
      <c r="D2494">
        <v>16466098</v>
      </c>
      <c r="E2494" t="s">
        <v>37</v>
      </c>
      <c r="F2494" t="s">
        <v>3215</v>
      </c>
      <c r="G2494">
        <v>0</v>
      </c>
      <c r="H2494" t="s">
        <v>4298</v>
      </c>
      <c r="J2494" t="s">
        <v>2517</v>
      </c>
      <c r="K2494" s="11">
        <v>46238.558645833335</v>
      </c>
      <c r="M2494">
        <v>1823</v>
      </c>
      <c r="N2494" t="s">
        <v>867</v>
      </c>
      <c r="O2494">
        <v>0</v>
      </c>
      <c r="P2494" s="5"/>
      <c r="Q2494" s="10">
        <f>INT(Tabela1[[#This Row],[DATA]])</f>
        <v>46238</v>
      </c>
      <c r="R2494" s="14" t="str">
        <f ca="1">IF(AND(Q2494&gt;=TODAY()-WEEKDAY(TODAY(),2)+1,Q2494&lt;TODAY()),"SIM","NÃO")</f>
        <v>NÃO</v>
      </c>
    </row>
    <row r="2495" spans="1:18" hidden="1">
      <c r="A2495" t="s">
        <v>305</v>
      </c>
      <c r="B2495" t="s">
        <v>306</v>
      </c>
      <c r="C2495">
        <v>300286533</v>
      </c>
      <c r="D2495">
        <v>16217780</v>
      </c>
      <c r="E2495" t="s">
        <v>37</v>
      </c>
      <c r="F2495" t="s">
        <v>177</v>
      </c>
      <c r="G2495">
        <v>445</v>
      </c>
      <c r="H2495" t="s">
        <v>4299</v>
      </c>
      <c r="J2495" t="s">
        <v>4300</v>
      </c>
      <c r="K2495" s="11">
        <v>46238.560416666667</v>
      </c>
      <c r="M2495">
        <v>1824</v>
      </c>
      <c r="N2495" t="s">
        <v>867</v>
      </c>
      <c r="O2495">
        <v>10000241454</v>
      </c>
      <c r="P2495" s="5"/>
      <c r="Q2495" s="10">
        <f>INT(Tabela1[[#This Row],[DATA]])</f>
        <v>46238</v>
      </c>
      <c r="R2495" s="14" t="str">
        <f ca="1">IF(AND(Q2495&gt;=TODAY()-WEEKDAY(TODAY(),2)+1,Q2495&lt;TODAY()),"SIM","NÃO")</f>
        <v>NÃO</v>
      </c>
    </row>
    <row r="2496" spans="1:18" hidden="1">
      <c r="A2496" t="s">
        <v>2177</v>
      </c>
      <c r="B2496" t="s">
        <v>1073</v>
      </c>
      <c r="C2496">
        <v>300286688</v>
      </c>
      <c r="D2496">
        <v>16561074</v>
      </c>
      <c r="E2496" t="s">
        <v>37</v>
      </c>
      <c r="F2496" t="s">
        <v>2405</v>
      </c>
      <c r="G2496">
        <v>69</v>
      </c>
      <c r="H2496" t="s">
        <v>4301</v>
      </c>
      <c r="J2496" t="s">
        <v>4302</v>
      </c>
      <c r="K2496" s="11">
        <v>46238.574999999997</v>
      </c>
      <c r="M2496">
        <v>1825</v>
      </c>
      <c r="N2496" t="s">
        <v>867</v>
      </c>
      <c r="O2496" t="s">
        <v>3321</v>
      </c>
      <c r="P2496" s="5"/>
      <c r="Q2496" s="10">
        <f>INT(Tabela1[[#This Row],[DATA]])</f>
        <v>46238</v>
      </c>
      <c r="R2496" s="14" t="str">
        <f ca="1">IF(AND(Q2496&gt;=TODAY()-WEEKDAY(TODAY(),2)+1,Q2496&lt;TODAY()),"SIM","NÃO")</f>
        <v>NÃO</v>
      </c>
    </row>
    <row r="2497" spans="1:18" hidden="1">
      <c r="A2497" t="s">
        <v>605</v>
      </c>
      <c r="B2497" t="s">
        <v>606</v>
      </c>
      <c r="C2497">
        <v>300286538</v>
      </c>
      <c r="D2497">
        <v>16217780</v>
      </c>
      <c r="E2497" t="s">
        <v>37</v>
      </c>
      <c r="F2497" t="s">
        <v>2213</v>
      </c>
      <c r="G2497">
        <v>55</v>
      </c>
      <c r="H2497" t="s">
        <v>4303</v>
      </c>
      <c r="J2497" t="s">
        <v>4304</v>
      </c>
      <c r="K2497" s="11">
        <v>46238.579027777778</v>
      </c>
      <c r="M2497">
        <v>1826</v>
      </c>
      <c r="N2497" t="s">
        <v>867</v>
      </c>
      <c r="O2497" s="17">
        <v>1.00002478112478E+34</v>
      </c>
      <c r="P2497" s="5"/>
      <c r="Q2497" s="10">
        <f>INT(Tabela1[[#This Row],[DATA]])</f>
        <v>46238</v>
      </c>
      <c r="R2497" s="14" t="str">
        <f ca="1">IF(AND(Q2497&gt;=TODAY()-WEEKDAY(TODAY(),2)+1,Q2497&lt;TODAY()),"SIM","NÃO")</f>
        <v>NÃO</v>
      </c>
    </row>
    <row r="2498" spans="1:18" hidden="1">
      <c r="A2498" t="s">
        <v>2177</v>
      </c>
      <c r="B2498" t="s">
        <v>1073</v>
      </c>
      <c r="C2498">
        <v>300286688</v>
      </c>
      <c r="D2498">
        <v>16561074</v>
      </c>
      <c r="E2498" t="s">
        <v>37</v>
      </c>
      <c r="F2498" t="s">
        <v>2213</v>
      </c>
      <c r="G2498">
        <v>75</v>
      </c>
      <c r="H2498" t="s">
        <v>4305</v>
      </c>
      <c r="J2498" t="s">
        <v>4306</v>
      </c>
      <c r="K2498" s="11">
        <v>46238.58084490741</v>
      </c>
      <c r="M2498">
        <v>1827</v>
      </c>
      <c r="N2498" t="s">
        <v>867</v>
      </c>
      <c r="O2498" s="17" t="s">
        <v>4307</v>
      </c>
      <c r="P2498" s="5"/>
      <c r="Q2498" s="10">
        <f>INT(Tabela1[[#This Row],[DATA]])</f>
        <v>46238</v>
      </c>
      <c r="R2498" s="14" t="str">
        <f ca="1">IF(AND(Q2498&gt;=TODAY()-WEEKDAY(TODAY(),2)+1,Q2498&lt;TODAY()),"SIM","NÃO")</f>
        <v>NÃO</v>
      </c>
    </row>
    <row r="2499" spans="1:18" hidden="1">
      <c r="A2499" t="s">
        <v>2967</v>
      </c>
      <c r="B2499" t="s">
        <v>2968</v>
      </c>
      <c r="C2499">
        <v>300283541</v>
      </c>
      <c r="D2499">
        <v>16273311</v>
      </c>
      <c r="E2499" t="s">
        <v>37</v>
      </c>
      <c r="F2499" t="s">
        <v>177</v>
      </c>
      <c r="G2499">
        <v>58</v>
      </c>
      <c r="H2499" t="s">
        <v>2621</v>
      </c>
      <c r="K2499" s="11">
        <v>46238.594594907408</v>
      </c>
      <c r="M2499">
        <v>1828</v>
      </c>
      <c r="N2499" t="s">
        <v>867</v>
      </c>
      <c r="O2499" s="17">
        <v>10000241454</v>
      </c>
      <c r="P2499" s="5"/>
      <c r="Q2499" s="10">
        <f>INT(Tabela1[[#This Row],[DATA]])</f>
        <v>46238</v>
      </c>
      <c r="R2499" s="14" t="str">
        <f ca="1">IF(AND(Q2499&gt;=TODAY()-WEEKDAY(TODAY(),2)+1,Q2499&lt;TODAY()),"SIM","NÃO")</f>
        <v>NÃO</v>
      </c>
    </row>
    <row r="2500" spans="1:18" hidden="1">
      <c r="A2500" t="s">
        <v>2551</v>
      </c>
      <c r="B2500" t="s">
        <v>274</v>
      </c>
      <c r="C2500">
        <v>300260184</v>
      </c>
      <c r="D2500">
        <v>16212860</v>
      </c>
      <c r="E2500" t="s">
        <v>37</v>
      </c>
      <c r="F2500" t="s">
        <v>216</v>
      </c>
      <c r="G2500">
        <v>500</v>
      </c>
      <c r="H2500" t="s">
        <v>4308</v>
      </c>
      <c r="K2500" s="11">
        <v>46238.597951388889</v>
      </c>
      <c r="M2500">
        <v>1829</v>
      </c>
      <c r="N2500" t="s">
        <v>867</v>
      </c>
      <c r="O2500" s="17">
        <v>0</v>
      </c>
      <c r="P2500" s="5"/>
      <c r="Q2500" s="10">
        <f>INT(Tabela1[[#This Row],[DATA]])</f>
        <v>46238</v>
      </c>
      <c r="R2500" s="14" t="str">
        <f ca="1">IF(AND(Q2500&gt;=TODAY()-WEEKDAY(TODAY(),2)+1,Q2500&lt;TODAY()),"SIM","NÃO")</f>
        <v>NÃO</v>
      </c>
    </row>
    <row r="2501" spans="1:18" hidden="1">
      <c r="A2501" t="s">
        <v>2911</v>
      </c>
      <c r="B2501" t="s">
        <v>2912</v>
      </c>
      <c r="C2501">
        <v>300285810</v>
      </c>
      <c r="D2501">
        <v>16242408</v>
      </c>
      <c r="E2501" t="s">
        <v>45</v>
      </c>
      <c r="F2501" t="s">
        <v>3502</v>
      </c>
      <c r="G2501">
        <v>305</v>
      </c>
      <c r="H2501" t="s">
        <v>4309</v>
      </c>
      <c r="J2501" t="s">
        <v>4310</v>
      </c>
      <c r="K2501" s="11">
        <v>46238.598321759258</v>
      </c>
      <c r="M2501">
        <v>1830</v>
      </c>
      <c r="N2501" t="s">
        <v>867</v>
      </c>
      <c r="O2501" s="17">
        <v>10000070395</v>
      </c>
      <c r="P2501" s="5"/>
      <c r="Q2501" s="10">
        <f>INT(Tabela1[[#This Row],[DATA]])</f>
        <v>46238</v>
      </c>
      <c r="R2501" s="14" t="str">
        <f ca="1">IF(AND(Q2501&gt;=TODAY()-WEEKDAY(TODAY(),2)+1,Q2501&lt;TODAY()),"SIM","NÃO")</f>
        <v>NÃO</v>
      </c>
    </row>
    <row r="2502" spans="1:18" hidden="1">
      <c r="A2502" t="s">
        <v>2551</v>
      </c>
      <c r="B2502" t="s">
        <v>274</v>
      </c>
      <c r="C2502">
        <v>300260184</v>
      </c>
      <c r="D2502">
        <v>16212860</v>
      </c>
      <c r="E2502" t="s">
        <v>37</v>
      </c>
      <c r="F2502" t="s">
        <v>203</v>
      </c>
      <c r="G2502">
        <v>500</v>
      </c>
      <c r="H2502" t="s">
        <v>4311</v>
      </c>
      <c r="J2502" t="s">
        <v>4311</v>
      </c>
      <c r="K2502" s="11">
        <v>46238.600219907406</v>
      </c>
      <c r="M2502">
        <v>1831</v>
      </c>
      <c r="N2502" t="s">
        <v>867</v>
      </c>
      <c r="O2502" s="17">
        <v>0</v>
      </c>
      <c r="P2502" s="5"/>
      <c r="Q2502" s="10">
        <f>INT(Tabela1[[#This Row],[DATA]])</f>
        <v>46238</v>
      </c>
      <c r="R2502" s="14" t="str">
        <f ca="1">IF(AND(Q2502&gt;=TODAY()-WEEKDAY(TODAY(),2)+1,Q2502&lt;TODAY()),"SIM","NÃO")</f>
        <v>NÃO</v>
      </c>
    </row>
    <row r="2503" spans="1:18" hidden="1">
      <c r="A2503" t="s">
        <v>428</v>
      </c>
      <c r="B2503" t="s">
        <v>429</v>
      </c>
      <c r="C2503">
        <v>300285089</v>
      </c>
      <c r="D2503">
        <v>16448014</v>
      </c>
      <c r="E2503" t="s">
        <v>29</v>
      </c>
      <c r="F2503" t="s">
        <v>3366</v>
      </c>
      <c r="G2503">
        <v>20</v>
      </c>
      <c r="H2503" t="s">
        <v>4312</v>
      </c>
      <c r="K2503" s="11">
        <v>46238.602881944447</v>
      </c>
      <c r="M2503">
        <v>1832</v>
      </c>
      <c r="N2503" t="s">
        <v>867</v>
      </c>
      <c r="O2503" s="17">
        <v>0</v>
      </c>
      <c r="P2503" s="5"/>
      <c r="Q2503" s="10">
        <f>INT(Tabela1[[#This Row],[DATA]])</f>
        <v>46238</v>
      </c>
      <c r="R2503" s="14" t="str">
        <f ca="1">IF(AND(Q2503&gt;=TODAY()-WEEKDAY(TODAY(),2)+1,Q2503&lt;TODAY()),"SIM","NÃO")</f>
        <v>NÃO</v>
      </c>
    </row>
    <row r="2504" spans="1:18" hidden="1">
      <c r="A2504" t="s">
        <v>4134</v>
      </c>
      <c r="B2504" t="s">
        <v>4135</v>
      </c>
      <c r="C2504">
        <v>300286244</v>
      </c>
      <c r="D2504">
        <v>16116852</v>
      </c>
      <c r="E2504" t="s">
        <v>20</v>
      </c>
      <c r="F2504" t="s">
        <v>3241</v>
      </c>
      <c r="G2504">
        <v>8</v>
      </c>
      <c r="H2504" t="s">
        <v>4313</v>
      </c>
      <c r="J2504" t="s">
        <v>4314</v>
      </c>
      <c r="K2504" s="11">
        <v>46238.604745370372</v>
      </c>
      <c r="M2504">
        <v>1833</v>
      </c>
      <c r="N2504" t="s">
        <v>867</v>
      </c>
      <c r="O2504" s="17" t="s">
        <v>4315</v>
      </c>
      <c r="P2504" s="5"/>
      <c r="Q2504" s="10">
        <f>INT(Tabela1[[#This Row],[DATA]])</f>
        <v>46238</v>
      </c>
      <c r="R2504" s="14" t="str">
        <f ca="1">IF(AND(Q2504&gt;=TODAY()-WEEKDAY(TODAY(),2)+1,Q2504&lt;TODAY()),"SIM","NÃO")</f>
        <v>NÃO</v>
      </c>
    </row>
    <row r="2505" spans="1:18" hidden="1">
      <c r="A2505" t="s">
        <v>163</v>
      </c>
      <c r="B2505" t="s">
        <v>164</v>
      </c>
      <c r="C2505">
        <v>300282553</v>
      </c>
      <c r="D2505">
        <v>16238385</v>
      </c>
      <c r="E2505" t="s">
        <v>29</v>
      </c>
      <c r="F2505" t="s">
        <v>2405</v>
      </c>
      <c r="G2505">
        <v>44</v>
      </c>
      <c r="H2505" t="s">
        <v>2880</v>
      </c>
      <c r="J2505" t="s">
        <v>4316</v>
      </c>
      <c r="K2505" s="11">
        <v>46238.63071759259</v>
      </c>
      <c r="M2505">
        <v>1834</v>
      </c>
      <c r="N2505" t="s">
        <v>867</v>
      </c>
      <c r="O2505" s="17">
        <v>0</v>
      </c>
      <c r="P2505" s="5"/>
      <c r="Q2505" s="10">
        <f>INT(Tabela1[[#This Row],[DATA]])</f>
        <v>46238</v>
      </c>
      <c r="R2505" s="14" t="str">
        <f ca="1">IF(AND(Q2505&gt;=TODAY()-WEEKDAY(TODAY(),2)+1,Q2505&lt;TODAY()),"SIM","NÃO")</f>
        <v>NÃO</v>
      </c>
    </row>
    <row r="2506" spans="1:18" hidden="1">
      <c r="A2506" t="s">
        <v>111</v>
      </c>
      <c r="B2506" t="s">
        <v>112</v>
      </c>
      <c r="C2506">
        <v>300277098</v>
      </c>
      <c r="D2506">
        <v>15764290</v>
      </c>
      <c r="E2506" t="s">
        <v>37</v>
      </c>
      <c r="F2506" t="s">
        <v>3330</v>
      </c>
      <c r="G2506">
        <v>5</v>
      </c>
      <c r="H2506" t="s">
        <v>1335</v>
      </c>
      <c r="K2506" s="11">
        <v>46238.636006944442</v>
      </c>
      <c r="M2506">
        <v>1835</v>
      </c>
      <c r="N2506" t="s">
        <v>867</v>
      </c>
      <c r="O2506" s="17">
        <v>10000212591</v>
      </c>
      <c r="P2506" s="5"/>
      <c r="Q2506" s="10">
        <f>INT(Tabela1[[#This Row],[DATA]])</f>
        <v>46238</v>
      </c>
      <c r="R2506" s="14" t="str">
        <f ca="1">IF(AND(Q2506&gt;=TODAY()-WEEKDAY(TODAY(),2)+1,Q2506&lt;TODAY()),"SIM","NÃO")</f>
        <v>NÃO</v>
      </c>
    </row>
    <row r="2507" spans="1:18" hidden="1">
      <c r="A2507" t="s">
        <v>2562</v>
      </c>
      <c r="B2507" t="s">
        <v>612</v>
      </c>
      <c r="C2507">
        <v>300286557</v>
      </c>
      <c r="D2507">
        <v>16272641</v>
      </c>
      <c r="E2507" t="s">
        <v>37</v>
      </c>
      <c r="F2507" t="s">
        <v>3742</v>
      </c>
      <c r="G2507" t="s">
        <v>4317</v>
      </c>
      <c r="H2507" t="s">
        <v>1418</v>
      </c>
      <c r="J2507" t="s">
        <v>4318</v>
      </c>
      <c r="K2507" s="11">
        <v>46238.639537037037</v>
      </c>
      <c r="M2507">
        <v>1836</v>
      </c>
      <c r="N2507" t="s">
        <v>867</v>
      </c>
      <c r="O2507" s="17">
        <v>0</v>
      </c>
      <c r="P2507" s="5"/>
      <c r="Q2507" s="10">
        <f>INT(Tabela1[[#This Row],[DATA]])</f>
        <v>46238</v>
      </c>
      <c r="R2507" s="14" t="str">
        <f ca="1">IF(AND(Q2507&gt;=TODAY()-WEEKDAY(TODAY(),2)+1,Q2507&lt;TODAY()),"SIM","NÃO")</f>
        <v>NÃO</v>
      </c>
    </row>
    <row r="2508" spans="1:18" hidden="1">
      <c r="A2508" t="s">
        <v>1154</v>
      </c>
      <c r="B2508" t="s">
        <v>1155</v>
      </c>
      <c r="C2508">
        <v>300287940</v>
      </c>
      <c r="D2508">
        <v>16221214</v>
      </c>
      <c r="E2508" t="s">
        <v>37</v>
      </c>
      <c r="F2508" t="s">
        <v>2405</v>
      </c>
      <c r="G2508">
        <v>40</v>
      </c>
      <c r="H2508" t="s">
        <v>2559</v>
      </c>
      <c r="K2508" s="11">
        <v>46238.676192129627</v>
      </c>
      <c r="M2508">
        <v>1837</v>
      </c>
      <c r="N2508" t="s">
        <v>867</v>
      </c>
      <c r="O2508" s="17">
        <v>0</v>
      </c>
      <c r="P2508" s="5"/>
      <c r="Q2508" s="10">
        <f>INT(Tabela1[[#This Row],[DATA]])</f>
        <v>46238</v>
      </c>
      <c r="R2508" s="14" t="str">
        <f ca="1">IF(AND(Q2508&gt;=TODAY()-WEEKDAY(TODAY(),2)+1,Q2508&lt;TODAY()),"SIM","NÃO")</f>
        <v>NÃO</v>
      </c>
    </row>
    <row r="2509" spans="1:18" hidden="1">
      <c r="A2509" t="s">
        <v>1154</v>
      </c>
      <c r="B2509" t="s">
        <v>1155</v>
      </c>
      <c r="C2509">
        <v>300287940</v>
      </c>
      <c r="D2509">
        <v>16221214</v>
      </c>
      <c r="E2509" t="s">
        <v>37</v>
      </c>
      <c r="F2509" t="s">
        <v>3215</v>
      </c>
      <c r="G2509">
        <v>6</v>
      </c>
      <c r="H2509" t="s">
        <v>2559</v>
      </c>
      <c r="J2509" t="s">
        <v>2555</v>
      </c>
      <c r="K2509" s="11">
        <v>46238.678287037037</v>
      </c>
      <c r="M2509">
        <v>1838</v>
      </c>
      <c r="N2509" t="s">
        <v>867</v>
      </c>
      <c r="O2509" s="17">
        <v>0</v>
      </c>
      <c r="P2509" s="5"/>
      <c r="Q2509" s="10">
        <f>INT(Tabela1[[#This Row],[DATA]])</f>
        <v>46238</v>
      </c>
      <c r="R2509" s="14" t="str">
        <f ca="1">IF(AND(Q2509&gt;=TODAY()-WEEKDAY(TODAY(),2)+1,Q2509&lt;TODAY()),"SIM","NÃO")</f>
        <v>NÃO</v>
      </c>
    </row>
    <row r="2510" spans="1:18" hidden="1">
      <c r="A2510" t="s">
        <v>35</v>
      </c>
      <c r="B2510" t="s">
        <v>36</v>
      </c>
      <c r="C2510">
        <v>300285698</v>
      </c>
      <c r="D2510">
        <v>16602013</v>
      </c>
      <c r="E2510" t="s">
        <v>37</v>
      </c>
      <c r="F2510" t="s">
        <v>177</v>
      </c>
      <c r="G2510">
        <v>91</v>
      </c>
      <c r="H2510" t="s">
        <v>4319</v>
      </c>
      <c r="J2510" t="s">
        <v>4320</v>
      </c>
      <c r="K2510" s="11">
        <v>46238.678402777776</v>
      </c>
      <c r="M2510">
        <v>1839</v>
      </c>
      <c r="N2510" t="s">
        <v>867</v>
      </c>
      <c r="O2510" s="17">
        <v>10000247192</v>
      </c>
      <c r="P2510" s="5"/>
      <c r="Q2510" s="10">
        <f>INT(Tabela1[[#This Row],[DATA]])</f>
        <v>46238</v>
      </c>
      <c r="R2510" s="14" t="str">
        <f ca="1">IF(AND(Q2510&gt;=TODAY()-WEEKDAY(TODAY(),2)+1,Q2510&lt;TODAY()),"SIM","NÃO")</f>
        <v>NÃO</v>
      </c>
    </row>
    <row r="2511" spans="1:18" hidden="1">
      <c r="A2511" t="s">
        <v>2713</v>
      </c>
      <c r="B2511" t="s">
        <v>55</v>
      </c>
      <c r="C2511">
        <v>300275459</v>
      </c>
      <c r="D2511">
        <v>16371488</v>
      </c>
      <c r="E2511" t="s">
        <v>37</v>
      </c>
      <c r="F2511" t="s">
        <v>2405</v>
      </c>
      <c r="G2511">
        <v>15</v>
      </c>
      <c r="H2511" t="s">
        <v>4321</v>
      </c>
      <c r="K2511" s="11">
        <v>46238.683553240742</v>
      </c>
      <c r="M2511">
        <v>1840</v>
      </c>
      <c r="N2511" t="s">
        <v>867</v>
      </c>
      <c r="O2511" s="17" t="s">
        <v>1979</v>
      </c>
      <c r="P2511" s="5"/>
      <c r="Q2511" s="10">
        <f>INT(Tabela1[[#This Row],[DATA]])</f>
        <v>46238</v>
      </c>
      <c r="R2511" s="14" t="str">
        <f ca="1">IF(AND(Q2511&gt;=TODAY()-WEEKDAY(TODAY(),2)+1,Q2511&lt;TODAY()),"SIM","NÃO")</f>
        <v>NÃO</v>
      </c>
    </row>
    <row r="2512" spans="1:18" hidden="1">
      <c r="A2512" t="s">
        <v>2654</v>
      </c>
      <c r="B2512" t="s">
        <v>2655</v>
      </c>
      <c r="C2512">
        <v>300288417</v>
      </c>
      <c r="D2512">
        <v>16632800</v>
      </c>
      <c r="E2512" t="s">
        <v>37</v>
      </c>
      <c r="F2512" t="s">
        <v>769</v>
      </c>
      <c r="G2512">
        <v>1100</v>
      </c>
      <c r="H2512" t="s">
        <v>4322</v>
      </c>
      <c r="K2512" s="11">
        <v>46238.698553240742</v>
      </c>
      <c r="M2512">
        <v>1841</v>
      </c>
      <c r="N2512" t="s">
        <v>867</v>
      </c>
      <c r="O2512" s="17">
        <v>0</v>
      </c>
      <c r="P2512" s="5"/>
      <c r="Q2512" s="10">
        <f>INT(Tabela1[[#This Row],[DATA]])</f>
        <v>46238</v>
      </c>
      <c r="R2512" s="14" t="str">
        <f ca="1">IF(AND(Q2512&gt;=TODAY()-WEEKDAY(TODAY(),2)+1,Q2512&lt;TODAY()),"SIM","NÃO")</f>
        <v>NÃO</v>
      </c>
    </row>
    <row r="2513" spans="1:18" hidden="1">
      <c r="A2513" t="s">
        <v>2547</v>
      </c>
      <c r="B2513" t="s">
        <v>1582</v>
      </c>
      <c r="C2513">
        <v>300286735</v>
      </c>
      <c r="D2513">
        <v>16452097</v>
      </c>
      <c r="E2513" t="s">
        <v>45</v>
      </c>
      <c r="F2513" t="s">
        <v>151</v>
      </c>
      <c r="G2513">
        <v>52</v>
      </c>
      <c r="H2513" t="s">
        <v>3374</v>
      </c>
      <c r="J2513" t="s">
        <v>3374</v>
      </c>
      <c r="K2513" s="11">
        <v>46238.708287037036</v>
      </c>
      <c r="M2513">
        <v>1842</v>
      </c>
      <c r="N2513" t="s">
        <v>867</v>
      </c>
      <c r="O2513" s="17">
        <v>0</v>
      </c>
      <c r="P2513" s="5"/>
      <c r="Q2513" s="10">
        <f>INT(Tabela1[[#This Row],[DATA]])</f>
        <v>46238</v>
      </c>
      <c r="R2513" s="14" t="str">
        <f ca="1">IF(AND(Q2513&gt;=TODAY()-WEEKDAY(TODAY(),2)+1,Q2513&lt;TODAY()),"SIM","NÃO")</f>
        <v>NÃO</v>
      </c>
    </row>
    <row r="2514" spans="1:18" hidden="1">
      <c r="A2514" t="s">
        <v>163</v>
      </c>
      <c r="B2514" t="s">
        <v>164</v>
      </c>
      <c r="C2514">
        <v>300286617</v>
      </c>
      <c r="D2514">
        <v>16226917</v>
      </c>
      <c r="E2514" t="s">
        <v>29</v>
      </c>
      <c r="F2514" t="s">
        <v>96</v>
      </c>
      <c r="G2514">
        <v>33</v>
      </c>
      <c r="H2514" t="s">
        <v>2292</v>
      </c>
      <c r="J2514" t="s">
        <v>4316</v>
      </c>
      <c r="K2514" s="11">
        <v>46238.708738425928</v>
      </c>
      <c r="M2514">
        <v>1843</v>
      </c>
      <c r="N2514" t="s">
        <v>867</v>
      </c>
      <c r="O2514" s="17">
        <v>0</v>
      </c>
      <c r="P2514" s="5"/>
      <c r="Q2514" s="10">
        <f>INT(Tabela1[[#This Row],[DATA]])</f>
        <v>46238</v>
      </c>
      <c r="R2514" s="14" t="str">
        <f ca="1">IF(AND(Q2514&gt;=TODAY()-WEEKDAY(TODAY(),2)+1,Q2514&lt;TODAY()),"SIM","NÃO")</f>
        <v>NÃO</v>
      </c>
    </row>
    <row r="2515" spans="1:18" hidden="1">
      <c r="A2515" t="s">
        <v>3073</v>
      </c>
      <c r="B2515" t="s">
        <v>2323</v>
      </c>
      <c r="C2515">
        <v>300283550</v>
      </c>
      <c r="D2515">
        <v>16429559</v>
      </c>
      <c r="E2515" t="s">
        <v>37</v>
      </c>
      <c r="F2515" t="s">
        <v>2213</v>
      </c>
      <c r="G2515">
        <v>15</v>
      </c>
      <c r="H2515" t="s">
        <v>2325</v>
      </c>
      <c r="J2515" t="s">
        <v>2325</v>
      </c>
      <c r="K2515" s="11">
        <v>46238.714745370373</v>
      </c>
      <c r="M2515">
        <v>1844</v>
      </c>
      <c r="N2515" t="s">
        <v>867</v>
      </c>
      <c r="O2515" s="17">
        <v>10000252407</v>
      </c>
      <c r="P2515" s="5"/>
      <c r="Q2515" s="10">
        <f>INT(Tabela1[[#This Row],[DATA]])</f>
        <v>46238</v>
      </c>
      <c r="R2515" s="14" t="str">
        <f ca="1">IF(AND(Q2515&gt;=TODAY()-WEEKDAY(TODAY(),2)+1,Q2515&lt;TODAY()),"SIM","NÃO")</f>
        <v>NÃO</v>
      </c>
    </row>
    <row r="2516" spans="1:18" hidden="1">
      <c r="A2516" t="s">
        <v>163</v>
      </c>
      <c r="B2516" t="s">
        <v>164</v>
      </c>
      <c r="C2516">
        <v>300287233</v>
      </c>
      <c r="D2516">
        <v>16243005</v>
      </c>
      <c r="E2516" t="s">
        <v>37</v>
      </c>
      <c r="F2516" t="s">
        <v>221</v>
      </c>
      <c r="G2516">
        <v>1323</v>
      </c>
      <c r="H2516" t="s">
        <v>39</v>
      </c>
      <c r="K2516" s="11">
        <v>46238.714837962965</v>
      </c>
      <c r="M2516">
        <v>1845</v>
      </c>
      <c r="N2516" t="s">
        <v>878</v>
      </c>
      <c r="O2516" s="17">
        <v>10000195709</v>
      </c>
      <c r="P2516" s="5"/>
      <c r="Q2516" s="10">
        <f>INT(Tabela1[[#This Row],[DATA]])</f>
        <v>46238</v>
      </c>
      <c r="R2516" s="14" t="str">
        <f ca="1">IF(AND(Q2516&gt;=TODAY()-WEEKDAY(TODAY(),2)+1,Q2516&lt;TODAY()),"SIM","NÃO")</f>
        <v>NÃO</v>
      </c>
    </row>
    <row r="2517" spans="1:18" hidden="1">
      <c r="A2517" t="s">
        <v>2547</v>
      </c>
      <c r="B2517" t="s">
        <v>1582</v>
      </c>
      <c r="C2517">
        <v>300286736</v>
      </c>
      <c r="D2517">
        <v>16452097</v>
      </c>
      <c r="E2517" t="s">
        <v>45</v>
      </c>
      <c r="F2517" t="s">
        <v>151</v>
      </c>
      <c r="G2517">
        <v>46</v>
      </c>
      <c r="H2517" t="s">
        <v>3374</v>
      </c>
      <c r="J2517" t="s">
        <v>3374</v>
      </c>
      <c r="K2517" s="11">
        <v>46238.716423611113</v>
      </c>
      <c r="M2517">
        <v>1846</v>
      </c>
      <c r="N2517" t="s">
        <v>867</v>
      </c>
      <c r="O2517" s="17">
        <v>0</v>
      </c>
      <c r="P2517" s="5"/>
      <c r="Q2517" s="10">
        <f>INT(Tabela1[[#This Row],[DATA]])</f>
        <v>46238</v>
      </c>
      <c r="R2517" s="14" t="str">
        <f ca="1">IF(AND(Q2517&gt;=TODAY()-WEEKDAY(TODAY(),2)+1,Q2517&lt;TODAY()),"SIM","NÃO")</f>
        <v>NÃO</v>
      </c>
    </row>
    <row r="2518" spans="1:18" hidden="1">
      <c r="A2518" t="s">
        <v>3073</v>
      </c>
      <c r="B2518" t="s">
        <v>2323</v>
      </c>
      <c r="C2518">
        <v>300283550</v>
      </c>
      <c r="D2518">
        <v>16429559</v>
      </c>
      <c r="E2518" t="s">
        <v>37</v>
      </c>
      <c r="F2518" t="s">
        <v>2213</v>
      </c>
      <c r="G2518">
        <v>15</v>
      </c>
      <c r="H2518" t="s">
        <v>4323</v>
      </c>
      <c r="J2518" t="s">
        <v>2325</v>
      </c>
      <c r="K2518" s="11">
        <v>46238.716782407406</v>
      </c>
      <c r="M2518">
        <v>1847</v>
      </c>
      <c r="N2518" t="s">
        <v>867</v>
      </c>
      <c r="O2518" s="17">
        <v>10000248114</v>
      </c>
      <c r="P2518" s="5"/>
      <c r="Q2518" s="10">
        <f>INT(Tabela1[[#This Row],[DATA]])</f>
        <v>46238</v>
      </c>
      <c r="R2518" s="14" t="str">
        <f ca="1">IF(AND(Q2518&gt;=TODAY()-WEEKDAY(TODAY(),2)+1,Q2518&lt;TODAY()),"SIM","NÃO")</f>
        <v>NÃO</v>
      </c>
    </row>
    <row r="2519" spans="1:18" hidden="1">
      <c r="A2519" t="s">
        <v>3073</v>
      </c>
      <c r="B2519" t="s">
        <v>2323</v>
      </c>
      <c r="C2519">
        <v>300282288</v>
      </c>
      <c r="D2519">
        <v>15773400</v>
      </c>
      <c r="E2519" t="s">
        <v>37</v>
      </c>
      <c r="F2519" t="s">
        <v>3215</v>
      </c>
      <c r="G2519">
        <v>20</v>
      </c>
      <c r="H2519" t="s">
        <v>2325</v>
      </c>
      <c r="J2519" t="s">
        <v>2325</v>
      </c>
      <c r="K2519" s="11">
        <v>46238.71875</v>
      </c>
      <c r="M2519">
        <v>1848</v>
      </c>
      <c r="N2519" t="s">
        <v>867</v>
      </c>
      <c r="O2519" s="17">
        <v>0</v>
      </c>
      <c r="P2519" s="5"/>
      <c r="Q2519" s="10">
        <f>INT(Tabela1[[#This Row],[DATA]])</f>
        <v>46238</v>
      </c>
      <c r="R2519" s="14" t="str">
        <f ca="1">IF(AND(Q2519&gt;=TODAY()-WEEKDAY(TODAY(),2)+1,Q2519&lt;TODAY()),"SIM","NÃO")</f>
        <v>NÃO</v>
      </c>
    </row>
    <row r="2520" spans="1:18" hidden="1">
      <c r="A2520" t="s">
        <v>79</v>
      </c>
      <c r="B2520" t="s">
        <v>80</v>
      </c>
      <c r="C2520">
        <v>300285086</v>
      </c>
      <c r="D2520">
        <v>16442717</v>
      </c>
      <c r="E2520" t="s">
        <v>29</v>
      </c>
      <c r="F2520" t="s">
        <v>3502</v>
      </c>
      <c r="G2520" t="s">
        <v>4324</v>
      </c>
      <c r="H2520" t="s">
        <v>2795</v>
      </c>
      <c r="J2520" t="s">
        <v>4325</v>
      </c>
      <c r="K2520" s="11">
        <v>46238.743842592594</v>
      </c>
      <c r="M2520">
        <v>1849</v>
      </c>
      <c r="N2520" t="s">
        <v>867</v>
      </c>
      <c r="O2520" s="17">
        <v>0</v>
      </c>
      <c r="P2520" s="5"/>
      <c r="Q2520" s="10">
        <f>INT(Tabela1[[#This Row],[DATA]])</f>
        <v>46238</v>
      </c>
      <c r="R2520" s="14" t="str">
        <f ca="1">IF(AND(Q2520&gt;=TODAY()-WEEKDAY(TODAY(),2)+1,Q2520&lt;TODAY()),"SIM","NÃO")</f>
        <v>NÃO</v>
      </c>
    </row>
    <row r="2521" spans="1:18" hidden="1">
      <c r="A2521" t="s">
        <v>79</v>
      </c>
      <c r="B2521" t="s">
        <v>80</v>
      </c>
      <c r="C2521">
        <v>300283691</v>
      </c>
      <c r="D2521">
        <v>15215539</v>
      </c>
      <c r="E2521" t="s">
        <v>29</v>
      </c>
      <c r="F2521" t="s">
        <v>3502</v>
      </c>
      <c r="G2521" t="s">
        <v>4326</v>
      </c>
      <c r="H2521" t="s">
        <v>4327</v>
      </c>
      <c r="J2521" t="s">
        <v>2091</v>
      </c>
      <c r="K2521" s="11">
        <v>46238.745266203703</v>
      </c>
      <c r="M2521">
        <v>1850</v>
      </c>
      <c r="N2521" t="s">
        <v>867</v>
      </c>
      <c r="O2521" s="17">
        <v>0</v>
      </c>
      <c r="P2521" s="5"/>
      <c r="Q2521" s="10">
        <f>INT(Tabela1[[#This Row],[DATA]])</f>
        <v>46238</v>
      </c>
      <c r="R2521" s="14" t="str">
        <f ca="1">IF(AND(Q2521&gt;=TODAY()-WEEKDAY(TODAY(),2)+1,Q2521&lt;TODAY()),"SIM","NÃO")</f>
        <v>NÃO</v>
      </c>
    </row>
    <row r="2522" spans="1:18" hidden="1">
      <c r="A2522" t="s">
        <v>2578</v>
      </c>
      <c r="B2522" t="s">
        <v>69</v>
      </c>
      <c r="C2522">
        <v>300286527</v>
      </c>
      <c r="D2522">
        <v>16218019</v>
      </c>
      <c r="E2522" t="s">
        <v>37</v>
      </c>
      <c r="F2522" t="s">
        <v>2405</v>
      </c>
      <c r="G2522">
        <v>25</v>
      </c>
      <c r="H2522" t="s">
        <v>4328</v>
      </c>
      <c r="K2522" s="11">
        <v>46238.753831018519</v>
      </c>
      <c r="M2522">
        <v>1851</v>
      </c>
      <c r="N2522" t="s">
        <v>867</v>
      </c>
      <c r="O2522" s="17">
        <v>16218019</v>
      </c>
      <c r="P2522" s="5"/>
      <c r="Q2522" s="10">
        <f>INT(Tabela1[[#This Row],[DATA]])</f>
        <v>46238</v>
      </c>
      <c r="R2522" s="14" t="str">
        <f ca="1">IF(AND(Q2522&gt;=TODAY()-WEEKDAY(TODAY(),2)+1,Q2522&lt;TODAY()),"SIM","NÃO")</f>
        <v>NÃO</v>
      </c>
    </row>
    <row r="2523" spans="1:18" hidden="1">
      <c r="A2523" t="s">
        <v>2578</v>
      </c>
      <c r="B2523" t="s">
        <v>69</v>
      </c>
      <c r="C2523">
        <v>300282782</v>
      </c>
      <c r="D2523">
        <v>16520025</v>
      </c>
      <c r="E2523" t="s">
        <v>37</v>
      </c>
      <c r="F2523" t="s">
        <v>2405</v>
      </c>
      <c r="G2523">
        <v>30</v>
      </c>
      <c r="H2523" t="s">
        <v>4329</v>
      </c>
      <c r="K2523" s="11">
        <v>46238.762569444443</v>
      </c>
      <c r="M2523">
        <v>1852</v>
      </c>
      <c r="N2523" t="s">
        <v>867</v>
      </c>
      <c r="O2523" s="17">
        <v>16520025</v>
      </c>
      <c r="P2523" s="5"/>
      <c r="Q2523" s="10">
        <f>INT(Tabela1[[#This Row],[DATA]])</f>
        <v>46238</v>
      </c>
      <c r="R2523" s="14" t="str">
        <f ca="1">IF(AND(Q2523&gt;=TODAY()-WEEKDAY(TODAY(),2)+1,Q2523&lt;TODAY()),"SIM","NÃO")</f>
        <v>NÃO</v>
      </c>
    </row>
    <row r="2524" spans="1:18" hidden="1">
      <c r="A2524" t="s">
        <v>2543</v>
      </c>
      <c r="B2524" t="s">
        <v>28</v>
      </c>
      <c r="C2524">
        <v>300287222</v>
      </c>
      <c r="D2524">
        <v>16217420</v>
      </c>
      <c r="E2524" t="s">
        <v>37</v>
      </c>
      <c r="F2524" t="s">
        <v>221</v>
      </c>
      <c r="G2524">
        <v>2356</v>
      </c>
      <c r="H2524" t="s">
        <v>2030</v>
      </c>
      <c r="K2524" s="11">
        <v>46239.291770833333</v>
      </c>
      <c r="M2524">
        <v>1853</v>
      </c>
      <c r="N2524" t="s">
        <v>867</v>
      </c>
      <c r="O2524" s="17">
        <v>10000195771</v>
      </c>
      <c r="P2524" s="5"/>
      <c r="Q2524" s="10">
        <f>INT(Tabela1[[#This Row],[DATA]])</f>
        <v>46239</v>
      </c>
      <c r="R2524" s="14" t="str">
        <f ca="1">IF(AND(Q2524&gt;=TODAY()-WEEKDAY(TODAY(),2)+1,Q2524&lt;TODAY()),"SIM","NÃO")</f>
        <v>NÃO</v>
      </c>
    </row>
    <row r="2525" spans="1:18" hidden="1">
      <c r="A2525" t="s">
        <v>2991</v>
      </c>
      <c r="B2525" t="s">
        <v>534</v>
      </c>
      <c r="C2525">
        <v>300281926</v>
      </c>
      <c r="D2525">
        <v>16520092</v>
      </c>
      <c r="E2525" t="s">
        <v>37</v>
      </c>
      <c r="F2525" t="s">
        <v>203</v>
      </c>
      <c r="G2525" t="s">
        <v>2749</v>
      </c>
      <c r="H2525" t="s">
        <v>4330</v>
      </c>
      <c r="J2525" t="s">
        <v>4331</v>
      </c>
      <c r="K2525" s="11">
        <v>46239.298171296294</v>
      </c>
      <c r="M2525">
        <v>1854</v>
      </c>
      <c r="N2525" t="s">
        <v>867</v>
      </c>
      <c r="O2525" s="17">
        <v>0</v>
      </c>
      <c r="P2525" s="5"/>
      <c r="Q2525" s="10">
        <f>INT(Tabela1[[#This Row],[DATA]])</f>
        <v>46239</v>
      </c>
      <c r="R2525" s="14" t="str">
        <f ca="1">IF(AND(Q2525&gt;=TODAY()-WEEKDAY(TODAY(),2)+1,Q2525&lt;TODAY()),"SIM","NÃO")</f>
        <v>NÃO</v>
      </c>
    </row>
    <row r="2526" spans="1:18" hidden="1">
      <c r="A2526" t="s">
        <v>2554</v>
      </c>
      <c r="B2526" t="s">
        <v>150</v>
      </c>
      <c r="C2526">
        <v>300285099</v>
      </c>
      <c r="D2526">
        <v>16474120</v>
      </c>
      <c r="E2526" t="s">
        <v>37</v>
      </c>
      <c r="F2526" t="s">
        <v>3215</v>
      </c>
      <c r="G2526">
        <v>1</v>
      </c>
      <c r="H2526" t="s">
        <v>4332</v>
      </c>
      <c r="J2526" t="s">
        <v>4333</v>
      </c>
      <c r="K2526" s="11">
        <v>46239.300543981481</v>
      </c>
      <c r="M2526">
        <v>1855</v>
      </c>
      <c r="N2526" t="s">
        <v>867</v>
      </c>
      <c r="O2526" s="17">
        <v>1</v>
      </c>
      <c r="P2526" s="5"/>
      <c r="Q2526" s="10">
        <f>INT(Tabela1[[#This Row],[DATA]])</f>
        <v>46239</v>
      </c>
      <c r="R2526" s="14" t="str">
        <f ca="1">IF(AND(Q2526&gt;=TODAY()-WEEKDAY(TODAY(),2)+1,Q2526&lt;TODAY()),"SIM","NÃO")</f>
        <v>NÃO</v>
      </c>
    </row>
    <row r="2527" spans="1:18" hidden="1">
      <c r="A2527" t="s">
        <v>2605</v>
      </c>
      <c r="B2527" t="s">
        <v>2606</v>
      </c>
      <c r="C2527">
        <v>300284180</v>
      </c>
      <c r="D2527">
        <v>16479181</v>
      </c>
      <c r="E2527" t="s">
        <v>37</v>
      </c>
      <c r="F2527" t="s">
        <v>2213</v>
      </c>
      <c r="G2527">
        <v>18</v>
      </c>
      <c r="H2527" t="s">
        <v>4111</v>
      </c>
      <c r="J2527" t="s">
        <v>4111</v>
      </c>
      <c r="K2527" s="11">
        <v>46239.315682870372</v>
      </c>
      <c r="M2527">
        <v>1856</v>
      </c>
      <c r="N2527" t="s">
        <v>867</v>
      </c>
      <c r="O2527" s="17" t="s">
        <v>4334</v>
      </c>
      <c r="P2527" s="5"/>
      <c r="Q2527" s="10">
        <f>INT(Tabela1[[#This Row],[DATA]])</f>
        <v>46239</v>
      </c>
      <c r="R2527" s="14" t="str">
        <f ca="1">IF(AND(Q2527&gt;=TODAY()-WEEKDAY(TODAY(),2)+1,Q2527&lt;TODAY()),"SIM","NÃO")</f>
        <v>NÃO</v>
      </c>
    </row>
    <row r="2528" spans="1:18" hidden="1">
      <c r="A2528" t="s">
        <v>1421</v>
      </c>
      <c r="B2528" t="s">
        <v>1422</v>
      </c>
      <c r="C2528">
        <v>300287293</v>
      </c>
      <c r="D2528">
        <v>16227387</v>
      </c>
      <c r="E2528" t="s">
        <v>45</v>
      </c>
      <c r="F2528" t="s">
        <v>3212</v>
      </c>
      <c r="G2528">
        <v>375</v>
      </c>
      <c r="H2528" t="s">
        <v>4335</v>
      </c>
      <c r="J2528" t="s">
        <v>4336</v>
      </c>
      <c r="K2528" s="11">
        <v>46239.318113425928</v>
      </c>
      <c r="M2528">
        <v>1857</v>
      </c>
      <c r="N2528" t="s">
        <v>867</v>
      </c>
      <c r="O2528" s="17" t="s">
        <v>848</v>
      </c>
      <c r="P2528" s="5"/>
      <c r="Q2528" s="10">
        <f>INT(Tabela1[[#This Row],[DATA]])</f>
        <v>46239</v>
      </c>
      <c r="R2528" s="14" t="str">
        <f ca="1">IF(AND(Q2528&gt;=TODAY()-WEEKDAY(TODAY(),2)+1,Q2528&lt;TODAY()),"SIM","NÃO")</f>
        <v>NÃO</v>
      </c>
    </row>
    <row r="2529" spans="1:18" hidden="1">
      <c r="A2529" t="s">
        <v>249</v>
      </c>
      <c r="B2529" t="s">
        <v>112</v>
      </c>
      <c r="C2529">
        <v>300282778</v>
      </c>
      <c r="D2529">
        <v>16243153</v>
      </c>
      <c r="E2529" t="s">
        <v>37</v>
      </c>
      <c r="F2529" t="s">
        <v>2213</v>
      </c>
      <c r="G2529">
        <v>15</v>
      </c>
      <c r="H2529" t="s">
        <v>2843</v>
      </c>
      <c r="K2529" s="11">
        <v>46239.338263888887</v>
      </c>
      <c r="M2529">
        <v>1858</v>
      </c>
      <c r="N2529" t="s">
        <v>867</v>
      </c>
      <c r="O2529" s="17">
        <v>10000248114</v>
      </c>
      <c r="P2529" s="5"/>
      <c r="Q2529" s="10">
        <f>INT(Tabela1[[#This Row],[DATA]])</f>
        <v>46239</v>
      </c>
      <c r="R2529" s="14" t="str">
        <f ca="1">IF(AND(Q2529&gt;=TODAY()-WEEKDAY(TODAY(),2)+1,Q2529&lt;TODAY()),"SIM","NÃO")</f>
        <v>NÃO</v>
      </c>
    </row>
    <row r="2530" spans="1:18" hidden="1">
      <c r="A2530" t="s">
        <v>605</v>
      </c>
      <c r="B2530" t="s">
        <v>606</v>
      </c>
      <c r="C2530">
        <v>300285087</v>
      </c>
      <c r="D2530">
        <v>16442660</v>
      </c>
      <c r="E2530" t="s">
        <v>29</v>
      </c>
      <c r="F2530" t="s">
        <v>2405</v>
      </c>
      <c r="G2530">
        <v>5</v>
      </c>
      <c r="H2530" t="s">
        <v>4303</v>
      </c>
      <c r="J2530" t="s">
        <v>2843</v>
      </c>
      <c r="K2530" s="11">
        <v>46239.33866898148</v>
      </c>
      <c r="M2530">
        <v>1859</v>
      </c>
      <c r="N2530" t="s">
        <v>867</v>
      </c>
      <c r="O2530" s="17">
        <v>0</v>
      </c>
      <c r="P2530" s="5"/>
      <c r="Q2530" s="10">
        <f>INT(Tabela1[[#This Row],[DATA]])</f>
        <v>46239</v>
      </c>
      <c r="R2530" s="14" t="str">
        <f ca="1">IF(AND(Q2530&gt;=TODAY()-WEEKDAY(TODAY(),2)+1,Q2530&lt;TODAY()),"SIM","NÃO")</f>
        <v>NÃO</v>
      </c>
    </row>
    <row r="2531" spans="1:18" hidden="1">
      <c r="A2531" t="s">
        <v>605</v>
      </c>
      <c r="B2531" t="s">
        <v>606</v>
      </c>
      <c r="C2531">
        <v>300286538</v>
      </c>
      <c r="D2531">
        <v>16217780</v>
      </c>
      <c r="E2531" t="s">
        <v>37</v>
      </c>
      <c r="F2531" t="s">
        <v>3217</v>
      </c>
      <c r="G2531">
        <v>1</v>
      </c>
      <c r="H2531" t="s">
        <v>2155</v>
      </c>
      <c r="J2531" t="s">
        <v>4337</v>
      </c>
      <c r="K2531" s="11">
        <v>46239.361180555556</v>
      </c>
      <c r="M2531">
        <v>1860</v>
      </c>
      <c r="N2531" t="s">
        <v>867</v>
      </c>
      <c r="O2531" s="17">
        <v>0</v>
      </c>
      <c r="P2531" s="5"/>
      <c r="Q2531" s="10">
        <f>INT(Tabela1[[#This Row],[DATA]])</f>
        <v>46239</v>
      </c>
      <c r="R2531" s="14" t="str">
        <f ca="1">IF(AND(Q2531&gt;=TODAY()-WEEKDAY(TODAY(),2)+1,Q2531&lt;TODAY()),"SIM","NÃO")</f>
        <v>NÃO</v>
      </c>
    </row>
    <row r="2532" spans="1:18" hidden="1">
      <c r="A2532" t="s">
        <v>143</v>
      </c>
      <c r="B2532" t="s">
        <v>144</v>
      </c>
      <c r="C2532">
        <v>300280739</v>
      </c>
      <c r="D2532">
        <v>16441303</v>
      </c>
      <c r="E2532" t="s">
        <v>45</v>
      </c>
      <c r="F2532" t="s">
        <v>145</v>
      </c>
      <c r="G2532">
        <v>2</v>
      </c>
      <c r="H2532" t="s">
        <v>884</v>
      </c>
      <c r="K2532" s="11">
        <v>46239.362719907411</v>
      </c>
      <c r="M2532">
        <v>1861</v>
      </c>
      <c r="N2532" t="s">
        <v>867</v>
      </c>
      <c r="O2532" s="17">
        <v>0</v>
      </c>
      <c r="P2532" s="5"/>
      <c r="Q2532" s="10">
        <f>INT(Tabela1[[#This Row],[DATA]])</f>
        <v>46239</v>
      </c>
      <c r="R2532" s="14" t="str">
        <f ca="1">IF(AND(Q2532&gt;=TODAY()-WEEKDAY(TODAY(),2)+1,Q2532&lt;TODAY()),"SIM","NÃO")</f>
        <v>NÃO</v>
      </c>
    </row>
    <row r="2533" spans="1:18" hidden="1">
      <c r="A2533" t="s">
        <v>249</v>
      </c>
      <c r="B2533" t="s">
        <v>112</v>
      </c>
      <c r="C2533">
        <v>300287290</v>
      </c>
      <c r="D2533">
        <v>16224388</v>
      </c>
      <c r="E2533" t="s">
        <v>45</v>
      </c>
      <c r="F2533" t="s">
        <v>3502</v>
      </c>
      <c r="G2533">
        <v>359</v>
      </c>
      <c r="H2533" t="s">
        <v>1335</v>
      </c>
      <c r="J2533" t="s">
        <v>4338</v>
      </c>
      <c r="K2533" s="11">
        <v>46239.377754629626</v>
      </c>
      <c r="M2533">
        <v>1862</v>
      </c>
      <c r="N2533" t="s">
        <v>867</v>
      </c>
      <c r="O2533" s="17">
        <v>0</v>
      </c>
      <c r="P2533" s="5"/>
      <c r="Q2533" s="10">
        <f>INT(Tabela1[[#This Row],[DATA]])</f>
        <v>46239</v>
      </c>
      <c r="R2533" s="14" t="str">
        <f ca="1">IF(AND(Q2533&gt;=TODAY()-WEEKDAY(TODAY(),2)+1,Q2533&lt;TODAY()),"SIM","NÃO")</f>
        <v>NÃO</v>
      </c>
    </row>
    <row r="2534" spans="1:18" hidden="1">
      <c r="A2534" t="s">
        <v>332</v>
      </c>
      <c r="B2534" t="s">
        <v>28</v>
      </c>
      <c r="C2534">
        <v>300276895</v>
      </c>
      <c r="D2534">
        <v>16222881</v>
      </c>
      <c r="E2534" t="s">
        <v>45</v>
      </c>
      <c r="F2534" t="s">
        <v>323</v>
      </c>
      <c r="G2534">
        <v>1</v>
      </c>
      <c r="H2534" t="s">
        <v>1966</v>
      </c>
      <c r="K2534" s="11">
        <v>46239.402407407404</v>
      </c>
      <c r="M2534">
        <v>1863</v>
      </c>
      <c r="N2534" t="s">
        <v>867</v>
      </c>
      <c r="O2534" s="17">
        <v>0</v>
      </c>
      <c r="P2534" s="5"/>
      <c r="Q2534" s="10">
        <f>INT(Tabela1[[#This Row],[DATA]])</f>
        <v>46239</v>
      </c>
      <c r="R2534" s="14" t="str">
        <f ca="1">IF(AND(Q2534&gt;=TODAY()-WEEKDAY(TODAY(),2)+1,Q2534&lt;TODAY()),"SIM","NÃO")</f>
        <v>NÃO</v>
      </c>
    </row>
    <row r="2535" spans="1:18" hidden="1">
      <c r="A2535" t="s">
        <v>332</v>
      </c>
      <c r="B2535" t="s">
        <v>690</v>
      </c>
      <c r="C2535">
        <v>300276895</v>
      </c>
      <c r="D2535">
        <v>16222881</v>
      </c>
      <c r="E2535" t="s">
        <v>45</v>
      </c>
      <c r="F2535" t="s">
        <v>151</v>
      </c>
      <c r="G2535">
        <v>2</v>
      </c>
      <c r="H2535" t="s">
        <v>1966</v>
      </c>
      <c r="K2535" s="11">
        <v>46239.403379629628</v>
      </c>
      <c r="M2535">
        <v>1864</v>
      </c>
      <c r="N2535" t="s">
        <v>867</v>
      </c>
      <c r="O2535" s="17">
        <v>0</v>
      </c>
      <c r="P2535" s="5"/>
      <c r="Q2535" s="10">
        <f>INT(Tabela1[[#This Row],[DATA]])</f>
        <v>46239</v>
      </c>
      <c r="R2535" s="14" t="str">
        <f ca="1">IF(AND(Q2535&gt;=TODAY()-WEEKDAY(TODAY(),2)+1,Q2535&lt;TODAY()),"SIM","NÃO")</f>
        <v>NÃO</v>
      </c>
    </row>
    <row r="2536" spans="1:18" hidden="1">
      <c r="A2536" t="s">
        <v>2551</v>
      </c>
      <c r="B2536" t="s">
        <v>274</v>
      </c>
      <c r="C2536">
        <v>300288423</v>
      </c>
      <c r="D2536">
        <v>16187415</v>
      </c>
      <c r="E2536" t="s">
        <v>37</v>
      </c>
      <c r="F2536" t="s">
        <v>651</v>
      </c>
      <c r="G2536">
        <v>440</v>
      </c>
      <c r="H2536" t="s">
        <v>2923</v>
      </c>
      <c r="J2536" t="s">
        <v>2923</v>
      </c>
      <c r="K2536" s="11">
        <v>46239.425520833334</v>
      </c>
      <c r="M2536">
        <v>1865</v>
      </c>
      <c r="N2536" t="s">
        <v>867</v>
      </c>
      <c r="O2536" s="17">
        <v>0</v>
      </c>
      <c r="P2536" s="5"/>
      <c r="Q2536" s="10">
        <f>INT(Tabela1[[#This Row],[DATA]])</f>
        <v>46239</v>
      </c>
      <c r="R2536" s="14" t="str">
        <f ca="1">IF(AND(Q2536&gt;=TODAY()-WEEKDAY(TODAY(),2)+1,Q2536&lt;TODAY()),"SIM","NÃO")</f>
        <v>NÃO</v>
      </c>
    </row>
    <row r="2537" spans="1:18" hidden="1">
      <c r="A2537" t="s">
        <v>101</v>
      </c>
      <c r="B2537" t="s">
        <v>990</v>
      </c>
      <c r="C2537">
        <v>300285045</v>
      </c>
      <c r="D2537">
        <v>15859096</v>
      </c>
      <c r="E2537" t="s">
        <v>37</v>
      </c>
      <c r="F2537" t="s">
        <v>3241</v>
      </c>
      <c r="G2537">
        <v>1100</v>
      </c>
      <c r="H2537" t="s">
        <v>3119</v>
      </c>
      <c r="J2537" t="s">
        <v>4339</v>
      </c>
      <c r="K2537" s="11">
        <v>46239.429016203707</v>
      </c>
      <c r="M2537">
        <v>1866</v>
      </c>
      <c r="N2537" t="s">
        <v>867</v>
      </c>
      <c r="O2537" s="17">
        <v>10000063107</v>
      </c>
      <c r="P2537" s="5"/>
      <c r="Q2537" s="10">
        <f>INT(Tabela1[[#This Row],[DATA]])</f>
        <v>46239</v>
      </c>
      <c r="R2537" s="14" t="str">
        <f ca="1">IF(AND(Q2537&gt;=TODAY()-WEEKDAY(TODAY(),2)+1,Q2537&lt;TODAY()),"SIM","NÃO")</f>
        <v>NÃO</v>
      </c>
    </row>
    <row r="2538" spans="1:18" hidden="1">
      <c r="A2538" t="s">
        <v>3311</v>
      </c>
      <c r="B2538" t="s">
        <v>768</v>
      </c>
      <c r="C2538">
        <v>300282796</v>
      </c>
      <c r="D2538">
        <v>16520157</v>
      </c>
      <c r="E2538" t="s">
        <v>37</v>
      </c>
      <c r="F2538" t="s">
        <v>3215</v>
      </c>
      <c r="G2538" t="s">
        <v>4340</v>
      </c>
      <c r="H2538" t="s">
        <v>644</v>
      </c>
      <c r="K2538" s="11">
        <v>46239.430300925924</v>
      </c>
      <c r="M2538">
        <v>1867</v>
      </c>
      <c r="N2538" t="s">
        <v>867</v>
      </c>
      <c r="O2538" s="17" t="s">
        <v>4341</v>
      </c>
      <c r="P2538" s="5"/>
      <c r="Q2538" s="10">
        <f>INT(Tabela1[[#This Row],[DATA]])</f>
        <v>46239</v>
      </c>
      <c r="R2538" s="14" t="str">
        <f ca="1">IF(AND(Q2538&gt;=TODAY()-WEEKDAY(TODAY(),2)+1,Q2538&lt;TODAY()),"SIM","NÃO")</f>
        <v>NÃO</v>
      </c>
    </row>
    <row r="2539" spans="1:18" hidden="1">
      <c r="A2539" t="s">
        <v>428</v>
      </c>
      <c r="B2539" t="s">
        <v>429</v>
      </c>
      <c r="C2539">
        <v>300282832</v>
      </c>
      <c r="D2539">
        <v>15238385</v>
      </c>
      <c r="E2539" t="s">
        <v>29</v>
      </c>
      <c r="F2539" t="s">
        <v>96</v>
      </c>
      <c r="G2539">
        <v>42</v>
      </c>
      <c r="H2539" t="s">
        <v>3665</v>
      </c>
      <c r="K2539" s="11">
        <v>46239.436840277776</v>
      </c>
      <c r="M2539">
        <v>1868</v>
      </c>
      <c r="N2539" t="s">
        <v>867</v>
      </c>
      <c r="O2539" s="17">
        <v>0</v>
      </c>
      <c r="P2539" s="5"/>
      <c r="Q2539" s="10">
        <f>INT(Tabela1[[#This Row],[DATA]])</f>
        <v>46239</v>
      </c>
      <c r="R2539" s="14" t="str">
        <f ca="1">IF(AND(Q2539&gt;=TODAY()-WEEKDAY(TODAY(),2)+1,Q2539&lt;TODAY()),"SIM","NÃO")</f>
        <v>NÃO</v>
      </c>
    </row>
    <row r="2540" spans="1:18" hidden="1">
      <c r="A2540" t="s">
        <v>605</v>
      </c>
      <c r="B2540" t="s">
        <v>606</v>
      </c>
      <c r="C2540">
        <v>300285374</v>
      </c>
      <c r="D2540">
        <v>16442660</v>
      </c>
      <c r="E2540" t="s">
        <v>29</v>
      </c>
      <c r="F2540" t="s">
        <v>3212</v>
      </c>
      <c r="G2540">
        <v>928</v>
      </c>
      <c r="H2540" t="s">
        <v>4342</v>
      </c>
      <c r="K2540" s="11">
        <v>46239.440555555557</v>
      </c>
      <c r="M2540">
        <v>1869</v>
      </c>
      <c r="N2540" t="s">
        <v>878</v>
      </c>
      <c r="O2540" s="17">
        <v>0</v>
      </c>
      <c r="P2540" s="5"/>
      <c r="Q2540" s="10">
        <f>INT(Tabela1[[#This Row],[DATA]])</f>
        <v>46239</v>
      </c>
      <c r="R2540" s="14" t="str">
        <f ca="1">IF(AND(Q2540&gt;=TODAY()-WEEKDAY(TODAY(),2)+1,Q2540&lt;TODAY()),"SIM","NÃO")</f>
        <v>NÃO</v>
      </c>
    </row>
    <row r="2541" spans="1:18" hidden="1">
      <c r="A2541" t="s">
        <v>332</v>
      </c>
      <c r="B2541" t="s">
        <v>28</v>
      </c>
      <c r="C2541">
        <v>300284151</v>
      </c>
      <c r="D2541">
        <v>16479157</v>
      </c>
      <c r="E2541" t="s">
        <v>45</v>
      </c>
      <c r="F2541" t="s">
        <v>1522</v>
      </c>
      <c r="G2541">
        <v>50</v>
      </c>
      <c r="H2541" t="s">
        <v>1966</v>
      </c>
      <c r="J2541" t="s">
        <v>4343</v>
      </c>
      <c r="K2541" s="11">
        <v>46239.444884259261</v>
      </c>
      <c r="M2541">
        <v>1870</v>
      </c>
      <c r="N2541" t="s">
        <v>867</v>
      </c>
      <c r="O2541" s="17">
        <v>0</v>
      </c>
      <c r="P2541" s="5"/>
      <c r="Q2541" s="10">
        <f>INT(Tabela1[[#This Row],[DATA]])</f>
        <v>46239</v>
      </c>
      <c r="R2541" s="14" t="str">
        <f ca="1">IF(AND(Q2541&gt;=TODAY()-WEEKDAY(TODAY(),2)+1,Q2541&lt;TODAY()),"SIM","NÃO")</f>
        <v>NÃO</v>
      </c>
    </row>
    <row r="2542" spans="1:18" hidden="1">
      <c r="A2542" t="s">
        <v>163</v>
      </c>
      <c r="B2542" t="s">
        <v>164</v>
      </c>
      <c r="C2542">
        <v>300286617</v>
      </c>
      <c r="D2542">
        <v>16226917</v>
      </c>
      <c r="E2542" t="s">
        <v>29</v>
      </c>
      <c r="F2542" t="s">
        <v>3212</v>
      </c>
      <c r="G2542">
        <v>100</v>
      </c>
      <c r="H2542" t="s">
        <v>4344</v>
      </c>
      <c r="J2542" t="s">
        <v>4345</v>
      </c>
      <c r="K2542" s="11">
        <v>46239.447604166664</v>
      </c>
      <c r="M2542">
        <v>1871</v>
      </c>
      <c r="N2542" t="s">
        <v>867</v>
      </c>
      <c r="O2542" s="17">
        <v>0</v>
      </c>
      <c r="P2542" s="5"/>
      <c r="Q2542" s="10">
        <f>INT(Tabela1[[#This Row],[DATA]])</f>
        <v>46239</v>
      </c>
      <c r="R2542" s="14" t="str">
        <f ca="1">IF(AND(Q2542&gt;=TODAY()-WEEKDAY(TODAY(),2)+1,Q2542&lt;TODAY()),"SIM","NÃO")</f>
        <v>NÃO</v>
      </c>
    </row>
    <row r="2543" spans="1:18" hidden="1">
      <c r="A2543" t="s">
        <v>2765</v>
      </c>
      <c r="B2543" t="s">
        <v>107</v>
      </c>
      <c r="C2543">
        <v>300288051</v>
      </c>
      <c r="D2543">
        <v>16222955</v>
      </c>
      <c r="E2543" t="s">
        <v>45</v>
      </c>
      <c r="F2543" t="s">
        <v>96</v>
      </c>
      <c r="G2543">
        <v>20</v>
      </c>
      <c r="H2543" t="s">
        <v>2292</v>
      </c>
      <c r="K2543" s="11">
        <v>46239.448587962965</v>
      </c>
      <c r="M2543">
        <v>1872</v>
      </c>
      <c r="N2543" t="s">
        <v>867</v>
      </c>
      <c r="O2543" s="17">
        <v>0</v>
      </c>
      <c r="P2543" s="5"/>
      <c r="Q2543" s="10">
        <f>INT(Tabela1[[#This Row],[DATA]])</f>
        <v>46239</v>
      </c>
      <c r="R2543" s="14" t="str">
        <f ca="1">IF(AND(Q2543&gt;=TODAY()-WEEKDAY(TODAY(),2)+1,Q2543&lt;TODAY()),"SIM","NÃO")</f>
        <v>NÃO</v>
      </c>
    </row>
    <row r="2544" spans="1:18" hidden="1">
      <c r="A2544" t="s">
        <v>332</v>
      </c>
      <c r="B2544" t="s">
        <v>690</v>
      </c>
      <c r="C2544">
        <v>300284151</v>
      </c>
      <c r="D2544">
        <v>16479157</v>
      </c>
      <c r="E2544" t="s">
        <v>45</v>
      </c>
      <c r="F2544" t="s">
        <v>1522</v>
      </c>
      <c r="G2544">
        <v>50</v>
      </c>
      <c r="H2544" t="s">
        <v>1966</v>
      </c>
      <c r="J2544" t="s">
        <v>4346</v>
      </c>
      <c r="K2544" s="11">
        <v>46239.450254629628</v>
      </c>
      <c r="M2544">
        <v>1873</v>
      </c>
      <c r="N2544" t="s">
        <v>867</v>
      </c>
      <c r="O2544" s="17">
        <v>0</v>
      </c>
      <c r="P2544" s="5"/>
      <c r="Q2544" s="10">
        <f>INT(Tabela1[[#This Row],[DATA]])</f>
        <v>46239</v>
      </c>
      <c r="R2544" s="14" t="str">
        <f ca="1">IF(AND(Q2544&gt;=TODAY()-WEEKDAY(TODAY(),2)+1,Q2544&lt;TODAY()),"SIM","NÃO")</f>
        <v>NÃO</v>
      </c>
    </row>
    <row r="2545" spans="1:18" hidden="1">
      <c r="A2545" t="s">
        <v>1175</v>
      </c>
      <c r="B2545" t="s">
        <v>1176</v>
      </c>
      <c r="C2545">
        <v>300285313</v>
      </c>
      <c r="D2545">
        <v>15762831</v>
      </c>
      <c r="E2545" t="s">
        <v>37</v>
      </c>
      <c r="F2545" t="s">
        <v>151</v>
      </c>
      <c r="G2545">
        <v>41</v>
      </c>
      <c r="H2545" t="s">
        <v>4347</v>
      </c>
      <c r="J2545" t="s">
        <v>2094</v>
      </c>
      <c r="K2545" s="11">
        <v>46239.456018518518</v>
      </c>
      <c r="M2545">
        <v>1874</v>
      </c>
      <c r="N2545" t="s">
        <v>867</v>
      </c>
      <c r="O2545" s="17">
        <v>0</v>
      </c>
      <c r="P2545" s="5"/>
      <c r="Q2545" s="10">
        <f>INT(Tabela1[[#This Row],[DATA]])</f>
        <v>46239</v>
      </c>
      <c r="R2545" s="14" t="str">
        <f ca="1">IF(AND(Q2545&gt;=TODAY()-WEEKDAY(TODAY(),2)+1,Q2545&lt;TODAY()),"SIM","NÃO")</f>
        <v>NÃO</v>
      </c>
    </row>
    <row r="2546" spans="1:18" hidden="1">
      <c r="A2546" t="s">
        <v>2541</v>
      </c>
      <c r="B2546" t="s">
        <v>388</v>
      </c>
      <c r="C2546">
        <v>300287227</v>
      </c>
      <c r="D2546">
        <v>16217470</v>
      </c>
      <c r="E2546" t="s">
        <v>37</v>
      </c>
      <c r="F2546" t="s">
        <v>221</v>
      </c>
      <c r="G2546">
        <v>870</v>
      </c>
      <c r="H2546" t="s">
        <v>2313</v>
      </c>
      <c r="J2546" t="s">
        <v>4225</v>
      </c>
      <c r="K2546" s="11">
        <v>46239.551863425928</v>
      </c>
      <c r="M2546">
        <v>1875</v>
      </c>
      <c r="N2546" t="s">
        <v>867</v>
      </c>
      <c r="O2546" s="17">
        <v>0</v>
      </c>
      <c r="P2546" s="5"/>
      <c r="Q2546" s="10">
        <f>INT(Tabela1[[#This Row],[DATA]])</f>
        <v>46239</v>
      </c>
      <c r="R2546" s="14" t="str">
        <f ca="1">IF(AND(Q2546&gt;=TODAY()-WEEKDAY(TODAY(),2)+1,Q2546&lt;TODAY()),"SIM","NÃO")</f>
        <v>NÃO</v>
      </c>
    </row>
    <row r="2547" spans="1:18" hidden="1">
      <c r="A2547" t="s">
        <v>163</v>
      </c>
      <c r="B2547" t="s">
        <v>164</v>
      </c>
      <c r="C2547">
        <v>300284370</v>
      </c>
      <c r="D2547">
        <v>16460863</v>
      </c>
      <c r="E2547" t="s">
        <v>29</v>
      </c>
      <c r="F2547" t="s">
        <v>430</v>
      </c>
      <c r="G2547">
        <v>300</v>
      </c>
      <c r="H2547" t="s">
        <v>2292</v>
      </c>
      <c r="K2547" s="11">
        <v>46239.563946759263</v>
      </c>
      <c r="M2547">
        <v>1876</v>
      </c>
      <c r="N2547" t="s">
        <v>867</v>
      </c>
      <c r="O2547" s="17">
        <v>10000216131</v>
      </c>
      <c r="P2547" s="5"/>
      <c r="Q2547" s="10">
        <f>INT(Tabela1[[#This Row],[DATA]])</f>
        <v>46239</v>
      </c>
      <c r="R2547" s="14" t="str">
        <f ca="1">IF(AND(Q2547&gt;=TODAY()-WEEKDAY(TODAY(),2)+1,Q2547&lt;TODAY()),"SIM","NÃO")</f>
        <v>NÃO</v>
      </c>
    </row>
    <row r="2548" spans="1:18" hidden="1">
      <c r="A2548" t="s">
        <v>163</v>
      </c>
      <c r="B2548" t="s">
        <v>164</v>
      </c>
      <c r="C2548">
        <v>300284370</v>
      </c>
      <c r="D2548">
        <v>16460863</v>
      </c>
      <c r="E2548" t="s">
        <v>29</v>
      </c>
      <c r="F2548" t="s">
        <v>96</v>
      </c>
      <c r="G2548">
        <v>50</v>
      </c>
      <c r="H2548" t="s">
        <v>2292</v>
      </c>
      <c r="K2548" s="11">
        <v>46239.574317129627</v>
      </c>
      <c r="M2548">
        <v>1877</v>
      </c>
      <c r="N2548" t="s">
        <v>867</v>
      </c>
      <c r="O2548" s="17">
        <v>0</v>
      </c>
      <c r="P2548" s="5"/>
      <c r="Q2548" s="10">
        <f>INT(Tabela1[[#This Row],[DATA]])</f>
        <v>46239</v>
      </c>
      <c r="R2548" s="14" t="str">
        <f ca="1">IF(AND(Q2548&gt;=TODAY()-WEEKDAY(TODAY(),2)+1,Q2548&lt;TODAY()),"SIM","NÃO")</f>
        <v>NÃO</v>
      </c>
    </row>
    <row r="2549" spans="1:18" hidden="1">
      <c r="A2549" t="s">
        <v>249</v>
      </c>
      <c r="B2549" t="s">
        <v>112</v>
      </c>
      <c r="C2549">
        <v>300287624</v>
      </c>
      <c r="D2549">
        <v>15724344</v>
      </c>
      <c r="E2549" t="s">
        <v>45</v>
      </c>
      <c r="F2549" t="s">
        <v>2405</v>
      </c>
      <c r="G2549">
        <v>3</v>
      </c>
      <c r="H2549" t="s">
        <v>1335</v>
      </c>
      <c r="K2549" s="11">
        <v>46239.596041666664</v>
      </c>
      <c r="M2549">
        <v>1878</v>
      </c>
      <c r="N2549" t="s">
        <v>867</v>
      </c>
      <c r="O2549" s="17">
        <v>0</v>
      </c>
      <c r="P2549" s="5"/>
      <c r="Q2549" s="10">
        <f>INT(Tabela1[[#This Row],[DATA]])</f>
        <v>46239</v>
      </c>
      <c r="R2549" s="14" t="str">
        <f ca="1">IF(AND(Q2549&gt;=TODAY()-WEEKDAY(TODAY(),2)+1,Q2549&lt;TODAY()),"SIM","NÃO")</f>
        <v>NÃO</v>
      </c>
    </row>
    <row r="2550" spans="1:18" hidden="1">
      <c r="A2550" t="s">
        <v>253</v>
      </c>
      <c r="B2550" t="s">
        <v>254</v>
      </c>
      <c r="C2550">
        <v>300286758</v>
      </c>
      <c r="D2550">
        <v>16223462</v>
      </c>
      <c r="E2550" t="s">
        <v>45</v>
      </c>
      <c r="F2550" t="s">
        <v>2405</v>
      </c>
      <c r="G2550">
        <v>30</v>
      </c>
      <c r="H2550" t="s">
        <v>256</v>
      </c>
      <c r="K2550" s="11">
        <v>46239.608842592592</v>
      </c>
      <c r="M2550">
        <v>1879</v>
      </c>
      <c r="N2550" t="s">
        <v>867</v>
      </c>
      <c r="O2550" s="17">
        <v>0</v>
      </c>
      <c r="P2550" s="5"/>
      <c r="Q2550" s="10">
        <f>INT(Tabela1[[#This Row],[DATA]])</f>
        <v>46239</v>
      </c>
      <c r="R2550" s="14" t="str">
        <f ca="1">IF(AND(Q2550&gt;=TODAY()-WEEKDAY(TODAY(),2)+1,Q2550&lt;TODAY()),"SIM","NÃO")</f>
        <v>NÃO</v>
      </c>
    </row>
    <row r="2551" spans="1:18" hidden="1">
      <c r="A2551" t="s">
        <v>253</v>
      </c>
      <c r="B2551" t="s">
        <v>254</v>
      </c>
      <c r="C2551">
        <v>300286763</v>
      </c>
      <c r="D2551">
        <v>1223462</v>
      </c>
      <c r="E2551" t="s">
        <v>45</v>
      </c>
      <c r="F2551" t="s">
        <v>2405</v>
      </c>
      <c r="G2551">
        <v>8</v>
      </c>
      <c r="H2551" t="s">
        <v>582</v>
      </c>
      <c r="K2551" s="11">
        <v>46239.609525462962</v>
      </c>
      <c r="M2551">
        <v>1880</v>
      </c>
      <c r="N2551" t="s">
        <v>867</v>
      </c>
      <c r="O2551" s="17">
        <v>0</v>
      </c>
      <c r="P2551" s="5"/>
      <c r="Q2551" s="10">
        <f>INT(Tabela1[[#This Row],[DATA]])</f>
        <v>46239</v>
      </c>
      <c r="R2551" s="14" t="str">
        <f ca="1">IF(AND(Q2551&gt;=TODAY()-WEEKDAY(TODAY(),2)+1,Q2551&lt;TODAY()),"SIM","NÃO")</f>
        <v>NÃO</v>
      </c>
    </row>
    <row r="2552" spans="1:18" hidden="1">
      <c r="A2552" t="s">
        <v>3492</v>
      </c>
      <c r="B2552" t="s">
        <v>383</v>
      </c>
      <c r="C2552">
        <v>300283195</v>
      </c>
      <c r="D2552">
        <v>16243161</v>
      </c>
      <c r="E2552" t="s">
        <v>37</v>
      </c>
      <c r="F2552" t="s">
        <v>3241</v>
      </c>
      <c r="G2552">
        <v>10</v>
      </c>
      <c r="H2552" t="s">
        <v>4348</v>
      </c>
      <c r="J2552" t="s">
        <v>4349</v>
      </c>
      <c r="K2552" s="11">
        <v>46239.616527777776</v>
      </c>
      <c r="M2552">
        <v>1881</v>
      </c>
      <c r="N2552" t="s">
        <v>867</v>
      </c>
      <c r="O2552" s="17" t="s">
        <v>4350</v>
      </c>
      <c r="P2552" s="5"/>
      <c r="Q2552" s="10">
        <f>INT(Tabela1[[#This Row],[DATA]])</f>
        <v>46239</v>
      </c>
      <c r="R2552" s="14" t="str">
        <f ca="1">IF(AND(Q2552&gt;=TODAY()-WEEKDAY(TODAY(),2)+1,Q2552&lt;TODAY()),"SIM","NÃO")</f>
        <v>NÃO</v>
      </c>
    </row>
    <row r="2553" spans="1:18" hidden="1">
      <c r="A2553" t="s">
        <v>2562</v>
      </c>
      <c r="B2553" t="s">
        <v>612</v>
      </c>
      <c r="C2553">
        <v>300286557</v>
      </c>
      <c r="D2553">
        <v>16272641</v>
      </c>
      <c r="E2553" t="s">
        <v>37</v>
      </c>
      <c r="F2553" t="s">
        <v>323</v>
      </c>
      <c r="G2553" t="s">
        <v>4351</v>
      </c>
      <c r="H2553" t="s">
        <v>2795</v>
      </c>
      <c r="J2553" t="s">
        <v>4352</v>
      </c>
      <c r="K2553" s="11">
        <v>46239.6169212963</v>
      </c>
      <c r="M2553">
        <v>1882</v>
      </c>
      <c r="N2553" t="s">
        <v>867</v>
      </c>
      <c r="O2553" s="17">
        <v>0</v>
      </c>
      <c r="P2553" s="5"/>
      <c r="Q2553" s="10">
        <f>INT(Tabela1[[#This Row],[DATA]])</f>
        <v>46239</v>
      </c>
      <c r="R2553" s="14" t="str">
        <f ca="1">IF(AND(Q2553&gt;=TODAY()-WEEKDAY(TODAY(),2)+1,Q2553&lt;TODAY()),"SIM","NÃO")</f>
        <v>NÃO</v>
      </c>
    </row>
    <row r="2554" spans="1:18" hidden="1">
      <c r="A2554" t="s">
        <v>191</v>
      </c>
      <c r="B2554" t="s">
        <v>192</v>
      </c>
      <c r="C2554">
        <v>300287370</v>
      </c>
      <c r="D2554">
        <v>10</v>
      </c>
      <c r="E2554" t="s">
        <v>29</v>
      </c>
      <c r="F2554" t="s">
        <v>259</v>
      </c>
      <c r="G2554">
        <v>10</v>
      </c>
      <c r="H2554" t="s">
        <v>2039</v>
      </c>
      <c r="K2554" s="11">
        <v>46239.621331018519</v>
      </c>
      <c r="M2554">
        <v>1883</v>
      </c>
      <c r="N2554" t="s">
        <v>867</v>
      </c>
      <c r="O2554" s="17">
        <v>10000071727</v>
      </c>
      <c r="P2554" s="5"/>
      <c r="Q2554" s="10">
        <f>INT(Tabela1[[#This Row],[DATA]])</f>
        <v>46239</v>
      </c>
      <c r="R2554" s="14" t="str">
        <f ca="1">IF(AND(Q2554&gt;=TODAY()-WEEKDAY(TODAY(),2)+1,Q2554&lt;TODAY()),"SIM","NÃO")</f>
        <v>NÃO</v>
      </c>
    </row>
    <row r="2555" spans="1:18" hidden="1">
      <c r="A2555" t="s">
        <v>191</v>
      </c>
      <c r="B2555" t="s">
        <v>192</v>
      </c>
      <c r="C2555">
        <v>300287370</v>
      </c>
      <c r="D2555">
        <v>16442679</v>
      </c>
      <c r="E2555" t="s">
        <v>29</v>
      </c>
      <c r="F2555" t="s">
        <v>3241</v>
      </c>
      <c r="G2555">
        <v>10</v>
      </c>
      <c r="H2555" t="s">
        <v>2039</v>
      </c>
      <c r="K2555" s="11">
        <v>46239.622928240744</v>
      </c>
      <c r="M2555">
        <v>1884</v>
      </c>
      <c r="N2555" t="s">
        <v>867</v>
      </c>
      <c r="O2555" s="17">
        <v>10000072671</v>
      </c>
      <c r="P2555" s="5"/>
      <c r="Q2555" s="10">
        <f>INT(Tabela1[[#This Row],[DATA]])</f>
        <v>46239</v>
      </c>
      <c r="R2555" s="14" t="str">
        <f ca="1">IF(AND(Q2555&gt;=TODAY()-WEEKDAY(TODAY(),2)+1,Q2555&lt;TODAY()),"SIM","NÃO")</f>
        <v>NÃO</v>
      </c>
    </row>
    <row r="2556" spans="1:18" hidden="1">
      <c r="A2556" t="s">
        <v>605</v>
      </c>
      <c r="B2556" t="s">
        <v>606</v>
      </c>
      <c r="C2556">
        <v>300286538</v>
      </c>
      <c r="D2556">
        <v>16217780</v>
      </c>
      <c r="E2556" t="s">
        <v>37</v>
      </c>
      <c r="F2556" t="s">
        <v>177</v>
      </c>
      <c r="G2556">
        <v>250</v>
      </c>
      <c r="H2556" t="s">
        <v>4303</v>
      </c>
      <c r="K2556" s="11">
        <v>46239.646736111114</v>
      </c>
      <c r="M2556">
        <v>1885</v>
      </c>
      <c r="N2556" t="s">
        <v>867</v>
      </c>
      <c r="O2556" s="17">
        <v>10000241454</v>
      </c>
      <c r="P2556" s="5"/>
      <c r="Q2556" s="10">
        <f>INT(Tabela1[[#This Row],[DATA]])</f>
        <v>46239</v>
      </c>
      <c r="R2556" s="14" t="str">
        <f ca="1">IF(AND(Q2556&gt;=TODAY()-WEEKDAY(TODAY(),2)+1,Q2556&lt;TODAY()),"SIM","NÃO")</f>
        <v>NÃO</v>
      </c>
    </row>
    <row r="2557" spans="1:18" hidden="1">
      <c r="A2557" t="s">
        <v>163</v>
      </c>
      <c r="B2557" t="s">
        <v>164</v>
      </c>
      <c r="C2557">
        <v>300287252</v>
      </c>
      <c r="D2557">
        <v>16224116</v>
      </c>
      <c r="E2557" t="s">
        <v>45</v>
      </c>
      <c r="F2557" t="s">
        <v>96</v>
      </c>
      <c r="G2557">
        <v>200</v>
      </c>
      <c r="H2557" t="s">
        <v>2292</v>
      </c>
      <c r="J2557" t="s">
        <v>4353</v>
      </c>
      <c r="K2557" s="11">
        <v>46239.656006944446</v>
      </c>
      <c r="M2557">
        <v>1886</v>
      </c>
      <c r="N2557" t="s">
        <v>867</v>
      </c>
      <c r="O2557" s="17">
        <v>0</v>
      </c>
      <c r="P2557" s="5"/>
      <c r="Q2557" s="10">
        <f>INT(Tabela1[[#This Row],[DATA]])</f>
        <v>46239</v>
      </c>
      <c r="R2557" s="14" t="str">
        <f ca="1">IF(AND(Q2557&gt;=TODAY()-WEEKDAY(TODAY(),2)+1,Q2557&lt;TODAY()),"SIM","NÃO")</f>
        <v>NÃO</v>
      </c>
    </row>
    <row r="2558" spans="1:18" hidden="1">
      <c r="A2558" t="s">
        <v>163</v>
      </c>
      <c r="B2558" t="s">
        <v>164</v>
      </c>
      <c r="C2558">
        <v>300284370</v>
      </c>
      <c r="D2558">
        <v>16460853</v>
      </c>
      <c r="E2558" t="s">
        <v>29</v>
      </c>
      <c r="F2558" t="s">
        <v>96</v>
      </c>
      <c r="G2558">
        <v>702</v>
      </c>
      <c r="H2558" t="s">
        <v>2880</v>
      </c>
      <c r="K2558" s="11">
        <v>46239.657453703701</v>
      </c>
      <c r="M2558">
        <v>1887</v>
      </c>
      <c r="N2558" t="s">
        <v>867</v>
      </c>
      <c r="O2558" s="17">
        <v>0</v>
      </c>
      <c r="P2558" s="5"/>
      <c r="Q2558" s="10">
        <f>INT(Tabela1[[#This Row],[DATA]])</f>
        <v>46239</v>
      </c>
      <c r="R2558" s="14" t="str">
        <f ca="1">IF(AND(Q2558&gt;=TODAY()-WEEKDAY(TODAY(),2)+1,Q2558&lt;TODAY()),"SIM","NÃO")</f>
        <v>NÃO</v>
      </c>
    </row>
    <row r="2559" spans="1:18" hidden="1">
      <c r="A2559" t="s">
        <v>2177</v>
      </c>
      <c r="B2559" t="s">
        <v>1073</v>
      </c>
      <c r="C2559">
        <v>300286688</v>
      </c>
      <c r="D2559">
        <v>16561074</v>
      </c>
      <c r="E2559" t="s">
        <v>37</v>
      </c>
      <c r="F2559" t="s">
        <v>3241</v>
      </c>
      <c r="G2559">
        <v>6</v>
      </c>
      <c r="H2559" t="s">
        <v>4354</v>
      </c>
      <c r="K2559" s="11">
        <v>46239.660486111112</v>
      </c>
      <c r="M2559">
        <v>1888</v>
      </c>
      <c r="N2559" t="s">
        <v>867</v>
      </c>
      <c r="O2559" s="17">
        <v>10000073292</v>
      </c>
      <c r="P2559" s="5"/>
      <c r="Q2559" s="10">
        <f>INT(Tabela1[[#This Row],[DATA]])</f>
        <v>46239</v>
      </c>
      <c r="R2559" s="14" t="str">
        <f ca="1">IF(AND(Q2559&gt;=TODAY()-WEEKDAY(TODAY(),2)+1,Q2559&lt;TODAY()),"SIM","NÃO")</f>
        <v>NÃO</v>
      </c>
    </row>
    <row r="2560" spans="1:18" hidden="1">
      <c r="A2560" t="s">
        <v>163</v>
      </c>
      <c r="B2560" t="s">
        <v>164</v>
      </c>
      <c r="C2560">
        <v>300284372</v>
      </c>
      <c r="D2560">
        <v>16460863</v>
      </c>
      <c r="E2560" t="s">
        <v>29</v>
      </c>
      <c r="F2560" t="s">
        <v>291</v>
      </c>
      <c r="G2560">
        <v>1404</v>
      </c>
      <c r="H2560" t="s">
        <v>2880</v>
      </c>
      <c r="K2560" s="11">
        <v>46239.661493055559</v>
      </c>
      <c r="M2560">
        <v>1889</v>
      </c>
      <c r="N2560" t="s">
        <v>4355</v>
      </c>
      <c r="O2560" s="17">
        <v>0</v>
      </c>
      <c r="P2560" s="5"/>
      <c r="Q2560" s="10">
        <f>INT(Tabela1[[#This Row],[DATA]])</f>
        <v>46239</v>
      </c>
      <c r="R2560" s="14" t="str">
        <f ca="1">IF(AND(Q2560&gt;=TODAY()-WEEKDAY(TODAY(),2)+1,Q2560&lt;TODAY()),"SIM","NÃO")</f>
        <v>NÃO</v>
      </c>
    </row>
    <row r="2561" spans="1:18" hidden="1">
      <c r="A2561" t="s">
        <v>79</v>
      </c>
      <c r="B2561" t="s">
        <v>80</v>
      </c>
      <c r="C2561">
        <v>300282806</v>
      </c>
      <c r="D2561">
        <v>16474244</v>
      </c>
      <c r="E2561" t="s">
        <v>29</v>
      </c>
      <c r="F2561" t="s">
        <v>769</v>
      </c>
      <c r="G2561" t="s">
        <v>4356</v>
      </c>
      <c r="H2561" t="s">
        <v>2155</v>
      </c>
      <c r="K2561" s="11">
        <v>46239.670648148145</v>
      </c>
      <c r="M2561">
        <v>1890</v>
      </c>
      <c r="N2561" t="s">
        <v>867</v>
      </c>
      <c r="O2561" s="17" t="s">
        <v>4357</v>
      </c>
      <c r="P2561" s="5"/>
      <c r="Q2561" s="10">
        <f>INT(Tabela1[[#This Row],[DATA]])</f>
        <v>46239</v>
      </c>
      <c r="R2561" s="14" t="str">
        <f ca="1">IF(AND(Q2561&gt;=TODAY()-WEEKDAY(TODAY(),2)+1,Q2561&lt;TODAY()),"SIM","NÃO")</f>
        <v>NÃO</v>
      </c>
    </row>
    <row r="2562" spans="1:18" hidden="1">
      <c r="A2562" t="s">
        <v>305</v>
      </c>
      <c r="B2562" t="s">
        <v>306</v>
      </c>
      <c r="C2562">
        <v>300287372</v>
      </c>
      <c r="D2562">
        <v>16442679</v>
      </c>
      <c r="E2562" t="s">
        <v>29</v>
      </c>
      <c r="F2562" t="s">
        <v>3241</v>
      </c>
      <c r="G2562">
        <v>12</v>
      </c>
      <c r="H2562" t="s">
        <v>2884</v>
      </c>
      <c r="J2562" t="s">
        <v>2884</v>
      </c>
      <c r="K2562" s="11">
        <v>46239.679629629631</v>
      </c>
      <c r="M2562">
        <v>1891</v>
      </c>
      <c r="N2562" t="s">
        <v>867</v>
      </c>
      <c r="O2562" s="17" t="s">
        <v>4358</v>
      </c>
      <c r="P2562" s="5"/>
      <c r="Q2562" s="10">
        <f>INT(Tabela1[[#This Row],[DATA]])</f>
        <v>46239</v>
      </c>
      <c r="R2562" s="14" t="str">
        <f ca="1">IF(AND(Q2562&gt;=TODAY()-WEEKDAY(TODAY(),2)+1,Q2562&lt;TODAY()),"SIM","NÃO")</f>
        <v>NÃO</v>
      </c>
    </row>
    <row r="2563" spans="1:18" hidden="1">
      <c r="A2563" t="s">
        <v>159</v>
      </c>
      <c r="B2563" t="s">
        <v>1293</v>
      </c>
      <c r="C2563">
        <v>300283509</v>
      </c>
      <c r="D2563">
        <v>16273311</v>
      </c>
      <c r="E2563" t="s">
        <v>37</v>
      </c>
      <c r="F2563" t="s">
        <v>2213</v>
      </c>
      <c r="G2563">
        <v>105</v>
      </c>
      <c r="H2563" t="s">
        <v>4359</v>
      </c>
      <c r="J2563" t="s">
        <v>4360</v>
      </c>
      <c r="K2563" s="11">
        <v>46239.679849537039</v>
      </c>
      <c r="M2563">
        <v>1892</v>
      </c>
      <c r="N2563" t="s">
        <v>867</v>
      </c>
      <c r="O2563" s="17" t="s">
        <v>3634</v>
      </c>
      <c r="P2563" s="5"/>
      <c r="Q2563" s="10">
        <f>INT(Tabela1[[#This Row],[DATA]])</f>
        <v>46239</v>
      </c>
      <c r="R2563" s="14" t="str">
        <f ca="1">IF(AND(Q2563&gt;=TODAY()-WEEKDAY(TODAY(),2)+1,Q2563&lt;TODAY()),"SIM","NÃO")</f>
        <v>NÃO</v>
      </c>
    </row>
    <row r="2564" spans="1:18" hidden="1">
      <c r="A2564" t="s">
        <v>3022</v>
      </c>
      <c r="B2564" t="s">
        <v>3023</v>
      </c>
      <c r="C2564">
        <v>300286710</v>
      </c>
      <c r="D2564">
        <v>16223691</v>
      </c>
      <c r="E2564" t="s">
        <v>45</v>
      </c>
      <c r="F2564" t="s">
        <v>259</v>
      </c>
      <c r="G2564">
        <v>12</v>
      </c>
      <c r="H2564" t="s">
        <v>4361</v>
      </c>
      <c r="K2564" s="11">
        <v>46239.688634259262</v>
      </c>
      <c r="M2564">
        <v>1893</v>
      </c>
      <c r="N2564" t="s">
        <v>867</v>
      </c>
      <c r="O2564" s="17">
        <v>8166</v>
      </c>
      <c r="P2564" s="5"/>
      <c r="Q2564" s="10">
        <f>INT(Tabela1[[#This Row],[DATA]])</f>
        <v>46239</v>
      </c>
      <c r="R2564" s="14" t="str">
        <f ca="1">IF(AND(Q2564&gt;=TODAY()-WEEKDAY(TODAY(),2)+1,Q2564&lt;TODAY()),"SIM","NÃO")</f>
        <v>NÃO</v>
      </c>
    </row>
    <row r="2565" spans="1:18" hidden="1">
      <c r="A2565" t="s">
        <v>3022</v>
      </c>
      <c r="B2565" t="s">
        <v>3023</v>
      </c>
      <c r="C2565">
        <v>300286710</v>
      </c>
      <c r="D2565">
        <v>16223691</v>
      </c>
      <c r="E2565" t="s">
        <v>45</v>
      </c>
      <c r="F2565" t="s">
        <v>3241</v>
      </c>
      <c r="G2565">
        <v>12</v>
      </c>
      <c r="H2565" t="s">
        <v>4362</v>
      </c>
      <c r="K2565" s="11">
        <v>46239.689560185187</v>
      </c>
      <c r="M2565">
        <v>1894</v>
      </c>
      <c r="N2565" t="s">
        <v>867</v>
      </c>
      <c r="O2565" s="17">
        <v>737</v>
      </c>
      <c r="P2565" s="5"/>
      <c r="Q2565" s="10">
        <f>INT(Tabela1[[#This Row],[DATA]])</f>
        <v>46239</v>
      </c>
      <c r="R2565" s="14" t="str">
        <f ca="1">IF(AND(Q2565&gt;=TODAY()-WEEKDAY(TODAY(),2)+1,Q2565&lt;TODAY()),"SIM","NÃO")</f>
        <v>NÃO</v>
      </c>
    </row>
    <row r="2566" spans="1:18" hidden="1">
      <c r="A2566" t="s">
        <v>3132</v>
      </c>
      <c r="B2566" t="s">
        <v>242</v>
      </c>
      <c r="C2566">
        <v>300286143</v>
      </c>
      <c r="D2566">
        <v>16482204</v>
      </c>
      <c r="E2566" t="s">
        <v>37</v>
      </c>
      <c r="F2566" t="s">
        <v>3215</v>
      </c>
      <c r="G2566">
        <v>10</v>
      </c>
      <c r="H2566" t="s">
        <v>4363</v>
      </c>
      <c r="K2566" s="11">
        <v>46239.700046296297</v>
      </c>
      <c r="M2566">
        <v>1895</v>
      </c>
      <c r="N2566" t="s">
        <v>867</v>
      </c>
      <c r="O2566" s="17" t="s">
        <v>4364</v>
      </c>
      <c r="P2566" s="5"/>
      <c r="Q2566" s="10">
        <f>INT(Tabela1[[#This Row],[DATA]])</f>
        <v>46239</v>
      </c>
      <c r="R2566" s="14" t="str">
        <f ca="1">IF(AND(Q2566&gt;=TODAY()-WEEKDAY(TODAY(),2)+1,Q2566&lt;TODAY()),"SIM","NÃO")</f>
        <v>NÃO</v>
      </c>
    </row>
    <row r="2567" spans="1:18" hidden="1">
      <c r="A2567" t="s">
        <v>2547</v>
      </c>
      <c r="B2567" t="s">
        <v>1582</v>
      </c>
      <c r="C2567">
        <v>300288804</v>
      </c>
      <c r="D2567">
        <v>16535642</v>
      </c>
      <c r="E2567" t="s">
        <v>20</v>
      </c>
      <c r="F2567" t="s">
        <v>259</v>
      </c>
      <c r="G2567" t="s">
        <v>4365</v>
      </c>
      <c r="H2567" t="s">
        <v>4366</v>
      </c>
      <c r="J2567" t="s">
        <v>4367</v>
      </c>
      <c r="K2567" s="11">
        <v>46239.700821759259</v>
      </c>
      <c r="M2567">
        <v>1896</v>
      </c>
      <c r="N2567" t="s">
        <v>867</v>
      </c>
      <c r="O2567" s="17">
        <v>0</v>
      </c>
      <c r="P2567" s="5"/>
      <c r="Q2567" s="10">
        <f>INT(Tabela1[[#This Row],[DATA]])</f>
        <v>46239</v>
      </c>
      <c r="R2567" s="14" t="str">
        <f ca="1">IF(AND(Q2567&gt;=TODAY()-WEEKDAY(TODAY(),2)+1,Q2567&lt;TODAY()),"SIM","NÃO")</f>
        <v>NÃO</v>
      </c>
    </row>
    <row r="2568" spans="1:18" hidden="1">
      <c r="A2568" t="s">
        <v>2551</v>
      </c>
      <c r="B2568" t="s">
        <v>274</v>
      </c>
      <c r="C2568">
        <v>300288423</v>
      </c>
      <c r="D2568">
        <v>16187415</v>
      </c>
      <c r="E2568" t="s">
        <v>37</v>
      </c>
      <c r="F2568" t="s">
        <v>216</v>
      </c>
      <c r="G2568">
        <v>220</v>
      </c>
      <c r="H2568" t="s">
        <v>2923</v>
      </c>
      <c r="J2568" t="s">
        <v>4368</v>
      </c>
      <c r="K2568" s="11">
        <v>46239.712025462963</v>
      </c>
      <c r="M2568">
        <v>1897</v>
      </c>
      <c r="N2568" t="s">
        <v>867</v>
      </c>
      <c r="O2568" s="17">
        <v>0</v>
      </c>
      <c r="P2568" s="5"/>
      <c r="Q2568" s="10">
        <f>INT(Tabela1[[#This Row],[DATA]])</f>
        <v>46239</v>
      </c>
      <c r="R2568" s="14" t="str">
        <f ca="1">IF(AND(Q2568&gt;=TODAY()-WEEKDAY(TODAY(),2)+1,Q2568&lt;TODAY()),"SIM","NÃO")</f>
        <v>NÃO</v>
      </c>
    </row>
    <row r="2569" spans="1:18" hidden="1">
      <c r="A2569" t="s">
        <v>3062</v>
      </c>
      <c r="B2569" t="s">
        <v>3063</v>
      </c>
      <c r="C2569">
        <v>300282783</v>
      </c>
      <c r="D2569">
        <v>16520157</v>
      </c>
      <c r="E2569" t="s">
        <v>37</v>
      </c>
      <c r="F2569" t="s">
        <v>323</v>
      </c>
      <c r="G2569" t="s">
        <v>4369</v>
      </c>
      <c r="H2569" t="s">
        <v>4370</v>
      </c>
      <c r="J2569" t="s">
        <v>4371</v>
      </c>
      <c r="K2569" s="11">
        <v>46239.725983796299</v>
      </c>
      <c r="M2569">
        <v>1898</v>
      </c>
      <c r="N2569" t="s">
        <v>867</v>
      </c>
      <c r="O2569" s="17" t="s">
        <v>4372</v>
      </c>
      <c r="P2569" s="5"/>
      <c r="Q2569" s="10">
        <f>INT(Tabela1[[#This Row],[DATA]])</f>
        <v>46239</v>
      </c>
      <c r="R2569" s="14" t="str">
        <f ca="1">IF(AND(Q2569&gt;=TODAY()-WEEKDAY(TODAY(),2)+1,Q2569&lt;TODAY()),"SIM","NÃO")</f>
        <v>NÃO</v>
      </c>
    </row>
    <row r="2570" spans="1:18" hidden="1">
      <c r="A2570" t="s">
        <v>2578</v>
      </c>
      <c r="B2570" t="s">
        <v>69</v>
      </c>
      <c r="C2570">
        <v>300286224</v>
      </c>
      <c r="D2570">
        <v>16481380</v>
      </c>
      <c r="E2570" t="s">
        <v>45</v>
      </c>
      <c r="F2570" t="s">
        <v>323</v>
      </c>
      <c r="G2570">
        <v>66</v>
      </c>
      <c r="H2570" t="s">
        <v>4373</v>
      </c>
      <c r="J2570" t="s">
        <v>4374</v>
      </c>
      <c r="K2570" s="11">
        <v>46239.754756944443</v>
      </c>
      <c r="M2570">
        <v>1899</v>
      </c>
      <c r="N2570" t="s">
        <v>867</v>
      </c>
      <c r="O2570" s="17">
        <v>16481380</v>
      </c>
      <c r="P2570" s="5"/>
      <c r="Q2570" s="10">
        <f>INT(Tabela1[[#This Row],[DATA]])</f>
        <v>46239</v>
      </c>
      <c r="R2570" s="14" t="str">
        <f ca="1">IF(AND(Q2570&gt;=TODAY()-WEEKDAY(TODAY(),2)+1,Q2570&lt;TODAY()),"SIM","NÃO")</f>
        <v>NÃO</v>
      </c>
    </row>
    <row r="2571" spans="1:18" hidden="1">
      <c r="A2571" t="s">
        <v>2578</v>
      </c>
      <c r="B2571" t="s">
        <v>69</v>
      </c>
      <c r="C2571">
        <v>300286224</v>
      </c>
      <c r="D2571">
        <v>16481380</v>
      </c>
      <c r="E2571" t="s">
        <v>45</v>
      </c>
      <c r="F2571" t="s">
        <v>2405</v>
      </c>
      <c r="G2571">
        <v>66</v>
      </c>
      <c r="H2571" t="s">
        <v>4375</v>
      </c>
      <c r="K2571" s="11">
        <v>46239.755300925928</v>
      </c>
      <c r="M2571">
        <v>1900</v>
      </c>
      <c r="N2571" t="s">
        <v>867</v>
      </c>
      <c r="O2571" s="17">
        <v>16481380</v>
      </c>
      <c r="P2571" s="5"/>
      <c r="Q2571" s="10">
        <f>INT(Tabela1[[#This Row],[DATA]])</f>
        <v>46239</v>
      </c>
      <c r="R2571" s="14" t="str">
        <f ca="1">IF(AND(Q2571&gt;=TODAY()-WEEKDAY(TODAY(),2)+1,Q2571&lt;TODAY()),"SIM","NÃO")</f>
        <v>NÃO</v>
      </c>
    </row>
    <row r="2572" spans="1:18" hidden="1">
      <c r="A2572" t="s">
        <v>2681</v>
      </c>
      <c r="B2572" t="s">
        <v>1284</v>
      </c>
      <c r="C2572">
        <v>300285007</v>
      </c>
      <c r="D2572">
        <v>16482204</v>
      </c>
      <c r="E2572" t="s">
        <v>37</v>
      </c>
      <c r="F2572" t="s">
        <v>3215</v>
      </c>
      <c r="G2572">
        <v>10</v>
      </c>
      <c r="H2572" t="s">
        <v>4376</v>
      </c>
      <c r="K2572" s="11">
        <v>46240.325520833336</v>
      </c>
      <c r="M2572">
        <v>1901</v>
      </c>
      <c r="N2572" t="s">
        <v>867</v>
      </c>
      <c r="O2572" s="17">
        <v>0</v>
      </c>
      <c r="P2572" s="5"/>
      <c r="Q2572" s="10">
        <f>INT(Tabela1[[#This Row],[DATA]])</f>
        <v>46240</v>
      </c>
      <c r="R2572" s="14" t="str">
        <f ca="1">IF(AND(Q2572&gt;=TODAY()-WEEKDAY(TODAY(),2)+1,Q2572&lt;TODAY()),"SIM","NÃO")</f>
        <v>NÃO</v>
      </c>
    </row>
    <row r="2573" spans="1:18" hidden="1">
      <c r="A2573" t="s">
        <v>2775</v>
      </c>
      <c r="B2573" t="s">
        <v>512</v>
      </c>
      <c r="C2573">
        <v>300287652</v>
      </c>
      <c r="D2573">
        <v>16589068</v>
      </c>
      <c r="E2573" t="s">
        <v>45</v>
      </c>
      <c r="F2573" t="s">
        <v>3212</v>
      </c>
      <c r="G2573">
        <v>2128</v>
      </c>
      <c r="H2573" t="s">
        <v>2914</v>
      </c>
      <c r="J2573" t="s">
        <v>4377</v>
      </c>
      <c r="K2573" s="11">
        <v>46240.334247685183</v>
      </c>
      <c r="M2573">
        <v>1902</v>
      </c>
      <c r="N2573" t="s">
        <v>867</v>
      </c>
      <c r="O2573" s="17" t="s">
        <v>2977</v>
      </c>
      <c r="P2573" s="5"/>
      <c r="Q2573" s="10">
        <f>INT(Tabela1[[#This Row],[DATA]])</f>
        <v>46240</v>
      </c>
      <c r="R2573" s="14" t="str">
        <f ca="1">IF(AND(Q2573&gt;=TODAY()-WEEKDAY(TODAY(),2)+1,Q2573&lt;TODAY()),"SIM","NÃO")</f>
        <v>NÃO</v>
      </c>
    </row>
    <row r="2574" spans="1:18" hidden="1">
      <c r="A2574" t="s">
        <v>428</v>
      </c>
      <c r="B2574" t="s">
        <v>429</v>
      </c>
      <c r="C2574">
        <v>300287337</v>
      </c>
      <c r="D2574">
        <v>16443004</v>
      </c>
      <c r="E2574" t="s">
        <v>29</v>
      </c>
      <c r="F2574" t="s">
        <v>259</v>
      </c>
      <c r="G2574">
        <v>14</v>
      </c>
      <c r="H2574" t="s">
        <v>3248</v>
      </c>
      <c r="K2574" s="11">
        <v>46240.335069444445</v>
      </c>
      <c r="M2574">
        <v>1903</v>
      </c>
      <c r="N2574" t="s">
        <v>867</v>
      </c>
      <c r="O2574" s="17">
        <v>0</v>
      </c>
      <c r="P2574" s="5"/>
      <c r="Q2574" s="10">
        <f>INT(Tabela1[[#This Row],[DATA]])</f>
        <v>46240</v>
      </c>
      <c r="R2574" s="14" t="str">
        <f ca="1">IF(AND(Q2574&gt;=TODAY()-WEEKDAY(TODAY(),2)+1,Q2574&lt;TODAY()),"SIM","NÃO")</f>
        <v>NÃO</v>
      </c>
    </row>
    <row r="2575" spans="1:18" hidden="1">
      <c r="A2575" t="s">
        <v>428</v>
      </c>
      <c r="B2575" t="s">
        <v>429</v>
      </c>
      <c r="C2575">
        <v>300287337</v>
      </c>
      <c r="D2575">
        <v>16443004</v>
      </c>
      <c r="E2575" t="s">
        <v>29</v>
      </c>
      <c r="F2575" t="s">
        <v>3241</v>
      </c>
      <c r="G2575">
        <v>10</v>
      </c>
      <c r="H2575" t="s">
        <v>3248</v>
      </c>
      <c r="K2575" s="11">
        <v>46240.335925925923</v>
      </c>
      <c r="M2575">
        <v>1904</v>
      </c>
      <c r="N2575" t="s">
        <v>867</v>
      </c>
      <c r="O2575" s="17">
        <v>0</v>
      </c>
      <c r="P2575" s="5"/>
      <c r="Q2575" s="10">
        <f>INT(Tabela1[[#This Row],[DATA]])</f>
        <v>46240</v>
      </c>
      <c r="R2575" s="14" t="str">
        <f ca="1">IF(AND(Q2575&gt;=TODAY()-WEEKDAY(TODAY(),2)+1,Q2575&lt;TODAY()),"SIM","NÃO")</f>
        <v>NÃO</v>
      </c>
    </row>
    <row r="2576" spans="1:18" hidden="1">
      <c r="A2576" t="s">
        <v>2571</v>
      </c>
      <c r="B2576" t="s">
        <v>798</v>
      </c>
      <c r="C2576">
        <v>300280200</v>
      </c>
      <c r="D2576">
        <v>16472209</v>
      </c>
      <c r="E2576" t="s">
        <v>37</v>
      </c>
      <c r="F2576" t="s">
        <v>2405</v>
      </c>
      <c r="G2576">
        <v>13</v>
      </c>
      <c r="H2576" t="s">
        <v>1831</v>
      </c>
      <c r="J2576" t="s">
        <v>4378</v>
      </c>
      <c r="K2576" s="11">
        <v>46240.350648148145</v>
      </c>
      <c r="M2576">
        <v>1905</v>
      </c>
      <c r="N2576" t="s">
        <v>867</v>
      </c>
      <c r="O2576" s="17" t="s">
        <v>3680</v>
      </c>
      <c r="P2576" s="5"/>
      <c r="Q2576" s="10">
        <f>INT(Tabela1[[#This Row],[DATA]])</f>
        <v>46240</v>
      </c>
      <c r="R2576" s="14" t="str">
        <f ca="1">IF(AND(Q2576&gt;=TODAY()-WEEKDAY(TODAY(),2)+1,Q2576&lt;TODAY()),"SIM","NÃO")</f>
        <v>NÃO</v>
      </c>
    </row>
    <row r="2577" spans="1:18" hidden="1">
      <c r="A2577" t="s">
        <v>185</v>
      </c>
      <c r="B2577" t="s">
        <v>1625</v>
      </c>
      <c r="C2577">
        <v>300283945</v>
      </c>
      <c r="D2577">
        <v>16523776</v>
      </c>
      <c r="E2577" t="s">
        <v>37</v>
      </c>
      <c r="F2577" t="s">
        <v>3595</v>
      </c>
      <c r="G2577">
        <v>25</v>
      </c>
      <c r="H2577" t="s">
        <v>1771</v>
      </c>
      <c r="K2577" s="11">
        <v>46240.355486111112</v>
      </c>
      <c r="M2577">
        <v>1906</v>
      </c>
      <c r="N2577" t="s">
        <v>867</v>
      </c>
      <c r="O2577" s="17" t="s">
        <v>4379</v>
      </c>
      <c r="P2577" s="5"/>
      <c r="Q2577" s="10">
        <f>INT(Tabela1[[#This Row],[DATA]])</f>
        <v>46240</v>
      </c>
      <c r="R2577" s="14" t="str">
        <f ca="1">IF(AND(Q2577&gt;=TODAY()-WEEKDAY(TODAY(),2)+1,Q2577&lt;TODAY()),"SIM","NÃO")</f>
        <v>NÃO</v>
      </c>
    </row>
    <row r="2578" spans="1:18" hidden="1">
      <c r="A2578" t="s">
        <v>79</v>
      </c>
      <c r="B2578" t="s">
        <v>80</v>
      </c>
      <c r="C2578">
        <v>300282806</v>
      </c>
      <c r="D2578">
        <v>16474244</v>
      </c>
      <c r="E2578" t="s">
        <v>29</v>
      </c>
      <c r="F2578" t="s">
        <v>2405</v>
      </c>
      <c r="G2578">
        <v>396</v>
      </c>
      <c r="H2578" t="s">
        <v>1418</v>
      </c>
      <c r="K2578" s="11">
        <v>46240.358090277776</v>
      </c>
      <c r="M2578">
        <v>1907</v>
      </c>
      <c r="N2578" t="s">
        <v>867</v>
      </c>
      <c r="O2578" s="17">
        <v>0</v>
      </c>
      <c r="P2578" s="5"/>
      <c r="Q2578" s="10">
        <f>INT(Tabela1[[#This Row],[DATA]])</f>
        <v>46240</v>
      </c>
      <c r="R2578" s="14" t="str">
        <f ca="1">IF(AND(Q2578&gt;=TODAY()-WEEKDAY(TODAY(),2)+1,Q2578&lt;TODAY()),"SIM","NÃO")</f>
        <v>NÃO</v>
      </c>
    </row>
    <row r="2579" spans="1:18" hidden="1">
      <c r="A2579" t="s">
        <v>159</v>
      </c>
      <c r="B2579" t="s">
        <v>1293</v>
      </c>
      <c r="C2579">
        <v>300283509</v>
      </c>
      <c r="D2579">
        <v>16273311</v>
      </c>
      <c r="E2579" t="s">
        <v>37</v>
      </c>
      <c r="F2579" t="s">
        <v>177</v>
      </c>
      <c r="G2579">
        <v>18</v>
      </c>
      <c r="H2579" t="s">
        <v>4380</v>
      </c>
      <c r="J2579" t="s">
        <v>4381</v>
      </c>
      <c r="K2579" s="11">
        <v>46240.361111111109</v>
      </c>
      <c r="M2579">
        <v>1908</v>
      </c>
      <c r="N2579" t="s">
        <v>867</v>
      </c>
      <c r="O2579" s="17" t="s">
        <v>4382</v>
      </c>
      <c r="P2579" s="5"/>
      <c r="Q2579" s="10">
        <f>INT(Tabela1[[#This Row],[DATA]])</f>
        <v>46240</v>
      </c>
      <c r="R2579" s="14" t="str">
        <f ca="1">IF(AND(Q2579&gt;=TODAY()-WEEKDAY(TODAY(),2)+1,Q2579&lt;TODAY()),"SIM","NÃO")</f>
        <v>NÃO</v>
      </c>
    </row>
    <row r="2580" spans="1:18" hidden="1">
      <c r="A2580" t="s">
        <v>159</v>
      </c>
      <c r="B2580" t="s">
        <v>1293</v>
      </c>
      <c r="C2580">
        <v>300283507</v>
      </c>
      <c r="D2580">
        <v>16273311</v>
      </c>
      <c r="E2580" t="s">
        <v>37</v>
      </c>
      <c r="F2580" t="s">
        <v>3502</v>
      </c>
      <c r="G2580" t="s">
        <v>4383</v>
      </c>
      <c r="H2580" t="s">
        <v>82</v>
      </c>
      <c r="K2580" s="11">
        <v>46240.362557870372</v>
      </c>
      <c r="M2580">
        <v>1909</v>
      </c>
      <c r="N2580" t="s">
        <v>878</v>
      </c>
      <c r="O2580" s="17" t="s">
        <v>3634</v>
      </c>
      <c r="P2580" s="5"/>
      <c r="Q2580" s="10">
        <f>INT(Tabela1[[#This Row],[DATA]])</f>
        <v>46240</v>
      </c>
      <c r="R2580" s="14" t="str">
        <f ca="1">IF(AND(Q2580&gt;=TODAY()-WEEKDAY(TODAY(),2)+1,Q2580&lt;TODAY()),"SIM","NÃO")</f>
        <v>NÃO</v>
      </c>
    </row>
    <row r="2581" spans="1:18" hidden="1">
      <c r="A2581" t="s">
        <v>2571</v>
      </c>
      <c r="B2581" t="s">
        <v>798</v>
      </c>
      <c r="C2581">
        <v>300286759</v>
      </c>
      <c r="D2581">
        <v>16223462</v>
      </c>
      <c r="E2581" t="s">
        <v>45</v>
      </c>
      <c r="F2581" t="s">
        <v>96</v>
      </c>
      <c r="G2581">
        <v>30</v>
      </c>
      <c r="H2581" t="s">
        <v>4384</v>
      </c>
      <c r="J2581" t="s">
        <v>4385</v>
      </c>
      <c r="K2581" s="11">
        <v>46240.362638888888</v>
      </c>
      <c r="M2581">
        <v>1910</v>
      </c>
      <c r="N2581" t="s">
        <v>867</v>
      </c>
      <c r="O2581" s="17" t="s">
        <v>592</v>
      </c>
      <c r="P2581" s="5"/>
      <c r="Q2581" s="10">
        <f>INT(Tabela1[[#This Row],[DATA]])</f>
        <v>46240</v>
      </c>
      <c r="R2581" s="14" t="str">
        <f ca="1">IF(AND(Q2581&gt;=TODAY()-WEEKDAY(TODAY(),2)+1,Q2581&lt;TODAY()),"SIM","NÃO")</f>
        <v>NÃO</v>
      </c>
    </row>
    <row r="2582" spans="1:18" hidden="1">
      <c r="A2582" t="s">
        <v>43</v>
      </c>
      <c r="B2582" t="s">
        <v>4386</v>
      </c>
      <c r="C2582">
        <v>300285832</v>
      </c>
      <c r="D2582">
        <v>16576667</v>
      </c>
      <c r="E2582" t="s">
        <v>45</v>
      </c>
      <c r="F2582" t="s">
        <v>3212</v>
      </c>
      <c r="G2582">
        <v>200</v>
      </c>
      <c r="H2582" t="s">
        <v>3865</v>
      </c>
      <c r="K2582" s="11">
        <v>46240.372986111113</v>
      </c>
      <c r="M2582">
        <v>1911</v>
      </c>
      <c r="N2582" t="s">
        <v>867</v>
      </c>
      <c r="O2582" s="17">
        <v>0</v>
      </c>
      <c r="P2582" s="5"/>
      <c r="Q2582" s="10">
        <f>INT(Tabela1[[#This Row],[DATA]])</f>
        <v>46240</v>
      </c>
      <c r="R2582" s="14" t="str">
        <f ca="1">IF(AND(Q2582&gt;=TODAY()-WEEKDAY(TODAY(),2)+1,Q2582&lt;TODAY()),"SIM","NÃO")</f>
        <v>NÃO</v>
      </c>
    </row>
    <row r="2583" spans="1:18" hidden="1">
      <c r="A2583" t="s">
        <v>2554</v>
      </c>
      <c r="B2583" t="s">
        <v>150</v>
      </c>
      <c r="C2583">
        <v>300283540</v>
      </c>
      <c r="D2583">
        <v>16273311</v>
      </c>
      <c r="E2583" t="s">
        <v>37</v>
      </c>
      <c r="F2583" t="s">
        <v>2213</v>
      </c>
      <c r="G2583">
        <v>189</v>
      </c>
      <c r="H2583" t="s">
        <v>2085</v>
      </c>
      <c r="J2583" t="s">
        <v>4387</v>
      </c>
      <c r="K2583" s="11">
        <v>46240.375034722223</v>
      </c>
      <c r="M2583">
        <v>1912</v>
      </c>
      <c r="N2583" t="s">
        <v>867</v>
      </c>
      <c r="O2583" s="17">
        <v>1000000697378</v>
      </c>
      <c r="P2583" s="5"/>
      <c r="Q2583" s="10">
        <f>INT(Tabela1[[#This Row],[DATA]])</f>
        <v>46240</v>
      </c>
      <c r="R2583" s="14" t="str">
        <f ca="1">IF(AND(Q2583&gt;=TODAY()-WEEKDAY(TODAY(),2)+1,Q2583&lt;TODAY()),"SIM","NÃO")</f>
        <v>NÃO</v>
      </c>
    </row>
    <row r="2584" spans="1:18" hidden="1">
      <c r="A2584" t="s">
        <v>2554</v>
      </c>
      <c r="B2584" t="s">
        <v>150</v>
      </c>
      <c r="C2584">
        <v>300283540</v>
      </c>
      <c r="D2584">
        <v>16273311</v>
      </c>
      <c r="E2584" t="s">
        <v>37</v>
      </c>
      <c r="F2584" t="s">
        <v>177</v>
      </c>
      <c r="G2584">
        <v>289</v>
      </c>
      <c r="H2584" t="s">
        <v>2030</v>
      </c>
      <c r="J2584" t="s">
        <v>4388</v>
      </c>
      <c r="K2584" s="11">
        <v>46240.377881944441</v>
      </c>
      <c r="M2584">
        <v>1913</v>
      </c>
      <c r="N2584" t="s">
        <v>867</v>
      </c>
      <c r="O2584" s="17">
        <v>10000241454</v>
      </c>
      <c r="P2584" s="5"/>
      <c r="Q2584" s="10">
        <f>INT(Tabela1[[#This Row],[DATA]])</f>
        <v>46240</v>
      </c>
      <c r="R2584" s="14" t="str">
        <f ca="1">IF(AND(Q2584&gt;=TODAY()-WEEKDAY(TODAY(),2)+1,Q2584&lt;TODAY()),"SIM","NÃO")</f>
        <v>NÃO</v>
      </c>
    </row>
    <row r="2585" spans="1:18" hidden="1">
      <c r="A2585" t="s">
        <v>2748</v>
      </c>
      <c r="B2585" t="s">
        <v>3454</v>
      </c>
      <c r="C2585">
        <v>300285098</v>
      </c>
      <c r="D2585">
        <v>16474120</v>
      </c>
      <c r="E2585" t="s">
        <v>37</v>
      </c>
      <c r="F2585" t="s">
        <v>3241</v>
      </c>
      <c r="G2585" t="s">
        <v>4389</v>
      </c>
      <c r="H2585" t="s">
        <v>4390</v>
      </c>
      <c r="J2585" t="s">
        <v>4391</v>
      </c>
      <c r="K2585" s="11">
        <v>46240.380810185183</v>
      </c>
      <c r="M2585">
        <v>1914</v>
      </c>
      <c r="N2585" t="s">
        <v>867</v>
      </c>
      <c r="O2585" s="17">
        <v>10000063106</v>
      </c>
      <c r="P2585" s="5"/>
      <c r="Q2585" s="10">
        <f>INT(Tabela1[[#This Row],[DATA]])</f>
        <v>46240</v>
      </c>
      <c r="R2585" s="14" t="str">
        <f ca="1">IF(AND(Q2585&gt;=TODAY()-WEEKDAY(TODAY(),2)+1,Q2585&lt;TODAY()),"SIM","NÃO")</f>
        <v>NÃO</v>
      </c>
    </row>
    <row r="2586" spans="1:18" hidden="1">
      <c r="A2586" t="s">
        <v>101</v>
      </c>
      <c r="B2586" t="s">
        <v>990</v>
      </c>
      <c r="C2586">
        <v>300285268</v>
      </c>
      <c r="D2586">
        <v>15764494</v>
      </c>
      <c r="E2586" t="s">
        <v>37</v>
      </c>
      <c r="F2586" t="s">
        <v>2405</v>
      </c>
      <c r="G2586">
        <v>5</v>
      </c>
      <c r="H2586" t="s">
        <v>4392</v>
      </c>
      <c r="J2586" t="s">
        <v>4393</v>
      </c>
      <c r="K2586" s="11">
        <v>46240.387199074074</v>
      </c>
      <c r="M2586">
        <v>1915</v>
      </c>
      <c r="N2586" t="s">
        <v>867</v>
      </c>
      <c r="O2586" s="17">
        <v>0</v>
      </c>
      <c r="P2586" s="5"/>
      <c r="Q2586" s="10">
        <f>INT(Tabela1[[#This Row],[DATA]])</f>
        <v>46240</v>
      </c>
      <c r="R2586" s="14" t="str">
        <f ca="1">IF(AND(Q2586&gt;=TODAY()-WEEKDAY(TODAY(),2)+1,Q2586&lt;TODAY()),"SIM","NÃO")</f>
        <v>NÃO</v>
      </c>
    </row>
    <row r="2587" spans="1:18" hidden="1">
      <c r="A2587" t="s">
        <v>661</v>
      </c>
      <c r="B2587" t="s">
        <v>662</v>
      </c>
      <c r="C2587">
        <v>300281097</v>
      </c>
      <c r="D2587">
        <v>16285310</v>
      </c>
      <c r="E2587" t="s">
        <v>37</v>
      </c>
      <c r="F2587" t="s">
        <v>221</v>
      </c>
      <c r="G2587">
        <v>510</v>
      </c>
      <c r="H2587" t="s">
        <v>2914</v>
      </c>
      <c r="J2587" t="s">
        <v>4394</v>
      </c>
      <c r="K2587" s="11">
        <v>46240.399594907409</v>
      </c>
      <c r="M2587">
        <v>1916</v>
      </c>
      <c r="N2587" t="s">
        <v>867</v>
      </c>
      <c r="O2587" s="17">
        <v>0</v>
      </c>
      <c r="P2587" s="5"/>
      <c r="Q2587" s="10">
        <f>INT(Tabela1[[#This Row],[DATA]])</f>
        <v>46240</v>
      </c>
      <c r="R2587" s="14" t="str">
        <f ca="1">IF(AND(Q2587&gt;=TODAY()-WEEKDAY(TODAY(),2)+1,Q2587&lt;TODAY()),"SIM","NÃO")</f>
        <v>NÃO</v>
      </c>
    </row>
    <row r="2588" spans="1:18" hidden="1">
      <c r="A2588" t="s">
        <v>661</v>
      </c>
      <c r="B2588" t="s">
        <v>662</v>
      </c>
      <c r="C2588">
        <v>300281096</v>
      </c>
      <c r="D2588">
        <v>16285310</v>
      </c>
      <c r="E2588" t="s">
        <v>37</v>
      </c>
      <c r="F2588" t="s">
        <v>221</v>
      </c>
      <c r="G2588">
        <v>756</v>
      </c>
      <c r="H2588" t="s">
        <v>1112</v>
      </c>
      <c r="J2588" t="s">
        <v>4395</v>
      </c>
      <c r="K2588" s="11">
        <v>46240.400810185187</v>
      </c>
      <c r="M2588">
        <v>1917</v>
      </c>
      <c r="N2588" t="s">
        <v>867</v>
      </c>
      <c r="O2588" s="17">
        <v>0</v>
      </c>
      <c r="P2588" s="5"/>
      <c r="Q2588" s="10">
        <f>INT(Tabela1[[#This Row],[DATA]])</f>
        <v>46240</v>
      </c>
      <c r="R2588" s="14" t="str">
        <f ca="1">IF(AND(Q2588&gt;=TODAY()-WEEKDAY(TODAY(),2)+1,Q2588&lt;TODAY()),"SIM","NÃO")</f>
        <v>NÃO</v>
      </c>
    </row>
    <row r="2589" spans="1:18" hidden="1">
      <c r="A2589" t="s">
        <v>661</v>
      </c>
      <c r="B2589" t="s">
        <v>662</v>
      </c>
      <c r="C2589">
        <v>300281095</v>
      </c>
      <c r="D2589">
        <v>16027213</v>
      </c>
      <c r="E2589" t="s">
        <v>37</v>
      </c>
      <c r="F2589" t="s">
        <v>221</v>
      </c>
      <c r="G2589">
        <v>588</v>
      </c>
      <c r="H2589" t="s">
        <v>1117</v>
      </c>
      <c r="J2589" t="s">
        <v>4396</v>
      </c>
      <c r="K2589" s="11">
        <v>46240.402488425927</v>
      </c>
      <c r="M2589">
        <v>1918</v>
      </c>
      <c r="N2589" t="s">
        <v>867</v>
      </c>
      <c r="O2589" s="17">
        <v>0</v>
      </c>
      <c r="P2589" s="5"/>
      <c r="Q2589" s="10">
        <f>INT(Tabela1[[#This Row],[DATA]])</f>
        <v>46240</v>
      </c>
      <c r="R2589" s="14" t="str">
        <f ca="1">IF(AND(Q2589&gt;=TODAY()-WEEKDAY(TODAY(),2)+1,Q2589&lt;TODAY()),"SIM","NÃO")</f>
        <v>NÃO</v>
      </c>
    </row>
    <row r="2590" spans="1:18" hidden="1">
      <c r="A2590" t="s">
        <v>305</v>
      </c>
      <c r="B2590" t="s">
        <v>306</v>
      </c>
      <c r="C2590">
        <v>300286533</v>
      </c>
      <c r="D2590">
        <v>16217780</v>
      </c>
      <c r="E2590" t="s">
        <v>37</v>
      </c>
      <c r="F2590" t="s">
        <v>3330</v>
      </c>
      <c r="G2590">
        <v>3</v>
      </c>
      <c r="H2590" t="s">
        <v>4397</v>
      </c>
      <c r="J2590" t="s">
        <v>4398</v>
      </c>
      <c r="K2590" s="11">
        <v>46240.432962962965</v>
      </c>
      <c r="M2590">
        <v>1919</v>
      </c>
      <c r="N2590" t="s">
        <v>867</v>
      </c>
      <c r="O2590" s="17">
        <v>0</v>
      </c>
      <c r="P2590" s="5"/>
      <c r="Q2590" s="10">
        <f>INT(Tabela1[[#This Row],[DATA]])</f>
        <v>46240</v>
      </c>
      <c r="R2590" s="14" t="str">
        <f ca="1">IF(AND(Q2590&gt;=TODAY()-WEEKDAY(TODAY(),2)+1,Q2590&lt;TODAY()),"SIM","NÃO")</f>
        <v>NÃO</v>
      </c>
    </row>
    <row r="2591" spans="1:18" hidden="1">
      <c r="A2591" t="s">
        <v>253</v>
      </c>
      <c r="B2591" t="s">
        <v>254</v>
      </c>
      <c r="C2591">
        <v>300285043</v>
      </c>
      <c r="D2591">
        <v>15859096</v>
      </c>
      <c r="E2591" t="s">
        <v>37</v>
      </c>
      <c r="F2591" t="s">
        <v>323</v>
      </c>
      <c r="G2591">
        <v>5</v>
      </c>
      <c r="H2591" t="s">
        <v>582</v>
      </c>
      <c r="K2591" s="11">
        <v>46240.435266203705</v>
      </c>
      <c r="M2591">
        <v>1920</v>
      </c>
      <c r="N2591" t="s">
        <v>867</v>
      </c>
      <c r="O2591" s="17">
        <v>0</v>
      </c>
      <c r="P2591" s="5"/>
      <c r="Q2591" s="10">
        <f>INT(Tabela1[[#This Row],[DATA]])</f>
        <v>46240</v>
      </c>
      <c r="R2591" s="14" t="str">
        <f ca="1">IF(AND(Q2591&gt;=TODAY()-WEEKDAY(TODAY(),2)+1,Q2591&lt;TODAY()),"SIM","NÃO")</f>
        <v>NÃO</v>
      </c>
    </row>
    <row r="2592" spans="1:18" hidden="1">
      <c r="A2592" t="s">
        <v>2681</v>
      </c>
      <c r="B2592" t="s">
        <v>1284</v>
      </c>
      <c r="C2592">
        <v>300285007</v>
      </c>
      <c r="D2592">
        <v>16482204</v>
      </c>
      <c r="E2592" t="s">
        <v>37</v>
      </c>
      <c r="F2592" t="s">
        <v>177</v>
      </c>
      <c r="G2592">
        <v>20</v>
      </c>
      <c r="H2592" t="s">
        <v>2101</v>
      </c>
      <c r="K2592" s="11">
        <v>46240.440081018518</v>
      </c>
      <c r="M2592">
        <v>1921</v>
      </c>
      <c r="N2592" t="s">
        <v>867</v>
      </c>
      <c r="O2592" s="17">
        <v>10000064323</v>
      </c>
      <c r="P2592" s="5"/>
      <c r="Q2592" s="10">
        <f>INT(Tabela1[[#This Row],[DATA]])</f>
        <v>46240</v>
      </c>
      <c r="R2592" s="14" t="str">
        <f t="shared" ref="R2592:R2593" ca="1" si="0">IF(AND(Q2592&gt;=TODAY()-WEEKDAY(TODAY(),2)+1,Q2592&lt;TODAY()),"SIM","NÃO")</f>
        <v>NÃO</v>
      </c>
    </row>
    <row r="2593" spans="1:18" hidden="1">
      <c r="A2593" t="s">
        <v>163</v>
      </c>
      <c r="B2593" t="s">
        <v>164</v>
      </c>
      <c r="C2593">
        <v>300283944</v>
      </c>
      <c r="D2593">
        <v>16242998</v>
      </c>
      <c r="E2593" t="s">
        <v>37</v>
      </c>
      <c r="F2593" t="s">
        <v>2405</v>
      </c>
      <c r="G2593">
        <v>40</v>
      </c>
      <c r="H2593" t="s">
        <v>2292</v>
      </c>
      <c r="K2593" s="11">
        <v>46240.440127314818</v>
      </c>
      <c r="M2593">
        <v>1922</v>
      </c>
      <c r="N2593" t="s">
        <v>867</v>
      </c>
      <c r="O2593" s="17">
        <v>0</v>
      </c>
      <c r="P2593" s="5"/>
      <c r="Q2593" s="10">
        <f>INT(Tabela1[[#This Row],[DATA]])</f>
        <v>46240</v>
      </c>
      <c r="R2593" s="14" t="str">
        <f t="shared" ca="1" si="0"/>
        <v>NÃO</v>
      </c>
    </row>
    <row r="2594" spans="1:18" hidden="1">
      <c r="A2594" t="s">
        <v>332</v>
      </c>
      <c r="B2594" t="s">
        <v>28</v>
      </c>
      <c r="C2594">
        <v>300280747</v>
      </c>
      <c r="D2594">
        <v>15724344</v>
      </c>
      <c r="E2594" t="s">
        <v>45</v>
      </c>
      <c r="F2594" t="s">
        <v>2405</v>
      </c>
      <c r="G2594">
        <v>2</v>
      </c>
      <c r="H2594" t="s">
        <v>1966</v>
      </c>
      <c r="K2594" s="11">
        <v>46240.441261574073</v>
      </c>
      <c r="M2594">
        <v>1923</v>
      </c>
      <c r="N2594" t="s">
        <v>867</v>
      </c>
      <c r="O2594" s="17">
        <v>0</v>
      </c>
      <c r="P2594" s="5"/>
      <c r="Q2594" s="10">
        <f>INT(Tabela1[[#This Row],[DATA]])</f>
        <v>46240</v>
      </c>
      <c r="R2594" s="14" t="str">
        <f ca="1">IF(AND(Q2594&gt;=TODAY()-WEEKDAY(TODAY(),2)+1,Q2594&lt;TODAY()),"SIM","NÃO")</f>
        <v>NÃO</v>
      </c>
    </row>
    <row r="2595" spans="1:18" hidden="1">
      <c r="A2595" t="s">
        <v>214</v>
      </c>
      <c r="B2595" t="s">
        <v>215</v>
      </c>
      <c r="C2595">
        <v>300281528</v>
      </c>
      <c r="D2595">
        <v>16520050</v>
      </c>
      <c r="E2595" t="s">
        <v>37</v>
      </c>
      <c r="F2595" t="s">
        <v>3502</v>
      </c>
      <c r="G2595">
        <v>6</v>
      </c>
      <c r="H2595" t="s">
        <v>3056</v>
      </c>
      <c r="J2595" t="s">
        <v>3056</v>
      </c>
      <c r="K2595" s="11">
        <v>46240.459270833337</v>
      </c>
      <c r="M2595">
        <v>1924</v>
      </c>
      <c r="N2595" t="s">
        <v>867</v>
      </c>
      <c r="O2595" s="17">
        <v>0</v>
      </c>
      <c r="P2595" s="5"/>
      <c r="Q2595" s="10">
        <f>INT(Tabela1[[#This Row],[DATA]])</f>
        <v>46240</v>
      </c>
      <c r="R2595" s="14" t="str">
        <f ca="1">IF(AND(Q2595&gt;=TODAY()-WEEKDAY(TODAY(),2)+1,Q2595&lt;TODAY()),"SIM","NÃO")</f>
        <v>NÃO</v>
      </c>
    </row>
    <row r="2596" spans="1:18" hidden="1">
      <c r="A2596" t="s">
        <v>2551</v>
      </c>
      <c r="B2596" t="s">
        <v>274</v>
      </c>
      <c r="C2596">
        <v>300284026</v>
      </c>
      <c r="D2596">
        <v>16442563</v>
      </c>
      <c r="E2596" t="s">
        <v>29</v>
      </c>
      <c r="F2596" t="s">
        <v>323</v>
      </c>
      <c r="G2596">
        <v>10</v>
      </c>
      <c r="H2596" t="s">
        <v>4399</v>
      </c>
      <c r="K2596" s="11">
        <v>46240.472060185188</v>
      </c>
      <c r="M2596">
        <v>1925</v>
      </c>
      <c r="N2596" t="s">
        <v>867</v>
      </c>
      <c r="O2596" s="17">
        <v>0</v>
      </c>
      <c r="P2596" s="5"/>
      <c r="Q2596" s="10">
        <f>INT(Tabela1[[#This Row],[DATA]])</f>
        <v>46240</v>
      </c>
      <c r="R2596" s="14" t="str">
        <f ca="1">IF(AND(Q2596&gt;=TODAY()-WEEKDAY(TODAY(),2)+1,Q2596&lt;TODAY()),"SIM","NÃO")</f>
        <v>NÃO</v>
      </c>
    </row>
    <row r="2597" spans="1:18" hidden="1">
      <c r="A2597" t="s">
        <v>2991</v>
      </c>
      <c r="B2597" t="s">
        <v>534</v>
      </c>
      <c r="C2597">
        <v>300286553</v>
      </c>
      <c r="D2597">
        <v>16272641</v>
      </c>
      <c r="E2597" t="s">
        <v>37</v>
      </c>
      <c r="F2597" t="s">
        <v>2405</v>
      </c>
      <c r="G2597">
        <v>30</v>
      </c>
      <c r="H2597" t="s">
        <v>1992</v>
      </c>
      <c r="J2597" t="s">
        <v>4400</v>
      </c>
      <c r="K2597" s="11">
        <v>46240.496481481481</v>
      </c>
      <c r="M2597">
        <v>1926</v>
      </c>
      <c r="N2597" t="s">
        <v>867</v>
      </c>
      <c r="O2597" s="17">
        <v>0</v>
      </c>
      <c r="P2597" s="5"/>
      <c r="Q2597" s="10">
        <f>INT(Tabela1[[#This Row],[DATA]])</f>
        <v>46240</v>
      </c>
      <c r="R2597" s="14" t="str">
        <f ca="1">IF(AND(Q2597&gt;=TODAY()-WEEKDAY(TODAY(),2)+1,Q2597&lt;TODAY()),"SIM","NÃO")</f>
        <v>NÃO</v>
      </c>
    </row>
    <row r="2598" spans="1:18" hidden="1">
      <c r="A2598" t="s">
        <v>3234</v>
      </c>
      <c r="B2598" t="s">
        <v>3240</v>
      </c>
      <c r="C2598">
        <v>300288340</v>
      </c>
      <c r="D2598">
        <v>16440978</v>
      </c>
      <c r="E2598" t="s">
        <v>45</v>
      </c>
      <c r="F2598" t="s">
        <v>259</v>
      </c>
      <c r="G2598">
        <v>10</v>
      </c>
      <c r="H2598" t="s">
        <v>4401</v>
      </c>
      <c r="J2598" t="s">
        <v>4402</v>
      </c>
      <c r="K2598" s="11">
        <v>46240.560162037036</v>
      </c>
      <c r="M2598">
        <v>1927</v>
      </c>
      <c r="N2598" t="s">
        <v>867</v>
      </c>
      <c r="O2598" s="17" t="s">
        <v>4403</v>
      </c>
      <c r="P2598" s="5"/>
      <c r="Q2598" s="10">
        <f>INT(Tabela1[[#This Row],[DATA]])</f>
        <v>46240</v>
      </c>
      <c r="R2598" s="14" t="str">
        <f ca="1">IF(AND(Q2598&gt;=TODAY()-WEEKDAY(TODAY(),2)+1,Q2598&lt;TODAY()),"SIM","NÃO")</f>
        <v>NÃO</v>
      </c>
    </row>
    <row r="2599" spans="1:18" hidden="1">
      <c r="A2599" t="s">
        <v>3564</v>
      </c>
      <c r="B2599" t="s">
        <v>3565</v>
      </c>
      <c r="C2599">
        <v>300286716</v>
      </c>
      <c r="D2599">
        <v>16440943</v>
      </c>
      <c r="E2599" t="s">
        <v>45</v>
      </c>
      <c r="F2599" t="s">
        <v>151</v>
      </c>
      <c r="G2599">
        <v>92</v>
      </c>
      <c r="H2599" t="s">
        <v>4404</v>
      </c>
      <c r="K2599" s="11">
        <v>46240.561493055553</v>
      </c>
      <c r="M2599">
        <v>1928</v>
      </c>
      <c r="N2599" t="s">
        <v>867</v>
      </c>
      <c r="O2599" s="17" t="s">
        <v>4405</v>
      </c>
      <c r="P2599" s="5"/>
      <c r="Q2599" s="10">
        <f>INT(Tabela1[[#This Row],[DATA]])</f>
        <v>46240</v>
      </c>
      <c r="R2599" s="14" t="str">
        <f ca="1">IF(AND(Q2599&gt;=TODAY()-WEEKDAY(TODAY(),2)+1,Q2599&lt;TODAY()),"SIM","NÃO")</f>
        <v>NÃO</v>
      </c>
    </row>
    <row r="2600" spans="1:18" hidden="1">
      <c r="A2600" t="s">
        <v>3234</v>
      </c>
      <c r="B2600" t="s">
        <v>3240</v>
      </c>
      <c r="C2600">
        <v>300288340</v>
      </c>
      <c r="D2600">
        <v>16440978</v>
      </c>
      <c r="E2600" t="s">
        <v>45</v>
      </c>
      <c r="F2600" t="s">
        <v>3241</v>
      </c>
      <c r="G2600">
        <v>12</v>
      </c>
      <c r="H2600" t="s">
        <v>4406</v>
      </c>
      <c r="J2600" t="s">
        <v>4407</v>
      </c>
      <c r="K2600" s="11">
        <v>46240.565775462965</v>
      </c>
      <c r="M2600">
        <v>1929</v>
      </c>
      <c r="N2600" t="s">
        <v>878</v>
      </c>
      <c r="O2600" s="17" t="s">
        <v>4408</v>
      </c>
      <c r="P2600" s="5"/>
      <c r="Q2600" s="10">
        <f>INT(Tabela1[[#This Row],[DATA]])</f>
        <v>46240</v>
      </c>
      <c r="R2600" s="14" t="str">
        <f ca="1">IF(AND(Q2600&gt;=TODAY()-WEEKDAY(TODAY(),2)+1,Q2600&lt;TODAY()),"SIM","NÃO")</f>
        <v>NÃO</v>
      </c>
    </row>
    <row r="2601" spans="1:18" hidden="1">
      <c r="A2601" t="s">
        <v>3234</v>
      </c>
      <c r="B2601" t="s">
        <v>3240</v>
      </c>
      <c r="C2601">
        <v>300285798</v>
      </c>
      <c r="D2601">
        <v>16448154</v>
      </c>
      <c r="E2601" t="s">
        <v>45</v>
      </c>
      <c r="F2601" t="s">
        <v>3502</v>
      </c>
      <c r="G2601">
        <v>10</v>
      </c>
      <c r="H2601" t="s">
        <v>4409</v>
      </c>
      <c r="J2601" t="s">
        <v>4410</v>
      </c>
      <c r="K2601" s="11">
        <v>46240.569201388891</v>
      </c>
      <c r="M2601">
        <v>1930</v>
      </c>
      <c r="N2601" t="s">
        <v>867</v>
      </c>
      <c r="O2601" s="17">
        <v>0</v>
      </c>
      <c r="P2601" s="5"/>
      <c r="Q2601" s="10">
        <f>INT(Tabela1[[#This Row],[DATA]])</f>
        <v>46240</v>
      </c>
      <c r="R2601" s="14" t="str">
        <f ca="1">IF(AND(Q2601&gt;=TODAY()-WEEKDAY(TODAY(),2)+1,Q2601&lt;TODAY()),"SIM","NÃO")</f>
        <v>NÃO</v>
      </c>
    </row>
    <row r="2602" spans="1:18" hidden="1">
      <c r="A2602" t="s">
        <v>3234</v>
      </c>
      <c r="B2602" t="s">
        <v>3240</v>
      </c>
      <c r="C2602">
        <v>300285798</v>
      </c>
      <c r="D2602">
        <v>16448154</v>
      </c>
      <c r="E2602" t="s">
        <v>45</v>
      </c>
      <c r="F2602" t="s">
        <v>151</v>
      </c>
      <c r="G2602">
        <v>236</v>
      </c>
      <c r="H2602" t="s">
        <v>4411</v>
      </c>
      <c r="J2602" t="s">
        <v>4412</v>
      </c>
      <c r="K2602" s="11">
        <v>46240.574062500003</v>
      </c>
      <c r="M2602">
        <v>1931</v>
      </c>
      <c r="N2602" t="s">
        <v>867</v>
      </c>
      <c r="O2602" s="17">
        <v>0</v>
      </c>
      <c r="P2602" s="5"/>
      <c r="Q2602" s="10">
        <f>INT(Tabela1[[#This Row],[DATA]])</f>
        <v>46240</v>
      </c>
      <c r="R2602" s="14" t="str">
        <f ca="1">IF(AND(Q2602&gt;=TODAY()-WEEKDAY(TODAY(),2)+1,Q2602&lt;TODAY()),"SIM","NÃO")</f>
        <v>NÃO</v>
      </c>
    </row>
    <row r="2603" spans="1:18" hidden="1">
      <c r="A2603" t="s">
        <v>3513</v>
      </c>
      <c r="B2603" t="s">
        <v>3688</v>
      </c>
      <c r="C2603">
        <v>300285040</v>
      </c>
      <c r="D2603">
        <v>16482204</v>
      </c>
      <c r="E2603" t="s">
        <v>37</v>
      </c>
      <c r="F2603" t="s">
        <v>3241</v>
      </c>
      <c r="G2603" t="s">
        <v>3882</v>
      </c>
      <c r="H2603" t="s">
        <v>4413</v>
      </c>
      <c r="J2603" t="s">
        <v>4414</v>
      </c>
      <c r="K2603" s="11">
        <v>46240.589097222219</v>
      </c>
      <c r="M2603">
        <v>1932</v>
      </c>
      <c r="N2603" t="s">
        <v>867</v>
      </c>
      <c r="O2603" s="17">
        <v>0</v>
      </c>
      <c r="P2603" s="5"/>
      <c r="Q2603" s="10">
        <f>INT(Tabela1[[#This Row],[DATA]])</f>
        <v>46240</v>
      </c>
      <c r="R2603" s="14" t="str">
        <f ca="1">IF(AND(Q2603&gt;=TODAY()-WEEKDAY(TODAY(),2)+1,Q2603&lt;TODAY()),"SIM","NÃO")</f>
        <v>NÃO</v>
      </c>
    </row>
    <row r="2604" spans="1:18" hidden="1">
      <c r="A2604" t="s">
        <v>605</v>
      </c>
      <c r="B2604" t="s">
        <v>606</v>
      </c>
      <c r="C2604">
        <v>300285257</v>
      </c>
      <c r="D2604">
        <v>16626729</v>
      </c>
      <c r="E2604" t="s">
        <v>37</v>
      </c>
      <c r="F2604" t="s">
        <v>1564</v>
      </c>
      <c r="G2604">
        <v>969</v>
      </c>
      <c r="H2604" t="s">
        <v>4415</v>
      </c>
      <c r="J2604" t="s">
        <v>4416</v>
      </c>
      <c r="K2604" s="11">
        <v>46240.598333333335</v>
      </c>
      <c r="M2604">
        <v>1933</v>
      </c>
      <c r="N2604" t="s">
        <v>867</v>
      </c>
      <c r="O2604" s="17">
        <v>0</v>
      </c>
      <c r="P2604" s="5"/>
      <c r="Q2604" s="10">
        <f>INT(Tabela1[[#This Row],[DATA]])</f>
        <v>46240</v>
      </c>
      <c r="R2604" s="14" t="str">
        <f ca="1">IF(AND(Q2604&gt;=TODAY()-WEEKDAY(TODAY(),2)+1,Q2604&lt;TODAY()),"SIM","NÃO")</f>
        <v>NÃO</v>
      </c>
    </row>
    <row r="2605" spans="1:18" hidden="1">
      <c r="A2605" t="s">
        <v>2541</v>
      </c>
      <c r="B2605" t="s">
        <v>388</v>
      </c>
      <c r="C2605">
        <v>300286124</v>
      </c>
      <c r="D2605">
        <v>16444876</v>
      </c>
      <c r="E2605" t="s">
        <v>37</v>
      </c>
      <c r="F2605" t="s">
        <v>2213</v>
      </c>
      <c r="G2605">
        <v>20</v>
      </c>
      <c r="H2605" t="s">
        <v>2313</v>
      </c>
      <c r="K2605" s="11">
        <v>46240.598437499997</v>
      </c>
      <c r="M2605">
        <v>1934</v>
      </c>
      <c r="N2605" t="s">
        <v>867</v>
      </c>
      <c r="O2605" s="17">
        <v>10000247751</v>
      </c>
      <c r="P2605" s="5"/>
      <c r="Q2605" s="10">
        <f>INT(Tabela1[[#This Row],[DATA]])</f>
        <v>46240</v>
      </c>
      <c r="R2605" s="14" t="str">
        <f ca="1">IF(AND(Q2605&gt;=TODAY()-WEEKDAY(TODAY(),2)+1,Q2605&lt;TODAY()),"SIM","NÃO")</f>
        <v>NÃO</v>
      </c>
    </row>
    <row r="2606" spans="1:18" hidden="1">
      <c r="A2606" t="s">
        <v>2605</v>
      </c>
      <c r="B2606" t="s">
        <v>2606</v>
      </c>
      <c r="C2606">
        <v>300284155</v>
      </c>
      <c r="D2606">
        <v>16479181</v>
      </c>
      <c r="E2606" t="s">
        <v>37</v>
      </c>
      <c r="F2606" t="s">
        <v>3224</v>
      </c>
      <c r="G2606">
        <v>16</v>
      </c>
      <c r="H2606" t="s">
        <v>3865</v>
      </c>
      <c r="J2606" t="s">
        <v>4417</v>
      </c>
      <c r="K2606" s="11">
        <v>46240.647627314815</v>
      </c>
      <c r="M2606">
        <v>1935</v>
      </c>
      <c r="N2606" t="s">
        <v>867</v>
      </c>
      <c r="O2606" s="17">
        <v>0</v>
      </c>
      <c r="P2606" s="5"/>
      <c r="Q2606" s="10">
        <f>INT(Tabela1[[#This Row],[DATA]])</f>
        <v>46240</v>
      </c>
      <c r="R2606" s="14" t="str">
        <f ca="1">IF(AND(Q2606&gt;=TODAY()-WEEKDAY(TODAY(),2)+1,Q2606&lt;TODAY()),"SIM","NÃO")</f>
        <v>NÃO</v>
      </c>
    </row>
    <row r="2607" spans="1:18" hidden="1">
      <c r="A2607" t="s">
        <v>2551</v>
      </c>
      <c r="B2607" t="s">
        <v>274</v>
      </c>
      <c r="C2607">
        <v>300260184</v>
      </c>
      <c r="D2607">
        <v>16212860</v>
      </c>
      <c r="E2607" t="s">
        <v>37</v>
      </c>
      <c r="F2607" t="s">
        <v>221</v>
      </c>
      <c r="G2607">
        <v>500</v>
      </c>
      <c r="H2607" t="s">
        <v>4418</v>
      </c>
      <c r="K2607" s="11">
        <v>46240.648564814815</v>
      </c>
      <c r="M2607">
        <v>1936</v>
      </c>
      <c r="N2607" t="s">
        <v>867</v>
      </c>
      <c r="O2607" s="17">
        <v>0</v>
      </c>
      <c r="P2607" s="5"/>
      <c r="Q2607" s="10">
        <f>INT(Tabela1[[#This Row],[DATA]])</f>
        <v>46240</v>
      </c>
      <c r="R2607" s="14" t="str">
        <f ca="1">IF(AND(Q2607&gt;=TODAY()-WEEKDAY(TODAY(),2)+1,Q2607&lt;TODAY()),"SIM","NÃO")</f>
        <v>NÃO</v>
      </c>
    </row>
    <row r="2608" spans="1:18" hidden="1">
      <c r="A2608" t="s">
        <v>2551</v>
      </c>
      <c r="B2608" t="s">
        <v>274</v>
      </c>
      <c r="C2608">
        <v>300260184</v>
      </c>
      <c r="D2608">
        <v>16212860</v>
      </c>
      <c r="E2608" t="s">
        <v>37</v>
      </c>
      <c r="F2608" t="s">
        <v>2213</v>
      </c>
      <c r="G2608">
        <v>500</v>
      </c>
      <c r="H2608" t="s">
        <v>4419</v>
      </c>
      <c r="K2608" s="11">
        <v>46240.650972222225</v>
      </c>
      <c r="M2608">
        <v>1937</v>
      </c>
      <c r="N2608" t="s">
        <v>867</v>
      </c>
      <c r="O2608" s="17">
        <v>0</v>
      </c>
      <c r="P2608" s="5"/>
      <c r="Q2608" s="10">
        <f>INT(Tabela1[[#This Row],[DATA]])</f>
        <v>46240</v>
      </c>
      <c r="R2608" s="14" t="str">
        <f ca="1">IF(AND(Q2608&gt;=TODAY()-WEEKDAY(TODAY(),2)+1,Q2608&lt;TODAY()),"SIM","NÃO")</f>
        <v>NÃO</v>
      </c>
    </row>
    <row r="2609" spans="1:18" hidden="1">
      <c r="A2609" t="s">
        <v>2551</v>
      </c>
      <c r="B2609" t="s">
        <v>274</v>
      </c>
      <c r="C2609">
        <v>300284286</v>
      </c>
      <c r="D2609">
        <v>15864448</v>
      </c>
      <c r="E2609" t="s">
        <v>37</v>
      </c>
      <c r="F2609" t="s">
        <v>3215</v>
      </c>
      <c r="G2609">
        <v>10</v>
      </c>
      <c r="H2609" t="s">
        <v>3863</v>
      </c>
      <c r="K2609" s="11">
        <v>46240.652592592596</v>
      </c>
      <c r="M2609">
        <v>1938</v>
      </c>
      <c r="N2609" t="s">
        <v>867</v>
      </c>
      <c r="O2609" s="17">
        <v>0</v>
      </c>
      <c r="P2609" s="5"/>
      <c r="Q2609" s="10">
        <f>INT(Tabela1[[#This Row],[DATA]])</f>
        <v>46240</v>
      </c>
      <c r="R2609" s="14" t="str">
        <f ca="1">IF(AND(Q2609&gt;=TODAY()-WEEKDAY(TODAY(),2)+1,Q2609&lt;TODAY()),"SIM","NÃO")</f>
        <v>NÃO</v>
      </c>
    </row>
    <row r="2610" spans="1:18" hidden="1">
      <c r="A2610" t="s">
        <v>2565</v>
      </c>
      <c r="B2610" t="s">
        <v>95</v>
      </c>
      <c r="C2610">
        <v>300288034</v>
      </c>
      <c r="D2610">
        <v>16222857</v>
      </c>
      <c r="E2610" t="s">
        <v>45</v>
      </c>
      <c r="F2610" t="s">
        <v>3502</v>
      </c>
      <c r="G2610">
        <v>1.8220000000000001</v>
      </c>
      <c r="H2610" t="s">
        <v>4420</v>
      </c>
      <c r="J2610" t="s">
        <v>4421</v>
      </c>
      <c r="K2610" s="11">
        <v>46240.665671296294</v>
      </c>
      <c r="M2610">
        <v>1939</v>
      </c>
      <c r="N2610" t="s">
        <v>878</v>
      </c>
      <c r="O2610" s="17">
        <v>1</v>
      </c>
      <c r="P2610" s="5"/>
      <c r="Q2610" s="10">
        <f>INT(Tabela1[[#This Row],[DATA]])</f>
        <v>46240</v>
      </c>
      <c r="R2610" s="14" t="str">
        <f ca="1">IF(AND(Q2610&gt;=TODAY()-WEEKDAY(TODAY(),2)+1,Q2610&lt;TODAY()),"SIM","NÃO")</f>
        <v>NÃO</v>
      </c>
    </row>
    <row r="2611" spans="1:18" hidden="1">
      <c r="A2611" t="s">
        <v>2543</v>
      </c>
      <c r="B2611" t="s">
        <v>28</v>
      </c>
      <c r="C2611">
        <v>300283187</v>
      </c>
      <c r="D2611">
        <v>16218230</v>
      </c>
      <c r="E2611" t="s">
        <v>37</v>
      </c>
      <c r="F2611" t="s">
        <v>2213</v>
      </c>
      <c r="G2611">
        <v>6</v>
      </c>
      <c r="H2611" t="s">
        <v>2843</v>
      </c>
      <c r="J2611" t="s">
        <v>4422</v>
      </c>
      <c r="K2611" s="11">
        <v>46240.725775462961</v>
      </c>
      <c r="M2611">
        <v>1940</v>
      </c>
      <c r="N2611" t="s">
        <v>867</v>
      </c>
      <c r="O2611" s="17">
        <v>10000170337</v>
      </c>
      <c r="P2611" s="5"/>
      <c r="Q2611" s="10">
        <f>INT(Tabela1[[#This Row],[DATA]])</f>
        <v>46240</v>
      </c>
      <c r="R2611" s="14" t="str">
        <f ca="1">IF(AND(Q2611&gt;=TODAY()-WEEKDAY(TODAY(),2)+1,Q2611&lt;TODAY()),"SIM","NÃO")</f>
        <v>NÃO</v>
      </c>
    </row>
    <row r="2612" spans="1:18" hidden="1">
      <c r="A2612" t="s">
        <v>4134</v>
      </c>
      <c r="B2612" t="s">
        <v>2590</v>
      </c>
      <c r="C2612">
        <v>300274690</v>
      </c>
      <c r="D2612">
        <v>16453247</v>
      </c>
      <c r="E2612" t="s">
        <v>20</v>
      </c>
      <c r="F2612" t="s">
        <v>4423</v>
      </c>
      <c r="G2612">
        <v>26</v>
      </c>
      <c r="H2612" t="s">
        <v>4424</v>
      </c>
      <c r="J2612" t="s">
        <v>4425</v>
      </c>
      <c r="K2612" s="11">
        <v>46240.740266203706</v>
      </c>
      <c r="M2612">
        <v>1941</v>
      </c>
      <c r="N2612" t="s">
        <v>867</v>
      </c>
      <c r="O2612" s="17" t="s">
        <v>4426</v>
      </c>
      <c r="P2612" s="5"/>
      <c r="Q2612" s="10">
        <f>INT(Tabela1[[#This Row],[DATA]])</f>
        <v>46240</v>
      </c>
      <c r="R2612" s="14" t="str">
        <f ca="1">IF(AND(Q2612&gt;=TODAY()-WEEKDAY(TODAY(),2)+1,Q2612&lt;TODAY()),"SIM","NÃO")</f>
        <v>NÃO</v>
      </c>
    </row>
    <row r="2613" spans="1:18" hidden="1">
      <c r="A2613" t="s">
        <v>4134</v>
      </c>
      <c r="B2613" t="s">
        <v>2590</v>
      </c>
      <c r="C2613">
        <v>300274690</v>
      </c>
      <c r="D2613">
        <v>16453247</v>
      </c>
      <c r="E2613" t="s">
        <v>20</v>
      </c>
      <c r="F2613" t="s">
        <v>1522</v>
      </c>
      <c r="G2613">
        <v>45</v>
      </c>
      <c r="H2613" t="s">
        <v>4424</v>
      </c>
      <c r="J2613" t="s">
        <v>4427</v>
      </c>
      <c r="K2613" s="11">
        <v>46240.741828703707</v>
      </c>
      <c r="M2613">
        <v>1942</v>
      </c>
      <c r="N2613" t="s">
        <v>867</v>
      </c>
      <c r="O2613" s="17" t="s">
        <v>4428</v>
      </c>
      <c r="P2613" s="5"/>
      <c r="Q2613" s="10">
        <f>INT(Tabela1[[#This Row],[DATA]])</f>
        <v>46240</v>
      </c>
      <c r="R2613" s="14" t="str">
        <f ca="1">IF(AND(Q2613&gt;=TODAY()-WEEKDAY(TODAY(),2)+1,Q2613&lt;TODAY()),"SIM","NÃO")</f>
        <v>NÃO</v>
      </c>
    </row>
    <row r="2614" spans="1:18" hidden="1">
      <c r="A2614" t="s">
        <v>4134</v>
      </c>
      <c r="B2614" t="s">
        <v>2590</v>
      </c>
      <c r="C2614">
        <v>300286244</v>
      </c>
      <c r="D2614">
        <v>16116852</v>
      </c>
      <c r="E2614" t="s">
        <v>20</v>
      </c>
      <c r="F2614" t="s">
        <v>430</v>
      </c>
      <c r="G2614">
        <v>200</v>
      </c>
      <c r="H2614" t="s">
        <v>4424</v>
      </c>
      <c r="J2614" t="s">
        <v>4429</v>
      </c>
      <c r="K2614" s="11">
        <v>46240.747453703705</v>
      </c>
      <c r="M2614">
        <v>1943</v>
      </c>
      <c r="N2614" t="s">
        <v>867</v>
      </c>
      <c r="O2614" s="17" t="s">
        <v>4430</v>
      </c>
      <c r="P2614" s="5"/>
      <c r="Q2614" s="10">
        <f>INT(Tabela1[[#This Row],[DATA]])</f>
        <v>46240</v>
      </c>
      <c r="R2614" s="14" t="str">
        <f ca="1">IF(AND(Q2614&gt;=TODAY()-WEEKDAY(TODAY(),2)+1,Q2614&lt;TODAY()),"SIM","NÃO")</f>
        <v>NÃO</v>
      </c>
    </row>
    <row r="2615" spans="1:18" hidden="1">
      <c r="A2615" t="s">
        <v>2578</v>
      </c>
      <c r="B2615" t="s">
        <v>69</v>
      </c>
      <c r="C2615">
        <v>300286700</v>
      </c>
      <c r="D2615">
        <v>16510151</v>
      </c>
      <c r="E2615" t="s">
        <v>45</v>
      </c>
      <c r="F2615" t="s">
        <v>3843</v>
      </c>
      <c r="G2615">
        <v>518</v>
      </c>
      <c r="H2615" t="s">
        <v>4431</v>
      </c>
      <c r="J2615" t="s">
        <v>4432</v>
      </c>
      <c r="K2615" s="11">
        <v>46240.75335648148</v>
      </c>
      <c r="M2615">
        <v>1944</v>
      </c>
      <c r="N2615" t="s">
        <v>867</v>
      </c>
      <c r="O2615" s="17">
        <v>16510151</v>
      </c>
      <c r="P2615" s="5"/>
      <c r="Q2615" s="10">
        <f>INT(Tabela1[[#This Row],[DATA]])</f>
        <v>46240</v>
      </c>
      <c r="R2615" s="14" t="str">
        <f ca="1">IF(AND(Q2615&gt;=TODAY()-WEEKDAY(TODAY(),2)+1,Q2615&lt;TODAY()),"SIM","NÃO")</f>
        <v>NÃO</v>
      </c>
    </row>
    <row r="2616" spans="1:18" hidden="1">
      <c r="A2616" t="s">
        <v>2578</v>
      </c>
      <c r="B2616" t="s">
        <v>69</v>
      </c>
      <c r="C2616">
        <v>300287265</v>
      </c>
      <c r="D2616">
        <v>16334680</v>
      </c>
      <c r="E2616" t="s">
        <v>45</v>
      </c>
      <c r="F2616" t="s">
        <v>2405</v>
      </c>
      <c r="G2616">
        <v>38</v>
      </c>
      <c r="H2616" t="s">
        <v>3739</v>
      </c>
      <c r="K2616" s="11">
        <v>46240.756284722222</v>
      </c>
      <c r="M2616">
        <v>1945</v>
      </c>
      <c r="N2616" t="s">
        <v>867</v>
      </c>
      <c r="O2616" s="17">
        <v>16334680</v>
      </c>
      <c r="P2616" s="5"/>
      <c r="Q2616" s="10">
        <f>INT(Tabela1[[#This Row],[DATA]])</f>
        <v>46240</v>
      </c>
      <c r="R2616" s="14" t="str">
        <f ca="1">IF(AND(Q2616&gt;=TODAY()-WEEKDAY(TODAY(),2)+1,Q2616&lt;TODAY()),"SIM","NÃO")</f>
        <v>NÃO</v>
      </c>
    </row>
    <row r="2617" spans="1:18" hidden="1">
      <c r="A2617" t="s">
        <v>2549</v>
      </c>
      <c r="B2617" t="s">
        <v>19</v>
      </c>
      <c r="C2617">
        <v>300287332</v>
      </c>
      <c r="D2617">
        <v>13132547</v>
      </c>
      <c r="E2617" t="s">
        <v>29</v>
      </c>
      <c r="F2617" t="s">
        <v>3502</v>
      </c>
      <c r="G2617">
        <v>5</v>
      </c>
      <c r="H2617" t="s">
        <v>2228</v>
      </c>
      <c r="J2617" t="s">
        <v>2802</v>
      </c>
      <c r="K2617" s="11">
        <v>46241.28564814815</v>
      </c>
      <c r="M2617">
        <v>1946</v>
      </c>
      <c r="N2617" t="s">
        <v>867</v>
      </c>
      <c r="O2617" s="17" t="s">
        <v>2802</v>
      </c>
      <c r="P2617" s="5"/>
      <c r="Q2617" s="10">
        <f>INT(Tabela1[[#This Row],[DATA]])</f>
        <v>46241</v>
      </c>
      <c r="R2617" s="14" t="str">
        <f ca="1">IF(AND(Q2617&gt;=TODAY()-WEEKDAY(TODAY(),2)+1,Q2617&lt;TODAY()),"SIM","NÃO")</f>
        <v>NÃO</v>
      </c>
    </row>
    <row r="2618" spans="1:18" hidden="1">
      <c r="A2618" t="s">
        <v>163</v>
      </c>
      <c r="B2618" t="s">
        <v>164</v>
      </c>
      <c r="C2618">
        <v>300284270</v>
      </c>
      <c r="D2618">
        <v>16460863</v>
      </c>
      <c r="E2618" t="s">
        <v>29</v>
      </c>
      <c r="F2618" t="s">
        <v>2405</v>
      </c>
      <c r="G2618">
        <v>9</v>
      </c>
      <c r="H2618" t="s">
        <v>2292</v>
      </c>
      <c r="K2618" s="11">
        <v>46241.288587962961</v>
      </c>
      <c r="M2618">
        <v>1947</v>
      </c>
      <c r="N2618" t="s">
        <v>867</v>
      </c>
      <c r="O2618" s="17">
        <v>0</v>
      </c>
      <c r="P2618" s="5"/>
      <c r="Q2618" s="10">
        <f>INT(Tabela1[[#This Row],[DATA]])</f>
        <v>46241</v>
      </c>
      <c r="R2618" s="14" t="str">
        <f ca="1">IF(AND(Q2618&gt;=TODAY()-WEEKDAY(TODAY(),2)+1,Q2618&lt;TODAY()),"SIM","NÃO")</f>
        <v>NÃO</v>
      </c>
    </row>
    <row r="2619" spans="1:18" hidden="1">
      <c r="A2619" t="s">
        <v>605</v>
      </c>
      <c r="B2619" t="s">
        <v>606</v>
      </c>
      <c r="C2619">
        <v>300279404</v>
      </c>
      <c r="D2619">
        <v>16553330</v>
      </c>
      <c r="E2619" t="s">
        <v>37</v>
      </c>
      <c r="F2619" t="s">
        <v>2213</v>
      </c>
      <c r="G2619">
        <v>1638</v>
      </c>
      <c r="H2619" t="s">
        <v>4433</v>
      </c>
      <c r="J2619" t="s">
        <v>4434</v>
      </c>
      <c r="K2619" s="11">
        <v>46241.317754629628</v>
      </c>
      <c r="M2619">
        <v>1948</v>
      </c>
      <c r="N2619" t="s">
        <v>878</v>
      </c>
      <c r="O2619" s="17">
        <v>0</v>
      </c>
      <c r="P2619" s="5"/>
      <c r="Q2619" s="10">
        <f>INT(Tabela1[[#This Row],[DATA]])</f>
        <v>46241</v>
      </c>
      <c r="R2619" s="14" t="str">
        <f ca="1">IF(AND(Q2619&gt;=TODAY()-WEEKDAY(TODAY(),2)+1,Q2619&lt;TODAY()),"SIM","NÃO")</f>
        <v>NÃO</v>
      </c>
    </row>
    <row r="2620" spans="1:18" hidden="1">
      <c r="A2620" t="s">
        <v>2578</v>
      </c>
      <c r="B2620" t="s">
        <v>69</v>
      </c>
      <c r="C2620">
        <v>300289205</v>
      </c>
      <c r="D2620">
        <v>16488067</v>
      </c>
      <c r="E2620" t="s">
        <v>37</v>
      </c>
      <c r="F2620" t="s">
        <v>3215</v>
      </c>
      <c r="G2620">
        <v>5</v>
      </c>
      <c r="H2620" t="s">
        <v>4435</v>
      </c>
      <c r="K2620" s="11">
        <v>46241.322118055556</v>
      </c>
      <c r="M2620">
        <v>1949</v>
      </c>
      <c r="N2620" t="s">
        <v>867</v>
      </c>
      <c r="O2620" s="17">
        <v>16488067</v>
      </c>
      <c r="P2620" s="5"/>
      <c r="Q2620" s="10">
        <f>INT(Tabela1[[#This Row],[DATA]])</f>
        <v>46241</v>
      </c>
      <c r="R2620" s="14" t="str">
        <f ca="1">IF(AND(Q2620&gt;=TODAY()-WEEKDAY(TODAY(),2)+1,Q2620&lt;TODAY()),"SIM","NÃO")</f>
        <v>NÃO</v>
      </c>
    </row>
    <row r="2621" spans="1:18" hidden="1">
      <c r="A2621" t="s">
        <v>787</v>
      </c>
      <c r="B2621" t="s">
        <v>788</v>
      </c>
      <c r="C2621">
        <v>300280207</v>
      </c>
      <c r="D2621">
        <v>15865614</v>
      </c>
      <c r="E2621" t="s">
        <v>37</v>
      </c>
      <c r="F2621" t="s">
        <v>177</v>
      </c>
      <c r="G2621">
        <v>40</v>
      </c>
      <c r="H2621" t="s">
        <v>2101</v>
      </c>
      <c r="J2621" t="s">
        <v>4436</v>
      </c>
      <c r="K2621" s="11">
        <v>46241.325624999998</v>
      </c>
      <c r="M2621">
        <v>1950</v>
      </c>
      <c r="N2621" t="s">
        <v>867</v>
      </c>
      <c r="O2621" s="17">
        <v>10000064508</v>
      </c>
      <c r="P2621" s="5"/>
      <c r="Q2621" s="10">
        <f>INT(Tabela1[[#This Row],[DATA]])</f>
        <v>46241</v>
      </c>
      <c r="R2621" s="14" t="str">
        <f ca="1">IF(AND(Q2621&gt;=TODAY()-WEEKDAY(TODAY(),2)+1,Q2621&lt;TODAY()),"SIM","NÃO")</f>
        <v>NÃO</v>
      </c>
    </row>
    <row r="2622" spans="1:18" hidden="1">
      <c r="A2622" t="s">
        <v>185</v>
      </c>
      <c r="B2622" t="s">
        <v>1625</v>
      </c>
      <c r="C2622">
        <v>300283946</v>
      </c>
      <c r="D2622">
        <v>16523776</v>
      </c>
      <c r="E2622" t="s">
        <v>37</v>
      </c>
      <c r="F2622" t="s">
        <v>3595</v>
      </c>
      <c r="G2622">
        <v>112</v>
      </c>
      <c r="H2622" t="s">
        <v>4437</v>
      </c>
      <c r="K2622" s="11">
        <v>46241.335844907408</v>
      </c>
      <c r="M2622">
        <v>1951</v>
      </c>
      <c r="N2622" t="s">
        <v>867</v>
      </c>
      <c r="O2622" s="17">
        <v>10000248117</v>
      </c>
      <c r="P2622" s="5"/>
      <c r="Q2622" s="10">
        <f>INT(Tabela1[[#This Row],[DATA]])</f>
        <v>46241</v>
      </c>
      <c r="R2622" s="14" t="str">
        <f ca="1">IF(AND(Q2622&gt;=TODAY()-WEEKDAY(TODAY(),2)+1,Q2622&lt;TODAY()),"SIM","NÃO")</f>
        <v>NÃO</v>
      </c>
    </row>
    <row r="2623" spans="1:18" hidden="1">
      <c r="A2623" t="s">
        <v>332</v>
      </c>
      <c r="B2623" t="s">
        <v>690</v>
      </c>
      <c r="C2623">
        <v>300284151</v>
      </c>
      <c r="D2623">
        <v>16479157</v>
      </c>
      <c r="E2623" t="s">
        <v>45</v>
      </c>
      <c r="F2623" t="s">
        <v>151</v>
      </c>
      <c r="G2623">
        <v>3</v>
      </c>
      <c r="H2623" t="s">
        <v>1966</v>
      </c>
      <c r="K2623" s="11">
        <v>46241.336111111108</v>
      </c>
      <c r="M2623">
        <v>1952</v>
      </c>
      <c r="N2623" t="s">
        <v>867</v>
      </c>
      <c r="O2623" s="17">
        <v>0</v>
      </c>
      <c r="P2623" s="5"/>
      <c r="Q2623" s="10">
        <f>INT(Tabela1[[#This Row],[DATA]])</f>
        <v>46241</v>
      </c>
      <c r="R2623" s="14" t="str">
        <f ca="1">IF(AND(Q2623&gt;=TODAY()-WEEKDAY(TODAY(),2)+1,Q2623&lt;TODAY()),"SIM","NÃO")</f>
        <v>NÃO</v>
      </c>
    </row>
    <row r="2624" spans="1:18" hidden="1">
      <c r="A2624" t="s">
        <v>185</v>
      </c>
      <c r="B2624" t="s">
        <v>1625</v>
      </c>
      <c r="C2624">
        <v>300283945</v>
      </c>
      <c r="D2624">
        <v>16523776</v>
      </c>
      <c r="E2624" t="s">
        <v>37</v>
      </c>
      <c r="F2624" t="s">
        <v>2405</v>
      </c>
      <c r="G2624">
        <v>3</v>
      </c>
      <c r="H2624" t="s">
        <v>2137</v>
      </c>
      <c r="K2624" s="11">
        <v>46241.33834490741</v>
      </c>
      <c r="M2624">
        <v>1953</v>
      </c>
      <c r="N2624" t="s">
        <v>867</v>
      </c>
      <c r="O2624" s="17">
        <v>0</v>
      </c>
      <c r="P2624" s="5"/>
      <c r="Q2624" s="10">
        <f>INT(Tabela1[[#This Row],[DATA]])</f>
        <v>46241</v>
      </c>
      <c r="R2624" s="14" t="str">
        <f ca="1">IF(AND(Q2624&gt;=TODAY()-WEEKDAY(TODAY(),2)+1,Q2624&lt;TODAY()),"SIM","NÃO")</f>
        <v>NÃO</v>
      </c>
    </row>
    <row r="2625" spans="1:18" hidden="1">
      <c r="A2625" t="s">
        <v>3132</v>
      </c>
      <c r="B2625" t="s">
        <v>242</v>
      </c>
      <c r="C2625">
        <v>300281901</v>
      </c>
      <c r="D2625">
        <v>16507665</v>
      </c>
      <c r="E2625" t="s">
        <v>37</v>
      </c>
      <c r="F2625" t="s">
        <v>3330</v>
      </c>
      <c r="G2625">
        <v>52</v>
      </c>
      <c r="H2625" t="s">
        <v>4438</v>
      </c>
      <c r="J2625" t="s">
        <v>4439</v>
      </c>
      <c r="K2625" s="11">
        <v>46241.371249999997</v>
      </c>
      <c r="M2625">
        <v>1954</v>
      </c>
      <c r="N2625" t="s">
        <v>867</v>
      </c>
      <c r="O2625" s="17" t="s">
        <v>4440</v>
      </c>
      <c r="P2625" s="5"/>
      <c r="Q2625" s="10">
        <f>INT(Tabela1[[#This Row],[DATA]])</f>
        <v>46241</v>
      </c>
      <c r="R2625" s="14" t="str">
        <f ca="1">IF(AND(Q2625&gt;=TODAY()-WEEKDAY(TODAY(),2)+1,Q2625&lt;TODAY()),"SIM","NÃO")</f>
        <v>NÃO</v>
      </c>
    </row>
    <row r="2626" spans="1:18" hidden="1">
      <c r="A2626" t="s">
        <v>3311</v>
      </c>
      <c r="B2626" t="s">
        <v>768</v>
      </c>
      <c r="C2626">
        <v>300281108</v>
      </c>
      <c r="D2626">
        <v>16519710</v>
      </c>
      <c r="E2626" t="s">
        <v>37</v>
      </c>
      <c r="F2626" t="s">
        <v>177</v>
      </c>
      <c r="G2626">
        <v>120</v>
      </c>
      <c r="H2626" t="s">
        <v>2621</v>
      </c>
      <c r="J2626" t="s">
        <v>4441</v>
      </c>
      <c r="K2626" s="11">
        <v>46241.389155092591</v>
      </c>
      <c r="M2626">
        <v>1955</v>
      </c>
      <c r="N2626" t="s">
        <v>867</v>
      </c>
      <c r="O2626" s="17" t="s">
        <v>4442</v>
      </c>
      <c r="P2626" s="5"/>
      <c r="Q2626" s="10">
        <f>INT(Tabela1[[#This Row],[DATA]])</f>
        <v>46241</v>
      </c>
      <c r="R2626" s="14" t="str">
        <f ca="1">IF(AND(Q2626&gt;=TODAY()-WEEKDAY(TODAY(),2)+1,Q2626&lt;TODAY()),"SIM","NÃO")</f>
        <v>NÃO</v>
      </c>
    </row>
    <row r="2627" spans="1:18" hidden="1">
      <c r="A2627" t="s">
        <v>2605</v>
      </c>
      <c r="B2627" t="s">
        <v>2606</v>
      </c>
      <c r="C2627">
        <v>300284180</v>
      </c>
      <c r="D2627">
        <v>16479181</v>
      </c>
      <c r="E2627" t="s">
        <v>37</v>
      </c>
      <c r="F2627" t="s">
        <v>3224</v>
      </c>
      <c r="G2627">
        <v>31</v>
      </c>
      <c r="H2627" t="s">
        <v>4443</v>
      </c>
      <c r="J2627" t="s">
        <v>4444</v>
      </c>
      <c r="K2627" s="11">
        <v>46241.399756944447</v>
      </c>
      <c r="M2627">
        <v>1956</v>
      </c>
      <c r="N2627" t="s">
        <v>867</v>
      </c>
      <c r="O2627" s="17">
        <v>0</v>
      </c>
      <c r="P2627" s="5"/>
      <c r="Q2627" s="10">
        <f>INT(Tabela1[[#This Row],[DATA]])</f>
        <v>46241</v>
      </c>
      <c r="R2627" s="14" t="str">
        <f ca="1">IF(AND(Q2627&gt;=TODAY()-WEEKDAY(TODAY(),2)+1,Q2627&lt;TODAY()),"SIM","NÃO")</f>
        <v>NÃO</v>
      </c>
    </row>
    <row r="2628" spans="1:18" hidden="1">
      <c r="A2628" t="s">
        <v>2713</v>
      </c>
      <c r="B2628" t="s">
        <v>55</v>
      </c>
      <c r="C2628">
        <v>300274664</v>
      </c>
      <c r="D2628">
        <v>15774104</v>
      </c>
      <c r="E2628" t="s">
        <v>37</v>
      </c>
      <c r="F2628" t="s">
        <v>3215</v>
      </c>
      <c r="G2628">
        <v>6</v>
      </c>
      <c r="H2628" t="s">
        <v>1966</v>
      </c>
      <c r="K2628" s="11">
        <v>46241.425081018519</v>
      </c>
      <c r="M2628">
        <v>1957</v>
      </c>
      <c r="N2628" t="s">
        <v>867</v>
      </c>
      <c r="O2628" s="17" t="s">
        <v>4445</v>
      </c>
      <c r="P2628" s="5"/>
      <c r="Q2628" s="10">
        <f>INT(Tabela1[[#This Row],[DATA]])</f>
        <v>46241</v>
      </c>
      <c r="R2628" s="14" t="str">
        <f ca="1">IF(AND(Q2628&gt;=TODAY()-WEEKDAY(TODAY(),2)+1,Q2628&lt;TODAY()),"SIM","NÃO")</f>
        <v>NÃO</v>
      </c>
    </row>
    <row r="2629" spans="1:18" hidden="1">
      <c r="A2629" t="s">
        <v>2713</v>
      </c>
      <c r="B2629" t="s">
        <v>55</v>
      </c>
      <c r="C2629">
        <v>300274659</v>
      </c>
      <c r="D2629">
        <v>15774104</v>
      </c>
      <c r="E2629" t="s">
        <v>37</v>
      </c>
      <c r="F2629" t="s">
        <v>3215</v>
      </c>
      <c r="G2629">
        <v>6</v>
      </c>
      <c r="H2629" t="s">
        <v>2559</v>
      </c>
      <c r="K2629" s="11">
        <v>46241.426087962966</v>
      </c>
      <c r="M2629">
        <v>1958</v>
      </c>
      <c r="N2629" t="s">
        <v>867</v>
      </c>
      <c r="O2629" s="17" t="s">
        <v>4446</v>
      </c>
      <c r="P2629" s="5"/>
      <c r="Q2629" s="10">
        <f>INT(Tabela1[[#This Row],[DATA]])</f>
        <v>46241</v>
      </c>
      <c r="R2629" s="14" t="str">
        <f ca="1">IF(AND(Q2629&gt;=TODAY()-WEEKDAY(TODAY(),2)+1,Q2629&lt;TODAY()),"SIM","NÃO")</f>
        <v>NÃO</v>
      </c>
    </row>
    <row r="2630" spans="1:18" hidden="1">
      <c r="A2630" t="s">
        <v>305</v>
      </c>
      <c r="B2630" t="s">
        <v>306</v>
      </c>
      <c r="C2630">
        <v>300286533</v>
      </c>
      <c r="D2630">
        <v>16217780</v>
      </c>
      <c r="E2630" t="s">
        <v>37</v>
      </c>
      <c r="F2630" t="s">
        <v>3330</v>
      </c>
      <c r="G2630">
        <v>9</v>
      </c>
      <c r="H2630" t="s">
        <v>4447</v>
      </c>
      <c r="J2630" t="s">
        <v>2884</v>
      </c>
      <c r="K2630" s="11">
        <v>46241.445821759262</v>
      </c>
      <c r="M2630">
        <v>1959</v>
      </c>
      <c r="N2630" t="s">
        <v>867</v>
      </c>
      <c r="O2630" s="17">
        <v>0</v>
      </c>
      <c r="P2630" s="5"/>
      <c r="Q2630" s="10">
        <f>INT(Tabela1[[#This Row],[DATA]])</f>
        <v>46241</v>
      </c>
      <c r="R2630" s="14" t="str">
        <f ca="1">IF(AND(Q2630&gt;=TODAY()-WEEKDAY(TODAY(),2)+1,Q2630&lt;TODAY()),"SIM","NÃO")</f>
        <v>NÃO</v>
      </c>
    </row>
    <row r="2631" spans="1:18" hidden="1">
      <c r="A2631" t="s">
        <v>1439</v>
      </c>
      <c r="B2631" t="s">
        <v>1440</v>
      </c>
      <c r="C2631">
        <v>300278093</v>
      </c>
      <c r="D2631">
        <v>16488040</v>
      </c>
      <c r="E2631" t="s">
        <v>45</v>
      </c>
      <c r="F2631" t="s">
        <v>1522</v>
      </c>
      <c r="G2631">
        <v>46</v>
      </c>
      <c r="H2631" t="s">
        <v>2632</v>
      </c>
      <c r="J2631" s="18" t="s">
        <v>4448</v>
      </c>
      <c r="K2631" s="11">
        <v>46241.554155092592</v>
      </c>
      <c r="M2631">
        <v>1960</v>
      </c>
      <c r="N2631" t="s">
        <v>867</v>
      </c>
      <c r="O2631" s="17">
        <v>0</v>
      </c>
      <c r="P2631" s="5"/>
      <c r="Q2631" s="10">
        <f>INT(Tabela1[[#This Row],[DATA]])</f>
        <v>46241</v>
      </c>
      <c r="R2631" s="14" t="str">
        <f ca="1">IF(AND(Q2631&gt;=TODAY()-WEEKDAY(TODAY(),2)+1,Q2631&lt;TODAY()),"SIM","NÃO")</f>
        <v>NÃO</v>
      </c>
    </row>
    <row r="2632" spans="1:18" hidden="1">
      <c r="A2632" t="s">
        <v>2565</v>
      </c>
      <c r="B2632" t="s">
        <v>95</v>
      </c>
      <c r="C2632">
        <v>300288817</v>
      </c>
      <c r="D2632">
        <v>16577434</v>
      </c>
      <c r="E2632" t="s">
        <v>45</v>
      </c>
      <c r="F2632" t="s">
        <v>259</v>
      </c>
      <c r="G2632">
        <v>833</v>
      </c>
      <c r="H2632" t="s">
        <v>4449</v>
      </c>
      <c r="J2632" s="18" t="s">
        <v>4450</v>
      </c>
      <c r="K2632" s="11">
        <v>46241.567696759259</v>
      </c>
      <c r="M2632">
        <v>1961</v>
      </c>
      <c r="N2632" t="s">
        <v>867</v>
      </c>
      <c r="O2632" s="17">
        <v>10000072008</v>
      </c>
      <c r="P2632" s="5"/>
      <c r="Q2632" s="10">
        <f>INT(Tabela1[[#This Row],[DATA]])</f>
        <v>46241</v>
      </c>
      <c r="R2632" s="14" t="str">
        <f ca="1">IF(AND(Q2632&gt;=TODAY()-WEEKDAY(TODAY(),2)+1,Q2632&lt;TODAY()),"SIM","NÃO")</f>
        <v>NÃO</v>
      </c>
    </row>
    <row r="2633" spans="1:18" hidden="1">
      <c r="A2633" t="s">
        <v>2565</v>
      </c>
      <c r="B2633" t="s">
        <v>95</v>
      </c>
      <c r="C2633">
        <v>300288817</v>
      </c>
      <c r="D2633">
        <v>16577434</v>
      </c>
      <c r="E2633" t="s">
        <v>45</v>
      </c>
      <c r="F2633" t="s">
        <v>3241</v>
      </c>
      <c r="G2633">
        <v>833</v>
      </c>
      <c r="H2633" t="s">
        <v>4451</v>
      </c>
      <c r="J2633" s="18" t="s">
        <v>4451</v>
      </c>
      <c r="K2633" s="11">
        <v>46241.568969907406</v>
      </c>
      <c r="M2633">
        <v>1962</v>
      </c>
      <c r="N2633" t="s">
        <v>867</v>
      </c>
      <c r="O2633" s="17">
        <v>10000072583</v>
      </c>
      <c r="P2633" s="5"/>
      <c r="Q2633" s="10">
        <f>INT(Tabela1[[#This Row],[DATA]])</f>
        <v>46241</v>
      </c>
      <c r="R2633" s="14" t="str">
        <f ca="1">IF(AND(Q2633&gt;=TODAY()-WEEKDAY(TODAY(),2)+1,Q2633&lt;TODAY()),"SIM","NÃO")</f>
        <v>NÃO</v>
      </c>
    </row>
    <row r="2634" spans="1:18" hidden="1">
      <c r="A2634" t="s">
        <v>2541</v>
      </c>
      <c r="B2634" t="s">
        <v>388</v>
      </c>
      <c r="C2634">
        <v>300287587</v>
      </c>
      <c r="D2634">
        <v>16373685</v>
      </c>
      <c r="E2634" t="s">
        <v>37</v>
      </c>
      <c r="F2634" t="s">
        <v>221</v>
      </c>
      <c r="G2634">
        <v>1508</v>
      </c>
      <c r="H2634" t="s">
        <v>2313</v>
      </c>
      <c r="J2634" s="18"/>
      <c r="K2634" s="11">
        <v>46241.570208333331</v>
      </c>
      <c r="M2634">
        <v>1963</v>
      </c>
      <c r="N2634" t="s">
        <v>878</v>
      </c>
      <c r="O2634" s="17">
        <v>0</v>
      </c>
      <c r="P2634" s="5"/>
      <c r="Q2634" s="10">
        <f>INT(Tabela1[[#This Row],[DATA]])</f>
        <v>46241</v>
      </c>
      <c r="R2634" s="14" t="str">
        <f ca="1">IF(AND(Q2634&gt;=TODAY()-WEEKDAY(TODAY(),2)+1,Q2634&lt;TODAY()),"SIM","NÃO")</f>
        <v>NÃO</v>
      </c>
    </row>
    <row r="2635" spans="1:18" hidden="1">
      <c r="A2635" t="s">
        <v>2543</v>
      </c>
      <c r="B2635" t="s">
        <v>28</v>
      </c>
      <c r="C2635">
        <v>300282776</v>
      </c>
      <c r="D2635">
        <v>16242998</v>
      </c>
      <c r="E2635" t="s">
        <v>37</v>
      </c>
      <c r="F2635" t="s">
        <v>2213</v>
      </c>
      <c r="G2635">
        <v>43</v>
      </c>
      <c r="H2635" t="s">
        <v>2843</v>
      </c>
      <c r="J2635" s="18"/>
      <c r="K2635" s="11">
        <v>46241.571157407408</v>
      </c>
      <c r="M2635">
        <v>1964</v>
      </c>
      <c r="N2635" t="s">
        <v>867</v>
      </c>
      <c r="O2635" s="17">
        <v>100000249817</v>
      </c>
      <c r="P2635" s="5"/>
      <c r="Q2635" s="10">
        <f>INT(Tabela1[[#This Row],[DATA]])</f>
        <v>46241</v>
      </c>
      <c r="R2635" s="14" t="str">
        <f ca="1">IF(AND(Q2635&gt;=TODAY()-WEEKDAY(TODAY(),2)+1,Q2635&lt;TODAY()),"SIM","NÃO")</f>
        <v>NÃO</v>
      </c>
    </row>
    <row r="2636" spans="1:18" hidden="1">
      <c r="A2636" t="s">
        <v>2775</v>
      </c>
      <c r="B2636" t="s">
        <v>512</v>
      </c>
      <c r="C2636">
        <v>300289390</v>
      </c>
      <c r="D2636">
        <v>16461908</v>
      </c>
      <c r="E2636" t="s">
        <v>37</v>
      </c>
      <c r="F2636" t="s">
        <v>3241</v>
      </c>
      <c r="G2636" t="s">
        <v>4452</v>
      </c>
      <c r="H2636" t="s">
        <v>4453</v>
      </c>
      <c r="J2636" s="18" t="s">
        <v>4454</v>
      </c>
      <c r="K2636" s="11">
        <v>46241.572743055556</v>
      </c>
      <c r="M2636">
        <v>1965</v>
      </c>
      <c r="N2636" t="s">
        <v>867</v>
      </c>
      <c r="O2636" s="17">
        <v>10000063189</v>
      </c>
      <c r="P2636" s="5"/>
      <c r="Q2636" s="10">
        <f>INT(Tabela1[[#This Row],[DATA]])</f>
        <v>46241</v>
      </c>
      <c r="R2636" s="14" t="str">
        <f ca="1">IF(AND(Q2636&gt;=TODAY()-WEEKDAY(TODAY(),2)+1,Q2636&lt;TODAY()),"SIM","NÃO")</f>
        <v>NÃO</v>
      </c>
    </row>
    <row r="2637" spans="1:18" hidden="1">
      <c r="A2637" t="s">
        <v>2903</v>
      </c>
      <c r="B2637" t="s">
        <v>846</v>
      </c>
      <c r="C2637">
        <v>300289610</v>
      </c>
      <c r="D2637">
        <v>16537769</v>
      </c>
      <c r="E2637" t="s">
        <v>37</v>
      </c>
      <c r="F2637" t="s">
        <v>2405</v>
      </c>
      <c r="G2637">
        <v>52</v>
      </c>
      <c r="H2637" t="s">
        <v>4455</v>
      </c>
      <c r="J2637" s="18" t="s">
        <v>4456</v>
      </c>
      <c r="K2637" s="11">
        <v>46241.612754629627</v>
      </c>
      <c r="M2637">
        <v>1966</v>
      </c>
      <c r="N2637" t="s">
        <v>867</v>
      </c>
      <c r="O2637" s="17" t="s">
        <v>848</v>
      </c>
      <c r="P2637" s="5"/>
      <c r="Q2637" s="10">
        <f>INT(Tabela1[[#This Row],[DATA]])</f>
        <v>46241</v>
      </c>
      <c r="R2637" s="14" t="str">
        <f ca="1">IF(AND(Q2637&gt;=TODAY()-WEEKDAY(TODAY(),2)+1,Q2637&lt;TODAY()),"SIM","NÃO")</f>
        <v>NÃO</v>
      </c>
    </row>
    <row r="2638" spans="1:18" hidden="1">
      <c r="A2638" t="s">
        <v>305</v>
      </c>
      <c r="B2638" t="s">
        <v>306</v>
      </c>
      <c r="C2638">
        <v>300287372</v>
      </c>
      <c r="D2638">
        <v>16442679</v>
      </c>
      <c r="E2638" t="s">
        <v>29</v>
      </c>
      <c r="F2638" t="s">
        <v>2405</v>
      </c>
      <c r="G2638">
        <v>6</v>
      </c>
      <c r="H2638" t="s">
        <v>2884</v>
      </c>
      <c r="J2638" s="18" t="s">
        <v>4457</v>
      </c>
      <c r="K2638" s="11">
        <v>46241.630532407406</v>
      </c>
      <c r="M2638">
        <v>1967</v>
      </c>
      <c r="N2638" t="s">
        <v>867</v>
      </c>
      <c r="O2638" s="17">
        <v>0</v>
      </c>
      <c r="P2638" s="5"/>
      <c r="Q2638" s="10">
        <f>INT(Tabela1[[#This Row],[DATA]])</f>
        <v>46241</v>
      </c>
      <c r="R2638" s="14" t="str">
        <f ca="1">IF(AND(Q2638&gt;=TODAY()-WEEKDAY(TODAY(),2)+1,Q2638&lt;TODAY()),"SIM","NÃO")</f>
        <v>NÃO</v>
      </c>
    </row>
    <row r="2639" spans="1:18" hidden="1">
      <c r="A2639" t="s">
        <v>123</v>
      </c>
      <c r="B2639" t="s">
        <v>124</v>
      </c>
      <c r="C2639">
        <v>300286147</v>
      </c>
      <c r="D2639">
        <v>16474570</v>
      </c>
      <c r="E2639" t="s">
        <v>37</v>
      </c>
      <c r="F2639" t="s">
        <v>2405</v>
      </c>
      <c r="G2639">
        <v>8</v>
      </c>
      <c r="H2639" t="s">
        <v>2401</v>
      </c>
      <c r="J2639" s="18" t="s">
        <v>2621</v>
      </c>
      <c r="K2639" s="11">
        <v>46241.644583333335</v>
      </c>
      <c r="M2639">
        <v>1968</v>
      </c>
      <c r="N2639" t="s">
        <v>867</v>
      </c>
      <c r="O2639" s="17" t="s">
        <v>2962</v>
      </c>
      <c r="P2639" s="5"/>
      <c r="Q2639" s="10">
        <f>INT(Tabela1[[#This Row],[DATA]])</f>
        <v>46241</v>
      </c>
      <c r="R2639" s="14" t="str">
        <f ca="1">IF(AND(Q2639&gt;=TODAY()-WEEKDAY(TODAY(),2)+1,Q2639&lt;TODAY()),"SIM","NÃO")</f>
        <v>NÃO</v>
      </c>
    </row>
    <row r="2640" spans="1:18" hidden="1">
      <c r="A2640" t="s">
        <v>305</v>
      </c>
      <c r="B2640" t="s">
        <v>306</v>
      </c>
      <c r="C2640">
        <v>300286533</v>
      </c>
      <c r="D2640">
        <v>16217780</v>
      </c>
      <c r="E2640" t="s">
        <v>37</v>
      </c>
      <c r="F2640" t="s">
        <v>3330</v>
      </c>
      <c r="G2640">
        <v>4</v>
      </c>
      <c r="H2640" t="s">
        <v>2884</v>
      </c>
      <c r="J2640" s="18" t="s">
        <v>2884</v>
      </c>
      <c r="K2640" s="11">
        <v>46241.649606481478</v>
      </c>
      <c r="M2640">
        <v>1969</v>
      </c>
      <c r="N2640" t="s">
        <v>867</v>
      </c>
      <c r="O2640" s="17">
        <v>0</v>
      </c>
      <c r="P2640" s="5"/>
      <c r="Q2640" s="10">
        <f>INT(Tabela1[[#This Row],[DATA]])</f>
        <v>46241</v>
      </c>
      <c r="R2640" s="14" t="str">
        <f ca="1">IF(AND(Q2640&gt;=TODAY()-WEEKDAY(TODAY(),2)+1,Q2640&lt;TODAY()),"SIM","NÃO")</f>
        <v>NÃO</v>
      </c>
    </row>
    <row r="2641" spans="1:18" hidden="1">
      <c r="A2641" t="s">
        <v>2681</v>
      </c>
      <c r="B2641" t="s">
        <v>1284</v>
      </c>
      <c r="C2641">
        <v>300285007</v>
      </c>
      <c r="D2641">
        <v>16482204</v>
      </c>
      <c r="E2641" t="s">
        <v>37</v>
      </c>
      <c r="F2641" t="s">
        <v>216</v>
      </c>
      <c r="G2641" t="s">
        <v>4458</v>
      </c>
      <c r="H2641" t="s">
        <v>2085</v>
      </c>
      <c r="J2641" s="18"/>
      <c r="K2641" s="11">
        <v>46241.650694444441</v>
      </c>
      <c r="M2641">
        <v>1970</v>
      </c>
      <c r="N2641" t="s">
        <v>867</v>
      </c>
      <c r="O2641" s="17">
        <v>206</v>
      </c>
      <c r="P2641" s="5"/>
      <c r="Q2641" s="10">
        <f>INT(Tabela1[[#This Row],[DATA]])</f>
        <v>46241</v>
      </c>
      <c r="R2641" s="14" t="str">
        <f ca="1">IF(AND(Q2641&gt;=TODAY()-WEEKDAY(TODAY(),2)+1,Q2641&lt;TODAY()),"SIM","NÃO")</f>
        <v>NÃO</v>
      </c>
    </row>
    <row r="2642" spans="1:18" hidden="1">
      <c r="A2642" t="s">
        <v>2754</v>
      </c>
      <c r="B2642" t="s">
        <v>822</v>
      </c>
      <c r="C2642">
        <v>300286125</v>
      </c>
      <c r="D2642">
        <v>16488393</v>
      </c>
      <c r="E2642" t="s">
        <v>37</v>
      </c>
      <c r="F2642" t="s">
        <v>2213</v>
      </c>
      <c r="G2642">
        <v>1288</v>
      </c>
      <c r="H2642" t="s">
        <v>4459</v>
      </c>
      <c r="J2642" s="18" t="s">
        <v>4460</v>
      </c>
      <c r="K2642" s="11">
        <v>46241.652997685182</v>
      </c>
      <c r="M2642">
        <v>1971</v>
      </c>
      <c r="N2642" t="s">
        <v>867</v>
      </c>
      <c r="O2642" s="17">
        <v>0</v>
      </c>
      <c r="P2642" s="5"/>
      <c r="Q2642" s="10">
        <f>INT(Tabela1[[#This Row],[DATA]])</f>
        <v>46241</v>
      </c>
      <c r="R2642" s="14" t="str">
        <f ca="1">IF(AND(Q2642&gt;=TODAY()-WEEKDAY(TODAY(),2)+1,Q2642&lt;TODAY()),"SIM","NÃO")</f>
        <v>NÃO</v>
      </c>
    </row>
    <row r="2643" spans="1:18" hidden="1">
      <c r="A2643" t="s">
        <v>2903</v>
      </c>
      <c r="B2643" t="s">
        <v>846</v>
      </c>
      <c r="C2643">
        <v>300281103</v>
      </c>
      <c r="D2643">
        <v>15775496</v>
      </c>
      <c r="E2643" t="s">
        <v>37</v>
      </c>
      <c r="F2643" t="s">
        <v>2405</v>
      </c>
      <c r="G2643">
        <v>60</v>
      </c>
      <c r="H2643" t="s">
        <v>4461</v>
      </c>
      <c r="J2643" s="18" t="s">
        <v>4462</v>
      </c>
      <c r="K2643" s="11">
        <v>46241.660069444442</v>
      </c>
      <c r="M2643">
        <v>1972</v>
      </c>
      <c r="N2643" t="s">
        <v>867</v>
      </c>
      <c r="O2643" s="17" t="s">
        <v>848</v>
      </c>
      <c r="P2643" s="5"/>
      <c r="Q2643" s="10">
        <f>INT(Tabela1[[#This Row],[DATA]])</f>
        <v>46241</v>
      </c>
      <c r="R2643" s="14" t="str">
        <f ca="1">IF(AND(Q2643&gt;=TODAY()-WEEKDAY(TODAY(),2)+1,Q2643&lt;TODAY()),"SIM","NÃO")</f>
        <v>NÃO</v>
      </c>
    </row>
    <row r="2644" spans="1:18" hidden="1">
      <c r="A2644" t="s">
        <v>2541</v>
      </c>
      <c r="B2644" t="s">
        <v>388</v>
      </c>
      <c r="C2644">
        <v>300287238</v>
      </c>
      <c r="D2644">
        <v>16448421</v>
      </c>
      <c r="E2644" t="s">
        <v>37</v>
      </c>
      <c r="F2644" t="s">
        <v>2213</v>
      </c>
      <c r="G2644">
        <v>45</v>
      </c>
      <c r="H2644" t="s">
        <v>2313</v>
      </c>
      <c r="J2644" s="18"/>
      <c r="K2644" s="11">
        <v>46241.688935185186</v>
      </c>
      <c r="M2644">
        <v>1973</v>
      </c>
      <c r="N2644" t="s">
        <v>867</v>
      </c>
      <c r="O2644" s="17" t="s">
        <v>4463</v>
      </c>
      <c r="P2644" s="5"/>
      <c r="Q2644" s="10">
        <f>INT(Tabela1[[#This Row],[DATA]])</f>
        <v>46241</v>
      </c>
      <c r="R2644" s="14" t="str">
        <f ca="1">IF(AND(Q2644&gt;=TODAY()-WEEKDAY(TODAY(),2)+1,Q2644&lt;TODAY()),"SIM","NÃO")</f>
        <v>NÃO</v>
      </c>
    </row>
    <row r="2645" spans="1:18" hidden="1">
      <c r="A2645" t="s">
        <v>101</v>
      </c>
      <c r="B2645" t="s">
        <v>990</v>
      </c>
      <c r="C2645">
        <v>300285310</v>
      </c>
      <c r="D2645">
        <v>15762831</v>
      </c>
      <c r="E2645" t="s">
        <v>37</v>
      </c>
      <c r="F2645" t="s">
        <v>3366</v>
      </c>
      <c r="G2645">
        <v>30</v>
      </c>
      <c r="H2645" t="s">
        <v>4464</v>
      </c>
      <c r="J2645" s="18" t="s">
        <v>4465</v>
      </c>
      <c r="K2645" s="11">
        <v>46241.718148148146</v>
      </c>
      <c r="M2645">
        <v>1974</v>
      </c>
      <c r="N2645" t="s">
        <v>867</v>
      </c>
      <c r="O2645" s="17">
        <v>0</v>
      </c>
      <c r="P2645" s="5"/>
      <c r="Q2645" s="10">
        <f>INT(Tabela1[[#This Row],[DATA]])</f>
        <v>46241</v>
      </c>
      <c r="R2645" s="14" t="str">
        <f ca="1">IF(AND(Q2645&gt;=TODAY()-WEEKDAY(TODAY(),2)+1,Q2645&lt;TODAY()),"SIM","NÃO")</f>
        <v>NÃO</v>
      </c>
    </row>
    <row r="2646" spans="1:18" hidden="1">
      <c r="A2646" t="s">
        <v>79</v>
      </c>
      <c r="B2646" t="s">
        <v>80</v>
      </c>
      <c r="C2646">
        <v>300282806</v>
      </c>
      <c r="D2646">
        <v>16474244</v>
      </c>
      <c r="E2646" t="s">
        <v>29</v>
      </c>
      <c r="F2646" t="s">
        <v>3461</v>
      </c>
      <c r="G2646" t="s">
        <v>4466</v>
      </c>
      <c r="H2646" t="s">
        <v>4467</v>
      </c>
      <c r="J2646" s="18" t="s">
        <v>4468</v>
      </c>
      <c r="K2646" s="11">
        <v>46244.2966087963</v>
      </c>
      <c r="M2646">
        <v>1975</v>
      </c>
      <c r="N2646" t="s">
        <v>867</v>
      </c>
      <c r="O2646" s="17">
        <v>0</v>
      </c>
      <c r="P2646" s="5"/>
      <c r="Q2646" s="10">
        <f>INT(Tabela1[[#This Row],[DATA]])</f>
        <v>46244</v>
      </c>
      <c r="R2646" s="14" t="str">
        <f ca="1">IF(AND(Q2646&gt;=TODAY()-WEEKDAY(TODAY(),2)+1,Q2646&lt;TODAY()),"SIM","NÃO")</f>
        <v>SIM</v>
      </c>
    </row>
    <row r="2647" spans="1:18" hidden="1">
      <c r="A2647" t="s">
        <v>79</v>
      </c>
      <c r="B2647" t="s">
        <v>80</v>
      </c>
      <c r="C2647">
        <v>300283251</v>
      </c>
      <c r="D2647">
        <v>15991431</v>
      </c>
      <c r="E2647" t="s">
        <v>29</v>
      </c>
      <c r="F2647" t="s">
        <v>259</v>
      </c>
      <c r="G2647" t="s">
        <v>4469</v>
      </c>
      <c r="H2647" t="s">
        <v>1418</v>
      </c>
      <c r="J2647" s="18" t="s">
        <v>4470</v>
      </c>
      <c r="K2647" s="11">
        <v>46244.314421296294</v>
      </c>
      <c r="M2647">
        <v>1977</v>
      </c>
      <c r="N2647" t="s">
        <v>878</v>
      </c>
      <c r="O2647" s="17" t="s">
        <v>4471</v>
      </c>
      <c r="P2647" s="5"/>
      <c r="Q2647" s="10">
        <f>INT(Tabela1[[#This Row],[DATA]])</f>
        <v>46244</v>
      </c>
      <c r="R2647" s="14" t="str">
        <f ca="1">IF(AND(Q2647&gt;=TODAY()-WEEKDAY(TODAY(),2)+1,Q2647&lt;TODAY()),"SIM","NÃO")</f>
        <v>SIM</v>
      </c>
    </row>
    <row r="2648" spans="1:18" hidden="1">
      <c r="A2648" t="s">
        <v>79</v>
      </c>
      <c r="B2648" t="s">
        <v>80</v>
      </c>
      <c r="C2648">
        <v>300283251</v>
      </c>
      <c r="D2648">
        <v>15991431</v>
      </c>
      <c r="E2648" t="s">
        <v>29</v>
      </c>
      <c r="F2648" t="s">
        <v>3241</v>
      </c>
      <c r="G2648" t="s">
        <v>4472</v>
      </c>
      <c r="H2648" t="s">
        <v>1418</v>
      </c>
      <c r="J2648" s="18" t="s">
        <v>4473</v>
      </c>
      <c r="K2648" s="11">
        <v>46244.316076388888</v>
      </c>
      <c r="M2648">
        <v>1978</v>
      </c>
      <c r="N2648" t="s">
        <v>867</v>
      </c>
      <c r="O2648" s="17" t="s">
        <v>4474</v>
      </c>
      <c r="P2648" s="5"/>
      <c r="Q2648" s="10">
        <f>INT(Tabela1[[#This Row],[DATA]])</f>
        <v>46244</v>
      </c>
      <c r="R2648" s="14" t="str">
        <f ca="1">IF(AND(Q2648&gt;=TODAY()-WEEKDAY(TODAY(),2)+1,Q2648&lt;TODAY()),"SIM","NÃO")</f>
        <v>SIM</v>
      </c>
    </row>
    <row r="2649" spans="1:18" hidden="1">
      <c r="A2649" t="s">
        <v>253</v>
      </c>
      <c r="B2649" t="s">
        <v>254</v>
      </c>
      <c r="C2649">
        <v>300288370</v>
      </c>
      <c r="D2649">
        <v>16538196</v>
      </c>
      <c r="E2649" t="s">
        <v>37</v>
      </c>
      <c r="F2649" t="s">
        <v>259</v>
      </c>
      <c r="G2649">
        <v>4</v>
      </c>
      <c r="H2649" t="s">
        <v>582</v>
      </c>
      <c r="J2649" s="18" t="s">
        <v>582</v>
      </c>
      <c r="K2649" s="11">
        <v>46244.326307870368</v>
      </c>
      <c r="M2649">
        <v>1979</v>
      </c>
      <c r="N2649" t="s">
        <v>867</v>
      </c>
      <c r="O2649" s="17">
        <v>10000071648</v>
      </c>
      <c r="P2649" s="5"/>
      <c r="Q2649" s="10">
        <f>INT(Tabela1[[#This Row],[DATA]])</f>
        <v>46244</v>
      </c>
      <c r="R2649" s="14" t="str">
        <f ca="1">IF(AND(Q2649&gt;=TODAY()-WEEKDAY(TODAY(),2)+1,Q2649&lt;TODAY()),"SIM","NÃO")</f>
        <v>SIM</v>
      </c>
    </row>
    <row r="2650" spans="1:18" hidden="1">
      <c r="A2650" t="s">
        <v>253</v>
      </c>
      <c r="B2650" t="s">
        <v>254</v>
      </c>
      <c r="C2650">
        <v>300288370</v>
      </c>
      <c r="D2650">
        <v>16538196</v>
      </c>
      <c r="E2650" t="s">
        <v>37</v>
      </c>
      <c r="F2650" t="s">
        <v>3241</v>
      </c>
      <c r="G2650">
        <v>4</v>
      </c>
      <c r="H2650" t="s">
        <v>582</v>
      </c>
      <c r="J2650" s="18" t="s">
        <v>582</v>
      </c>
      <c r="K2650" s="11">
        <v>46244.326990740738</v>
      </c>
      <c r="M2650">
        <v>1980</v>
      </c>
      <c r="N2650" t="s">
        <v>867</v>
      </c>
      <c r="O2650" s="17">
        <v>10000072798</v>
      </c>
      <c r="P2650" s="5"/>
      <c r="Q2650" s="10">
        <f>INT(Tabela1[[#This Row],[DATA]])</f>
        <v>46244</v>
      </c>
      <c r="R2650" s="14" t="str">
        <f ca="1">IF(AND(Q2650&gt;=TODAY()-WEEKDAY(TODAY(),2)+1,Q2650&lt;TODAY()),"SIM","NÃO")</f>
        <v>SIM</v>
      </c>
    </row>
    <row r="2651" spans="1:18" hidden="1">
      <c r="A2651" t="s">
        <v>2713</v>
      </c>
      <c r="B2651" t="s">
        <v>55</v>
      </c>
      <c r="C2651">
        <v>300274662</v>
      </c>
      <c r="D2651">
        <v>15774104</v>
      </c>
      <c r="E2651" t="s">
        <v>37</v>
      </c>
      <c r="F2651" t="s">
        <v>177</v>
      </c>
      <c r="G2651">
        <v>60</v>
      </c>
      <c r="H2651" t="s">
        <v>2515</v>
      </c>
      <c r="J2651" s="18" t="s">
        <v>4475</v>
      </c>
      <c r="K2651" s="11">
        <v>46244.330127314817</v>
      </c>
      <c r="M2651">
        <v>1981</v>
      </c>
      <c r="N2651" t="s">
        <v>867</v>
      </c>
      <c r="O2651" s="17" t="s">
        <v>4476</v>
      </c>
      <c r="P2651" s="5"/>
      <c r="Q2651" s="10">
        <f>INT(Tabela1[[#This Row],[DATA]])</f>
        <v>46244</v>
      </c>
      <c r="R2651" s="14" t="str">
        <f ca="1">IF(AND(Q2651&gt;=TODAY()-WEEKDAY(TODAY(),2)+1,Q2651&lt;TODAY()),"SIM","NÃO")</f>
        <v>SIM</v>
      </c>
    </row>
    <row r="2652" spans="1:18" hidden="1">
      <c r="A2652" t="s">
        <v>2543</v>
      </c>
      <c r="B2652" t="s">
        <v>28</v>
      </c>
      <c r="C2652">
        <v>300287630</v>
      </c>
      <c r="D2652">
        <v>16218957</v>
      </c>
      <c r="E2652" t="s">
        <v>37</v>
      </c>
      <c r="F2652" t="s">
        <v>221</v>
      </c>
      <c r="G2652">
        <v>2875</v>
      </c>
      <c r="H2652" t="s">
        <v>2101</v>
      </c>
      <c r="J2652" s="18"/>
      <c r="K2652" s="11">
        <v>46244.330972222226</v>
      </c>
      <c r="M2652">
        <v>1982</v>
      </c>
      <c r="N2652" t="s">
        <v>867</v>
      </c>
      <c r="O2652" s="17">
        <v>10000195771</v>
      </c>
      <c r="P2652" s="5"/>
      <c r="Q2652" s="10">
        <f>INT(Tabela1[[#This Row],[DATA]])</f>
        <v>46244</v>
      </c>
      <c r="R2652" s="14" t="str">
        <f ca="1">IF(AND(Q2652&gt;=TODAY()-WEEKDAY(TODAY(),2)+1,Q2652&lt;TODAY()),"SIM","NÃO")</f>
        <v>SIM</v>
      </c>
    </row>
    <row r="2653" spans="1:18" hidden="1">
      <c r="A2653" t="s">
        <v>428</v>
      </c>
      <c r="B2653" t="s">
        <v>429</v>
      </c>
      <c r="C2653">
        <v>300289276</v>
      </c>
      <c r="D2653">
        <v>15215539</v>
      </c>
      <c r="E2653" t="s">
        <v>29</v>
      </c>
      <c r="F2653" t="s">
        <v>291</v>
      </c>
      <c r="G2653">
        <v>555</v>
      </c>
      <c r="H2653" t="s">
        <v>4477</v>
      </c>
      <c r="J2653" s="18"/>
      <c r="K2653" s="11">
        <v>46244.338518518518</v>
      </c>
      <c r="M2653">
        <v>1983</v>
      </c>
      <c r="N2653" t="s">
        <v>867</v>
      </c>
      <c r="O2653" s="17">
        <v>0</v>
      </c>
      <c r="P2653" s="5"/>
      <c r="Q2653" s="10">
        <f>INT(Tabela1[[#This Row],[DATA]])</f>
        <v>46244</v>
      </c>
      <c r="R2653" s="14" t="str">
        <f ca="1">IF(AND(Q2653&gt;=TODAY()-WEEKDAY(TODAY(),2)+1,Q2653&lt;TODAY()),"SIM","NÃO")</f>
        <v>SIM</v>
      </c>
    </row>
    <row r="2654" spans="1:18" hidden="1">
      <c r="A2654" t="s">
        <v>2547</v>
      </c>
      <c r="B2654" t="s">
        <v>1582</v>
      </c>
      <c r="C2654">
        <v>300288804</v>
      </c>
      <c r="D2654">
        <v>16535642</v>
      </c>
      <c r="E2654" t="s">
        <v>20</v>
      </c>
      <c r="F2654" t="s">
        <v>3212</v>
      </c>
      <c r="G2654">
        <v>930</v>
      </c>
      <c r="H2654" t="s">
        <v>4478</v>
      </c>
      <c r="J2654" s="18" t="s">
        <v>4479</v>
      </c>
      <c r="K2654" s="11">
        <v>46244.339675925927</v>
      </c>
      <c r="M2654">
        <v>1984</v>
      </c>
      <c r="N2654" t="s">
        <v>878</v>
      </c>
      <c r="O2654" s="17">
        <v>0</v>
      </c>
      <c r="P2654" s="5"/>
      <c r="Q2654" s="10">
        <f>INT(Tabela1[[#This Row],[DATA]])</f>
        <v>46244</v>
      </c>
      <c r="R2654" s="14" t="str">
        <f ca="1">IF(AND(Q2654&gt;=TODAY()-WEEKDAY(TODAY(),2)+1,Q2654&lt;TODAY()),"SIM","NÃO")</f>
        <v>SIM</v>
      </c>
    </row>
    <row r="2655" spans="1:18" hidden="1">
      <c r="A2655" t="s">
        <v>79</v>
      </c>
      <c r="B2655" t="s">
        <v>80</v>
      </c>
      <c r="C2655">
        <v>300283251</v>
      </c>
      <c r="D2655">
        <v>15991431</v>
      </c>
      <c r="E2655" t="s">
        <v>29</v>
      </c>
      <c r="F2655" t="s">
        <v>3241</v>
      </c>
      <c r="G2655" t="s">
        <v>4480</v>
      </c>
      <c r="H2655" t="s">
        <v>1418</v>
      </c>
      <c r="J2655" s="18" t="s">
        <v>4481</v>
      </c>
      <c r="K2655" s="11">
        <v>46244.354733796295</v>
      </c>
      <c r="M2655">
        <v>1976</v>
      </c>
      <c r="N2655" t="s">
        <v>878</v>
      </c>
      <c r="O2655" s="17" t="s">
        <v>4482</v>
      </c>
      <c r="P2655" s="5"/>
      <c r="Q2655" s="10">
        <f>INT(Tabela1[[#This Row],[DATA]])</f>
        <v>46244</v>
      </c>
      <c r="R2655" s="14" t="str">
        <f ca="1">IF(AND(Q2655&gt;=TODAY()-WEEKDAY(TODAY(),2)+1,Q2655&lt;TODAY()),"SIM","NÃO")</f>
        <v>SIM</v>
      </c>
    </row>
    <row r="2656" spans="1:18" hidden="1">
      <c r="A2656" t="s">
        <v>2610</v>
      </c>
      <c r="B2656" t="s">
        <v>74</v>
      </c>
      <c r="C2656">
        <v>300287952</v>
      </c>
      <c r="D2656">
        <v>16518837</v>
      </c>
      <c r="E2656" t="s">
        <v>20</v>
      </c>
      <c r="F2656" t="s">
        <v>3224</v>
      </c>
      <c r="G2656">
        <v>100</v>
      </c>
      <c r="H2656" t="s">
        <v>4483</v>
      </c>
      <c r="J2656" s="18"/>
      <c r="K2656" s="11">
        <v>46244.363425925927</v>
      </c>
      <c r="M2656">
        <v>1985</v>
      </c>
      <c r="N2656" t="s">
        <v>867</v>
      </c>
      <c r="O2656" s="17">
        <v>0</v>
      </c>
      <c r="P2656" s="5"/>
      <c r="Q2656" s="10">
        <f>INT(Tabela1[[#This Row],[DATA]])</f>
        <v>46244</v>
      </c>
      <c r="R2656" s="14" t="str">
        <f ca="1">IF(AND(Q2656&gt;=TODAY()-WEEKDAY(TODAY(),2)+1,Q2656&lt;TODAY()),"SIM","NÃO")</f>
        <v>SIM</v>
      </c>
    </row>
    <row r="2657" spans="1:18" hidden="1">
      <c r="A2657" t="s">
        <v>253</v>
      </c>
      <c r="B2657" t="s">
        <v>254</v>
      </c>
      <c r="C2657">
        <v>300271871</v>
      </c>
      <c r="D2657">
        <v>16222954</v>
      </c>
      <c r="E2657" t="s">
        <v>45</v>
      </c>
      <c r="F2657" t="s">
        <v>96</v>
      </c>
      <c r="G2657">
        <v>100</v>
      </c>
      <c r="H2657" t="s">
        <v>4484</v>
      </c>
      <c r="J2657" s="18" t="s">
        <v>4484</v>
      </c>
      <c r="K2657" s="11">
        <v>46244.370300925926</v>
      </c>
      <c r="M2657">
        <v>1986</v>
      </c>
      <c r="N2657" t="s">
        <v>867</v>
      </c>
      <c r="O2657" s="17">
        <v>0</v>
      </c>
      <c r="P2657" s="5"/>
      <c r="Q2657" s="10">
        <f>INT(Tabela1[[#This Row],[DATA]])</f>
        <v>46244</v>
      </c>
      <c r="R2657" s="14" t="str">
        <f ca="1">IF(AND(Q2657&gt;=TODAY()-WEEKDAY(TODAY(),2)+1,Q2657&lt;TODAY()),"SIM","NÃO")</f>
        <v>SIM</v>
      </c>
    </row>
    <row r="2658" spans="1:18" hidden="1">
      <c r="A2658" t="s">
        <v>2671</v>
      </c>
      <c r="B2658" t="s">
        <v>89</v>
      </c>
      <c r="C2658">
        <v>300286546</v>
      </c>
      <c r="D2658">
        <v>16299213</v>
      </c>
      <c r="E2658" t="s">
        <v>37</v>
      </c>
      <c r="F2658" t="s">
        <v>3215</v>
      </c>
      <c r="G2658">
        <v>10</v>
      </c>
      <c r="H2658" t="s">
        <v>2751</v>
      </c>
      <c r="J2658" s="18" t="s">
        <v>4485</v>
      </c>
      <c r="K2658" s="11">
        <v>46244.380694444444</v>
      </c>
      <c r="M2658">
        <v>1987</v>
      </c>
      <c r="N2658" t="s">
        <v>867</v>
      </c>
      <c r="O2658" s="17">
        <v>0</v>
      </c>
      <c r="P2658" s="5"/>
      <c r="Q2658" s="10">
        <f>INT(Tabela1[[#This Row],[DATA]])</f>
        <v>46244</v>
      </c>
      <c r="R2658" s="14" t="str">
        <f ca="1">IF(AND(Q2658&gt;=TODAY()-WEEKDAY(TODAY(),2)+1,Q2658&lt;TODAY()),"SIM","NÃO")</f>
        <v>SIM</v>
      </c>
    </row>
    <row r="2659" spans="1:18" hidden="1">
      <c r="A2659" t="s">
        <v>2681</v>
      </c>
      <c r="B2659" t="s">
        <v>1284</v>
      </c>
      <c r="C2659">
        <v>300285007</v>
      </c>
      <c r="D2659">
        <v>16482204</v>
      </c>
      <c r="E2659" t="s">
        <v>37</v>
      </c>
      <c r="F2659" t="s">
        <v>177</v>
      </c>
      <c r="G2659" t="s">
        <v>4486</v>
      </c>
      <c r="H2659" t="s">
        <v>4487</v>
      </c>
      <c r="J2659" s="18"/>
      <c r="K2659" s="11">
        <v>46244.392326388886</v>
      </c>
      <c r="M2659">
        <v>1988</v>
      </c>
      <c r="N2659" t="s">
        <v>867</v>
      </c>
      <c r="O2659" s="17">
        <v>10000064458</v>
      </c>
      <c r="P2659" s="5"/>
      <c r="Q2659" s="10">
        <f>INT(Tabela1[[#This Row],[DATA]])</f>
        <v>46244</v>
      </c>
      <c r="R2659" s="14" t="str">
        <f ca="1">IF(AND(Q2659&gt;=TODAY()-WEEKDAY(TODAY(),2)+1,Q2659&lt;TODAY()),"SIM","NÃO")</f>
        <v>SIM</v>
      </c>
    </row>
    <row r="2660" spans="1:18" hidden="1">
      <c r="A2660" t="s">
        <v>1236</v>
      </c>
      <c r="B2660" t="s">
        <v>1237</v>
      </c>
      <c r="C2660">
        <v>300283508</v>
      </c>
      <c r="D2660">
        <v>16273311</v>
      </c>
      <c r="E2660" t="s">
        <v>37</v>
      </c>
      <c r="F2660" t="s">
        <v>177</v>
      </c>
      <c r="G2660">
        <v>150</v>
      </c>
      <c r="H2660" t="s">
        <v>4192</v>
      </c>
      <c r="J2660" s="18" t="s">
        <v>4488</v>
      </c>
      <c r="K2660" s="11">
        <v>46244.409513888888</v>
      </c>
      <c r="M2660">
        <v>1989</v>
      </c>
      <c r="N2660" t="s">
        <v>867</v>
      </c>
      <c r="O2660" s="17">
        <v>241454</v>
      </c>
      <c r="P2660" s="5"/>
      <c r="Q2660" s="10">
        <f>INT(Tabela1[[#This Row],[DATA]])</f>
        <v>46244</v>
      </c>
      <c r="R2660" s="14" t="str">
        <f ca="1">IF(AND(Q2660&gt;=TODAY()-WEEKDAY(TODAY(),2)+1,Q2660&lt;TODAY()),"SIM","NÃO")</f>
        <v>SIM</v>
      </c>
    </row>
    <row r="2661" spans="1:18" hidden="1">
      <c r="A2661" t="s">
        <v>3513</v>
      </c>
      <c r="B2661" t="s">
        <v>3688</v>
      </c>
      <c r="C2661">
        <v>300281110</v>
      </c>
      <c r="D2661">
        <v>16519710</v>
      </c>
      <c r="E2661" t="s">
        <v>37</v>
      </c>
      <c r="F2661" t="s">
        <v>3241</v>
      </c>
      <c r="G2661" t="s">
        <v>2792</v>
      </c>
      <c r="H2661" t="s">
        <v>2804</v>
      </c>
      <c r="J2661" s="18" t="s">
        <v>4489</v>
      </c>
      <c r="K2661" s="11">
        <v>46244.416585648149</v>
      </c>
      <c r="M2661">
        <v>1990</v>
      </c>
      <c r="N2661" t="s">
        <v>867</v>
      </c>
      <c r="O2661" s="17">
        <v>0</v>
      </c>
      <c r="P2661" s="5"/>
      <c r="Q2661" s="10">
        <f>INT(Tabela1[[#This Row],[DATA]])</f>
        <v>46244</v>
      </c>
      <c r="R2661" s="14" t="str">
        <f ca="1">IF(AND(Q2661&gt;=TODAY()-WEEKDAY(TODAY(),2)+1,Q2661&lt;TODAY()),"SIM","NÃO")</f>
        <v>SIM</v>
      </c>
    </row>
    <row r="2662" spans="1:18" hidden="1">
      <c r="A2662" t="s">
        <v>3513</v>
      </c>
      <c r="B2662" t="s">
        <v>3688</v>
      </c>
      <c r="C2662">
        <v>300281110</v>
      </c>
      <c r="D2662">
        <v>16519710</v>
      </c>
      <c r="E2662" t="s">
        <v>37</v>
      </c>
      <c r="F2662" t="s">
        <v>3241</v>
      </c>
      <c r="G2662" t="s">
        <v>4490</v>
      </c>
      <c r="H2662" t="s">
        <v>3014</v>
      </c>
      <c r="J2662" s="18" t="s">
        <v>4491</v>
      </c>
      <c r="K2662" s="11">
        <v>46244.448449074072</v>
      </c>
      <c r="M2662">
        <v>1991</v>
      </c>
      <c r="N2662" t="s">
        <v>867</v>
      </c>
      <c r="O2662" s="17">
        <v>0</v>
      </c>
      <c r="P2662" s="5"/>
      <c r="Q2662" s="10">
        <f>INT(Tabela1[[#This Row],[DATA]])</f>
        <v>46244</v>
      </c>
      <c r="R2662" s="14" t="str">
        <f ca="1">IF(AND(Q2662&gt;=TODAY()-WEEKDAY(TODAY(),2)+1,Q2662&lt;TODAY()),"SIM","NÃO")</f>
        <v>SIM</v>
      </c>
    </row>
    <row r="2663" spans="1:18" hidden="1">
      <c r="A2663" t="s">
        <v>2649</v>
      </c>
      <c r="B2663" t="s">
        <v>137</v>
      </c>
      <c r="C2663">
        <v>300279708</v>
      </c>
      <c r="D2663">
        <v>16447590</v>
      </c>
      <c r="E2663" t="s">
        <v>37</v>
      </c>
      <c r="F2663" t="s">
        <v>203</v>
      </c>
      <c r="G2663">
        <v>1122</v>
      </c>
      <c r="H2663" t="s">
        <v>2137</v>
      </c>
      <c r="J2663" s="18"/>
      <c r="K2663" s="11">
        <v>46244.479537037034</v>
      </c>
      <c r="M2663">
        <v>1992</v>
      </c>
      <c r="N2663" t="s">
        <v>878</v>
      </c>
      <c r="O2663" s="17" t="s">
        <v>138</v>
      </c>
      <c r="P2663" s="5"/>
      <c r="Q2663" s="10">
        <f>INT(Tabela1[[#This Row],[DATA]])</f>
        <v>46244</v>
      </c>
      <c r="R2663" s="14" t="str">
        <f ca="1">IF(AND(Q2663&gt;=TODAY()-WEEKDAY(TODAY(),2)+1,Q2663&lt;TODAY()),"SIM","NÃO")</f>
        <v>SIM</v>
      </c>
    </row>
    <row r="2664" spans="1:18" hidden="1">
      <c r="A2664" t="s">
        <v>2610</v>
      </c>
      <c r="B2664" t="s">
        <v>74</v>
      </c>
      <c r="C2664">
        <v>300288345</v>
      </c>
      <c r="D2664">
        <v>16356780</v>
      </c>
      <c r="E2664" t="s">
        <v>45</v>
      </c>
      <c r="F2664" t="s">
        <v>3241</v>
      </c>
      <c r="G2664">
        <v>10</v>
      </c>
      <c r="H2664" t="s">
        <v>4492</v>
      </c>
      <c r="J2664" s="18"/>
      <c r="K2664" s="11">
        <v>46244.547430555554</v>
      </c>
      <c r="M2664">
        <v>1993</v>
      </c>
      <c r="N2664" t="s">
        <v>867</v>
      </c>
      <c r="O2664" s="17">
        <v>0</v>
      </c>
      <c r="P2664" s="5"/>
      <c r="Q2664" s="10">
        <f>INT(Tabela1[[#This Row],[DATA]])</f>
        <v>46244</v>
      </c>
      <c r="R2664" s="14" t="str">
        <f ca="1">IF(AND(Q2664&gt;=TODAY()-WEEKDAY(TODAY(),2)+1,Q2664&lt;TODAY()),"SIM","NÃO")</f>
        <v>SIM</v>
      </c>
    </row>
    <row r="2665" spans="1:18" hidden="1">
      <c r="A2665" t="s">
        <v>2903</v>
      </c>
      <c r="B2665" t="s">
        <v>846</v>
      </c>
      <c r="C2665">
        <v>300281103</v>
      </c>
      <c r="D2665">
        <v>15775496</v>
      </c>
      <c r="E2665" t="s">
        <v>37</v>
      </c>
      <c r="F2665" t="s">
        <v>2405</v>
      </c>
      <c r="G2665">
        <v>40</v>
      </c>
      <c r="H2665" t="s">
        <v>4493</v>
      </c>
      <c r="J2665" s="18" t="s">
        <v>4493</v>
      </c>
      <c r="K2665" s="11">
        <v>46244.554166666669</v>
      </c>
      <c r="M2665">
        <v>1994</v>
      </c>
      <c r="N2665" t="s">
        <v>867</v>
      </c>
      <c r="O2665" s="17" t="s">
        <v>848</v>
      </c>
      <c r="P2665" s="5"/>
      <c r="Q2665" s="10">
        <f>INT(Tabela1[[#This Row],[DATA]])</f>
        <v>46244</v>
      </c>
      <c r="R2665" s="14" t="str">
        <f ca="1">IF(AND(Q2665&gt;=TODAY()-WEEKDAY(TODAY(),2)+1,Q2665&lt;TODAY()),"SIM","NÃO")</f>
        <v>SIM</v>
      </c>
    </row>
    <row r="2666" spans="1:18" hidden="1">
      <c r="A2666" t="s">
        <v>214</v>
      </c>
      <c r="B2666" t="s">
        <v>215</v>
      </c>
      <c r="C2666">
        <v>300281526</v>
      </c>
      <c r="D2666">
        <v>16520050</v>
      </c>
      <c r="E2666" t="s">
        <v>37</v>
      </c>
      <c r="F2666" t="s">
        <v>216</v>
      </c>
      <c r="G2666">
        <v>10</v>
      </c>
      <c r="H2666" t="s">
        <v>2219</v>
      </c>
      <c r="J2666" s="18" t="s">
        <v>4494</v>
      </c>
      <c r="K2666" s="11">
        <v>46244.556354166663</v>
      </c>
      <c r="M2666">
        <v>1995</v>
      </c>
      <c r="N2666" t="s">
        <v>867</v>
      </c>
      <c r="O2666" s="17">
        <v>0</v>
      </c>
      <c r="P2666" s="5"/>
      <c r="Q2666" s="10">
        <f>INT(Tabela1[[#This Row],[DATA]])</f>
        <v>46244</v>
      </c>
      <c r="R2666" s="14" t="str">
        <f ca="1">IF(AND(Q2666&gt;=TODAY()-WEEKDAY(TODAY(),2)+1,Q2666&lt;TODAY()),"SIM","NÃO")</f>
        <v>SIM</v>
      </c>
    </row>
    <row r="2667" spans="1:18" hidden="1">
      <c r="A2667" t="s">
        <v>1096</v>
      </c>
      <c r="B2667" t="s">
        <v>1097</v>
      </c>
      <c r="C2667">
        <v>300281104</v>
      </c>
      <c r="D2667">
        <v>16519710</v>
      </c>
      <c r="E2667" t="s">
        <v>37</v>
      </c>
      <c r="F2667" t="s">
        <v>3241</v>
      </c>
      <c r="G2667" t="s">
        <v>4495</v>
      </c>
      <c r="H2667" t="s">
        <v>4496</v>
      </c>
      <c r="J2667" s="18" t="s">
        <v>4497</v>
      </c>
      <c r="K2667" s="11">
        <v>46244.594930555555</v>
      </c>
      <c r="M2667">
        <v>1996</v>
      </c>
      <c r="N2667" t="s">
        <v>867</v>
      </c>
      <c r="O2667" s="17">
        <v>10000073264</v>
      </c>
      <c r="P2667" s="5"/>
      <c r="Q2667" s="10">
        <f>INT(Tabela1[[#This Row],[DATA]])</f>
        <v>46244</v>
      </c>
      <c r="R2667" s="14" t="str">
        <f ca="1">IF(AND(Q2667&gt;=TODAY()-WEEKDAY(TODAY(),2)+1,Q2667&lt;TODAY()),"SIM","NÃO")</f>
        <v>SIM</v>
      </c>
    </row>
    <row r="2668" spans="1:18" hidden="1">
      <c r="A2668" t="s">
        <v>1439</v>
      </c>
      <c r="B2668" t="s">
        <v>1440</v>
      </c>
      <c r="C2668">
        <v>300281916</v>
      </c>
      <c r="D2668">
        <v>16565746</v>
      </c>
      <c r="E2668" t="s">
        <v>45</v>
      </c>
      <c r="F2668" t="s">
        <v>3502</v>
      </c>
      <c r="G2668" t="s">
        <v>4498</v>
      </c>
      <c r="H2668" t="s">
        <v>2632</v>
      </c>
      <c r="J2668" s="18"/>
      <c r="K2668" s="11">
        <v>46244.621469907404</v>
      </c>
      <c r="M2668">
        <v>1997</v>
      </c>
      <c r="N2668" t="s">
        <v>867</v>
      </c>
      <c r="O2668" s="17">
        <v>0</v>
      </c>
      <c r="P2668" s="5"/>
      <c r="Q2668" s="10">
        <f>INT(Tabela1[[#This Row],[DATA]])</f>
        <v>46244</v>
      </c>
      <c r="R2668" s="14" t="str">
        <f ca="1">IF(AND(Q2668&gt;=TODAY()-WEEKDAY(TODAY(),2)+1,Q2668&lt;TODAY()),"SIM","NÃO")</f>
        <v>SIM</v>
      </c>
    </row>
    <row r="2669" spans="1:18" hidden="1">
      <c r="A2669" t="s">
        <v>1439</v>
      </c>
      <c r="B2669" t="s">
        <v>1440</v>
      </c>
      <c r="C2669">
        <v>300281916</v>
      </c>
      <c r="D2669">
        <v>16565746</v>
      </c>
      <c r="E2669" t="s">
        <v>45</v>
      </c>
      <c r="F2669" t="s">
        <v>2405</v>
      </c>
      <c r="G2669">
        <v>17</v>
      </c>
      <c r="H2669" t="s">
        <v>2632</v>
      </c>
      <c r="J2669" s="18"/>
      <c r="K2669" s="11">
        <v>46244.622569444444</v>
      </c>
      <c r="M2669">
        <v>1998</v>
      </c>
      <c r="N2669" t="s">
        <v>867</v>
      </c>
      <c r="O2669" s="17">
        <v>0</v>
      </c>
      <c r="P2669" s="5"/>
      <c r="Q2669" s="10">
        <f>INT(Tabela1[[#This Row],[DATA]])</f>
        <v>46244</v>
      </c>
      <c r="R2669" s="14" t="str">
        <f ca="1">IF(AND(Q2669&gt;=TODAY()-WEEKDAY(TODAY(),2)+1,Q2669&lt;TODAY()),"SIM","NÃO")</f>
        <v>SIM</v>
      </c>
    </row>
    <row r="2670" spans="1:18" hidden="1">
      <c r="A2670" t="s">
        <v>3022</v>
      </c>
      <c r="B2670" t="s">
        <v>3023</v>
      </c>
      <c r="C2670">
        <v>300283672</v>
      </c>
      <c r="D2670">
        <v>16448162</v>
      </c>
      <c r="E2670" t="s">
        <v>45</v>
      </c>
      <c r="F2670" t="s">
        <v>259</v>
      </c>
      <c r="G2670">
        <v>8</v>
      </c>
      <c r="H2670" t="s">
        <v>4499</v>
      </c>
      <c r="J2670" s="18"/>
      <c r="K2670" s="11">
        <v>46244.630682870367</v>
      </c>
      <c r="M2670">
        <v>1999</v>
      </c>
      <c r="N2670" t="s">
        <v>867</v>
      </c>
      <c r="O2670" s="17">
        <v>977</v>
      </c>
      <c r="P2670" s="5"/>
      <c r="Q2670" s="10">
        <f>INT(Tabela1[[#This Row],[DATA]])</f>
        <v>46244</v>
      </c>
      <c r="R2670" s="14" t="str">
        <f ca="1">IF(AND(Q2670&gt;=TODAY()-WEEKDAY(TODAY(),2)+1,Q2670&lt;TODAY()),"SIM","NÃO")</f>
        <v>SIM</v>
      </c>
    </row>
    <row r="2671" spans="1:18" hidden="1">
      <c r="A2671" t="s">
        <v>3517</v>
      </c>
      <c r="B2671" t="s">
        <v>3518</v>
      </c>
      <c r="C2671">
        <v>300288298</v>
      </c>
      <c r="D2671">
        <v>16440919</v>
      </c>
      <c r="E2671" t="s">
        <v>45</v>
      </c>
      <c r="F2671" t="s">
        <v>3212</v>
      </c>
      <c r="G2671">
        <v>1224</v>
      </c>
      <c r="H2671" t="s">
        <v>2807</v>
      </c>
      <c r="J2671" s="18"/>
      <c r="K2671" s="11">
        <v>46244.649872685186</v>
      </c>
      <c r="M2671">
        <v>2000</v>
      </c>
      <c r="N2671" t="s">
        <v>878</v>
      </c>
      <c r="O2671" s="17">
        <v>314</v>
      </c>
      <c r="P2671" s="5"/>
      <c r="Q2671" s="10">
        <f>INT(Tabela1[[#This Row],[DATA]])</f>
        <v>46244</v>
      </c>
      <c r="R2671" s="14" t="str">
        <f ca="1">IF(AND(Q2671&gt;=TODAY()-WEEKDAY(TODAY(),2)+1,Q2671&lt;TODAY()),"SIM","NÃO")</f>
        <v>SIM</v>
      </c>
    </row>
    <row r="2672" spans="1:18" hidden="1">
      <c r="A2672" t="s">
        <v>2825</v>
      </c>
      <c r="B2672" t="s">
        <v>344</v>
      </c>
      <c r="C2672">
        <v>300286555</v>
      </c>
      <c r="D2672">
        <v>16272676</v>
      </c>
      <c r="E2672" t="s">
        <v>37</v>
      </c>
      <c r="F2672" t="s">
        <v>3241</v>
      </c>
      <c r="G2672">
        <v>3</v>
      </c>
      <c r="H2672" t="s">
        <v>2804</v>
      </c>
      <c r="J2672" s="18" t="s">
        <v>2804</v>
      </c>
      <c r="K2672" s="11">
        <v>46244.716921296298</v>
      </c>
      <c r="M2672">
        <v>2001</v>
      </c>
      <c r="N2672" t="s">
        <v>867</v>
      </c>
      <c r="O2672" s="17">
        <v>10000063328</v>
      </c>
      <c r="P2672" s="5"/>
      <c r="Q2672" s="10">
        <f>INT(Tabela1[[#This Row],[DATA]])</f>
        <v>46244</v>
      </c>
      <c r="R2672" s="14" t="str">
        <f ca="1">IF(AND(Q2672&gt;=TODAY()-WEEKDAY(TODAY(),2)+1,Q2672&lt;TODAY()),"SIM","NÃO")</f>
        <v>SIM</v>
      </c>
    </row>
    <row r="2673" spans="1:18" hidden="1">
      <c r="A2673" t="s">
        <v>1096</v>
      </c>
      <c r="B2673" t="s">
        <v>1097</v>
      </c>
      <c r="C2673">
        <v>300286122</v>
      </c>
      <c r="D2673">
        <v>16494610</v>
      </c>
      <c r="E2673" t="s">
        <v>37</v>
      </c>
      <c r="F2673" t="s">
        <v>3215</v>
      </c>
      <c r="G2673" t="s">
        <v>4500</v>
      </c>
      <c r="H2673" t="s">
        <v>4496</v>
      </c>
      <c r="J2673" s="18" t="s">
        <v>4501</v>
      </c>
      <c r="K2673" s="11">
        <v>46244.721666666665</v>
      </c>
      <c r="M2673">
        <v>2002</v>
      </c>
      <c r="N2673" t="s">
        <v>867</v>
      </c>
      <c r="O2673" s="17">
        <v>0</v>
      </c>
      <c r="P2673" s="5"/>
      <c r="Q2673" s="10">
        <f>INT(Tabela1[[#This Row],[DATA]])</f>
        <v>46244</v>
      </c>
      <c r="R2673" s="14" t="str">
        <f ca="1">IF(AND(Q2673&gt;=TODAY()-WEEKDAY(TODAY(),2)+1,Q2673&lt;TODAY()),"SIM","NÃO")</f>
        <v>SIM</v>
      </c>
    </row>
    <row r="2674" spans="1:18" hidden="1">
      <c r="A2674" t="s">
        <v>2656</v>
      </c>
      <c r="B2674" t="s">
        <v>119</v>
      </c>
      <c r="C2674">
        <v>300287593</v>
      </c>
      <c r="D2674">
        <v>16310217</v>
      </c>
      <c r="E2674" t="s">
        <v>37</v>
      </c>
      <c r="F2674" t="s">
        <v>2405</v>
      </c>
      <c r="G2674">
        <v>280</v>
      </c>
      <c r="H2674" t="s">
        <v>1112</v>
      </c>
      <c r="J2674" s="18" t="s">
        <v>4502</v>
      </c>
      <c r="K2674" s="11">
        <v>46244.738067129627</v>
      </c>
      <c r="M2674">
        <v>2003</v>
      </c>
      <c r="N2674" t="s">
        <v>867</v>
      </c>
      <c r="O2674" s="17">
        <v>0</v>
      </c>
      <c r="P2674" s="5"/>
      <c r="Q2674" s="10">
        <f>INT(Tabela1[[#This Row],[DATA]])</f>
        <v>46244</v>
      </c>
      <c r="R2674" s="14" t="str">
        <f ca="1">IF(AND(Q2674&gt;=TODAY()-WEEKDAY(TODAY(),2)+1,Q2674&lt;TODAY()),"SIM","NÃO")</f>
        <v>SIM</v>
      </c>
    </row>
    <row r="2675" spans="1:18" hidden="1">
      <c r="A2675" t="s">
        <v>3492</v>
      </c>
      <c r="B2675" t="s">
        <v>383</v>
      </c>
      <c r="C2675">
        <v>300283195</v>
      </c>
      <c r="D2675">
        <v>16243161</v>
      </c>
      <c r="E2675" t="s">
        <v>37</v>
      </c>
      <c r="F2675" t="s">
        <v>2405</v>
      </c>
      <c r="G2675">
        <v>4</v>
      </c>
      <c r="H2675" t="s">
        <v>4503</v>
      </c>
      <c r="J2675" s="18" t="s">
        <v>2227</v>
      </c>
      <c r="K2675" s="11">
        <v>46244.743171296293</v>
      </c>
      <c r="M2675">
        <v>2004</v>
      </c>
      <c r="N2675" t="s">
        <v>867</v>
      </c>
      <c r="O2675" s="17">
        <v>0</v>
      </c>
      <c r="P2675" s="5"/>
      <c r="Q2675" s="10">
        <f>INT(Tabela1[[#This Row],[DATA]])</f>
        <v>46244</v>
      </c>
      <c r="R2675" s="14" t="str">
        <f ca="1">IF(AND(Q2675&gt;=TODAY()-WEEKDAY(TODAY(),2)+1,Q2675&lt;TODAY()),"SIM","NÃO")</f>
        <v>SIM</v>
      </c>
    </row>
    <row r="2676" spans="1:18" hidden="1">
      <c r="A2676" t="s">
        <v>3492</v>
      </c>
      <c r="B2676" t="s">
        <v>383</v>
      </c>
      <c r="C2676">
        <v>300283195</v>
      </c>
      <c r="D2676">
        <v>16243161</v>
      </c>
      <c r="E2676" t="s">
        <v>37</v>
      </c>
      <c r="F2676" t="s">
        <v>2213</v>
      </c>
      <c r="G2676">
        <v>4</v>
      </c>
      <c r="H2676" t="s">
        <v>4504</v>
      </c>
      <c r="J2676" s="18" t="s">
        <v>4505</v>
      </c>
      <c r="K2676" s="11">
        <v>46244.745833333334</v>
      </c>
      <c r="M2676">
        <v>2005</v>
      </c>
      <c r="N2676" t="s">
        <v>867</v>
      </c>
      <c r="O2676" s="17" t="s">
        <v>4506</v>
      </c>
      <c r="P2676" s="5"/>
      <c r="Q2676" s="10">
        <f>INT(Tabela1[[#This Row],[DATA]])</f>
        <v>46244</v>
      </c>
      <c r="R2676" s="14" t="str">
        <f ca="1">IF(AND(Q2676&gt;=TODAY()-WEEKDAY(TODAY(),2)+1,Q2676&lt;TODAY()),"SIM","NÃO")</f>
        <v>SIM</v>
      </c>
    </row>
    <row r="2677" spans="1:18" hidden="1">
      <c r="A2677" t="s">
        <v>163</v>
      </c>
      <c r="B2677" t="s">
        <v>164</v>
      </c>
      <c r="C2677">
        <v>300288364</v>
      </c>
      <c r="D2677">
        <v>16501250</v>
      </c>
      <c r="E2677" t="s">
        <v>45</v>
      </c>
      <c r="F2677" t="s">
        <v>323</v>
      </c>
      <c r="G2677">
        <v>90</v>
      </c>
      <c r="H2677" t="s">
        <v>2880</v>
      </c>
      <c r="J2677" s="18" t="s">
        <v>4507</v>
      </c>
      <c r="K2677" s="11">
        <v>46245.303460648145</v>
      </c>
      <c r="M2677">
        <v>2006</v>
      </c>
      <c r="N2677" t="s">
        <v>867</v>
      </c>
      <c r="O2677" s="17">
        <v>0</v>
      </c>
      <c r="P2677" s="5"/>
      <c r="Q2677" s="10">
        <f>INT(Tabela1[[#This Row],[DATA]])</f>
        <v>46245</v>
      </c>
      <c r="R2677" s="14" t="str">
        <f ca="1">IF(AND(Q2677&gt;=TODAY()-WEEKDAY(TODAY(),2)+1,Q2677&lt;TODAY()),"SIM","NÃO")</f>
        <v>SIM</v>
      </c>
    </row>
    <row r="2678" spans="1:18" hidden="1">
      <c r="A2678" t="s">
        <v>163</v>
      </c>
      <c r="B2678" t="s">
        <v>164</v>
      </c>
      <c r="C2678">
        <v>300288364</v>
      </c>
      <c r="D2678">
        <v>16501250</v>
      </c>
      <c r="E2678" t="s">
        <v>45</v>
      </c>
      <c r="F2678" t="s">
        <v>151</v>
      </c>
      <c r="G2678">
        <v>90</v>
      </c>
      <c r="H2678" t="s">
        <v>2880</v>
      </c>
      <c r="J2678" s="18" t="s">
        <v>4508</v>
      </c>
      <c r="K2678" s="11">
        <v>46245.304409722223</v>
      </c>
      <c r="M2678">
        <v>2007</v>
      </c>
      <c r="N2678" t="s">
        <v>867</v>
      </c>
      <c r="O2678" s="17">
        <v>0</v>
      </c>
      <c r="P2678" s="5"/>
      <c r="Q2678" s="10">
        <f>INT(Tabela1[[#This Row],[DATA]])</f>
        <v>46245</v>
      </c>
      <c r="R2678" s="14" t="str">
        <f ca="1">IF(AND(Q2678&gt;=TODAY()-WEEKDAY(TODAY(),2)+1,Q2678&lt;TODAY()),"SIM","NÃO")</f>
        <v>SIM</v>
      </c>
    </row>
    <row r="2679" spans="1:18" hidden="1">
      <c r="A2679" t="s">
        <v>605</v>
      </c>
      <c r="B2679" t="s">
        <v>606</v>
      </c>
      <c r="C2679">
        <v>300279404</v>
      </c>
      <c r="D2679">
        <v>16553330</v>
      </c>
      <c r="E2679" t="s">
        <v>37</v>
      </c>
      <c r="F2679" t="s">
        <v>2213</v>
      </c>
      <c r="G2679">
        <v>25</v>
      </c>
      <c r="H2679" t="s">
        <v>2645</v>
      </c>
      <c r="J2679" s="18" t="s">
        <v>4509</v>
      </c>
      <c r="K2679" s="11">
        <v>46245.317893518521</v>
      </c>
      <c r="M2679">
        <v>2008</v>
      </c>
      <c r="N2679" t="s">
        <v>867</v>
      </c>
      <c r="O2679" s="17">
        <v>0</v>
      </c>
      <c r="P2679" s="5"/>
      <c r="Q2679" s="10">
        <f>INT(Tabela1[[#This Row],[DATA]])</f>
        <v>46245</v>
      </c>
      <c r="R2679" s="14" t="str">
        <f ca="1">IF(AND(Q2679&gt;=TODAY()-WEEKDAY(TODAY(),2)+1,Q2679&lt;TODAY()),"SIM","NÃO")</f>
        <v>SIM</v>
      </c>
    </row>
    <row r="2680" spans="1:18" hidden="1">
      <c r="A2680" t="s">
        <v>3234</v>
      </c>
      <c r="B2680" t="s">
        <v>3240</v>
      </c>
      <c r="C2680">
        <v>300285798</v>
      </c>
      <c r="D2680">
        <v>16448154</v>
      </c>
      <c r="E2680" t="s">
        <v>45</v>
      </c>
      <c r="F2680" t="s">
        <v>3212</v>
      </c>
      <c r="G2680">
        <v>250</v>
      </c>
      <c r="H2680" t="s">
        <v>4510</v>
      </c>
      <c r="J2680" s="18" t="s">
        <v>4511</v>
      </c>
      <c r="K2680" s="11">
        <v>46245.3205787037</v>
      </c>
      <c r="M2680">
        <v>2009</v>
      </c>
      <c r="N2680" t="s">
        <v>867</v>
      </c>
      <c r="O2680" s="17">
        <v>0</v>
      </c>
      <c r="P2680" s="5"/>
      <c r="Q2680" s="10">
        <f>INT(Tabela1[[#This Row],[DATA]])</f>
        <v>46245</v>
      </c>
      <c r="R2680" s="14" t="str">
        <f ca="1">IF(AND(Q2680&gt;=TODAY()-WEEKDAY(TODAY(),2)+1,Q2680&lt;TODAY()),"SIM","NÃO")</f>
        <v>SIM</v>
      </c>
    </row>
    <row r="2681" spans="1:18" hidden="1">
      <c r="A2681" t="s">
        <v>3073</v>
      </c>
      <c r="B2681" t="s">
        <v>448</v>
      </c>
      <c r="C2681">
        <v>300285091</v>
      </c>
      <c r="D2681">
        <v>16292888</v>
      </c>
      <c r="E2681" t="s">
        <v>37</v>
      </c>
      <c r="F2681" t="s">
        <v>417</v>
      </c>
      <c r="G2681">
        <v>127</v>
      </c>
      <c r="H2681" t="s">
        <v>4512</v>
      </c>
      <c r="J2681" s="18" t="s">
        <v>4513</v>
      </c>
      <c r="K2681" s="11">
        <v>46245.333599537036</v>
      </c>
      <c r="M2681">
        <v>2010</v>
      </c>
      <c r="N2681" t="s">
        <v>867</v>
      </c>
      <c r="O2681" s="17">
        <v>0</v>
      </c>
      <c r="P2681" s="5"/>
      <c r="Q2681" s="10">
        <f>INT(Tabela1[[#This Row],[DATA]])</f>
        <v>46245</v>
      </c>
      <c r="R2681" s="14" t="str">
        <f ca="1">IF(AND(Q2681&gt;=TODAY()-WEEKDAY(TODAY(),2)+1,Q2681&lt;TODAY()),"SIM","NÃO")</f>
        <v>SIM</v>
      </c>
    </row>
    <row r="2682" spans="1:18" hidden="1">
      <c r="A2682" t="s">
        <v>123</v>
      </c>
      <c r="B2682" t="s">
        <v>124</v>
      </c>
      <c r="C2682">
        <v>300286147</v>
      </c>
      <c r="D2682">
        <v>16474570</v>
      </c>
      <c r="E2682" t="s">
        <v>37</v>
      </c>
      <c r="F2682" t="s">
        <v>3215</v>
      </c>
      <c r="G2682">
        <v>20</v>
      </c>
      <c r="H2682" t="s">
        <v>4514</v>
      </c>
      <c r="J2682" s="18" t="s">
        <v>4515</v>
      </c>
      <c r="K2682" s="11">
        <v>46245.333958333336</v>
      </c>
      <c r="M2682">
        <v>2011</v>
      </c>
      <c r="N2682" t="s">
        <v>867</v>
      </c>
      <c r="O2682" s="17">
        <v>0</v>
      </c>
      <c r="P2682" s="5"/>
      <c r="Q2682" s="10">
        <f>INT(Tabela1[[#This Row],[DATA]])</f>
        <v>46245</v>
      </c>
      <c r="R2682" s="14" t="str">
        <f ca="1">IF(AND(Q2682&gt;=TODAY()-WEEKDAY(TODAY(),2)+1,Q2682&lt;TODAY()),"SIM","NÃO")</f>
        <v>SIM</v>
      </c>
    </row>
    <row r="2683" spans="1:18" hidden="1">
      <c r="A2683" t="s">
        <v>1110</v>
      </c>
      <c r="B2683" t="s">
        <v>1111</v>
      </c>
      <c r="C2683">
        <v>300281530</v>
      </c>
      <c r="D2683">
        <v>16520050</v>
      </c>
      <c r="E2683" t="s">
        <v>37</v>
      </c>
      <c r="F2683" t="s">
        <v>3215</v>
      </c>
      <c r="G2683">
        <v>15</v>
      </c>
      <c r="H2683" t="s">
        <v>2380</v>
      </c>
      <c r="J2683" s="18" t="s">
        <v>2380</v>
      </c>
      <c r="K2683" s="11">
        <v>46245.335902777777</v>
      </c>
      <c r="M2683">
        <v>2012</v>
      </c>
      <c r="N2683" t="s">
        <v>867</v>
      </c>
      <c r="O2683" s="17">
        <v>0</v>
      </c>
      <c r="P2683" s="5"/>
      <c r="Q2683" s="10">
        <f>INT(Tabela1[[#This Row],[DATA]])</f>
        <v>46245</v>
      </c>
      <c r="R2683" s="14" t="str">
        <f ca="1">IF(AND(Q2683&gt;=TODAY()-WEEKDAY(TODAY(),2)+1,Q2683&lt;TODAY()),"SIM","NÃO")</f>
        <v>SIM</v>
      </c>
    </row>
    <row r="2684" spans="1:18" hidden="1">
      <c r="A2684" t="s">
        <v>123</v>
      </c>
      <c r="B2684" t="s">
        <v>124</v>
      </c>
      <c r="C2684">
        <v>300276804</v>
      </c>
      <c r="D2684">
        <v>16508076</v>
      </c>
      <c r="E2684" t="s">
        <v>37</v>
      </c>
      <c r="F2684" t="s">
        <v>3217</v>
      </c>
      <c r="G2684">
        <v>1</v>
      </c>
      <c r="H2684" t="s">
        <v>4516</v>
      </c>
      <c r="J2684" s="18" t="s">
        <v>4517</v>
      </c>
      <c r="K2684" s="11">
        <v>46245.336157407408</v>
      </c>
      <c r="M2684">
        <v>2013</v>
      </c>
      <c r="N2684" t="s">
        <v>867</v>
      </c>
      <c r="O2684" s="17">
        <v>0</v>
      </c>
      <c r="P2684" s="5"/>
      <c r="Q2684" s="10">
        <f>INT(Tabela1[[#This Row],[DATA]])</f>
        <v>46245</v>
      </c>
      <c r="R2684" s="14" t="str">
        <f ca="1">IF(AND(Q2684&gt;=TODAY()-WEEKDAY(TODAY(),2)+1,Q2684&lt;TODAY()),"SIM","NÃO")</f>
        <v>SIM</v>
      </c>
    </row>
    <row r="2685" spans="1:18" hidden="1">
      <c r="A2685" t="s">
        <v>111</v>
      </c>
      <c r="B2685" t="s">
        <v>112</v>
      </c>
      <c r="C2685">
        <v>300285303</v>
      </c>
      <c r="D2685">
        <v>15762831</v>
      </c>
      <c r="E2685" t="s">
        <v>37</v>
      </c>
      <c r="F2685" t="s">
        <v>2213</v>
      </c>
      <c r="G2685">
        <v>1</v>
      </c>
      <c r="H2685" t="s">
        <v>1335</v>
      </c>
      <c r="J2685" s="18"/>
      <c r="K2685" s="11">
        <v>46245.358715277776</v>
      </c>
      <c r="M2685">
        <v>2014</v>
      </c>
      <c r="N2685" t="s">
        <v>867</v>
      </c>
      <c r="O2685" s="17">
        <v>10000214516</v>
      </c>
      <c r="P2685" s="5"/>
      <c r="Q2685" s="10">
        <f>INT(Tabela1[[#This Row],[DATA]])</f>
        <v>46245</v>
      </c>
      <c r="R2685" s="14" t="str">
        <f ca="1">IF(AND(Q2685&gt;=TODAY()-WEEKDAY(TODAY(),2)+1,Q2685&lt;TODAY()),"SIM","NÃO")</f>
        <v>SIM</v>
      </c>
    </row>
    <row r="2686" spans="1:18" hidden="1">
      <c r="A2686" t="s">
        <v>111</v>
      </c>
      <c r="B2686" t="s">
        <v>4518</v>
      </c>
      <c r="C2686">
        <v>300285303</v>
      </c>
      <c r="D2686">
        <v>15762831</v>
      </c>
      <c r="E2686" t="s">
        <v>37</v>
      </c>
      <c r="F2686" t="s">
        <v>3330</v>
      </c>
      <c r="G2686">
        <v>3</v>
      </c>
      <c r="H2686" t="s">
        <v>1335</v>
      </c>
      <c r="J2686" s="18"/>
      <c r="K2686" s="11">
        <v>46245.359456018516</v>
      </c>
      <c r="M2686">
        <v>2015</v>
      </c>
      <c r="N2686" t="s">
        <v>867</v>
      </c>
      <c r="O2686" s="17">
        <v>10000228847</v>
      </c>
      <c r="P2686" s="5"/>
      <c r="Q2686" s="10">
        <f>INT(Tabela1[[#This Row],[DATA]])</f>
        <v>46245</v>
      </c>
      <c r="R2686" s="14" t="str">
        <f ca="1">IF(AND(Q2686&gt;=TODAY()-WEEKDAY(TODAY(),2)+1,Q2686&lt;TODAY()),"SIM","NÃO")</f>
        <v>SIM</v>
      </c>
    </row>
    <row r="2687" spans="1:18" hidden="1">
      <c r="A2687" t="s">
        <v>111</v>
      </c>
      <c r="B2687" t="s">
        <v>112</v>
      </c>
      <c r="C2687">
        <v>300277529</v>
      </c>
      <c r="D2687">
        <v>16212878</v>
      </c>
      <c r="E2687" t="s">
        <v>37</v>
      </c>
      <c r="F2687" t="s">
        <v>3899</v>
      </c>
      <c r="G2687">
        <v>7</v>
      </c>
      <c r="H2687" t="s">
        <v>4519</v>
      </c>
      <c r="J2687" s="18"/>
      <c r="K2687" s="11">
        <v>46245.360891203702</v>
      </c>
      <c r="M2687">
        <v>2016</v>
      </c>
      <c r="N2687" t="s">
        <v>867</v>
      </c>
      <c r="O2687" s="17">
        <v>0</v>
      </c>
      <c r="P2687" s="5"/>
      <c r="Q2687" s="10">
        <f>INT(Tabela1[[#This Row],[DATA]])</f>
        <v>46245</v>
      </c>
      <c r="R2687" s="14" t="str">
        <f ca="1">IF(AND(Q2687&gt;=TODAY()-WEEKDAY(TODAY(),2)+1,Q2687&lt;TODAY()),"SIM","NÃO")</f>
        <v>SIM</v>
      </c>
    </row>
    <row r="2688" spans="1:18" hidden="1">
      <c r="A2688" t="s">
        <v>111</v>
      </c>
      <c r="B2688" t="s">
        <v>112</v>
      </c>
      <c r="C2688">
        <v>300277529</v>
      </c>
      <c r="D2688">
        <v>16212878</v>
      </c>
      <c r="E2688" t="s">
        <v>37</v>
      </c>
      <c r="F2688" t="s">
        <v>3899</v>
      </c>
      <c r="G2688">
        <v>13</v>
      </c>
      <c r="H2688" t="s">
        <v>1335</v>
      </c>
      <c r="J2688" s="18" t="s">
        <v>4520</v>
      </c>
      <c r="K2688" s="11">
        <v>46245.361805555556</v>
      </c>
      <c r="M2688">
        <v>2017</v>
      </c>
      <c r="N2688" t="s">
        <v>867</v>
      </c>
      <c r="O2688" s="17">
        <v>0</v>
      </c>
      <c r="P2688" s="5"/>
      <c r="Q2688" s="10">
        <f>INT(Tabela1[[#This Row],[DATA]])</f>
        <v>46245</v>
      </c>
      <c r="R2688" s="14" t="str">
        <f ca="1">IF(AND(Q2688&gt;=TODAY()-WEEKDAY(TODAY(),2)+1,Q2688&lt;TODAY()),"SIM","NÃO")</f>
        <v>SIM</v>
      </c>
    </row>
    <row r="2689" spans="1:18" hidden="1">
      <c r="A2689" t="s">
        <v>2775</v>
      </c>
      <c r="B2689" t="s">
        <v>512</v>
      </c>
      <c r="C2689">
        <v>300288416</v>
      </c>
      <c r="D2689">
        <v>16632800</v>
      </c>
      <c r="E2689" t="s">
        <v>37</v>
      </c>
      <c r="F2689" t="s">
        <v>2213</v>
      </c>
      <c r="G2689">
        <v>15</v>
      </c>
      <c r="H2689" t="s">
        <v>4521</v>
      </c>
      <c r="J2689" s="18" t="s">
        <v>2846</v>
      </c>
      <c r="K2689" s="11">
        <v>46245.388159722221</v>
      </c>
      <c r="M2689">
        <v>2018</v>
      </c>
      <c r="N2689" t="s">
        <v>867</v>
      </c>
      <c r="O2689" s="17" t="s">
        <v>2778</v>
      </c>
      <c r="P2689" s="5"/>
      <c r="Q2689" s="10">
        <f>INT(Tabela1[[#This Row],[DATA]])</f>
        <v>46245</v>
      </c>
      <c r="R2689" s="14" t="str">
        <f ca="1">IF(AND(Q2689&gt;=TODAY()-WEEKDAY(TODAY(),2)+1,Q2689&lt;TODAY()),"SIM","NÃO")</f>
        <v>SIM</v>
      </c>
    </row>
    <row r="2690" spans="1:18" hidden="1">
      <c r="A2690" t="s">
        <v>3132</v>
      </c>
      <c r="B2690" t="s">
        <v>242</v>
      </c>
      <c r="C2690">
        <v>300285008</v>
      </c>
      <c r="D2690">
        <v>16482204</v>
      </c>
      <c r="E2690" t="s">
        <v>37</v>
      </c>
      <c r="F2690" t="s">
        <v>3241</v>
      </c>
      <c r="G2690" t="s">
        <v>4195</v>
      </c>
      <c r="H2690" t="s">
        <v>4522</v>
      </c>
      <c r="J2690" s="18" t="s">
        <v>4523</v>
      </c>
      <c r="K2690" s="11">
        <v>46245.389143518521</v>
      </c>
      <c r="M2690">
        <v>2019</v>
      </c>
      <c r="N2690" t="s">
        <v>867</v>
      </c>
      <c r="O2690" s="17">
        <v>10000063106</v>
      </c>
      <c r="P2690" s="5"/>
      <c r="Q2690" s="10">
        <f>INT(Tabela1[[#This Row],[DATA]])</f>
        <v>46245</v>
      </c>
      <c r="R2690" s="14" t="str">
        <f ca="1">IF(AND(Q2690&gt;=TODAY()-WEEKDAY(TODAY(),2)+1,Q2690&lt;TODAY()),"SIM","NÃO")</f>
        <v>SIM</v>
      </c>
    </row>
    <row r="2691" spans="1:18" hidden="1">
      <c r="A2691" t="s">
        <v>899</v>
      </c>
      <c r="B2691" t="s">
        <v>900</v>
      </c>
      <c r="C2691">
        <v>300285683</v>
      </c>
      <c r="D2691">
        <v>16218159</v>
      </c>
      <c r="E2691" t="s">
        <v>37</v>
      </c>
      <c r="F2691" t="s">
        <v>3215</v>
      </c>
      <c r="G2691">
        <v>10</v>
      </c>
      <c r="H2691" t="s">
        <v>655</v>
      </c>
      <c r="J2691" s="18" t="s">
        <v>902</v>
      </c>
      <c r="K2691" s="11">
        <v>46245.394826388889</v>
      </c>
      <c r="M2691">
        <v>2020</v>
      </c>
      <c r="N2691" t="s">
        <v>867</v>
      </c>
      <c r="O2691" s="17">
        <v>0</v>
      </c>
      <c r="P2691" s="5"/>
      <c r="Q2691" s="10">
        <f>INT(Tabela1[[#This Row],[DATA]])</f>
        <v>46245</v>
      </c>
      <c r="R2691" s="14" t="str">
        <f ca="1">IF(AND(Q2691&gt;=TODAY()-WEEKDAY(TODAY(),2)+1,Q2691&lt;TODAY()),"SIM","NÃO")</f>
        <v>SIM</v>
      </c>
    </row>
    <row r="2692" spans="1:18" hidden="1">
      <c r="A2692" t="s">
        <v>2610</v>
      </c>
      <c r="B2692" t="s">
        <v>74</v>
      </c>
      <c r="C2692">
        <v>300288802</v>
      </c>
      <c r="D2692">
        <v>16535642</v>
      </c>
      <c r="E2692" t="s">
        <v>20</v>
      </c>
      <c r="F2692" t="s">
        <v>2213</v>
      </c>
      <c r="G2692">
        <v>75</v>
      </c>
      <c r="H2692" t="s">
        <v>4524</v>
      </c>
      <c r="J2692" s="18" t="s">
        <v>555</v>
      </c>
      <c r="K2692" s="11">
        <v>46245.405706018515</v>
      </c>
      <c r="M2692">
        <v>2021</v>
      </c>
      <c r="N2692" t="s">
        <v>867</v>
      </c>
      <c r="O2692" s="17">
        <v>10000249358</v>
      </c>
      <c r="P2692" s="5"/>
      <c r="Q2692" s="10">
        <f>INT(Tabela1[[#This Row],[DATA]])</f>
        <v>46245</v>
      </c>
      <c r="R2692" s="14" t="str">
        <f ca="1">IF(AND(Q2692&gt;=TODAY()-WEEKDAY(TODAY(),2)+1,Q2692&lt;TODAY()),"SIM","NÃO")</f>
        <v>SIM</v>
      </c>
    </row>
    <row r="2693" spans="1:18" hidden="1">
      <c r="A2693" t="s">
        <v>196</v>
      </c>
      <c r="B2693" t="s">
        <v>1625</v>
      </c>
      <c r="C2693">
        <v>300278792</v>
      </c>
      <c r="D2693">
        <v>16324692</v>
      </c>
      <c r="E2693" t="s">
        <v>37</v>
      </c>
      <c r="F2693" t="s">
        <v>177</v>
      </c>
      <c r="G2693">
        <v>50</v>
      </c>
      <c r="H2693" t="s">
        <v>2137</v>
      </c>
      <c r="J2693" s="18"/>
      <c r="K2693" s="11">
        <v>46245.41337962963</v>
      </c>
      <c r="M2693">
        <v>2022</v>
      </c>
      <c r="N2693" t="s">
        <v>867</v>
      </c>
      <c r="O2693" s="17">
        <v>10000211585</v>
      </c>
      <c r="P2693" s="5"/>
      <c r="Q2693" s="10">
        <f>INT(Tabela1[[#This Row],[DATA]])</f>
        <v>46245</v>
      </c>
      <c r="R2693" s="14" t="str">
        <f ca="1">IF(AND(Q2693&gt;=TODAY()-WEEKDAY(TODAY(),2)+1,Q2693&lt;TODAY()),"SIM","NÃO")</f>
        <v>SIM</v>
      </c>
    </row>
    <row r="2694" spans="1:18" hidden="1">
      <c r="A2694" t="s">
        <v>101</v>
      </c>
      <c r="B2694" t="s">
        <v>990</v>
      </c>
      <c r="C2694">
        <v>300288421</v>
      </c>
      <c r="D2694">
        <v>16186621</v>
      </c>
      <c r="E2694" t="s">
        <v>37</v>
      </c>
      <c r="F2694" t="s">
        <v>3215</v>
      </c>
      <c r="G2694">
        <v>100000</v>
      </c>
      <c r="H2694" t="s">
        <v>870</v>
      </c>
      <c r="J2694" s="18" t="s">
        <v>2257</v>
      </c>
      <c r="K2694" s="11">
        <v>46245.415451388886</v>
      </c>
      <c r="M2694">
        <v>2023</v>
      </c>
      <c r="N2694" t="s">
        <v>867</v>
      </c>
      <c r="O2694" s="17">
        <v>0</v>
      </c>
      <c r="P2694" s="5"/>
      <c r="Q2694" s="10">
        <f>INT(Tabela1[[#This Row],[DATA]])</f>
        <v>46245</v>
      </c>
      <c r="R2694" s="14" t="str">
        <f ca="1">IF(AND(Q2694&gt;=TODAY()-WEEKDAY(TODAY(),2)+1,Q2694&lt;TODAY()),"SIM","NÃO")</f>
        <v>SIM</v>
      </c>
    </row>
    <row r="2695" spans="1:18" hidden="1">
      <c r="A2695" t="s">
        <v>3062</v>
      </c>
      <c r="B2695" t="s">
        <v>3063</v>
      </c>
      <c r="C2695">
        <v>300282341</v>
      </c>
      <c r="D2695">
        <v>16482174</v>
      </c>
      <c r="E2695" t="s">
        <v>37</v>
      </c>
      <c r="F2695" t="s">
        <v>151</v>
      </c>
      <c r="G2695" t="s">
        <v>4525</v>
      </c>
      <c r="H2695" t="s">
        <v>4526</v>
      </c>
      <c r="J2695" s="18" t="s">
        <v>4527</v>
      </c>
      <c r="K2695" s="11">
        <v>46245.416354166664</v>
      </c>
      <c r="M2695">
        <v>2024</v>
      </c>
      <c r="N2695" t="s">
        <v>867</v>
      </c>
      <c r="O2695" s="17" t="s">
        <v>4528</v>
      </c>
      <c r="P2695" s="5"/>
      <c r="Q2695" s="10">
        <f>INT(Tabela1[[#This Row],[DATA]])</f>
        <v>46245</v>
      </c>
      <c r="R2695" s="14" t="str">
        <f ca="1">IF(AND(Q2695&gt;=TODAY()-WEEKDAY(TODAY(),2)+1,Q2695&lt;TODAY()),"SIM","NÃO")</f>
        <v>SIM</v>
      </c>
    </row>
    <row r="2696" spans="1:18" hidden="1">
      <c r="A2696" t="s">
        <v>196</v>
      </c>
      <c r="B2696" t="s">
        <v>1625</v>
      </c>
      <c r="C2696">
        <v>300283948</v>
      </c>
      <c r="D2696">
        <v>16539486</v>
      </c>
      <c r="E2696" t="s">
        <v>37</v>
      </c>
      <c r="F2696" t="s">
        <v>4529</v>
      </c>
      <c r="G2696" t="s">
        <v>4530</v>
      </c>
      <c r="H2696" t="s">
        <v>2137</v>
      </c>
      <c r="J2696" s="18" t="s">
        <v>4531</v>
      </c>
      <c r="K2696" s="11">
        <v>46245.435879629629</v>
      </c>
      <c r="M2696">
        <v>2025</v>
      </c>
      <c r="N2696" t="s">
        <v>878</v>
      </c>
      <c r="O2696" s="17">
        <v>0</v>
      </c>
      <c r="P2696" s="5"/>
      <c r="Q2696" s="10">
        <f>INT(Tabela1[[#This Row],[DATA]])</f>
        <v>46245</v>
      </c>
      <c r="R2696" s="14" t="str">
        <f ca="1">IF(AND(Q2696&gt;=TODAY()-WEEKDAY(TODAY(),2)+1,Q2696&lt;TODAY()),"SIM","NÃO")</f>
        <v>SIM</v>
      </c>
    </row>
    <row r="2697" spans="1:18" hidden="1">
      <c r="A2697" t="s">
        <v>2713</v>
      </c>
      <c r="B2697" t="s">
        <v>55</v>
      </c>
      <c r="C2697">
        <v>300288367</v>
      </c>
      <c r="D2697">
        <v>16549104</v>
      </c>
      <c r="E2697" t="s">
        <v>45</v>
      </c>
      <c r="F2697" t="s">
        <v>2405</v>
      </c>
      <c r="G2697">
        <v>6</v>
      </c>
      <c r="H2697" t="s">
        <v>1771</v>
      </c>
      <c r="J2697" s="18"/>
      <c r="K2697" s="11">
        <v>46245.44672453704</v>
      </c>
      <c r="M2697">
        <v>2026</v>
      </c>
      <c r="N2697" t="s">
        <v>867</v>
      </c>
      <c r="O2697" s="17" t="s">
        <v>2124</v>
      </c>
      <c r="P2697" s="5"/>
      <c r="Q2697" s="10">
        <f>INT(Tabela1[[#This Row],[DATA]])</f>
        <v>46245</v>
      </c>
      <c r="R2697" s="14" t="str">
        <f ca="1">IF(AND(Q2697&gt;=TODAY()-WEEKDAY(TODAY(),2)+1,Q2697&lt;TODAY()),"SIM","NÃO")</f>
        <v>SIM</v>
      </c>
    </row>
    <row r="2698" spans="1:18" hidden="1">
      <c r="A2698" t="s">
        <v>2562</v>
      </c>
      <c r="B2698" t="s">
        <v>612</v>
      </c>
      <c r="C2698">
        <v>300286547</v>
      </c>
      <c r="D2698">
        <v>16555457</v>
      </c>
      <c r="E2698" t="s">
        <v>37</v>
      </c>
      <c r="F2698" t="s">
        <v>3215</v>
      </c>
      <c r="G2698" t="s">
        <v>4532</v>
      </c>
      <c r="H2698" t="s">
        <v>4533</v>
      </c>
      <c r="J2698" s="18" t="s">
        <v>4533</v>
      </c>
      <c r="K2698" s="11">
        <v>46245.461689814816</v>
      </c>
      <c r="M2698">
        <v>2029</v>
      </c>
      <c r="N2698" t="s">
        <v>867</v>
      </c>
      <c r="O2698" s="17">
        <v>0</v>
      </c>
      <c r="P2698" s="5"/>
      <c r="Q2698" s="10">
        <f>INT(Tabela1[[#This Row],[DATA]])</f>
        <v>46245</v>
      </c>
      <c r="R2698" s="14" t="str">
        <f ca="1">IF(AND(Q2698&gt;=TODAY()-WEEKDAY(TODAY(),2)+1,Q2698&lt;TODAY()),"SIM","NÃO")</f>
        <v>SIM</v>
      </c>
    </row>
    <row r="2699" spans="1:18" hidden="1">
      <c r="A2699" t="s">
        <v>111</v>
      </c>
      <c r="B2699" t="s">
        <v>112</v>
      </c>
      <c r="C2699">
        <v>300277098</v>
      </c>
      <c r="D2699">
        <v>15764290</v>
      </c>
      <c r="E2699" t="s">
        <v>37</v>
      </c>
      <c r="F2699" t="s">
        <v>2405</v>
      </c>
      <c r="G2699">
        <v>1</v>
      </c>
      <c r="H2699" t="s">
        <v>1335</v>
      </c>
      <c r="J2699" s="18"/>
      <c r="K2699" s="11">
        <v>46245.462071759262</v>
      </c>
      <c r="M2699">
        <v>2027</v>
      </c>
      <c r="N2699" t="s">
        <v>867</v>
      </c>
      <c r="O2699" s="17">
        <v>0</v>
      </c>
      <c r="P2699" s="5"/>
      <c r="Q2699" s="10">
        <f>INT(Tabela1[[#This Row],[DATA]])</f>
        <v>46245</v>
      </c>
      <c r="R2699" s="14" t="str">
        <f t="shared" ref="R2699:R2700" ca="1" si="1">IF(AND(Q2699&gt;=TODAY()-WEEKDAY(TODAY(),2)+1,Q2699&lt;TODAY()),"SIM","NÃO")</f>
        <v>SIM</v>
      </c>
    </row>
    <row r="2700" spans="1:18" hidden="1">
      <c r="A2700" t="s">
        <v>2624</v>
      </c>
      <c r="B2700" t="s">
        <v>50</v>
      </c>
      <c r="C2700">
        <v>300285687</v>
      </c>
      <c r="D2700">
        <v>16217861</v>
      </c>
      <c r="E2700" t="s">
        <v>37</v>
      </c>
      <c r="F2700" t="s">
        <v>3241</v>
      </c>
      <c r="G2700" t="s">
        <v>4534</v>
      </c>
      <c r="H2700" t="s">
        <v>4535</v>
      </c>
      <c r="J2700" s="18" t="s">
        <v>4536</v>
      </c>
      <c r="K2700" s="11">
        <v>46245.462083333332</v>
      </c>
      <c r="M2700">
        <v>2028</v>
      </c>
      <c r="N2700" t="s">
        <v>867</v>
      </c>
      <c r="O2700" s="17">
        <v>10000073228</v>
      </c>
      <c r="P2700" s="5"/>
      <c r="Q2700" s="10">
        <f>INT(Tabela1[[#This Row],[DATA]])</f>
        <v>46245</v>
      </c>
      <c r="R2700" s="14" t="str">
        <f t="shared" ca="1" si="1"/>
        <v>SIM</v>
      </c>
    </row>
    <row r="2701" spans="1:18" hidden="1">
      <c r="A2701" t="s">
        <v>2562</v>
      </c>
      <c r="B2701" t="s">
        <v>612</v>
      </c>
      <c r="C2701">
        <v>300286547</v>
      </c>
      <c r="D2701">
        <v>16555457</v>
      </c>
      <c r="E2701" t="s">
        <v>37</v>
      </c>
      <c r="F2701" t="s">
        <v>3217</v>
      </c>
      <c r="G2701" s="26">
        <v>1260</v>
      </c>
      <c r="H2701" t="s">
        <v>644</v>
      </c>
      <c r="J2701" s="18" t="s">
        <v>644</v>
      </c>
      <c r="K2701" s="11">
        <v>46245.464050925926</v>
      </c>
      <c r="M2701">
        <v>2030</v>
      </c>
      <c r="N2701" t="s">
        <v>867</v>
      </c>
      <c r="O2701" s="17">
        <v>0</v>
      </c>
      <c r="P2701" s="5"/>
      <c r="Q2701" s="10">
        <f>INT(Tabela1[[#This Row],[DATA]])</f>
        <v>46245</v>
      </c>
      <c r="R2701" s="14" t="str">
        <f ca="1">IF(AND(Q2701&gt;=TODAY()-WEEKDAY(TODAY(),2)+1,Q2701&lt;TODAY()),"SIM","NÃO")</f>
        <v>SIM</v>
      </c>
    </row>
    <row r="2702" spans="1:18" hidden="1">
      <c r="A2702" t="s">
        <v>3132</v>
      </c>
      <c r="B2702" t="s">
        <v>242</v>
      </c>
      <c r="C2702">
        <v>300285008</v>
      </c>
      <c r="D2702">
        <v>16482204</v>
      </c>
      <c r="E2702" t="s">
        <v>37</v>
      </c>
      <c r="F2702" t="s">
        <v>769</v>
      </c>
      <c r="G2702" s="26">
        <v>210</v>
      </c>
      <c r="H2702" t="s">
        <v>4537</v>
      </c>
      <c r="J2702" s="18" t="s">
        <v>4538</v>
      </c>
      <c r="K2702" s="11">
        <v>46245.535555555558</v>
      </c>
      <c r="M2702">
        <v>2031</v>
      </c>
      <c r="N2702" t="s">
        <v>867</v>
      </c>
      <c r="O2702" s="17" t="s">
        <v>4440</v>
      </c>
      <c r="P2702" s="5"/>
      <c r="Q2702" s="10">
        <f>INT(Tabela1[[#This Row],[DATA]])</f>
        <v>46245</v>
      </c>
      <c r="R2702" s="14" t="str">
        <f ca="1">IF(AND(Q2702&gt;=TODAY()-WEEKDAY(TODAY(),2)+1,Q2702&lt;TODAY()),"SIM","NÃO")</f>
        <v>SIM</v>
      </c>
    </row>
    <row r="2703" spans="1:18" hidden="1">
      <c r="A2703" t="s">
        <v>123</v>
      </c>
      <c r="B2703" t="s">
        <v>124</v>
      </c>
      <c r="C2703">
        <v>300276804</v>
      </c>
      <c r="D2703">
        <v>16508076</v>
      </c>
      <c r="E2703" t="s">
        <v>37</v>
      </c>
      <c r="F2703" t="s">
        <v>3330</v>
      </c>
      <c r="G2703" s="26">
        <v>14</v>
      </c>
      <c r="H2703" t="s">
        <v>4539</v>
      </c>
      <c r="J2703" s="18" t="s">
        <v>2621</v>
      </c>
      <c r="K2703" s="11">
        <v>46245.540173611109</v>
      </c>
      <c r="M2703">
        <v>2032</v>
      </c>
      <c r="N2703" t="s">
        <v>867</v>
      </c>
      <c r="O2703" s="17">
        <v>10000228915</v>
      </c>
      <c r="P2703" s="5"/>
      <c r="Q2703" s="10">
        <f>INT(Tabela1[[#This Row],[DATA]])</f>
        <v>46245</v>
      </c>
      <c r="R2703" s="14" t="str">
        <f ca="1">IF(AND(Q2703&gt;=TODAY()-WEEKDAY(TODAY(),2)+1,Q2703&lt;TODAY()),"SIM","NÃO")</f>
        <v>SIM</v>
      </c>
    </row>
    <row r="2704" spans="1:18" hidden="1">
      <c r="A2704" t="s">
        <v>2610</v>
      </c>
      <c r="B2704" t="s">
        <v>74</v>
      </c>
      <c r="C2704">
        <v>300288801</v>
      </c>
      <c r="D2704">
        <v>16535642</v>
      </c>
      <c r="E2704" t="s">
        <v>20</v>
      </c>
      <c r="F2704" t="s">
        <v>2213</v>
      </c>
      <c r="G2704" s="26">
        <v>38</v>
      </c>
      <c r="H2704" t="s">
        <v>555</v>
      </c>
      <c r="J2704" s="18"/>
      <c r="K2704" s="11">
        <v>46245.568993055553</v>
      </c>
      <c r="M2704">
        <v>2033</v>
      </c>
      <c r="N2704" t="s">
        <v>867</v>
      </c>
      <c r="O2704" s="17">
        <v>10000249358</v>
      </c>
      <c r="P2704" s="5"/>
      <c r="Q2704" s="10">
        <f>INT(Tabela1[[#This Row],[DATA]])</f>
        <v>46245</v>
      </c>
      <c r="R2704" s="14" t="str">
        <f ca="1">IF(AND(Q2704&gt;=TODAY()-WEEKDAY(TODAY(),2)+1,Q2704&lt;TODAY()),"SIM","NÃO")</f>
        <v>SIM</v>
      </c>
    </row>
    <row r="2705" spans="1:18" hidden="1">
      <c r="A2705" t="s">
        <v>755</v>
      </c>
      <c r="B2705" t="s">
        <v>756</v>
      </c>
      <c r="C2705">
        <v>300281955</v>
      </c>
      <c r="D2705">
        <v>16507975</v>
      </c>
      <c r="E2705" t="s">
        <v>37</v>
      </c>
      <c r="F2705" t="s">
        <v>2405</v>
      </c>
      <c r="G2705" s="26">
        <v>672</v>
      </c>
      <c r="H2705" t="s">
        <v>827</v>
      </c>
      <c r="J2705" s="18" t="s">
        <v>827</v>
      </c>
      <c r="K2705" s="11">
        <v>46245.589120370372</v>
      </c>
      <c r="M2705">
        <v>2034</v>
      </c>
      <c r="N2705" t="s">
        <v>867</v>
      </c>
      <c r="O2705" s="17" t="s">
        <v>2664</v>
      </c>
      <c r="P2705" s="5"/>
      <c r="Q2705" s="10">
        <f>INT(Tabela1[[#This Row],[DATA]])</f>
        <v>46245</v>
      </c>
      <c r="R2705" s="14" t="str">
        <f ca="1">IF(AND(Q2705&gt;=TODAY()-WEEKDAY(TODAY(),2)+1,Q2705&lt;TODAY()),"SIM","NÃO")</f>
        <v>SIM</v>
      </c>
    </row>
    <row r="2706" spans="1:18" hidden="1">
      <c r="A2706" t="s">
        <v>2551</v>
      </c>
      <c r="B2706" t="s">
        <v>274</v>
      </c>
      <c r="C2706">
        <v>300287235</v>
      </c>
      <c r="D2706">
        <v>15858766</v>
      </c>
      <c r="E2706" t="s">
        <v>37</v>
      </c>
      <c r="F2706" t="s">
        <v>216</v>
      </c>
      <c r="G2706" s="26">
        <v>594</v>
      </c>
      <c r="H2706" t="s">
        <v>4540</v>
      </c>
      <c r="J2706" s="18"/>
      <c r="K2706" s="11">
        <v>46245.601817129631</v>
      </c>
      <c r="M2706">
        <v>2035</v>
      </c>
      <c r="N2706" t="s">
        <v>867</v>
      </c>
      <c r="O2706" s="17">
        <v>0</v>
      </c>
      <c r="P2706" s="5"/>
      <c r="Q2706" s="10">
        <f>INT(Tabela1[[#This Row],[DATA]])</f>
        <v>46245</v>
      </c>
      <c r="R2706" s="14" t="str">
        <f ca="1">IF(AND(Q2706&gt;=TODAY()-WEEKDAY(TODAY(),2)+1,Q2706&lt;TODAY()),"SIM","NÃO")</f>
        <v>SIM</v>
      </c>
    </row>
    <row r="2707" spans="1:18" hidden="1">
      <c r="A2707" t="s">
        <v>2551</v>
      </c>
      <c r="B2707" t="s">
        <v>274</v>
      </c>
      <c r="C2707">
        <v>300287235</v>
      </c>
      <c r="D2707">
        <v>15858766</v>
      </c>
      <c r="E2707" t="s">
        <v>37</v>
      </c>
      <c r="F2707" t="s">
        <v>651</v>
      </c>
      <c r="G2707" s="26">
        <v>594</v>
      </c>
      <c r="H2707" t="s">
        <v>4541</v>
      </c>
      <c r="J2707" s="18"/>
      <c r="K2707" s="11">
        <v>46245.604363425926</v>
      </c>
      <c r="M2707">
        <v>2036</v>
      </c>
      <c r="N2707" t="s">
        <v>867</v>
      </c>
      <c r="O2707" s="17">
        <v>0</v>
      </c>
      <c r="P2707" s="5"/>
      <c r="Q2707" s="10">
        <f>INT(Tabela1[[#This Row],[DATA]])</f>
        <v>46245</v>
      </c>
      <c r="R2707" s="14" t="str">
        <f ca="1">IF(AND(Q2707&gt;=TODAY()-WEEKDAY(TODAY(),2)+1,Q2707&lt;TODAY()),"SIM","NÃO")</f>
        <v>SIM</v>
      </c>
    </row>
    <row r="2708" spans="1:18" hidden="1">
      <c r="A2708" t="s">
        <v>3564</v>
      </c>
      <c r="B2708" t="s">
        <v>3565</v>
      </c>
      <c r="C2708">
        <v>300288829</v>
      </c>
      <c r="D2708">
        <v>16333675</v>
      </c>
      <c r="E2708" t="s">
        <v>45</v>
      </c>
      <c r="F2708" t="s">
        <v>3502</v>
      </c>
      <c r="G2708" s="26" t="s">
        <v>4542</v>
      </c>
      <c r="H2708" t="s">
        <v>4543</v>
      </c>
      <c r="J2708" s="18"/>
      <c r="K2708" s="11">
        <v>46245.614074074074</v>
      </c>
      <c r="M2708">
        <v>2037</v>
      </c>
      <c r="N2708" t="s">
        <v>867</v>
      </c>
      <c r="O2708" s="17">
        <v>1000021569</v>
      </c>
      <c r="P2708" s="5"/>
      <c r="Q2708" s="10">
        <f>INT(Tabela1[[#This Row],[DATA]])</f>
        <v>46245</v>
      </c>
      <c r="R2708" s="14" t="str">
        <f ca="1">IF(AND(Q2708&gt;=TODAY()-WEEKDAY(TODAY(),2)+1,Q2708&lt;TODAY()),"SIM","NÃO")</f>
        <v>SIM</v>
      </c>
    </row>
    <row r="2709" spans="1:18" hidden="1">
      <c r="A2709" t="s">
        <v>3073</v>
      </c>
      <c r="B2709" t="s">
        <v>448</v>
      </c>
      <c r="C2709">
        <v>300284806</v>
      </c>
      <c r="D2709">
        <v>16450272</v>
      </c>
      <c r="E2709" t="s">
        <v>37</v>
      </c>
      <c r="F2709" t="s">
        <v>1137</v>
      </c>
      <c r="G2709" s="26">
        <v>29</v>
      </c>
      <c r="H2709" t="s">
        <v>4544</v>
      </c>
      <c r="J2709" s="18" t="s">
        <v>4545</v>
      </c>
      <c r="K2709" s="11">
        <v>46245.616643518515</v>
      </c>
      <c r="M2709">
        <v>2038</v>
      </c>
      <c r="N2709" t="s">
        <v>867</v>
      </c>
      <c r="O2709" s="17">
        <v>0</v>
      </c>
      <c r="P2709" s="5"/>
      <c r="Q2709" s="10">
        <f>INT(Tabela1[[#This Row],[DATA]])</f>
        <v>46245</v>
      </c>
      <c r="R2709" s="14" t="str">
        <f ca="1">IF(AND(Q2709&gt;=TODAY()-WEEKDAY(TODAY(),2)+1,Q2709&lt;TODAY()),"SIM","NÃO")</f>
        <v>SIM</v>
      </c>
    </row>
    <row r="2710" spans="1:18" hidden="1">
      <c r="A2710" t="s">
        <v>2624</v>
      </c>
      <c r="B2710" t="s">
        <v>50</v>
      </c>
      <c r="C2710">
        <v>300285687</v>
      </c>
      <c r="D2710">
        <v>16217861</v>
      </c>
      <c r="E2710" t="s">
        <v>37</v>
      </c>
      <c r="F2710" t="s">
        <v>3215</v>
      </c>
      <c r="G2710" s="26">
        <v>5</v>
      </c>
      <c r="H2710" t="s">
        <v>4546</v>
      </c>
      <c r="J2710" s="18" t="s">
        <v>4547</v>
      </c>
      <c r="K2710" s="11">
        <v>46245.617997685185</v>
      </c>
      <c r="M2710">
        <v>2039</v>
      </c>
      <c r="N2710" t="s">
        <v>867</v>
      </c>
      <c r="O2710" s="17">
        <v>300285687</v>
      </c>
      <c r="P2710" s="5"/>
      <c r="Q2710" s="10">
        <f>INT(Tabela1[[#This Row],[DATA]])</f>
        <v>46245</v>
      </c>
      <c r="R2710" s="14" t="str">
        <f ca="1">IF(AND(Q2710&gt;=TODAY()-WEEKDAY(TODAY(),2)+1,Q2710&lt;TODAY()),"SIM","NÃO")</f>
        <v>SIM</v>
      </c>
    </row>
    <row r="2711" spans="1:18" hidden="1">
      <c r="A2711" t="s">
        <v>79</v>
      </c>
      <c r="B2711" t="s">
        <v>4548</v>
      </c>
      <c r="C2711">
        <v>300285366</v>
      </c>
      <c r="D2711">
        <v>16474244</v>
      </c>
      <c r="E2711" t="s">
        <v>29</v>
      </c>
      <c r="F2711" t="s">
        <v>2405</v>
      </c>
      <c r="G2711" s="26" t="s">
        <v>4549</v>
      </c>
      <c r="H2711" t="s">
        <v>1992</v>
      </c>
      <c r="J2711" s="18"/>
      <c r="K2711" s="11">
        <v>46245.62641203704</v>
      </c>
      <c r="M2711">
        <v>2040</v>
      </c>
      <c r="N2711" t="s">
        <v>867</v>
      </c>
      <c r="O2711" s="17">
        <v>0</v>
      </c>
      <c r="P2711" s="5"/>
      <c r="Q2711" s="10">
        <f>INT(Tabela1[[#This Row],[DATA]])</f>
        <v>46245</v>
      </c>
      <c r="R2711" s="14" t="str">
        <f ca="1">IF(AND(Q2711&gt;=TODAY()-WEEKDAY(TODAY(),2)+1,Q2711&lt;TODAY()),"SIM","NÃO")</f>
        <v>SIM</v>
      </c>
    </row>
    <row r="2712" spans="1:18" hidden="1">
      <c r="A2712" t="s">
        <v>111</v>
      </c>
      <c r="B2712" t="s">
        <v>112</v>
      </c>
      <c r="C2712">
        <v>300277098</v>
      </c>
      <c r="D2712">
        <v>15764290</v>
      </c>
      <c r="E2712" t="s">
        <v>37</v>
      </c>
      <c r="F2712" t="s">
        <v>2405</v>
      </c>
      <c r="G2712" s="26">
        <v>1</v>
      </c>
      <c r="H2712" t="s">
        <v>1335</v>
      </c>
      <c r="J2712" s="18"/>
      <c r="K2712" s="11">
        <v>46245.629548611112</v>
      </c>
      <c r="M2712">
        <v>2041</v>
      </c>
      <c r="N2712" t="s">
        <v>867</v>
      </c>
      <c r="O2712" s="17">
        <v>0</v>
      </c>
      <c r="P2712" s="5"/>
      <c r="Q2712" s="10">
        <f>INT(Tabela1[[#This Row],[DATA]])</f>
        <v>46245</v>
      </c>
      <c r="R2712" s="14" t="str">
        <f ca="1">IF(AND(Q2712&gt;=TODAY()-WEEKDAY(TODAY(),2)+1,Q2712&lt;TODAY()),"SIM","NÃO")</f>
        <v>SIM</v>
      </c>
    </row>
    <row r="2713" spans="1:18" hidden="1">
      <c r="A2713" t="s">
        <v>253</v>
      </c>
      <c r="B2713" t="s">
        <v>254</v>
      </c>
      <c r="C2713">
        <v>300271871</v>
      </c>
      <c r="D2713">
        <v>16222954</v>
      </c>
      <c r="E2713" t="s">
        <v>45</v>
      </c>
      <c r="F2713" t="s">
        <v>323</v>
      </c>
      <c r="G2713" s="26">
        <v>10</v>
      </c>
      <c r="H2713" t="s">
        <v>582</v>
      </c>
      <c r="J2713" s="18" t="s">
        <v>582</v>
      </c>
      <c r="K2713" s="11">
        <v>46245.634756944448</v>
      </c>
      <c r="M2713">
        <v>2042</v>
      </c>
      <c r="N2713" t="s">
        <v>867</v>
      </c>
      <c r="O2713" s="17">
        <v>0</v>
      </c>
      <c r="P2713" s="5"/>
      <c r="Q2713" s="10">
        <f>INT(Tabela1[[#This Row],[DATA]])</f>
        <v>46245</v>
      </c>
      <c r="R2713" s="14" t="str">
        <f ca="1">IF(AND(Q2713&gt;=TODAY()-WEEKDAY(TODAY(),2)+1,Q2713&lt;TODAY()),"SIM","NÃO")</f>
        <v>SIM</v>
      </c>
    </row>
    <row r="2714" spans="1:18" hidden="1">
      <c r="A2714" t="s">
        <v>3564</v>
      </c>
      <c r="B2714" t="s">
        <v>3565</v>
      </c>
      <c r="C2714">
        <v>300288825</v>
      </c>
      <c r="D2714">
        <v>16461665</v>
      </c>
      <c r="E2714" t="s">
        <v>45</v>
      </c>
      <c r="F2714" t="s">
        <v>3502</v>
      </c>
      <c r="G2714" s="26" t="s">
        <v>4550</v>
      </c>
      <c r="H2714" t="s">
        <v>4543</v>
      </c>
      <c r="J2714" s="18"/>
      <c r="K2714" s="11">
        <v>46245.635671296295</v>
      </c>
      <c r="M2714">
        <v>2043</v>
      </c>
      <c r="N2714" t="s">
        <v>867</v>
      </c>
      <c r="O2714" s="17" t="s">
        <v>4551</v>
      </c>
      <c r="P2714" s="5"/>
      <c r="Q2714" s="10">
        <f>INT(Tabela1[[#This Row],[DATA]])</f>
        <v>46245</v>
      </c>
      <c r="R2714" s="14" t="str">
        <f ca="1">IF(AND(Q2714&gt;=TODAY()-WEEKDAY(TODAY(),2)+1,Q2714&lt;TODAY()),"SIM","NÃO")</f>
        <v>SIM</v>
      </c>
    </row>
    <row r="2715" spans="1:18" hidden="1">
      <c r="A2715" t="s">
        <v>196</v>
      </c>
      <c r="B2715" t="s">
        <v>1625</v>
      </c>
      <c r="C2715">
        <v>300283947</v>
      </c>
      <c r="D2715">
        <v>16539486</v>
      </c>
      <c r="E2715" t="s">
        <v>37</v>
      </c>
      <c r="F2715" t="s">
        <v>4529</v>
      </c>
      <c r="G2715" s="26" t="s">
        <v>4552</v>
      </c>
      <c r="H2715" t="s">
        <v>2137</v>
      </c>
      <c r="J2715" s="18" t="s">
        <v>4553</v>
      </c>
      <c r="K2715" s="11">
        <v>46245.65185185185</v>
      </c>
      <c r="M2715">
        <v>2044</v>
      </c>
      <c r="N2715" t="s">
        <v>878</v>
      </c>
      <c r="O2715" s="17">
        <v>0</v>
      </c>
      <c r="P2715" s="5"/>
      <c r="Q2715" s="10">
        <f>INT(Tabela1[[#This Row],[DATA]])</f>
        <v>46245</v>
      </c>
      <c r="R2715" s="14" t="str">
        <f ca="1">IF(AND(Q2715&gt;=TODAY()-WEEKDAY(TODAY(),2)+1,Q2715&lt;TODAY()),"SIM","NÃO")</f>
        <v>SIM</v>
      </c>
    </row>
    <row r="2716" spans="1:18" hidden="1">
      <c r="A2716" t="s">
        <v>2659</v>
      </c>
      <c r="B2716" t="s">
        <v>677</v>
      </c>
      <c r="C2716">
        <v>300285100</v>
      </c>
      <c r="D2716">
        <v>16474120</v>
      </c>
      <c r="E2716" t="s">
        <v>37</v>
      </c>
      <c r="F2716" t="s">
        <v>3241</v>
      </c>
      <c r="G2716" s="26">
        <v>1528</v>
      </c>
      <c r="H2716" t="s">
        <v>4554</v>
      </c>
      <c r="J2716" s="18" t="s">
        <v>4555</v>
      </c>
      <c r="K2716" s="11">
        <v>46245.658819444441</v>
      </c>
      <c r="M2716">
        <v>2045</v>
      </c>
      <c r="N2716" t="s">
        <v>867</v>
      </c>
      <c r="O2716" s="17" t="s">
        <v>2778</v>
      </c>
      <c r="P2716" s="5"/>
      <c r="Q2716" s="10">
        <f>INT(Tabela1[[#This Row],[DATA]])</f>
        <v>46245</v>
      </c>
      <c r="R2716" s="14" t="str">
        <f ca="1">IF(AND(Q2716&gt;=TODAY()-WEEKDAY(TODAY(),2)+1,Q2716&lt;TODAY()),"SIM","NÃO")</f>
        <v>SIM</v>
      </c>
    </row>
    <row r="2717" spans="1:18" hidden="1">
      <c r="A2717" t="s">
        <v>163</v>
      </c>
      <c r="B2717" t="s">
        <v>164</v>
      </c>
      <c r="C2717">
        <v>300287252</v>
      </c>
      <c r="D2717">
        <v>16224116</v>
      </c>
      <c r="E2717" t="s">
        <v>45</v>
      </c>
      <c r="F2717" t="s">
        <v>96</v>
      </c>
      <c r="G2717" s="26">
        <v>82</v>
      </c>
      <c r="H2717" t="s">
        <v>2292</v>
      </c>
      <c r="J2717" s="18" t="s">
        <v>4556</v>
      </c>
      <c r="K2717" s="11">
        <v>46245.663344907407</v>
      </c>
      <c r="M2717">
        <v>2046</v>
      </c>
      <c r="N2717" t="s">
        <v>867</v>
      </c>
      <c r="O2717" s="17">
        <v>0</v>
      </c>
      <c r="P2717" s="5"/>
      <c r="Q2717" s="10">
        <f>INT(Tabela1[[#This Row],[DATA]])</f>
        <v>46245</v>
      </c>
      <c r="R2717" s="14" t="str">
        <f ca="1">IF(AND(Q2717&gt;=TODAY()-WEEKDAY(TODAY(),2)+1,Q2717&lt;TODAY()),"SIM","NÃO")</f>
        <v>SIM</v>
      </c>
    </row>
    <row r="2718" spans="1:18" hidden="1">
      <c r="A2718" t="s">
        <v>2659</v>
      </c>
      <c r="B2718" t="s">
        <v>677</v>
      </c>
      <c r="C2718">
        <v>300289390</v>
      </c>
      <c r="D2718">
        <v>16461908</v>
      </c>
      <c r="E2718" t="s">
        <v>37</v>
      </c>
      <c r="F2718" t="s">
        <v>2405</v>
      </c>
      <c r="G2718" s="26">
        <v>9</v>
      </c>
      <c r="H2718" t="s">
        <v>4557</v>
      </c>
      <c r="J2718" s="18" t="s">
        <v>2846</v>
      </c>
      <c r="K2718" s="11">
        <v>46245.666296296295</v>
      </c>
      <c r="M2718">
        <v>2047</v>
      </c>
      <c r="N2718" t="s">
        <v>867</v>
      </c>
      <c r="O2718" s="17" t="s">
        <v>2778</v>
      </c>
      <c r="P2718" s="5"/>
      <c r="Q2718" s="10">
        <f>INT(Tabela1[[#This Row],[DATA]])</f>
        <v>46245</v>
      </c>
      <c r="R2718" s="14" t="str">
        <f ca="1">IF(AND(Q2718&gt;=TODAY()-WEEKDAY(TODAY(),2)+1,Q2718&lt;TODAY()),"SIM","NÃO")</f>
        <v>SIM</v>
      </c>
    </row>
    <row r="2719" spans="1:18" hidden="1">
      <c r="A2719" t="s">
        <v>2578</v>
      </c>
      <c r="B2719" t="s">
        <v>69</v>
      </c>
      <c r="C2719">
        <v>300288059</v>
      </c>
      <c r="D2719">
        <v>16311876</v>
      </c>
      <c r="E2719" t="s">
        <v>45</v>
      </c>
      <c r="F2719" t="s">
        <v>3212</v>
      </c>
      <c r="G2719" s="26">
        <v>350</v>
      </c>
      <c r="H2719" t="s">
        <v>4558</v>
      </c>
      <c r="J2719" s="18"/>
      <c r="K2719" s="11">
        <v>46245.679270833331</v>
      </c>
      <c r="M2719">
        <v>2048</v>
      </c>
      <c r="N2719" t="s">
        <v>867</v>
      </c>
      <c r="O2719" s="17">
        <v>16311876</v>
      </c>
      <c r="P2719" s="5"/>
      <c r="Q2719" s="10">
        <f>INT(Tabela1[[#This Row],[DATA]])</f>
        <v>46245</v>
      </c>
      <c r="R2719" s="14" t="str">
        <f ca="1">IF(AND(Q2719&gt;=TODAY()-WEEKDAY(TODAY(),2)+1,Q2719&lt;TODAY()),"SIM","NÃO")</f>
        <v>SIM</v>
      </c>
    </row>
    <row r="2720" spans="1:18" hidden="1">
      <c r="A2720" t="s">
        <v>196</v>
      </c>
      <c r="B2720" t="s">
        <v>1625</v>
      </c>
      <c r="C2720">
        <v>300283946</v>
      </c>
      <c r="D2720">
        <v>16523776</v>
      </c>
      <c r="E2720" t="s">
        <v>37</v>
      </c>
      <c r="F2720" t="s">
        <v>2405</v>
      </c>
      <c r="G2720" s="26">
        <v>13</v>
      </c>
      <c r="H2720" t="s">
        <v>2137</v>
      </c>
      <c r="J2720" s="18"/>
      <c r="K2720" s="11">
        <v>46245.729618055557</v>
      </c>
      <c r="M2720">
        <v>2049</v>
      </c>
      <c r="N2720" t="s">
        <v>867</v>
      </c>
      <c r="O2720" s="17">
        <v>0</v>
      </c>
      <c r="P2720" s="5"/>
      <c r="Q2720" s="10">
        <f>INT(Tabela1[[#This Row],[DATA]])</f>
        <v>46245</v>
      </c>
      <c r="R2720" s="14" t="str">
        <f ca="1">IF(AND(Q2720&gt;=TODAY()-WEEKDAY(TODAY(),2)+1,Q2720&lt;TODAY()),"SIM","NÃO")</f>
        <v>SIM</v>
      </c>
    </row>
    <row r="2721" spans="1:18" hidden="1">
      <c r="A2721" t="s">
        <v>2547</v>
      </c>
      <c r="B2721" t="s">
        <v>1582</v>
      </c>
      <c r="C2721">
        <v>300280267</v>
      </c>
      <c r="D2721">
        <v>15972992</v>
      </c>
      <c r="E2721" t="s">
        <v>45</v>
      </c>
      <c r="F2721" t="s">
        <v>151</v>
      </c>
      <c r="G2721" s="26">
        <v>3</v>
      </c>
      <c r="H2721" t="s">
        <v>4559</v>
      </c>
      <c r="J2721" s="18" t="s">
        <v>4560</v>
      </c>
      <c r="K2721" s="11">
        <v>46246.307326388887</v>
      </c>
      <c r="M2721">
        <v>2050</v>
      </c>
      <c r="N2721" t="s">
        <v>867</v>
      </c>
      <c r="O2721" s="17">
        <v>0</v>
      </c>
      <c r="P2721" s="5"/>
      <c r="Q2721" s="10">
        <f>INT(Tabela1[[#This Row],[DATA]])</f>
        <v>46246</v>
      </c>
      <c r="R2721" s="14" t="str">
        <f ca="1">IF(AND(Q2721&gt;=TODAY()-WEEKDAY(TODAY(),2)+1,Q2721&lt;TODAY()),"SIM","NÃO")</f>
        <v>SIM</v>
      </c>
    </row>
    <row r="2722" spans="1:18" hidden="1">
      <c r="A2722" t="s">
        <v>807</v>
      </c>
      <c r="B2722" t="s">
        <v>1390</v>
      </c>
      <c r="C2722">
        <v>300288064</v>
      </c>
      <c r="D2722">
        <v>15206637</v>
      </c>
      <c r="E2722" t="s">
        <v>45</v>
      </c>
      <c r="F2722" t="s">
        <v>96</v>
      </c>
      <c r="G2722" s="26">
        <v>10</v>
      </c>
      <c r="H2722" t="s">
        <v>4561</v>
      </c>
      <c r="J2722" s="18" t="s">
        <v>4562</v>
      </c>
      <c r="K2722" s="11">
        <v>46246.316412037035</v>
      </c>
      <c r="M2722">
        <v>2051</v>
      </c>
      <c r="N2722" t="s">
        <v>867</v>
      </c>
      <c r="O2722" s="17">
        <v>0</v>
      </c>
      <c r="P2722" s="5"/>
      <c r="Q2722" s="10">
        <f>INT(Tabela1[[#This Row],[DATA]])</f>
        <v>46246</v>
      </c>
      <c r="R2722" s="14" t="str">
        <f ca="1">IF(AND(Q2722&gt;=TODAY()-WEEKDAY(TODAY(),2)+1,Q2722&lt;TODAY()),"SIM","NÃO")</f>
        <v>SIM</v>
      </c>
    </row>
    <row r="2723" spans="1:18" hidden="1">
      <c r="A2723" t="s">
        <v>1835</v>
      </c>
      <c r="B2723" t="s">
        <v>4563</v>
      </c>
      <c r="C2723">
        <v>300278897</v>
      </c>
      <c r="D2723">
        <v>16293274</v>
      </c>
      <c r="E2723" t="s">
        <v>37</v>
      </c>
      <c r="F2723" t="s">
        <v>3241</v>
      </c>
      <c r="G2723" s="26">
        <v>3</v>
      </c>
      <c r="H2723" t="s">
        <v>4564</v>
      </c>
      <c r="J2723" s="18" t="s">
        <v>4565</v>
      </c>
      <c r="K2723" s="11">
        <v>46246.322893518518</v>
      </c>
      <c r="M2723">
        <v>2052</v>
      </c>
      <c r="N2723" t="s">
        <v>867</v>
      </c>
      <c r="O2723" s="17" t="s">
        <v>4566</v>
      </c>
      <c r="P2723" s="5"/>
      <c r="Q2723" s="10">
        <f>INT(Tabela1[[#This Row],[DATA]])</f>
        <v>46246</v>
      </c>
      <c r="R2723" s="14" t="str">
        <f ca="1">IF(AND(Q2723&gt;=TODAY()-WEEKDAY(TODAY(),2)+1,Q2723&lt;TODAY()),"SIM","NÃO")</f>
        <v>SIM</v>
      </c>
    </row>
    <row r="2724" spans="1:18" hidden="1">
      <c r="A2724" t="s">
        <v>1835</v>
      </c>
      <c r="B2724" t="s">
        <v>4563</v>
      </c>
      <c r="C2724">
        <v>300287950</v>
      </c>
      <c r="D2724">
        <v>16523784</v>
      </c>
      <c r="E2724" t="s">
        <v>37</v>
      </c>
      <c r="F2724" t="s">
        <v>177</v>
      </c>
      <c r="G2724" s="26">
        <v>50</v>
      </c>
      <c r="H2724" t="s">
        <v>2846</v>
      </c>
      <c r="J2724" s="18"/>
      <c r="K2724" s="11">
        <v>46246.325914351852</v>
      </c>
      <c r="M2724">
        <v>2053</v>
      </c>
      <c r="N2724" t="s">
        <v>867</v>
      </c>
      <c r="O2724" s="17">
        <v>100000247114</v>
      </c>
      <c r="P2724" s="5"/>
      <c r="Q2724" s="10">
        <f>INT(Tabela1[[#This Row],[DATA]])</f>
        <v>46246</v>
      </c>
      <c r="R2724" s="14" t="str">
        <f ca="1">IF(AND(Q2724&gt;=TODAY()-WEEKDAY(TODAY(),2)+1,Q2724&lt;TODAY()),"SIM","NÃO")</f>
        <v>SIM</v>
      </c>
    </row>
    <row r="2725" spans="1:18" hidden="1">
      <c r="A2725" t="s">
        <v>1236</v>
      </c>
      <c r="B2725" t="s">
        <v>1237</v>
      </c>
      <c r="C2725">
        <v>300283508</v>
      </c>
      <c r="D2725">
        <v>16474147</v>
      </c>
      <c r="E2725" t="s">
        <v>37</v>
      </c>
      <c r="F2725" t="s">
        <v>177</v>
      </c>
      <c r="G2725" s="26">
        <v>50</v>
      </c>
      <c r="H2725" t="s">
        <v>4567</v>
      </c>
      <c r="J2725" s="18"/>
      <c r="K2725" s="11">
        <v>46246.338819444441</v>
      </c>
      <c r="M2725">
        <v>2054</v>
      </c>
      <c r="N2725" t="s">
        <v>867</v>
      </c>
      <c r="O2725" s="17">
        <v>241454</v>
      </c>
      <c r="P2725" s="5"/>
      <c r="Q2725" s="10">
        <f>INT(Tabela1[[#This Row],[DATA]])</f>
        <v>46246</v>
      </c>
      <c r="R2725" s="14" t="str">
        <f ca="1">IF(AND(Q2725&gt;=TODAY()-WEEKDAY(TODAY(),2)+1,Q2725&lt;TODAY()),"SIM","NÃO")</f>
        <v>SIM</v>
      </c>
    </row>
    <row r="2726" spans="1:18" hidden="1">
      <c r="A2726" t="s">
        <v>191</v>
      </c>
      <c r="B2726" t="s">
        <v>192</v>
      </c>
      <c r="C2726">
        <v>300288565</v>
      </c>
      <c r="D2726">
        <v>15758249</v>
      </c>
      <c r="E2726" t="s">
        <v>29</v>
      </c>
      <c r="F2726" t="s">
        <v>259</v>
      </c>
      <c r="G2726" s="26">
        <v>10</v>
      </c>
      <c r="H2726" t="s">
        <v>2039</v>
      </c>
      <c r="J2726" s="18"/>
      <c r="K2726" s="11">
        <v>46246.341319444444</v>
      </c>
      <c r="M2726">
        <v>2055</v>
      </c>
      <c r="N2726" t="s">
        <v>867</v>
      </c>
      <c r="O2726" s="17">
        <v>10000072078</v>
      </c>
      <c r="P2726" s="5"/>
      <c r="Q2726" s="10">
        <f>INT(Tabela1[[#This Row],[DATA]])</f>
        <v>46246</v>
      </c>
      <c r="R2726" s="14" t="str">
        <f ca="1">IF(AND(Q2726&gt;=TODAY()-WEEKDAY(TODAY(),2)+1,Q2726&lt;TODAY()),"SIM","NÃO")</f>
        <v>SIM</v>
      </c>
    </row>
    <row r="2727" spans="1:18" hidden="1">
      <c r="A2727" t="s">
        <v>191</v>
      </c>
      <c r="B2727" t="s">
        <v>192</v>
      </c>
      <c r="C2727">
        <v>300288565</v>
      </c>
      <c r="D2727">
        <v>15758249</v>
      </c>
      <c r="E2727" t="s">
        <v>29</v>
      </c>
      <c r="F2727" t="s">
        <v>3241</v>
      </c>
      <c r="G2727" s="26">
        <v>10</v>
      </c>
      <c r="H2727" t="s">
        <v>2039</v>
      </c>
      <c r="J2727" s="18"/>
      <c r="K2727" s="11">
        <v>46246.342557870368</v>
      </c>
      <c r="M2727">
        <v>2056</v>
      </c>
      <c r="N2727" t="s">
        <v>867</v>
      </c>
      <c r="O2727" s="17">
        <v>10000072570</v>
      </c>
      <c r="P2727" s="5"/>
      <c r="Q2727" s="10">
        <f>INT(Tabela1[[#This Row],[DATA]])</f>
        <v>46246</v>
      </c>
      <c r="R2727" s="14" t="str">
        <f ca="1">IF(AND(Q2727&gt;=TODAY()-WEEKDAY(TODAY(),2)+1,Q2727&lt;TODAY()),"SIM","NÃO")</f>
        <v>SIM</v>
      </c>
    </row>
    <row r="2728" spans="1:18" hidden="1">
      <c r="A2728" t="s">
        <v>1439</v>
      </c>
      <c r="B2728" t="s">
        <v>1440</v>
      </c>
      <c r="C2728">
        <v>300281916</v>
      </c>
      <c r="D2728">
        <v>16565746</v>
      </c>
      <c r="E2728" t="s">
        <v>45</v>
      </c>
      <c r="F2728" t="s">
        <v>3502</v>
      </c>
      <c r="G2728" s="26">
        <v>144</v>
      </c>
      <c r="H2728" t="s">
        <v>2632</v>
      </c>
      <c r="J2728" s="18" t="s">
        <v>4568</v>
      </c>
      <c r="K2728" s="11">
        <v>46246.347754629627</v>
      </c>
      <c r="M2728">
        <v>2057</v>
      </c>
      <c r="N2728" t="s">
        <v>867</v>
      </c>
      <c r="O2728" s="17">
        <v>0</v>
      </c>
      <c r="P2728" s="5"/>
      <c r="Q2728" s="10">
        <f>INT(Tabela1[[#This Row],[DATA]])</f>
        <v>46246</v>
      </c>
      <c r="R2728" s="14" t="str">
        <f ca="1">IF(AND(Q2728&gt;=TODAY()-WEEKDAY(TODAY(),2)+1,Q2728&lt;TODAY()),"SIM","NÃO")</f>
        <v>SIM</v>
      </c>
    </row>
    <row r="2729" spans="1:18" hidden="1">
      <c r="A2729" t="s">
        <v>2649</v>
      </c>
      <c r="B2729" t="s">
        <v>137</v>
      </c>
      <c r="C2729">
        <v>300287592</v>
      </c>
      <c r="D2729">
        <v>16242769</v>
      </c>
      <c r="E2729" t="s">
        <v>37</v>
      </c>
      <c r="F2729" t="s">
        <v>221</v>
      </c>
      <c r="G2729" s="26">
        <v>700</v>
      </c>
      <c r="H2729" t="s">
        <v>4569</v>
      </c>
      <c r="J2729" s="18"/>
      <c r="K2729" s="11">
        <v>46246.352766203701</v>
      </c>
      <c r="M2729">
        <v>2058</v>
      </c>
      <c r="N2729" t="s">
        <v>867</v>
      </c>
      <c r="O2729" s="17" t="s">
        <v>4570</v>
      </c>
      <c r="P2729" s="5"/>
      <c r="Q2729" s="10">
        <f>INT(Tabela1[[#This Row],[DATA]])</f>
        <v>46246</v>
      </c>
      <c r="R2729" s="14" t="str">
        <f ca="1">IF(AND(Q2729&gt;=TODAY()-WEEKDAY(TODAY(),2)+1,Q2729&lt;TODAY()),"SIM","NÃO")</f>
        <v>SIM</v>
      </c>
    </row>
    <row r="2730" spans="1:18" hidden="1">
      <c r="A2730" t="s">
        <v>2565</v>
      </c>
      <c r="B2730" t="s">
        <v>95</v>
      </c>
      <c r="C2730">
        <v>300288817</v>
      </c>
      <c r="D2730">
        <v>16577434</v>
      </c>
      <c r="E2730" t="s">
        <v>45</v>
      </c>
      <c r="F2730" t="s">
        <v>259</v>
      </c>
      <c r="G2730" s="26">
        <v>833</v>
      </c>
      <c r="H2730" t="s">
        <v>4571</v>
      </c>
      <c r="J2730" s="18" t="s">
        <v>4572</v>
      </c>
      <c r="K2730" s="11">
        <v>46246.357592592591</v>
      </c>
      <c r="M2730">
        <v>2059</v>
      </c>
      <c r="N2730" t="s">
        <v>867</v>
      </c>
      <c r="O2730" s="17">
        <v>10000072008</v>
      </c>
      <c r="P2730" s="5"/>
      <c r="Q2730" s="10">
        <f>INT(Tabela1[[#This Row],[DATA]])</f>
        <v>46246</v>
      </c>
      <c r="R2730" s="14" t="str">
        <f ca="1">IF(AND(Q2730&gt;=TODAY()-WEEKDAY(TODAY(),2)+1,Q2730&lt;TODAY()),"SIM","NÃO")</f>
        <v>SIM</v>
      </c>
    </row>
    <row r="2731" spans="1:18" hidden="1">
      <c r="A2731" t="s">
        <v>2565</v>
      </c>
      <c r="B2731" t="s">
        <v>95</v>
      </c>
      <c r="C2731">
        <v>300288817</v>
      </c>
      <c r="D2731">
        <v>16577434</v>
      </c>
      <c r="E2731" t="s">
        <v>45</v>
      </c>
      <c r="F2731" t="s">
        <v>3241</v>
      </c>
      <c r="G2731" s="26">
        <v>833</v>
      </c>
      <c r="H2731" t="s">
        <v>4573</v>
      </c>
      <c r="J2731" s="18" t="s">
        <v>4574</v>
      </c>
      <c r="K2731" s="11">
        <v>46246.359398148146</v>
      </c>
      <c r="M2731">
        <v>2060</v>
      </c>
      <c r="N2731" t="s">
        <v>867</v>
      </c>
      <c r="O2731" s="17">
        <v>10000072583</v>
      </c>
      <c r="P2731" s="5"/>
      <c r="Q2731" s="10">
        <f>INT(Tabela1[[#This Row],[DATA]])</f>
        <v>46246</v>
      </c>
      <c r="R2731" s="14" t="str">
        <f ca="1">IF(AND(Q2731&gt;=TODAY()-WEEKDAY(TODAY(),2)+1,Q2731&lt;TODAY()),"SIM","NÃO")</f>
        <v>SIM</v>
      </c>
    </row>
    <row r="2732" spans="1:18" hidden="1">
      <c r="A2732" t="s">
        <v>253</v>
      </c>
      <c r="B2732" t="s">
        <v>4575</v>
      </c>
      <c r="C2732">
        <v>300286142</v>
      </c>
      <c r="D2732">
        <v>15859177</v>
      </c>
      <c r="E2732" t="s">
        <v>37</v>
      </c>
      <c r="F2732" t="s">
        <v>2405</v>
      </c>
      <c r="G2732" s="26">
        <v>30</v>
      </c>
      <c r="H2732" t="s">
        <v>582</v>
      </c>
      <c r="J2732" s="18" t="s">
        <v>582</v>
      </c>
      <c r="K2732" s="11">
        <v>46246.361354166664</v>
      </c>
      <c r="M2732">
        <v>2061</v>
      </c>
      <c r="N2732" t="s">
        <v>867</v>
      </c>
      <c r="O2732" s="17">
        <v>0</v>
      </c>
      <c r="P2732" s="5"/>
      <c r="Q2732" s="10">
        <f>INT(Tabela1[[#This Row],[DATA]])</f>
        <v>46246</v>
      </c>
      <c r="R2732" s="14" t="str">
        <f ca="1">IF(AND(Q2732&gt;=TODAY()-WEEKDAY(TODAY(),2)+1,Q2732&lt;TODAY()),"SIM","NÃO")</f>
        <v>SIM</v>
      </c>
    </row>
    <row r="2733" spans="1:18" hidden="1">
      <c r="A2733" t="s">
        <v>2649</v>
      </c>
      <c r="B2733" t="s">
        <v>137</v>
      </c>
      <c r="C2733">
        <v>300288821</v>
      </c>
      <c r="D2733">
        <v>16588720</v>
      </c>
      <c r="E2733" t="s">
        <v>45</v>
      </c>
      <c r="F2733" t="s">
        <v>3212</v>
      </c>
      <c r="G2733" s="26">
        <v>1955</v>
      </c>
      <c r="H2733" t="s">
        <v>4576</v>
      </c>
      <c r="J2733" s="18"/>
      <c r="K2733" s="11">
        <v>46246.374328703707</v>
      </c>
      <c r="M2733">
        <v>2062</v>
      </c>
      <c r="N2733" t="s">
        <v>878</v>
      </c>
      <c r="O2733" s="17" t="s">
        <v>138</v>
      </c>
      <c r="P2733" s="5"/>
      <c r="Q2733" s="10">
        <f>INT(Tabela1[[#This Row],[DATA]])</f>
        <v>46246</v>
      </c>
      <c r="R2733" s="14" t="str">
        <f ca="1">IF(AND(Q2733&gt;=TODAY()-WEEKDAY(TODAY(),2)+1,Q2733&lt;TODAY()),"SIM","NÃO")</f>
        <v>SIM</v>
      </c>
    </row>
    <row r="2734" spans="1:18" hidden="1">
      <c r="A2734" t="s">
        <v>2649</v>
      </c>
      <c r="B2734" t="s">
        <v>137</v>
      </c>
      <c r="C2734">
        <v>300288822</v>
      </c>
      <c r="D2734">
        <v>16588720</v>
      </c>
      <c r="E2734" t="s">
        <v>45</v>
      </c>
      <c r="F2734" t="s">
        <v>3212</v>
      </c>
      <c r="G2734" s="26">
        <v>1921</v>
      </c>
      <c r="H2734" t="s">
        <v>4576</v>
      </c>
      <c r="J2734" s="18"/>
      <c r="K2734" s="11">
        <v>46246.375486111108</v>
      </c>
      <c r="M2734">
        <v>2063</v>
      </c>
      <c r="N2734" t="s">
        <v>878</v>
      </c>
      <c r="O2734" s="17" t="s">
        <v>138</v>
      </c>
      <c r="P2734" s="5"/>
      <c r="Q2734" s="10">
        <f>INT(Tabela1[[#This Row],[DATA]])</f>
        <v>46246</v>
      </c>
      <c r="R2734" s="14" t="str">
        <f ca="1">IF(AND(Q2734&gt;=TODAY()-WEEKDAY(TODAY(),2)+1,Q2734&lt;TODAY()),"SIM","NÃO")</f>
        <v>SIM</v>
      </c>
    </row>
    <row r="2735" spans="1:18" hidden="1">
      <c r="A2735" t="s">
        <v>163</v>
      </c>
      <c r="B2735" t="s">
        <v>164</v>
      </c>
      <c r="C2735">
        <v>300283555</v>
      </c>
      <c r="D2735">
        <v>16559550</v>
      </c>
      <c r="E2735" t="s">
        <v>37</v>
      </c>
      <c r="F2735" t="s">
        <v>221</v>
      </c>
      <c r="G2735" s="26">
        <v>1092</v>
      </c>
      <c r="H2735" t="s">
        <v>4577</v>
      </c>
      <c r="J2735" s="18"/>
      <c r="K2735" s="11">
        <v>46246.441793981481</v>
      </c>
      <c r="M2735">
        <v>2064</v>
      </c>
      <c r="N2735" t="s">
        <v>878</v>
      </c>
      <c r="O2735" s="17">
        <v>10000195709</v>
      </c>
      <c r="P2735" s="5"/>
      <c r="Q2735" s="10">
        <f>INT(Tabela1[[#This Row],[DATA]])</f>
        <v>46246</v>
      </c>
      <c r="R2735" s="14" t="str">
        <f ca="1">IF(AND(Q2735&gt;=TODAY()-WEEKDAY(TODAY(),2)+1,Q2735&lt;TODAY()),"SIM","NÃO")</f>
        <v>SIM</v>
      </c>
    </row>
    <row r="2736" spans="1:18" hidden="1">
      <c r="A2736" t="s">
        <v>2549</v>
      </c>
      <c r="B2736" t="s">
        <v>19</v>
      </c>
      <c r="C2736">
        <v>300286712</v>
      </c>
      <c r="D2736">
        <v>15581888</v>
      </c>
      <c r="E2736" t="s">
        <v>20</v>
      </c>
      <c r="F2736" t="s">
        <v>151</v>
      </c>
      <c r="G2736" s="26">
        <v>115</v>
      </c>
      <c r="H2736" t="s">
        <v>4578</v>
      </c>
      <c r="J2736" s="18" t="s">
        <v>2802</v>
      </c>
      <c r="K2736" s="11">
        <v>46246.442060185182</v>
      </c>
      <c r="M2736">
        <v>2065</v>
      </c>
      <c r="N2736" t="s">
        <v>867</v>
      </c>
      <c r="O2736" s="17" t="s">
        <v>2802</v>
      </c>
      <c r="P2736" s="5"/>
      <c r="Q2736" s="10">
        <f>INT(Tabela1[[#This Row],[DATA]])</f>
        <v>46246</v>
      </c>
      <c r="R2736" s="14" t="str">
        <f ca="1">IF(AND(Q2736&gt;=TODAY()-WEEKDAY(TODAY(),2)+1,Q2736&lt;TODAY()),"SIM","NÃO")</f>
        <v>SIM</v>
      </c>
    </row>
    <row r="2737" spans="1:18" hidden="1">
      <c r="A2737" t="s">
        <v>233</v>
      </c>
      <c r="B2737" t="s">
        <v>234</v>
      </c>
      <c r="C2737">
        <v>300288760</v>
      </c>
      <c r="D2737">
        <v>16574540</v>
      </c>
      <c r="E2737" t="s">
        <v>37</v>
      </c>
      <c r="F2737" t="s">
        <v>177</v>
      </c>
      <c r="G2737" s="26">
        <v>105</v>
      </c>
      <c r="H2737" t="s">
        <v>39</v>
      </c>
      <c r="J2737" s="18" t="s">
        <v>4579</v>
      </c>
      <c r="K2737" s="11">
        <v>46246.458148148151</v>
      </c>
      <c r="M2737">
        <v>2066</v>
      </c>
      <c r="N2737" t="s">
        <v>867</v>
      </c>
      <c r="O2737" s="17">
        <v>144201</v>
      </c>
      <c r="P2737" s="5"/>
      <c r="Q2737" s="10">
        <f>INT(Tabela1[[#This Row],[DATA]])</f>
        <v>46246</v>
      </c>
      <c r="R2737" s="14" t="str">
        <f ca="1">IF(AND(Q2737&gt;=TODAY()-WEEKDAY(TODAY(),2)+1,Q2737&lt;TODAY()),"SIM","NÃO")</f>
        <v>SIM</v>
      </c>
    </row>
    <row r="2738" spans="1:18" hidden="1">
      <c r="A2738" t="s">
        <v>3073</v>
      </c>
      <c r="B2738" t="s">
        <v>448</v>
      </c>
      <c r="C2738">
        <v>300287221</v>
      </c>
      <c r="D2738">
        <v>16452100</v>
      </c>
      <c r="E2738" t="s">
        <v>37</v>
      </c>
      <c r="F2738" t="s">
        <v>2213</v>
      </c>
      <c r="G2738" s="26">
        <v>40</v>
      </c>
      <c r="H2738" t="s">
        <v>4580</v>
      </c>
      <c r="J2738" s="18"/>
      <c r="K2738" s="11">
        <v>46246.464930555558</v>
      </c>
      <c r="M2738">
        <v>2067</v>
      </c>
      <c r="N2738" t="s">
        <v>867</v>
      </c>
      <c r="O2738" s="17">
        <v>10000249817</v>
      </c>
      <c r="P2738" s="5"/>
      <c r="Q2738" s="10">
        <f>INT(Tabela1[[#This Row],[DATA]])</f>
        <v>46246</v>
      </c>
      <c r="R2738" s="14" t="str">
        <f ca="1">IF(AND(Q2738&gt;=TODAY()-WEEKDAY(TODAY(),2)+1,Q2738&lt;TODAY()),"SIM","NÃO")</f>
        <v>SIM</v>
      </c>
    </row>
    <row r="2739" spans="1:18" hidden="1">
      <c r="A2739" t="s">
        <v>428</v>
      </c>
      <c r="B2739" t="s">
        <v>429</v>
      </c>
      <c r="C2739">
        <v>300287196</v>
      </c>
      <c r="D2739">
        <v>16442466</v>
      </c>
      <c r="E2739" t="s">
        <v>29</v>
      </c>
      <c r="F2739" t="s">
        <v>430</v>
      </c>
      <c r="G2739" s="26">
        <v>420</v>
      </c>
      <c r="H2739" t="s">
        <v>2085</v>
      </c>
      <c r="J2739" s="18"/>
      <c r="K2739" s="11">
        <v>46246.526134259257</v>
      </c>
      <c r="M2739">
        <v>2068</v>
      </c>
      <c r="N2739" t="s">
        <v>867</v>
      </c>
      <c r="O2739" s="17">
        <v>0</v>
      </c>
      <c r="P2739" s="5"/>
      <c r="Q2739" s="10">
        <f>INT(Tabela1[[#This Row],[DATA]])</f>
        <v>46246</v>
      </c>
      <c r="R2739" s="14" t="str">
        <f ca="1">IF(AND(Q2739&gt;=TODAY()-WEEKDAY(TODAY(),2)+1,Q2739&lt;TODAY()),"SIM","NÃO")</f>
        <v>SIM</v>
      </c>
    </row>
    <row r="2740" spans="1:18" hidden="1">
      <c r="A2740" t="s">
        <v>428</v>
      </c>
      <c r="B2740" t="s">
        <v>429</v>
      </c>
      <c r="C2740">
        <v>300287196</v>
      </c>
      <c r="D2740">
        <v>16442466</v>
      </c>
      <c r="E2740" t="s">
        <v>29</v>
      </c>
      <c r="F2740" t="s">
        <v>259</v>
      </c>
      <c r="G2740" s="26">
        <v>14</v>
      </c>
      <c r="H2740" t="s">
        <v>2924</v>
      </c>
      <c r="J2740" s="18"/>
      <c r="K2740" s="11">
        <v>46246.527222222219</v>
      </c>
      <c r="M2740">
        <v>2069</v>
      </c>
      <c r="N2740" t="s">
        <v>867</v>
      </c>
      <c r="O2740" s="17">
        <v>0</v>
      </c>
      <c r="P2740" s="5"/>
      <c r="Q2740" s="10">
        <f>INT(Tabela1[[#This Row],[DATA]])</f>
        <v>46246</v>
      </c>
      <c r="R2740" s="14" t="str">
        <f ca="1">IF(AND(Q2740&gt;=TODAY()-WEEKDAY(TODAY(),2)+1,Q2740&lt;TODAY()),"SIM","NÃO")</f>
        <v>SIM</v>
      </c>
    </row>
    <row r="2741" spans="1:18" hidden="1">
      <c r="A2741" t="s">
        <v>2765</v>
      </c>
      <c r="B2741" t="s">
        <v>107</v>
      </c>
      <c r="C2741">
        <v>300266222</v>
      </c>
      <c r="D2741">
        <v>16464591</v>
      </c>
      <c r="E2741" t="s">
        <v>45</v>
      </c>
      <c r="F2741" t="s">
        <v>3212</v>
      </c>
      <c r="G2741" s="26">
        <v>75</v>
      </c>
      <c r="H2741" t="s">
        <v>3096</v>
      </c>
      <c r="J2741" s="18"/>
      <c r="K2741" s="11">
        <v>46246.527592592596</v>
      </c>
      <c r="M2741">
        <v>2070</v>
      </c>
      <c r="N2741" t="s">
        <v>867</v>
      </c>
      <c r="O2741" s="17">
        <v>0</v>
      </c>
      <c r="P2741" s="5"/>
      <c r="Q2741" s="10">
        <f>INT(Tabela1[[#This Row],[DATA]])</f>
        <v>46246</v>
      </c>
      <c r="R2741" s="14" t="str">
        <f ca="1">IF(AND(Q2741&gt;=TODAY()-WEEKDAY(TODAY(),2)+1,Q2741&lt;TODAY()),"SIM","NÃO")</f>
        <v>SIM</v>
      </c>
    </row>
    <row r="2742" spans="1:18" hidden="1">
      <c r="A2742" t="s">
        <v>428</v>
      </c>
      <c r="B2742" t="s">
        <v>429</v>
      </c>
      <c r="C2742">
        <v>300287196</v>
      </c>
      <c r="D2742">
        <v>16442466</v>
      </c>
      <c r="E2742" t="s">
        <v>29</v>
      </c>
      <c r="F2742" t="s">
        <v>3241</v>
      </c>
      <c r="G2742" s="26">
        <v>12</v>
      </c>
      <c r="H2742" t="s">
        <v>2924</v>
      </c>
      <c r="J2742" s="18"/>
      <c r="K2742" s="11">
        <v>46246.528032407405</v>
      </c>
      <c r="M2742">
        <v>2071</v>
      </c>
      <c r="N2742" t="s">
        <v>867</v>
      </c>
      <c r="O2742" s="17">
        <v>0</v>
      </c>
      <c r="P2742" s="5"/>
      <c r="Q2742" s="10">
        <f>INT(Tabela1[[#This Row],[DATA]])</f>
        <v>46246</v>
      </c>
      <c r="R2742" s="14" t="str">
        <f ca="1">IF(AND(Q2742&gt;=TODAY()-WEEKDAY(TODAY(),2)+1,Q2742&lt;TODAY()),"SIM","NÃO")</f>
        <v>SIM</v>
      </c>
    </row>
    <row r="2743" spans="1:18" hidden="1">
      <c r="A2743" t="s">
        <v>249</v>
      </c>
      <c r="B2743" t="s">
        <v>112</v>
      </c>
      <c r="C2743">
        <v>300288346</v>
      </c>
      <c r="D2743">
        <v>16227000</v>
      </c>
      <c r="E2743" t="s">
        <v>45</v>
      </c>
      <c r="F2743" t="s">
        <v>2405</v>
      </c>
      <c r="G2743" s="26">
        <v>15</v>
      </c>
      <c r="H2743" t="s">
        <v>1335</v>
      </c>
      <c r="J2743" s="18"/>
      <c r="K2743" s="11">
        <v>46246.531435185185</v>
      </c>
      <c r="M2743">
        <v>2072</v>
      </c>
      <c r="N2743" t="s">
        <v>867</v>
      </c>
      <c r="O2743" s="17">
        <v>0</v>
      </c>
      <c r="P2743" s="5"/>
      <c r="Q2743" s="10">
        <f>INT(Tabela1[[#This Row],[DATA]])</f>
        <v>46246</v>
      </c>
      <c r="R2743" s="14" t="str">
        <f ca="1">IF(AND(Q2743&gt;=TODAY()-WEEKDAY(TODAY(),2)+1,Q2743&lt;TODAY()),"SIM","NÃO")</f>
        <v>SIM</v>
      </c>
    </row>
    <row r="2744" spans="1:18" hidden="1">
      <c r="A2744" t="s">
        <v>249</v>
      </c>
      <c r="B2744" t="s">
        <v>112</v>
      </c>
      <c r="C2744">
        <v>300288346</v>
      </c>
      <c r="D2744">
        <v>16227000</v>
      </c>
      <c r="E2744" t="s">
        <v>45</v>
      </c>
      <c r="F2744" t="s">
        <v>3212</v>
      </c>
      <c r="G2744" s="26">
        <v>36</v>
      </c>
      <c r="H2744" t="s">
        <v>1335</v>
      </c>
      <c r="J2744" s="18"/>
      <c r="K2744" s="11">
        <v>46246.532187500001</v>
      </c>
      <c r="M2744">
        <v>2073</v>
      </c>
      <c r="N2744" t="s">
        <v>867</v>
      </c>
      <c r="O2744" s="17">
        <v>0</v>
      </c>
      <c r="P2744" s="5"/>
      <c r="Q2744" s="10">
        <f>INT(Tabela1[[#This Row],[DATA]])</f>
        <v>46246</v>
      </c>
      <c r="R2744" s="14" t="str">
        <f ca="1">IF(AND(Q2744&gt;=TODAY()-WEEKDAY(TODAY(),2)+1,Q2744&lt;TODAY()),"SIM","NÃO")</f>
        <v>SIM</v>
      </c>
    </row>
    <row r="2745" spans="1:18" hidden="1">
      <c r="A2745" t="s">
        <v>249</v>
      </c>
      <c r="B2745" t="s">
        <v>112</v>
      </c>
      <c r="C2745">
        <v>300277124</v>
      </c>
      <c r="D2745">
        <v>16505956</v>
      </c>
      <c r="E2745" t="s">
        <v>37</v>
      </c>
      <c r="F2745" t="s">
        <v>203</v>
      </c>
      <c r="G2745" s="26">
        <v>30</v>
      </c>
      <c r="H2745" t="s">
        <v>1335</v>
      </c>
      <c r="J2745" s="18" t="s">
        <v>4581</v>
      </c>
      <c r="K2745" s="11">
        <v>46246.533993055556</v>
      </c>
      <c r="M2745">
        <v>2074</v>
      </c>
      <c r="N2745" t="s">
        <v>867</v>
      </c>
      <c r="O2745" s="17">
        <v>0</v>
      </c>
      <c r="P2745" s="5"/>
      <c r="Q2745" s="10">
        <f>INT(Tabela1[[#This Row],[DATA]])</f>
        <v>46246</v>
      </c>
      <c r="R2745" s="14" t="str">
        <f ca="1">IF(AND(Q2745&gt;=TODAY()-WEEKDAY(TODAY(),2)+1,Q2745&lt;TODAY()),"SIM","NÃO")</f>
        <v>SIM</v>
      </c>
    </row>
    <row r="2746" spans="1:18" hidden="1">
      <c r="A2746" t="s">
        <v>332</v>
      </c>
      <c r="B2746" t="s">
        <v>28</v>
      </c>
      <c r="C2746">
        <v>300284139</v>
      </c>
      <c r="D2746">
        <v>16479157</v>
      </c>
      <c r="E2746" t="s">
        <v>45</v>
      </c>
      <c r="F2746" t="s">
        <v>1522</v>
      </c>
      <c r="G2746" s="26">
        <v>10</v>
      </c>
      <c r="H2746" t="s">
        <v>1966</v>
      </c>
      <c r="J2746" s="18" t="s">
        <v>4343</v>
      </c>
      <c r="K2746" s="11">
        <v>46246.546481481484</v>
      </c>
      <c r="M2746">
        <v>2075</v>
      </c>
      <c r="N2746" t="s">
        <v>867</v>
      </c>
      <c r="O2746" s="17">
        <v>0</v>
      </c>
      <c r="P2746" s="5"/>
      <c r="Q2746" s="10">
        <f>INT(Tabela1[[#This Row],[DATA]])</f>
        <v>46246</v>
      </c>
      <c r="R2746" s="14" t="str">
        <f ca="1">IF(AND(Q2746&gt;=TODAY()-WEEKDAY(TODAY(),2)+1,Q2746&lt;TODAY()),"SIM","NÃO")</f>
        <v>SIM</v>
      </c>
    </row>
    <row r="2747" spans="1:18" hidden="1">
      <c r="A2747" t="s">
        <v>332</v>
      </c>
      <c r="B2747" t="s">
        <v>690</v>
      </c>
      <c r="C2747">
        <v>300284139</v>
      </c>
      <c r="D2747">
        <v>16479157</v>
      </c>
      <c r="E2747" t="s">
        <v>45</v>
      </c>
      <c r="F2747" t="s">
        <v>1522</v>
      </c>
      <c r="G2747" s="26">
        <v>10</v>
      </c>
      <c r="H2747" t="s">
        <v>1966</v>
      </c>
      <c r="J2747" s="18" t="s">
        <v>4582</v>
      </c>
      <c r="K2747" s="11">
        <v>46246.547349537039</v>
      </c>
      <c r="M2747">
        <v>2076</v>
      </c>
      <c r="N2747" t="s">
        <v>867</v>
      </c>
      <c r="O2747" s="17">
        <v>0</v>
      </c>
      <c r="P2747" s="5"/>
      <c r="Q2747" s="10">
        <f>INT(Tabela1[[#This Row],[DATA]])</f>
        <v>46246</v>
      </c>
      <c r="R2747" s="14" t="str">
        <f ca="1">IF(AND(Q2747&gt;=TODAY()-WEEKDAY(TODAY(),2)+1,Q2747&lt;TODAY()),"SIM","NÃO")</f>
        <v>SIM</v>
      </c>
    </row>
    <row r="2748" spans="1:18" hidden="1">
      <c r="A2748" t="s">
        <v>111</v>
      </c>
      <c r="B2748" t="s">
        <v>112</v>
      </c>
      <c r="C2748">
        <v>300288805</v>
      </c>
      <c r="D2748">
        <v>16552326</v>
      </c>
      <c r="E2748" t="s">
        <v>20</v>
      </c>
      <c r="F2748" t="s">
        <v>3595</v>
      </c>
      <c r="G2748" s="26">
        <v>2</v>
      </c>
      <c r="H2748" t="s">
        <v>1335</v>
      </c>
      <c r="J2748" s="18"/>
      <c r="K2748" s="11">
        <v>46246.551759259259</v>
      </c>
      <c r="M2748">
        <v>2077</v>
      </c>
      <c r="N2748" t="s">
        <v>867</v>
      </c>
      <c r="O2748" s="17">
        <v>10000254722</v>
      </c>
      <c r="P2748" s="5"/>
      <c r="Q2748" s="10">
        <f>INT(Tabela1[[#This Row],[DATA]])</f>
        <v>46246</v>
      </c>
      <c r="R2748" s="14" t="str">
        <f ca="1">IF(AND(Q2748&gt;=TODAY()-WEEKDAY(TODAY(),2)+1,Q2748&lt;TODAY()),"SIM","NÃO")</f>
        <v>SIM</v>
      </c>
    </row>
    <row r="2749" spans="1:18" hidden="1">
      <c r="A2749" t="s">
        <v>163</v>
      </c>
      <c r="B2749" t="s">
        <v>164</v>
      </c>
      <c r="C2749">
        <v>300286615</v>
      </c>
      <c r="D2749">
        <v>16463897</v>
      </c>
      <c r="E2749" t="s">
        <v>29</v>
      </c>
      <c r="F2749" t="s">
        <v>3212</v>
      </c>
      <c r="G2749" s="26">
        <v>1596</v>
      </c>
      <c r="H2749" t="s">
        <v>2880</v>
      </c>
      <c r="J2749" s="18"/>
      <c r="K2749" s="11">
        <v>46246.557592592595</v>
      </c>
      <c r="M2749">
        <v>2078</v>
      </c>
      <c r="N2749" t="s">
        <v>878</v>
      </c>
      <c r="O2749" s="17">
        <v>0</v>
      </c>
      <c r="P2749" s="5"/>
      <c r="Q2749" s="10">
        <f>INT(Tabela1[[#This Row],[DATA]])</f>
        <v>46246</v>
      </c>
      <c r="R2749" s="14" t="str">
        <f ca="1">IF(AND(Q2749&gt;=TODAY()-WEEKDAY(TODAY(),2)+1,Q2749&lt;TODAY()),"SIM","NÃO")</f>
        <v>SIM</v>
      </c>
    </row>
    <row r="2750" spans="1:18" hidden="1">
      <c r="A2750" t="s">
        <v>332</v>
      </c>
      <c r="B2750" t="s">
        <v>690</v>
      </c>
      <c r="C2750">
        <v>300282888</v>
      </c>
      <c r="D2750">
        <v>15972992</v>
      </c>
      <c r="E2750" t="s">
        <v>45</v>
      </c>
      <c r="F2750" t="s">
        <v>2405</v>
      </c>
      <c r="G2750" s="26">
        <v>1</v>
      </c>
      <c r="H2750" t="s">
        <v>1966</v>
      </c>
      <c r="J2750" s="18"/>
      <c r="K2750" s="11">
        <v>46246.575543981482</v>
      </c>
      <c r="M2750">
        <v>2079</v>
      </c>
      <c r="N2750" t="s">
        <v>867</v>
      </c>
      <c r="O2750" s="17">
        <v>0</v>
      </c>
      <c r="P2750" s="5"/>
      <c r="Q2750" s="10">
        <f>INT(Tabela1[[#This Row],[DATA]])</f>
        <v>46246</v>
      </c>
      <c r="R2750" s="14" t="str">
        <f ca="1">IF(AND(Q2750&gt;=TODAY()-WEEKDAY(TODAY(),2)+1,Q2750&lt;TODAY()),"SIM","NÃO")</f>
        <v>SIM</v>
      </c>
    </row>
    <row r="2751" spans="1:18" hidden="1">
      <c r="A2751" t="s">
        <v>2549</v>
      </c>
      <c r="B2751" t="s">
        <v>19</v>
      </c>
      <c r="C2751">
        <v>300287194</v>
      </c>
      <c r="D2751">
        <v>16442466</v>
      </c>
      <c r="E2751" t="s">
        <v>29</v>
      </c>
      <c r="F2751" t="s">
        <v>259</v>
      </c>
      <c r="G2751" s="26">
        <v>4</v>
      </c>
      <c r="H2751" t="s">
        <v>4013</v>
      </c>
      <c r="J2751" s="18" t="s">
        <v>2802</v>
      </c>
      <c r="K2751" s="11">
        <v>46246.579571759263</v>
      </c>
      <c r="M2751">
        <v>2080</v>
      </c>
      <c r="N2751" t="s">
        <v>867</v>
      </c>
      <c r="O2751" s="17">
        <v>10000071649</v>
      </c>
      <c r="P2751" s="5"/>
      <c r="Q2751" s="10">
        <f>INT(Tabela1[[#This Row],[DATA]])</f>
        <v>46246</v>
      </c>
      <c r="R2751" s="14" t="str">
        <f ca="1">IF(AND(Q2751&gt;=TODAY()-WEEKDAY(TODAY(),2)+1,Q2751&lt;TODAY()),"SIM","NÃO")</f>
        <v>SIM</v>
      </c>
    </row>
    <row r="2752" spans="1:18" hidden="1">
      <c r="A2752" t="s">
        <v>253</v>
      </c>
      <c r="B2752" t="s">
        <v>254</v>
      </c>
      <c r="C2752">
        <v>300288052</v>
      </c>
      <c r="D2752">
        <v>16222954</v>
      </c>
      <c r="E2752" t="s">
        <v>45</v>
      </c>
      <c r="F2752" t="s">
        <v>323</v>
      </c>
      <c r="G2752" s="26">
        <v>3</v>
      </c>
      <c r="H2752" t="s">
        <v>582</v>
      </c>
      <c r="J2752" s="18" t="s">
        <v>582</v>
      </c>
      <c r="K2752" s="11">
        <v>46246.591284722221</v>
      </c>
      <c r="M2752">
        <v>2081</v>
      </c>
      <c r="N2752" t="s">
        <v>867</v>
      </c>
      <c r="O2752" s="17">
        <v>0</v>
      </c>
      <c r="P2752" s="5"/>
      <c r="Q2752" s="10">
        <f>INT(Tabela1[[#This Row],[DATA]])</f>
        <v>46246</v>
      </c>
      <c r="R2752" s="14" t="str">
        <f ca="1">IF(AND(Q2752&gt;=TODAY()-WEEKDAY(TODAY(),2)+1,Q2752&lt;TODAY()),"SIM","NÃO")</f>
        <v>SIM</v>
      </c>
    </row>
    <row r="2753" spans="1:18" hidden="1">
      <c r="A2753" t="s">
        <v>428</v>
      </c>
      <c r="B2753" t="s">
        <v>429</v>
      </c>
      <c r="C2753">
        <v>300282832</v>
      </c>
      <c r="D2753">
        <v>15238385</v>
      </c>
      <c r="E2753" t="s">
        <v>29</v>
      </c>
      <c r="F2753" t="s">
        <v>96</v>
      </c>
      <c r="G2753" s="26">
        <v>34</v>
      </c>
      <c r="H2753" t="s">
        <v>3248</v>
      </c>
      <c r="J2753" s="18"/>
      <c r="K2753" s="11">
        <v>46246.598587962966</v>
      </c>
      <c r="M2753">
        <v>2082</v>
      </c>
      <c r="N2753" t="s">
        <v>867</v>
      </c>
      <c r="O2753" s="17">
        <v>0</v>
      </c>
      <c r="P2753" s="5"/>
      <c r="Q2753" s="10">
        <f>INT(Tabela1[[#This Row],[DATA]])</f>
        <v>46246</v>
      </c>
      <c r="R2753" s="14" t="str">
        <f ca="1">IF(AND(Q2753&gt;=TODAY()-WEEKDAY(TODAY(),2)+1,Q2753&lt;TODAY()),"SIM","NÃO")</f>
        <v>SIM</v>
      </c>
    </row>
    <row r="2754" spans="1:18" hidden="1">
      <c r="A2754" t="s">
        <v>755</v>
      </c>
      <c r="B2754" t="s">
        <v>756</v>
      </c>
      <c r="C2754">
        <v>300287953</v>
      </c>
      <c r="D2754">
        <v>16561716</v>
      </c>
      <c r="E2754" t="s">
        <v>37</v>
      </c>
      <c r="F2754" t="s">
        <v>2405</v>
      </c>
      <c r="G2754" s="26">
        <v>80</v>
      </c>
      <c r="H2754" t="s">
        <v>2795</v>
      </c>
      <c r="J2754" s="18" t="s">
        <v>4583</v>
      </c>
      <c r="K2754" s="11">
        <v>46246.643333333333</v>
      </c>
      <c r="M2754">
        <v>2083</v>
      </c>
      <c r="N2754" t="s">
        <v>867</v>
      </c>
      <c r="O2754" s="17" t="s">
        <v>3895</v>
      </c>
      <c r="P2754" s="5"/>
      <c r="Q2754" s="10">
        <f>INT(Tabela1[[#This Row],[DATA]])</f>
        <v>46246</v>
      </c>
      <c r="R2754" s="14" t="str">
        <f ca="1">IF(AND(Q2754&gt;=TODAY()-WEEKDAY(TODAY(),2)+1,Q2754&lt;TODAY()),"SIM","NÃO")</f>
        <v>SIM</v>
      </c>
    </row>
    <row r="2755" spans="1:18" hidden="1">
      <c r="A2755" t="s">
        <v>2991</v>
      </c>
      <c r="B2755" t="s">
        <v>534</v>
      </c>
      <c r="C2755">
        <v>300289607</v>
      </c>
      <c r="D2755">
        <v>16557581</v>
      </c>
      <c r="E2755" t="s">
        <v>37</v>
      </c>
      <c r="F2755" t="s">
        <v>3215</v>
      </c>
      <c r="G2755" s="26">
        <v>10</v>
      </c>
      <c r="H2755" t="s">
        <v>4584</v>
      </c>
      <c r="J2755" s="18" t="s">
        <v>4585</v>
      </c>
      <c r="K2755" s="11">
        <v>46246.653391203705</v>
      </c>
      <c r="M2755">
        <v>2084</v>
      </c>
      <c r="N2755" t="s">
        <v>867</v>
      </c>
      <c r="O2755" s="17">
        <v>0</v>
      </c>
      <c r="P2755" s="5"/>
      <c r="Q2755" s="10">
        <f>INT(Tabela1[[#This Row],[DATA]])</f>
        <v>46246</v>
      </c>
      <c r="R2755" s="14" t="str">
        <f ca="1">IF(AND(Q2755&gt;=TODAY()-WEEKDAY(TODAY(),2)+1,Q2755&lt;TODAY()),"SIM","NÃO")</f>
        <v>SIM</v>
      </c>
    </row>
    <row r="2756" spans="1:18" hidden="1">
      <c r="A2756" t="s">
        <v>159</v>
      </c>
      <c r="B2756" t="s">
        <v>1293</v>
      </c>
      <c r="C2756">
        <v>300285092</v>
      </c>
      <c r="D2756">
        <v>16292898</v>
      </c>
      <c r="E2756" t="s">
        <v>37</v>
      </c>
      <c r="F2756" t="s">
        <v>2213</v>
      </c>
      <c r="G2756" s="26">
        <v>106</v>
      </c>
      <c r="H2756" t="s">
        <v>4586</v>
      </c>
      <c r="J2756" s="18" t="s">
        <v>4587</v>
      </c>
      <c r="K2756" s="11">
        <v>46246.664884259262</v>
      </c>
      <c r="M2756">
        <v>2085</v>
      </c>
      <c r="N2756" t="s">
        <v>867</v>
      </c>
      <c r="O2756" s="17" t="s">
        <v>4588</v>
      </c>
      <c r="P2756" s="5"/>
      <c r="Q2756" s="10">
        <f>INT(Tabela1[[#This Row],[DATA]])</f>
        <v>46246</v>
      </c>
      <c r="R2756" s="14" t="str">
        <f ca="1">IF(AND(Q2756&gt;=TODAY()-WEEKDAY(TODAY(),2)+1,Q2756&lt;TODAY()),"SIM","NÃO")</f>
        <v>SIM</v>
      </c>
    </row>
    <row r="2757" spans="1:18" hidden="1">
      <c r="A2757" t="s">
        <v>1154</v>
      </c>
      <c r="B2757" t="s">
        <v>1155</v>
      </c>
      <c r="C2757">
        <v>300282335</v>
      </c>
      <c r="D2757">
        <v>15773450</v>
      </c>
      <c r="E2757" t="s">
        <v>37</v>
      </c>
      <c r="F2757" t="s">
        <v>2405</v>
      </c>
      <c r="G2757" s="26">
        <v>47</v>
      </c>
      <c r="H2757" t="s">
        <v>4589</v>
      </c>
      <c r="J2757" s="18" t="s">
        <v>4590</v>
      </c>
      <c r="K2757" s="11">
        <v>46246.670069444444</v>
      </c>
      <c r="M2757">
        <v>2086</v>
      </c>
      <c r="N2757" t="s">
        <v>867</v>
      </c>
      <c r="O2757" s="17">
        <v>0</v>
      </c>
      <c r="P2757" s="5"/>
      <c r="Q2757" s="10">
        <f>INT(Tabela1[[#This Row],[DATA]])</f>
        <v>46246</v>
      </c>
      <c r="R2757" s="14" t="str">
        <f ca="1">IF(AND(Q2757&gt;=TODAY()-WEEKDAY(TODAY(),2)+1,Q2757&lt;TODAY()),"SIM","NÃO")</f>
        <v>SIM</v>
      </c>
    </row>
    <row r="2758" spans="1:18" hidden="1">
      <c r="A2758" t="s">
        <v>163</v>
      </c>
      <c r="B2758" t="s">
        <v>164</v>
      </c>
      <c r="C2758">
        <v>300284371</v>
      </c>
      <c r="D2758">
        <v>16460863</v>
      </c>
      <c r="E2758" t="s">
        <v>29</v>
      </c>
      <c r="F2758" t="s">
        <v>323</v>
      </c>
      <c r="G2758" s="26">
        <v>84</v>
      </c>
      <c r="H2758" t="s">
        <v>4591</v>
      </c>
      <c r="J2758" s="18" t="s">
        <v>4592</v>
      </c>
      <c r="K2758" s="11">
        <v>46246.677523148152</v>
      </c>
      <c r="M2758">
        <v>2087</v>
      </c>
      <c r="N2758" t="s">
        <v>867</v>
      </c>
      <c r="O2758" s="17">
        <v>0</v>
      </c>
      <c r="P2758" s="5"/>
      <c r="Q2758" s="10">
        <f>INT(Tabela1[[#This Row],[DATA]])</f>
        <v>46246</v>
      </c>
      <c r="R2758" s="14" t="str">
        <f ca="1">IF(AND(Q2758&gt;=TODAY()-WEEKDAY(TODAY(),2)+1,Q2758&lt;TODAY()),"SIM","NÃO")</f>
        <v>SIM</v>
      </c>
    </row>
    <row r="2759" spans="1:18" hidden="1">
      <c r="A2759" t="s">
        <v>163</v>
      </c>
      <c r="B2759" t="s">
        <v>164</v>
      </c>
      <c r="C2759">
        <v>300284371</v>
      </c>
      <c r="D2759">
        <v>16460863</v>
      </c>
      <c r="E2759" t="s">
        <v>29</v>
      </c>
      <c r="F2759" t="s">
        <v>525</v>
      </c>
      <c r="G2759" s="26">
        <v>84</v>
      </c>
      <c r="H2759" t="s">
        <v>4593</v>
      </c>
      <c r="J2759" s="18"/>
      <c r="K2759" s="11">
        <v>46246.678587962961</v>
      </c>
      <c r="M2759">
        <v>2088</v>
      </c>
      <c r="N2759" t="s">
        <v>867</v>
      </c>
      <c r="O2759" s="17">
        <v>0</v>
      </c>
      <c r="P2759" s="5"/>
      <c r="Q2759" s="10">
        <f>INT(Tabela1[[#This Row],[DATA]])</f>
        <v>46246</v>
      </c>
      <c r="R2759" s="14" t="str">
        <f ca="1">IF(AND(Q2759&gt;=TODAY()-WEEKDAY(TODAY(),2)+1,Q2759&lt;TODAY()),"SIM","NÃO")</f>
        <v>SIM</v>
      </c>
    </row>
    <row r="2760" spans="1:18" hidden="1">
      <c r="A2760" t="s">
        <v>111</v>
      </c>
      <c r="B2760" t="s">
        <v>112</v>
      </c>
      <c r="C2760">
        <v>300280210</v>
      </c>
      <c r="D2760">
        <v>15699293</v>
      </c>
      <c r="E2760" t="s">
        <v>37</v>
      </c>
      <c r="F2760" t="s">
        <v>216</v>
      </c>
      <c r="G2760" s="26">
        <v>1524</v>
      </c>
      <c r="H2760" t="s">
        <v>4594</v>
      </c>
      <c r="J2760" s="18"/>
      <c r="K2760" s="11">
        <v>46246.678900462961</v>
      </c>
      <c r="M2760">
        <v>2089</v>
      </c>
      <c r="N2760" t="s">
        <v>878</v>
      </c>
      <c r="O2760" s="17">
        <v>0</v>
      </c>
      <c r="P2760" s="5"/>
      <c r="Q2760" s="10">
        <f>INT(Tabela1[[#This Row],[DATA]])</f>
        <v>46246</v>
      </c>
      <c r="R2760" s="14" t="str">
        <f ca="1">IF(AND(Q2760&gt;=TODAY()-WEEKDAY(TODAY(),2)+1,Q2760&lt;TODAY()),"SIM","NÃO")</f>
        <v>SIM</v>
      </c>
    </row>
    <row r="2761" spans="1:18" hidden="1">
      <c r="A2761" t="s">
        <v>163</v>
      </c>
      <c r="B2761" t="s">
        <v>164</v>
      </c>
      <c r="C2761">
        <v>300284371</v>
      </c>
      <c r="D2761">
        <v>16460863</v>
      </c>
      <c r="E2761" t="s">
        <v>29</v>
      </c>
      <c r="F2761" t="s">
        <v>151</v>
      </c>
      <c r="G2761" s="26">
        <v>84</v>
      </c>
      <c r="H2761" t="s">
        <v>4593</v>
      </c>
      <c r="J2761" s="18"/>
      <c r="K2761" s="11">
        <v>46246.679375</v>
      </c>
      <c r="M2761">
        <v>2090</v>
      </c>
      <c r="N2761" t="s">
        <v>867</v>
      </c>
      <c r="O2761" s="17">
        <v>0</v>
      </c>
      <c r="P2761" s="5"/>
      <c r="Q2761" s="10">
        <f>INT(Tabela1[[#This Row],[DATA]])</f>
        <v>46246</v>
      </c>
      <c r="R2761" s="14" t="str">
        <f ca="1">IF(AND(Q2761&gt;=TODAY()-WEEKDAY(TODAY(),2)+1,Q2761&lt;TODAY()),"SIM","NÃO")</f>
        <v>SIM</v>
      </c>
    </row>
    <row r="2762" spans="1:18" hidden="1">
      <c r="A2762" t="s">
        <v>163</v>
      </c>
      <c r="B2762" t="s">
        <v>164</v>
      </c>
      <c r="C2762">
        <v>300284371</v>
      </c>
      <c r="D2762">
        <v>16460863</v>
      </c>
      <c r="E2762" t="s">
        <v>29</v>
      </c>
      <c r="F2762" t="s">
        <v>525</v>
      </c>
      <c r="G2762" s="26">
        <v>84</v>
      </c>
      <c r="H2762" t="s">
        <v>4591</v>
      </c>
      <c r="J2762" s="18"/>
      <c r="K2762" s="11">
        <v>46246.680509259262</v>
      </c>
      <c r="M2762">
        <v>2091</v>
      </c>
      <c r="N2762" t="s">
        <v>867</v>
      </c>
      <c r="O2762" s="17">
        <v>0</v>
      </c>
      <c r="P2762" s="5"/>
      <c r="Q2762" s="10">
        <f>INT(Tabela1[[#This Row],[DATA]])</f>
        <v>46246</v>
      </c>
      <c r="R2762" s="14" t="str">
        <f ca="1">IF(AND(Q2762&gt;=TODAY()-WEEKDAY(TODAY(),2)+1,Q2762&lt;TODAY()),"SIM","NÃO")</f>
        <v>SIM</v>
      </c>
    </row>
    <row r="2763" spans="1:18" hidden="1">
      <c r="A2763" t="s">
        <v>163</v>
      </c>
      <c r="B2763" t="s">
        <v>164</v>
      </c>
      <c r="C2763">
        <v>300284371</v>
      </c>
      <c r="D2763">
        <v>16460863</v>
      </c>
      <c r="E2763" t="s">
        <v>29</v>
      </c>
      <c r="F2763" t="s">
        <v>323</v>
      </c>
      <c r="G2763" s="26">
        <v>84</v>
      </c>
      <c r="H2763" t="s">
        <v>4591</v>
      </c>
      <c r="J2763" s="18" t="s">
        <v>4595</v>
      </c>
      <c r="K2763" s="11">
        <v>46246.681967592594</v>
      </c>
      <c r="M2763">
        <v>2092</v>
      </c>
      <c r="N2763" t="s">
        <v>867</v>
      </c>
      <c r="O2763" s="17">
        <v>0</v>
      </c>
      <c r="P2763" s="5"/>
      <c r="Q2763" s="10">
        <f>INT(Tabela1[[#This Row],[DATA]])</f>
        <v>46246</v>
      </c>
      <c r="R2763" s="14" t="str">
        <f ca="1">IF(AND(Q2763&gt;=TODAY()-WEEKDAY(TODAY(),2)+1,Q2763&lt;TODAY()),"SIM","NÃO")</f>
        <v>SIM</v>
      </c>
    </row>
    <row r="2764" spans="1:18" hidden="1">
      <c r="A2764" t="s">
        <v>1835</v>
      </c>
      <c r="B2764" t="s">
        <v>4563</v>
      </c>
      <c r="C2764">
        <v>300282771</v>
      </c>
      <c r="D2764">
        <v>16541880</v>
      </c>
      <c r="E2764" t="s">
        <v>37</v>
      </c>
      <c r="F2764" t="s">
        <v>3215</v>
      </c>
      <c r="G2764" s="26">
        <v>10</v>
      </c>
      <c r="H2764" t="s">
        <v>2795</v>
      </c>
      <c r="J2764" s="18"/>
      <c r="K2764" s="11">
        <v>46246.700150462966</v>
      </c>
      <c r="M2764">
        <v>2093</v>
      </c>
      <c r="N2764" t="s">
        <v>867</v>
      </c>
      <c r="O2764" s="17">
        <v>0</v>
      </c>
      <c r="P2764" s="5"/>
      <c r="Q2764" s="10">
        <f>INT(Tabela1[[#This Row],[DATA]])</f>
        <v>46246</v>
      </c>
      <c r="R2764" s="14" t="str">
        <f ca="1">IF(AND(Q2764&gt;=TODAY()-WEEKDAY(TODAY(),2)+1,Q2764&lt;TODAY()),"SIM","NÃO")</f>
        <v>SIM</v>
      </c>
    </row>
    <row r="2765" spans="1:18" hidden="1">
      <c r="A2765" t="s">
        <v>2578</v>
      </c>
      <c r="B2765" t="s">
        <v>69</v>
      </c>
      <c r="C2765">
        <v>300289168</v>
      </c>
      <c r="D2765">
        <v>16481380</v>
      </c>
      <c r="E2765" t="s">
        <v>45</v>
      </c>
      <c r="F2765" t="s">
        <v>3212</v>
      </c>
      <c r="G2765" s="26">
        <v>50</v>
      </c>
      <c r="H2765" t="s">
        <v>4596</v>
      </c>
      <c r="J2765" s="18"/>
      <c r="K2765" s="11">
        <v>46246.720300925925</v>
      </c>
      <c r="M2765">
        <v>2095</v>
      </c>
      <c r="N2765" t="s">
        <v>867</v>
      </c>
      <c r="O2765" s="17">
        <v>16481380</v>
      </c>
      <c r="P2765" s="5"/>
      <c r="Q2765" s="10">
        <f>INT(Tabela1[[#This Row],[DATA]])</f>
        <v>46246</v>
      </c>
      <c r="R2765" s="14" t="str">
        <f ca="1">IF(AND(Q2765&gt;=TODAY()-WEEKDAY(TODAY(),2)+1,Q2765&lt;TODAY()),"SIM","NÃO")</f>
        <v>SIM</v>
      </c>
    </row>
    <row r="2766" spans="1:18" hidden="1">
      <c r="A2766" t="s">
        <v>2547</v>
      </c>
      <c r="B2766" t="s">
        <v>1582</v>
      </c>
      <c r="C2766">
        <v>300290395</v>
      </c>
      <c r="D2766">
        <v>16448138</v>
      </c>
      <c r="E2766" t="s">
        <v>45</v>
      </c>
      <c r="F2766" t="s">
        <v>3212</v>
      </c>
      <c r="G2766" s="26">
        <v>1.5640000000000001</v>
      </c>
      <c r="H2766" t="s">
        <v>4597</v>
      </c>
      <c r="J2766" s="18" t="s">
        <v>4597</v>
      </c>
      <c r="K2766" s="11">
        <v>46246.720439814817</v>
      </c>
      <c r="M2766">
        <v>2094</v>
      </c>
      <c r="N2766" t="s">
        <v>878</v>
      </c>
      <c r="O2766" s="17">
        <v>0</v>
      </c>
      <c r="P2766" s="5"/>
      <c r="Q2766" s="10">
        <f>INT(Tabela1[[#This Row],[DATA]])</f>
        <v>46246</v>
      </c>
      <c r="R2766" s="14" t="str">
        <f ca="1">IF(AND(Q2766&gt;=TODAY()-WEEKDAY(TODAY(),2)+1,Q2766&lt;TODAY()),"SIM","NÃO")</f>
        <v>SIM</v>
      </c>
    </row>
    <row r="2767" spans="1:18" hidden="1">
      <c r="A2767" t="s">
        <v>605</v>
      </c>
      <c r="B2767" t="s">
        <v>606</v>
      </c>
      <c r="C2767">
        <v>300289225</v>
      </c>
      <c r="D2767">
        <v>16518730</v>
      </c>
      <c r="E2767" t="s">
        <v>37</v>
      </c>
      <c r="F2767" t="s">
        <v>3217</v>
      </c>
      <c r="G2767" s="26">
        <v>1</v>
      </c>
      <c r="H2767" t="s">
        <v>4598</v>
      </c>
      <c r="J2767" s="18" t="s">
        <v>4599</v>
      </c>
      <c r="K2767" s="11">
        <v>46246.723414351851</v>
      </c>
      <c r="M2767">
        <v>2096</v>
      </c>
      <c r="N2767" t="s">
        <v>867</v>
      </c>
      <c r="O2767" s="17">
        <v>0</v>
      </c>
      <c r="P2767" s="5"/>
      <c r="Q2767" s="10">
        <f>INT(Tabela1[[#This Row],[DATA]])</f>
        <v>46246</v>
      </c>
      <c r="R2767" s="14" t="str">
        <f ca="1">IF(AND(Q2767&gt;=TODAY()-WEEKDAY(TODAY(),2)+1,Q2767&lt;TODAY()),"SIM","NÃO")</f>
        <v>SIM</v>
      </c>
    </row>
    <row r="2768" spans="1:18" hidden="1">
      <c r="A2768" t="s">
        <v>1236</v>
      </c>
      <c r="B2768" t="s">
        <v>1237</v>
      </c>
      <c r="C2768">
        <v>300283508</v>
      </c>
      <c r="D2768">
        <v>16273311</v>
      </c>
      <c r="E2768" t="s">
        <v>37</v>
      </c>
      <c r="F2768" t="s">
        <v>2213</v>
      </c>
      <c r="G2768" s="26">
        <v>132</v>
      </c>
      <c r="H2768" t="s">
        <v>4600</v>
      </c>
      <c r="J2768" s="18"/>
      <c r="K2768" s="11">
        <v>46246.723483796297</v>
      </c>
      <c r="M2768">
        <v>2097</v>
      </c>
      <c r="N2768" t="s">
        <v>867</v>
      </c>
      <c r="O2768" s="17">
        <v>214499</v>
      </c>
      <c r="P2768" s="5"/>
      <c r="Q2768" s="10">
        <f>INT(Tabela1[[#This Row],[DATA]])</f>
        <v>46246</v>
      </c>
      <c r="R2768" s="14" t="str">
        <f ca="1">IF(AND(Q2768&gt;=TODAY()-WEEKDAY(TODAY(),2)+1,Q2768&lt;TODAY()),"SIM","NÃO")</f>
        <v>SIM</v>
      </c>
    </row>
    <row r="2769" spans="1:18" hidden="1">
      <c r="A2769" t="s">
        <v>2578</v>
      </c>
      <c r="B2769" t="s">
        <v>69</v>
      </c>
      <c r="C2769">
        <v>300287264</v>
      </c>
      <c r="D2769">
        <v>15769747</v>
      </c>
      <c r="E2769" t="s">
        <v>45</v>
      </c>
      <c r="F2769" t="s">
        <v>329</v>
      </c>
      <c r="G2769" s="26">
        <v>1815</v>
      </c>
      <c r="H2769" t="s">
        <v>4601</v>
      </c>
      <c r="J2769" s="18" t="s">
        <v>4602</v>
      </c>
      <c r="K2769" s="11">
        <v>46246.749398148146</v>
      </c>
      <c r="M2769">
        <v>2098</v>
      </c>
      <c r="N2769" t="s">
        <v>878</v>
      </c>
      <c r="O2769" s="17">
        <v>15769747</v>
      </c>
      <c r="P2769" s="5"/>
      <c r="Q2769" s="10">
        <f>INT(Tabela1[[#This Row],[DATA]])</f>
        <v>46246</v>
      </c>
      <c r="R2769" s="14" t="str">
        <f ca="1">IF(AND(Q2769&gt;=TODAY()-WEEKDAY(TODAY(),2)+1,Q2769&lt;TODAY()),"SIM","NÃO")</f>
        <v>SIM</v>
      </c>
    </row>
    <row r="2770" spans="1:18" hidden="1">
      <c r="A2770" t="s">
        <v>2549</v>
      </c>
      <c r="B2770" t="s">
        <v>19</v>
      </c>
      <c r="C2770">
        <v>300287194</v>
      </c>
      <c r="D2770">
        <v>16442466</v>
      </c>
      <c r="E2770" t="s">
        <v>29</v>
      </c>
      <c r="F2770" t="s">
        <v>151</v>
      </c>
      <c r="G2770" s="26">
        <v>68</v>
      </c>
      <c r="H2770" t="s">
        <v>4603</v>
      </c>
      <c r="J2770" s="18" t="s">
        <v>2802</v>
      </c>
      <c r="K2770" s="11">
        <v>46246.760914351849</v>
      </c>
      <c r="M2770">
        <v>2099</v>
      </c>
      <c r="N2770" t="s">
        <v>867</v>
      </c>
      <c r="O2770" s="17" t="s">
        <v>2802</v>
      </c>
      <c r="P2770" s="5"/>
      <c r="Q2770" s="10">
        <f>INT(Tabela1[[#This Row],[DATA]])</f>
        <v>46246</v>
      </c>
      <c r="R2770" s="14" t="str">
        <f ca="1">IF(AND(Q2770&gt;=TODAY()-WEEKDAY(TODAY(),2)+1,Q2770&lt;TODAY()),"SIM","NÃO")</f>
        <v>SIM</v>
      </c>
    </row>
    <row r="2771" spans="1:18" hidden="1">
      <c r="A2771" t="s">
        <v>79</v>
      </c>
      <c r="B2771" t="s">
        <v>80</v>
      </c>
      <c r="C2771">
        <v>300284021</v>
      </c>
      <c r="D2771">
        <v>15764265</v>
      </c>
      <c r="E2771" t="s">
        <v>29</v>
      </c>
      <c r="F2771" t="s">
        <v>3461</v>
      </c>
      <c r="G2771" s="26" t="s">
        <v>4604</v>
      </c>
      <c r="H2771" t="s">
        <v>1418</v>
      </c>
      <c r="J2771" s="18" t="s">
        <v>1418</v>
      </c>
      <c r="K2771" s="11">
        <v>46247.274004629631</v>
      </c>
      <c r="M2771">
        <v>2100</v>
      </c>
      <c r="N2771" t="s">
        <v>867</v>
      </c>
      <c r="O2771" s="17">
        <v>0</v>
      </c>
      <c r="P2771" s="5"/>
      <c r="Q2771" s="10">
        <f>INT(Tabela1[[#This Row],[DATA]])</f>
        <v>46247</v>
      </c>
      <c r="R2771" s="14" t="str">
        <f ca="1">IF(AND(Q2771&gt;=TODAY()-WEEKDAY(TODAY(),2)+1,Q2771&lt;TODAY()),"SIM","NÃO")</f>
        <v>SIM</v>
      </c>
    </row>
    <row r="2772" spans="1:18" hidden="1">
      <c r="A2772" t="s">
        <v>79</v>
      </c>
      <c r="B2772" t="s">
        <v>80</v>
      </c>
      <c r="C2772">
        <v>300283999</v>
      </c>
      <c r="D2772">
        <v>15764265</v>
      </c>
      <c r="E2772" t="s">
        <v>29</v>
      </c>
      <c r="F2772" t="s">
        <v>3461</v>
      </c>
      <c r="G2772" s="26" t="s">
        <v>4605</v>
      </c>
      <c r="H2772" t="s">
        <v>4606</v>
      </c>
      <c r="J2772" s="18" t="s">
        <v>1418</v>
      </c>
      <c r="K2772" s="11">
        <v>46247.274953703702</v>
      </c>
      <c r="M2772">
        <v>2101</v>
      </c>
      <c r="N2772" t="s">
        <v>867</v>
      </c>
      <c r="O2772" s="17">
        <v>0</v>
      </c>
      <c r="P2772" s="5"/>
      <c r="Q2772" s="10">
        <f>INT(Tabela1[[#This Row],[DATA]])</f>
        <v>46247</v>
      </c>
      <c r="R2772" s="14" t="str">
        <f ca="1">IF(AND(Q2772&gt;=TODAY()-WEEKDAY(TODAY(),2)+1,Q2772&lt;TODAY()),"SIM","NÃO")</f>
        <v>SIM</v>
      </c>
    </row>
    <row r="2773" spans="1:18" hidden="1">
      <c r="A2773" t="s">
        <v>79</v>
      </c>
      <c r="B2773" t="s">
        <v>80</v>
      </c>
      <c r="C2773">
        <v>300284024</v>
      </c>
      <c r="D2773">
        <v>15764265</v>
      </c>
      <c r="E2773" t="s">
        <v>29</v>
      </c>
      <c r="F2773" t="s">
        <v>3461</v>
      </c>
      <c r="G2773" s="26" t="s">
        <v>4466</v>
      </c>
      <c r="H2773" t="s">
        <v>4607</v>
      </c>
      <c r="J2773" s="18"/>
      <c r="K2773" s="11">
        <v>46247.275648148148</v>
      </c>
      <c r="M2773">
        <v>2102</v>
      </c>
      <c r="N2773" t="s">
        <v>867</v>
      </c>
      <c r="O2773" s="17">
        <v>0</v>
      </c>
      <c r="P2773" s="5"/>
      <c r="Q2773" s="10">
        <f>INT(Tabela1[[#This Row],[DATA]])</f>
        <v>46247</v>
      </c>
      <c r="R2773" s="14" t="str">
        <f ca="1">IF(AND(Q2773&gt;=TODAY()-WEEKDAY(TODAY(),2)+1,Q2773&lt;TODAY()),"SIM","NÃO")</f>
        <v>SIM</v>
      </c>
    </row>
    <row r="2774" spans="1:18" hidden="1">
      <c r="A2774" t="s">
        <v>79</v>
      </c>
      <c r="B2774" t="s">
        <v>80</v>
      </c>
      <c r="C2774">
        <v>300290416</v>
      </c>
      <c r="D2774">
        <v>15764265</v>
      </c>
      <c r="E2774" t="s">
        <v>29</v>
      </c>
      <c r="F2774" t="s">
        <v>3241</v>
      </c>
      <c r="G2774" s="26" t="s">
        <v>4608</v>
      </c>
      <c r="H2774" t="s">
        <v>4216</v>
      </c>
      <c r="J2774" s="18"/>
      <c r="K2774" s="11">
        <v>46247.277511574073</v>
      </c>
      <c r="M2774">
        <v>2103</v>
      </c>
      <c r="N2774" t="s">
        <v>867</v>
      </c>
      <c r="O2774" s="17" t="s">
        <v>4609</v>
      </c>
      <c r="P2774" s="5"/>
      <c r="Q2774" s="10">
        <f>INT(Tabela1[[#This Row],[DATA]])</f>
        <v>46247</v>
      </c>
      <c r="R2774" s="14" t="str">
        <f ca="1">IF(AND(Q2774&gt;=TODAY()-WEEKDAY(TODAY(),2)+1,Q2774&lt;TODAY()),"SIM","NÃO")</f>
        <v>SIM</v>
      </c>
    </row>
    <row r="2775" spans="1:18" hidden="1">
      <c r="A2775" t="s">
        <v>79</v>
      </c>
      <c r="B2775" t="s">
        <v>80</v>
      </c>
      <c r="C2775">
        <v>300289695</v>
      </c>
      <c r="D2775">
        <v>16227026</v>
      </c>
      <c r="E2775" t="s">
        <v>29</v>
      </c>
      <c r="F2775" t="s">
        <v>3241</v>
      </c>
      <c r="G2775" s="26" t="s">
        <v>4608</v>
      </c>
      <c r="H2775" t="s">
        <v>4610</v>
      </c>
      <c r="J2775" s="18"/>
      <c r="K2775" s="11">
        <v>46247.279270833336</v>
      </c>
      <c r="M2775">
        <v>2104</v>
      </c>
      <c r="N2775" t="s">
        <v>867</v>
      </c>
      <c r="O2775" s="17" t="s">
        <v>4611</v>
      </c>
      <c r="P2775" s="5"/>
      <c r="Q2775" s="10">
        <f>INT(Tabela1[[#This Row],[DATA]])</f>
        <v>46247</v>
      </c>
      <c r="R2775" s="14" t="str">
        <f ca="1">IF(AND(Q2775&gt;=TODAY()-WEEKDAY(TODAY(),2)+1,Q2775&lt;TODAY()),"SIM","NÃO")</f>
        <v>SIM</v>
      </c>
    </row>
    <row r="2776" spans="1:18" hidden="1">
      <c r="A2776" t="s">
        <v>2967</v>
      </c>
      <c r="B2776" t="s">
        <v>2968</v>
      </c>
      <c r="C2776">
        <v>300289609</v>
      </c>
      <c r="D2776">
        <v>16557581</v>
      </c>
      <c r="E2776" t="s">
        <v>37</v>
      </c>
      <c r="F2776" t="s">
        <v>3461</v>
      </c>
      <c r="G2776" s="26">
        <v>4</v>
      </c>
      <c r="H2776" t="s">
        <v>2664</v>
      </c>
      <c r="J2776" s="18" t="s">
        <v>4612</v>
      </c>
      <c r="K2776" s="11">
        <v>46247.314675925925</v>
      </c>
      <c r="M2776">
        <v>2105</v>
      </c>
      <c r="N2776" t="s">
        <v>867</v>
      </c>
      <c r="O2776" s="17">
        <v>206</v>
      </c>
      <c r="P2776" s="5"/>
      <c r="Q2776" s="10">
        <f>INT(Tabela1[[#This Row],[DATA]])</f>
        <v>46247</v>
      </c>
      <c r="R2776" s="14" t="str">
        <f ca="1">IF(AND(Q2776&gt;=TODAY()-WEEKDAY(TODAY(),2)+1,Q2776&lt;TODAY()),"SIM","NÃO")</f>
        <v>SIM</v>
      </c>
    </row>
    <row r="2777" spans="1:18" hidden="1">
      <c r="A2777" t="s">
        <v>2547</v>
      </c>
      <c r="B2777" t="s">
        <v>1582</v>
      </c>
      <c r="C2777">
        <v>300288804</v>
      </c>
      <c r="D2777">
        <v>16535642</v>
      </c>
      <c r="E2777" t="s">
        <v>20</v>
      </c>
      <c r="F2777" t="s">
        <v>151</v>
      </c>
      <c r="G2777" s="26">
        <v>5</v>
      </c>
      <c r="H2777" t="s">
        <v>3191</v>
      </c>
      <c r="J2777" s="18" t="s">
        <v>3191</v>
      </c>
      <c r="K2777" s="11">
        <v>46247.315081018518</v>
      </c>
      <c r="M2777">
        <v>2106</v>
      </c>
      <c r="N2777" t="s">
        <v>867</v>
      </c>
      <c r="O2777" s="17">
        <v>0</v>
      </c>
      <c r="P2777" s="5"/>
      <c r="Q2777" s="10">
        <f>INT(Tabela1[[#This Row],[DATA]])</f>
        <v>46247</v>
      </c>
      <c r="R2777" s="14" t="str">
        <f ca="1">IF(AND(Q2777&gt;=TODAY()-WEEKDAY(TODAY(),2)+1,Q2777&lt;TODAY()),"SIM","NÃO")</f>
        <v>SIM</v>
      </c>
    </row>
    <row r="2778" spans="1:18" hidden="1">
      <c r="A2778" t="s">
        <v>2713</v>
      </c>
      <c r="B2778" t="s">
        <v>55</v>
      </c>
      <c r="C2778">
        <v>300274659</v>
      </c>
      <c r="D2778">
        <v>15774104</v>
      </c>
      <c r="E2778" t="s">
        <v>37</v>
      </c>
      <c r="F2778" t="s">
        <v>177</v>
      </c>
      <c r="G2778" s="26">
        <v>30</v>
      </c>
      <c r="H2778" t="s">
        <v>1332</v>
      </c>
      <c r="J2778" s="18" t="s">
        <v>4613</v>
      </c>
      <c r="K2778" s="11">
        <v>46247.328773148147</v>
      </c>
      <c r="M2778">
        <v>2107</v>
      </c>
      <c r="N2778" t="s">
        <v>867</v>
      </c>
      <c r="O2778" s="17" t="s">
        <v>4614</v>
      </c>
      <c r="P2778" s="5"/>
      <c r="Q2778" s="10">
        <f>INT(Tabela1[[#This Row],[DATA]])</f>
        <v>46247</v>
      </c>
      <c r="R2778" s="14" t="str">
        <f ca="1">IF(AND(Q2778&gt;=TODAY()-WEEKDAY(TODAY(),2)+1,Q2778&lt;TODAY()),"SIM","NÃO")</f>
        <v>SIM</v>
      </c>
    </row>
    <row r="2779" spans="1:18" hidden="1">
      <c r="A2779" t="s">
        <v>489</v>
      </c>
      <c r="B2779" t="s">
        <v>490</v>
      </c>
      <c r="C2779">
        <v>300281106</v>
      </c>
      <c r="D2779">
        <v>16519710</v>
      </c>
      <c r="E2779" t="s">
        <v>37</v>
      </c>
      <c r="F2779" t="s">
        <v>3215</v>
      </c>
      <c r="G2779" s="26">
        <v>1710</v>
      </c>
      <c r="H2779" t="s">
        <v>4615</v>
      </c>
      <c r="J2779" s="18" t="s">
        <v>4616</v>
      </c>
      <c r="K2779" s="11">
        <v>46247.369849537034</v>
      </c>
      <c r="M2779">
        <v>2108</v>
      </c>
      <c r="N2779" t="s">
        <v>878</v>
      </c>
      <c r="O2779" s="17">
        <v>0</v>
      </c>
      <c r="P2779" s="5"/>
      <c r="Q2779" s="10">
        <f>INT(Tabela1[[#This Row],[DATA]])</f>
        <v>46247</v>
      </c>
      <c r="R2779" s="14" t="str">
        <f ca="1">IF(AND(Q2779&gt;=TODAY()-WEEKDAY(TODAY(),2)+1,Q2779&lt;TODAY()),"SIM","NÃO")</f>
        <v>SIM</v>
      </c>
    </row>
    <row r="2780" spans="1:18" hidden="1">
      <c r="A2780" t="s">
        <v>489</v>
      </c>
      <c r="B2780" t="s">
        <v>490</v>
      </c>
      <c r="C2780">
        <v>300287942</v>
      </c>
      <c r="D2780">
        <v>16561376</v>
      </c>
      <c r="E2780" t="s">
        <v>37</v>
      </c>
      <c r="F2780" t="s">
        <v>2213</v>
      </c>
      <c r="G2780" s="26">
        <v>10</v>
      </c>
      <c r="H2780" t="s">
        <v>4617</v>
      </c>
      <c r="J2780" s="18" t="s">
        <v>2621</v>
      </c>
      <c r="K2780" s="11">
        <v>46247.374895833331</v>
      </c>
      <c r="M2780">
        <v>2109</v>
      </c>
      <c r="N2780" t="s">
        <v>867</v>
      </c>
      <c r="O2780" s="17">
        <v>10000248584</v>
      </c>
      <c r="P2780" s="5"/>
      <c r="Q2780" s="10">
        <f>INT(Tabela1[[#This Row],[DATA]])</f>
        <v>46247</v>
      </c>
      <c r="R2780" s="14" t="str">
        <f ca="1">IF(AND(Q2780&gt;=TODAY()-WEEKDAY(TODAY(),2)+1,Q2780&lt;TODAY()),"SIM","NÃO")</f>
        <v>SIM</v>
      </c>
    </row>
    <row r="2781" spans="1:18" hidden="1">
      <c r="A2781" t="s">
        <v>2578</v>
      </c>
      <c r="B2781" t="s">
        <v>69</v>
      </c>
      <c r="C2781">
        <v>300289205</v>
      </c>
      <c r="D2781">
        <v>16488067</v>
      </c>
      <c r="E2781" t="s">
        <v>37</v>
      </c>
      <c r="F2781" t="s">
        <v>2405</v>
      </c>
      <c r="G2781" s="26">
        <v>35</v>
      </c>
      <c r="H2781" t="s">
        <v>3954</v>
      </c>
      <c r="J2781" s="18"/>
      <c r="K2781" s="11">
        <v>46247.402754629627</v>
      </c>
      <c r="M2781">
        <v>2110</v>
      </c>
      <c r="N2781" t="s">
        <v>867</v>
      </c>
      <c r="O2781" s="17">
        <v>16488067</v>
      </c>
      <c r="P2781" s="5"/>
      <c r="Q2781" s="10">
        <f>INT(Tabela1[[#This Row],[DATA]])</f>
        <v>46247</v>
      </c>
      <c r="R2781" s="14" t="str">
        <f ca="1">IF(AND(Q2781&gt;=TODAY()-WEEKDAY(TODAY(),2)+1,Q2781&lt;TODAY()),"SIM","NÃO")</f>
        <v>SIM</v>
      </c>
    </row>
    <row r="2782" spans="1:18" hidden="1">
      <c r="A2782" t="s">
        <v>287</v>
      </c>
      <c r="B2782" t="s">
        <v>288</v>
      </c>
      <c r="C2782">
        <v>300286153</v>
      </c>
      <c r="D2782">
        <v>16293274</v>
      </c>
      <c r="E2782" t="s">
        <v>37</v>
      </c>
      <c r="F2782" t="s">
        <v>769</v>
      </c>
      <c r="G2782" s="26">
        <v>214</v>
      </c>
      <c r="H2782" t="s">
        <v>2325</v>
      </c>
      <c r="J2782" s="18" t="s">
        <v>2081</v>
      </c>
      <c r="K2782" s="11">
        <v>46247.408553240741</v>
      </c>
      <c r="M2782">
        <v>2111</v>
      </c>
      <c r="N2782" t="s">
        <v>867</v>
      </c>
      <c r="O2782" s="17">
        <v>0</v>
      </c>
      <c r="P2782" s="5"/>
      <c r="Q2782" s="10">
        <f>INT(Tabela1[[#This Row],[DATA]])</f>
        <v>46247</v>
      </c>
      <c r="R2782" s="14" t="str">
        <f ca="1">IF(AND(Q2782&gt;=TODAY()-WEEKDAY(TODAY(),2)+1,Q2782&lt;TODAY()),"SIM","NÃO")</f>
        <v>SIM</v>
      </c>
    </row>
    <row r="2783" spans="1:18" hidden="1">
      <c r="A2783" t="s">
        <v>2610</v>
      </c>
      <c r="B2783" t="s">
        <v>74</v>
      </c>
      <c r="C2783">
        <v>300289189</v>
      </c>
      <c r="D2783">
        <v>18578112</v>
      </c>
      <c r="E2783" t="s">
        <v>45</v>
      </c>
      <c r="F2783" t="s">
        <v>2405</v>
      </c>
      <c r="G2783" s="26">
        <v>6</v>
      </c>
      <c r="H2783" t="s">
        <v>555</v>
      </c>
      <c r="J2783" s="18"/>
      <c r="K2783" s="11">
        <v>46247.415393518517</v>
      </c>
      <c r="M2783">
        <v>2112</v>
      </c>
      <c r="N2783" t="s">
        <v>867</v>
      </c>
      <c r="O2783" s="17">
        <v>0</v>
      </c>
      <c r="P2783" s="5"/>
      <c r="Q2783" s="10">
        <f>INT(Tabela1[[#This Row],[DATA]])</f>
        <v>46247</v>
      </c>
      <c r="R2783" s="14" t="str">
        <f ca="1">IF(AND(Q2783&gt;=TODAY()-WEEKDAY(TODAY(),2)+1,Q2783&lt;TODAY()),"SIM","NÃO")</f>
        <v>SIM</v>
      </c>
    </row>
    <row r="2784" spans="1:18" hidden="1">
      <c r="A2784" t="s">
        <v>2671</v>
      </c>
      <c r="B2784" t="s">
        <v>89</v>
      </c>
      <c r="C2784">
        <v>300286546</v>
      </c>
      <c r="D2784">
        <v>16299213</v>
      </c>
      <c r="E2784" t="s">
        <v>37</v>
      </c>
      <c r="F2784" t="s">
        <v>2405</v>
      </c>
      <c r="G2784" s="26">
        <v>16</v>
      </c>
      <c r="H2784" t="s">
        <v>4618</v>
      </c>
      <c r="J2784" s="18" t="s">
        <v>4619</v>
      </c>
      <c r="K2784" s="11">
        <v>46247.423101851855</v>
      </c>
      <c r="M2784">
        <v>2113</v>
      </c>
      <c r="N2784" t="s">
        <v>867</v>
      </c>
      <c r="O2784" s="17">
        <v>0</v>
      </c>
      <c r="P2784" s="5"/>
      <c r="Q2784" s="10">
        <f>INT(Tabela1[[#This Row],[DATA]])</f>
        <v>46247</v>
      </c>
      <c r="R2784" s="14" t="str">
        <f ca="1">IF(AND(Q2784&gt;=TODAY()-WEEKDAY(TODAY(),2)+1,Q2784&lt;TODAY()),"SIM","NÃO")</f>
        <v>SIM</v>
      </c>
    </row>
    <row r="2785" spans="1:18" hidden="1">
      <c r="A2785" t="s">
        <v>2605</v>
      </c>
      <c r="B2785" t="s">
        <v>2606</v>
      </c>
      <c r="C2785">
        <v>300287596</v>
      </c>
      <c r="D2785">
        <v>16561090</v>
      </c>
      <c r="E2785" t="s">
        <v>37</v>
      </c>
      <c r="F2785" t="s">
        <v>2213</v>
      </c>
      <c r="G2785" s="26">
        <v>26</v>
      </c>
      <c r="H2785" t="s">
        <v>4111</v>
      </c>
      <c r="J2785" s="18" t="s">
        <v>4111</v>
      </c>
      <c r="K2785" s="11">
        <v>46247.429629629631</v>
      </c>
      <c r="M2785">
        <v>2114</v>
      </c>
      <c r="N2785" t="s">
        <v>867</v>
      </c>
      <c r="O2785" s="17" t="s">
        <v>4620</v>
      </c>
      <c r="P2785" s="5"/>
      <c r="Q2785" s="10">
        <f>INT(Tabela1[[#This Row],[DATA]])</f>
        <v>46247</v>
      </c>
      <c r="R2785" s="14" t="str">
        <f ca="1">IF(AND(Q2785&gt;=TODAY()-WEEKDAY(TODAY(),2)+1,Q2785&lt;TODAY()),"SIM","NÃO")</f>
        <v>SIM</v>
      </c>
    </row>
    <row r="2786" spans="1:18" hidden="1">
      <c r="A2786" t="s">
        <v>2659</v>
      </c>
      <c r="B2786" t="s">
        <v>677</v>
      </c>
      <c r="C2786">
        <v>300285100</v>
      </c>
      <c r="D2786">
        <v>16474120</v>
      </c>
      <c r="E2786" t="s">
        <v>37</v>
      </c>
      <c r="F2786" t="s">
        <v>151</v>
      </c>
      <c r="G2786" s="26">
        <v>30</v>
      </c>
      <c r="H2786" t="s">
        <v>4621</v>
      </c>
      <c r="J2786" s="18" t="s">
        <v>4622</v>
      </c>
      <c r="K2786" s="11">
        <v>46247.465254629627</v>
      </c>
      <c r="M2786">
        <v>2115</v>
      </c>
      <c r="N2786" t="s">
        <v>867</v>
      </c>
      <c r="O2786" s="17" t="s">
        <v>2778</v>
      </c>
      <c r="P2786" s="5"/>
      <c r="Q2786" s="10">
        <f>INT(Tabela1[[#This Row],[DATA]])</f>
        <v>46247</v>
      </c>
      <c r="R2786" s="14" t="str">
        <f ca="1">IF(AND(Q2786&gt;=TODAY()-WEEKDAY(TODAY(),2)+1,Q2786&lt;TODAY()),"SIM","NÃO")</f>
        <v>SIM</v>
      </c>
    </row>
    <row r="2787" spans="1:18" hidden="1">
      <c r="A2787" t="s">
        <v>253</v>
      </c>
      <c r="B2787" t="s">
        <v>254</v>
      </c>
      <c r="C2787">
        <v>300283980</v>
      </c>
      <c r="D2787">
        <v>14938570</v>
      </c>
      <c r="E2787" t="s">
        <v>45</v>
      </c>
      <c r="F2787" t="s">
        <v>151</v>
      </c>
      <c r="G2787" s="26">
        <v>2</v>
      </c>
      <c r="H2787" t="s">
        <v>582</v>
      </c>
      <c r="J2787" s="18" t="s">
        <v>582</v>
      </c>
      <c r="K2787" s="11">
        <v>46247.486157407409</v>
      </c>
      <c r="M2787">
        <v>2116</v>
      </c>
      <c r="N2787" t="s">
        <v>867</v>
      </c>
      <c r="O2787" s="17">
        <v>0</v>
      </c>
      <c r="P2787" s="5"/>
      <c r="Q2787" s="10">
        <f>INT(Tabela1[[#This Row],[DATA]])</f>
        <v>46247</v>
      </c>
      <c r="R2787" s="14" t="str">
        <f ca="1">IF(AND(Q2787&gt;=TODAY()-WEEKDAY(TODAY(),2)+1,Q2787&lt;TODAY()),"SIM","NÃO")</f>
        <v>SIM</v>
      </c>
    </row>
    <row r="2788" spans="1:18" hidden="1">
      <c r="A2788" t="s">
        <v>253</v>
      </c>
      <c r="B2788" t="s">
        <v>254</v>
      </c>
      <c r="C2788">
        <v>300290335</v>
      </c>
      <c r="D2788">
        <v>15858367</v>
      </c>
      <c r="E2788" t="s">
        <v>37</v>
      </c>
      <c r="F2788" t="s">
        <v>177</v>
      </c>
      <c r="G2788" s="26">
        <v>40</v>
      </c>
      <c r="H2788" t="s">
        <v>582</v>
      </c>
      <c r="J2788" s="18" t="s">
        <v>582</v>
      </c>
      <c r="K2788" s="11">
        <v>46247.489664351851</v>
      </c>
      <c r="M2788">
        <v>2117</v>
      </c>
      <c r="N2788" t="s">
        <v>867</v>
      </c>
      <c r="O2788" s="17">
        <v>10000162892</v>
      </c>
      <c r="P2788" s="5"/>
      <c r="Q2788" s="10">
        <f>INT(Tabela1[[#This Row],[DATA]])</f>
        <v>46247</v>
      </c>
      <c r="R2788" s="14" t="str">
        <f ca="1">IF(AND(Q2788&gt;=TODAY()-WEEKDAY(TODAY(),2)+1,Q2788&lt;TODAY()),"SIM","NÃO")</f>
        <v>SIM</v>
      </c>
    </row>
    <row r="2789" spans="1:18" hidden="1">
      <c r="A2789" t="s">
        <v>428</v>
      </c>
      <c r="B2789" t="s">
        <v>429</v>
      </c>
      <c r="C2789">
        <v>300289277</v>
      </c>
      <c r="D2789">
        <v>15215539</v>
      </c>
      <c r="E2789" t="s">
        <v>29</v>
      </c>
      <c r="F2789" t="s">
        <v>291</v>
      </c>
      <c r="G2789" s="26">
        <v>466</v>
      </c>
      <c r="H2789" t="s">
        <v>3665</v>
      </c>
      <c r="J2789" s="18"/>
      <c r="K2789" s="11">
        <v>46247.55709490741</v>
      </c>
      <c r="M2789">
        <v>2118</v>
      </c>
      <c r="N2789" t="s">
        <v>867</v>
      </c>
      <c r="O2789" s="17">
        <v>0</v>
      </c>
      <c r="P2789" s="5"/>
      <c r="Q2789" s="10">
        <f>INT(Tabela1[[#This Row],[DATA]])</f>
        <v>46247</v>
      </c>
      <c r="R2789" s="14" t="str">
        <f ca="1">IF(AND(Q2789&gt;=TODAY()-WEEKDAY(TODAY(),2)+1,Q2789&lt;TODAY()),"SIM","NÃO")</f>
        <v>SIM</v>
      </c>
    </row>
    <row r="2790" spans="1:18" hidden="1">
      <c r="A2790" t="s">
        <v>1175</v>
      </c>
      <c r="B2790" t="s">
        <v>1176</v>
      </c>
      <c r="C2790">
        <v>300280205</v>
      </c>
      <c r="D2790">
        <v>15774112</v>
      </c>
      <c r="E2790" t="s">
        <v>37</v>
      </c>
      <c r="F2790" t="s">
        <v>1564</v>
      </c>
      <c r="G2790" s="26">
        <v>567</v>
      </c>
      <c r="H2790" t="s">
        <v>4623</v>
      </c>
      <c r="J2790" s="18" t="s">
        <v>4624</v>
      </c>
      <c r="K2790" s="11">
        <v>46247.562372685185</v>
      </c>
      <c r="M2790">
        <v>2119</v>
      </c>
      <c r="N2790" t="s">
        <v>867</v>
      </c>
      <c r="O2790" s="17">
        <v>0</v>
      </c>
      <c r="P2790" s="5"/>
      <c r="Q2790" s="10">
        <f>INT(Tabela1[[#This Row],[DATA]])</f>
        <v>46247</v>
      </c>
      <c r="R2790" s="14" t="str">
        <f ca="1">IF(AND(Q2790&gt;=TODAY()-WEEKDAY(TODAY(),2)+1,Q2790&lt;TODAY()),"SIM","NÃO")</f>
        <v>SIM</v>
      </c>
    </row>
    <row r="2791" spans="1:18" hidden="1">
      <c r="A2791" t="s">
        <v>2578</v>
      </c>
      <c r="B2791" t="s">
        <v>69</v>
      </c>
      <c r="C2791">
        <v>300287292</v>
      </c>
      <c r="D2791">
        <v>16445007</v>
      </c>
      <c r="E2791" t="s">
        <v>45</v>
      </c>
      <c r="F2791" t="s">
        <v>3212</v>
      </c>
      <c r="G2791" s="26">
        <v>1140</v>
      </c>
      <c r="H2791" t="s">
        <v>4625</v>
      </c>
      <c r="J2791" s="18" t="s">
        <v>4626</v>
      </c>
      <c r="K2791" s="11">
        <v>46247.57366898148</v>
      </c>
      <c r="M2791">
        <v>2120</v>
      </c>
      <c r="N2791" t="s">
        <v>878</v>
      </c>
      <c r="O2791" s="17">
        <v>16445007</v>
      </c>
      <c r="P2791" s="5"/>
      <c r="Q2791" s="10">
        <f>INT(Tabela1[[#This Row],[DATA]])</f>
        <v>46247</v>
      </c>
      <c r="R2791" s="14" t="str">
        <f ca="1">IF(AND(Q2791&gt;=TODAY()-WEEKDAY(TODAY(),2)+1,Q2791&lt;TODAY()),"SIM","NÃO")</f>
        <v>SIM</v>
      </c>
    </row>
    <row r="2792" spans="1:18" hidden="1">
      <c r="A2792" t="s">
        <v>2624</v>
      </c>
      <c r="B2792" t="s">
        <v>50</v>
      </c>
      <c r="C2792">
        <v>300285687</v>
      </c>
      <c r="D2792">
        <v>16217861</v>
      </c>
      <c r="E2792" t="s">
        <v>37</v>
      </c>
      <c r="F2792" t="s">
        <v>3438</v>
      </c>
      <c r="G2792" s="26" t="s">
        <v>4627</v>
      </c>
      <c r="H2792" t="s">
        <v>4628</v>
      </c>
      <c r="J2792" s="18" t="s">
        <v>4629</v>
      </c>
      <c r="K2792" s="11">
        <v>46247.587280092594</v>
      </c>
      <c r="M2792">
        <v>2121</v>
      </c>
      <c r="N2792" t="s">
        <v>867</v>
      </c>
      <c r="O2792" s="17">
        <v>300285687</v>
      </c>
      <c r="P2792" s="5"/>
      <c r="Q2792" s="10">
        <f>INT(Tabela1[[#This Row],[DATA]])</f>
        <v>46247</v>
      </c>
      <c r="R2792" s="14" t="str">
        <f ca="1">IF(AND(Q2792&gt;=TODAY()-WEEKDAY(TODAY(),2)+1,Q2792&lt;TODAY()),"SIM","NÃO")</f>
        <v>SIM</v>
      </c>
    </row>
    <row r="2793" spans="1:18" hidden="1">
      <c r="A2793" t="s">
        <v>2624</v>
      </c>
      <c r="B2793" t="s">
        <v>50</v>
      </c>
      <c r="C2793">
        <v>300285687</v>
      </c>
      <c r="D2793">
        <v>16217861</v>
      </c>
      <c r="E2793" t="s">
        <v>37</v>
      </c>
      <c r="F2793" t="s">
        <v>3843</v>
      </c>
      <c r="G2793" s="26" t="s">
        <v>4630</v>
      </c>
      <c r="H2793" t="s">
        <v>4631</v>
      </c>
      <c r="J2793" s="18" t="s">
        <v>4632</v>
      </c>
      <c r="K2793" s="11">
        <v>46247.593333333331</v>
      </c>
      <c r="M2793">
        <v>2122</v>
      </c>
      <c r="N2793" t="s">
        <v>867</v>
      </c>
      <c r="O2793" s="17">
        <v>300285687</v>
      </c>
      <c r="P2793" s="5"/>
      <c r="Q2793" s="10">
        <f>INT(Tabela1[[#This Row],[DATA]])</f>
        <v>46247</v>
      </c>
      <c r="R2793" s="14" t="str">
        <f ca="1">IF(AND(Q2793&gt;=TODAY()-WEEKDAY(TODAY(),2)+1,Q2793&lt;TODAY()),"SIM","NÃO")</f>
        <v>SIM</v>
      </c>
    </row>
    <row r="2794" spans="1:18" hidden="1">
      <c r="A2794" t="s">
        <v>111</v>
      </c>
      <c r="B2794" t="s">
        <v>112</v>
      </c>
      <c r="C2794">
        <v>300289533</v>
      </c>
      <c r="D2794">
        <v>16549090</v>
      </c>
      <c r="E2794" t="s">
        <v>45</v>
      </c>
      <c r="F2794" t="s">
        <v>3212</v>
      </c>
      <c r="G2794" s="26">
        <v>10</v>
      </c>
      <c r="H2794" t="s">
        <v>1335</v>
      </c>
      <c r="J2794" s="18"/>
      <c r="K2794" s="11">
        <v>46247.628888888888</v>
      </c>
      <c r="M2794">
        <v>2123</v>
      </c>
      <c r="N2794" t="s">
        <v>867</v>
      </c>
      <c r="O2794" s="17">
        <v>0</v>
      </c>
      <c r="P2794" s="5"/>
      <c r="Q2794" s="10">
        <f>INT(Tabela1[[#This Row],[DATA]])</f>
        <v>46247</v>
      </c>
      <c r="R2794" s="14" t="str">
        <f ca="1">IF(AND(Q2794&gt;=TODAY()-WEEKDAY(TODAY(),2)+1,Q2794&lt;TODAY()),"SIM","NÃO")</f>
        <v>SIM</v>
      </c>
    </row>
    <row r="2795" spans="1:18" hidden="1">
      <c r="A2795" t="s">
        <v>3022</v>
      </c>
      <c r="B2795" t="s">
        <v>3023</v>
      </c>
      <c r="C2795">
        <v>300286710</v>
      </c>
      <c r="D2795">
        <v>16223691</v>
      </c>
      <c r="E2795" t="s">
        <v>45</v>
      </c>
      <c r="F2795" t="s">
        <v>3241</v>
      </c>
      <c r="G2795" s="26">
        <v>12</v>
      </c>
      <c r="H2795" t="s">
        <v>2709</v>
      </c>
      <c r="J2795" s="18"/>
      <c r="K2795" s="11">
        <v>46247.629583333335</v>
      </c>
      <c r="M2795">
        <v>2124</v>
      </c>
      <c r="N2795" t="s">
        <v>867</v>
      </c>
      <c r="O2795" s="17">
        <v>737</v>
      </c>
      <c r="P2795" s="5"/>
      <c r="Q2795" s="10">
        <f>INT(Tabela1[[#This Row],[DATA]])</f>
        <v>46247</v>
      </c>
      <c r="R2795" s="14" t="str">
        <f ca="1">IF(AND(Q2795&gt;=TODAY()-WEEKDAY(TODAY(),2)+1,Q2795&lt;TODAY()),"SIM","NÃO")</f>
        <v>SIM</v>
      </c>
    </row>
    <row r="2796" spans="1:18" hidden="1">
      <c r="A2796" t="s">
        <v>249</v>
      </c>
      <c r="B2796" t="s">
        <v>112</v>
      </c>
      <c r="C2796">
        <v>300288347</v>
      </c>
      <c r="D2796">
        <v>16227000</v>
      </c>
      <c r="E2796" t="s">
        <v>45</v>
      </c>
      <c r="F2796" t="s">
        <v>3212</v>
      </c>
      <c r="G2796" s="26">
        <v>16</v>
      </c>
      <c r="H2796" t="s">
        <v>1335</v>
      </c>
      <c r="J2796" s="18"/>
      <c r="K2796" s="11">
        <v>46247.630509259259</v>
      </c>
      <c r="M2796">
        <v>2125</v>
      </c>
      <c r="N2796" t="s">
        <v>867</v>
      </c>
      <c r="O2796" s="17">
        <v>0</v>
      </c>
      <c r="P2796" s="5"/>
      <c r="Q2796" s="10">
        <f>INT(Tabela1[[#This Row],[DATA]])</f>
        <v>46247</v>
      </c>
      <c r="R2796" s="14" t="str">
        <f ca="1">IF(AND(Q2796&gt;=TODAY()-WEEKDAY(TODAY(),2)+1,Q2796&lt;TODAY()),"SIM","NÃO")</f>
        <v>SIM</v>
      </c>
    </row>
    <row r="2797" spans="1:18" hidden="1">
      <c r="A2797" t="s">
        <v>249</v>
      </c>
      <c r="B2797" t="s">
        <v>112</v>
      </c>
      <c r="C2797">
        <v>300285230</v>
      </c>
      <c r="D2797">
        <v>16539613</v>
      </c>
      <c r="E2797" t="s">
        <v>37</v>
      </c>
      <c r="F2797" t="s">
        <v>769</v>
      </c>
      <c r="G2797" s="26">
        <v>30</v>
      </c>
      <c r="H2797" t="s">
        <v>4633</v>
      </c>
      <c r="J2797" s="18" t="s">
        <v>4634</v>
      </c>
      <c r="K2797" s="11">
        <v>46247.631342592591</v>
      </c>
      <c r="M2797">
        <v>2126</v>
      </c>
      <c r="N2797" t="s">
        <v>867</v>
      </c>
      <c r="O2797" s="17">
        <v>0</v>
      </c>
      <c r="P2797" s="5"/>
      <c r="Q2797" s="10">
        <f>INT(Tabela1[[#This Row],[DATA]])</f>
        <v>46247</v>
      </c>
      <c r="R2797" s="14" t="str">
        <f ca="1">IF(AND(Q2797&gt;=TODAY()-WEEKDAY(TODAY(),2)+1,Q2797&lt;TODAY()),"SIM","NÃO")</f>
        <v>SIM</v>
      </c>
    </row>
    <row r="2798" spans="1:18" hidden="1">
      <c r="A2798" t="s">
        <v>605</v>
      </c>
      <c r="B2798" t="s">
        <v>606</v>
      </c>
      <c r="C2798">
        <v>300289693</v>
      </c>
      <c r="D2798">
        <v>16442709</v>
      </c>
      <c r="E2798" t="s">
        <v>29</v>
      </c>
      <c r="F2798" t="s">
        <v>2405</v>
      </c>
      <c r="G2798" s="26" t="s">
        <v>4635</v>
      </c>
      <c r="H2798" t="s">
        <v>4075</v>
      </c>
      <c r="J2798" s="18"/>
      <c r="K2798" s="11">
        <v>46247.639317129629</v>
      </c>
      <c r="M2798">
        <v>2127</v>
      </c>
      <c r="N2798" t="s">
        <v>867</v>
      </c>
      <c r="O2798" s="17">
        <v>0</v>
      </c>
      <c r="P2798" s="5"/>
      <c r="Q2798" s="10">
        <f>INT(Tabela1[[#This Row],[DATA]])</f>
        <v>46247</v>
      </c>
      <c r="R2798" s="14" t="str">
        <f ca="1">IF(AND(Q2798&gt;=TODAY()-WEEKDAY(TODAY(),2)+1,Q2798&lt;TODAY()),"SIM","NÃO")</f>
        <v>SIM</v>
      </c>
    </row>
    <row r="2799" spans="1:18" hidden="1">
      <c r="A2799" t="s">
        <v>196</v>
      </c>
      <c r="B2799" t="s">
        <v>1625</v>
      </c>
      <c r="C2799">
        <v>300283947</v>
      </c>
      <c r="D2799">
        <v>16539486</v>
      </c>
      <c r="E2799" t="s">
        <v>37</v>
      </c>
      <c r="F2799" t="s">
        <v>3241</v>
      </c>
      <c r="G2799" s="26">
        <v>10</v>
      </c>
      <c r="H2799" t="s">
        <v>1771</v>
      </c>
      <c r="J2799" s="18"/>
      <c r="K2799" s="11">
        <v>46247.641458333332</v>
      </c>
      <c r="M2799">
        <v>2128</v>
      </c>
      <c r="N2799" t="s">
        <v>867</v>
      </c>
      <c r="O2799" s="17">
        <v>10000063176</v>
      </c>
      <c r="P2799" s="5"/>
      <c r="Q2799" s="10">
        <f>INT(Tabela1[[#This Row],[DATA]])</f>
        <v>46247</v>
      </c>
      <c r="R2799" s="14" t="str">
        <f ca="1">IF(AND(Q2799&gt;=TODAY()-WEEKDAY(TODAY(),2)+1,Q2799&lt;TODAY()),"SIM","NÃO")</f>
        <v>SIM</v>
      </c>
    </row>
    <row r="2800" spans="1:18" hidden="1">
      <c r="A2800" t="s">
        <v>2549</v>
      </c>
      <c r="B2800" t="s">
        <v>19</v>
      </c>
      <c r="C2800">
        <v>300286712</v>
      </c>
      <c r="D2800">
        <v>15581888</v>
      </c>
      <c r="E2800" t="s">
        <v>20</v>
      </c>
      <c r="F2800" t="s">
        <v>2405</v>
      </c>
      <c r="G2800" s="26">
        <v>7</v>
      </c>
      <c r="H2800" t="s">
        <v>2228</v>
      </c>
      <c r="J2800" s="18" t="s">
        <v>2802</v>
      </c>
      <c r="K2800" s="11">
        <v>46247.657037037039</v>
      </c>
      <c r="M2800">
        <v>2129</v>
      </c>
      <c r="N2800" t="s">
        <v>867</v>
      </c>
      <c r="O2800" s="17" t="s">
        <v>2802</v>
      </c>
      <c r="P2800" s="5"/>
      <c r="Q2800" s="10">
        <f>INT(Tabela1[[#This Row],[DATA]])</f>
        <v>46247</v>
      </c>
      <c r="R2800" s="14" t="str">
        <f ca="1">IF(AND(Q2800&gt;=TODAY()-WEEKDAY(TODAY(),2)+1,Q2800&lt;TODAY()),"SIM","NÃO")</f>
        <v>SIM</v>
      </c>
    </row>
    <row r="2801" spans="1:18" hidden="1">
      <c r="A2801" t="s">
        <v>493</v>
      </c>
      <c r="B2801" t="s">
        <v>686</v>
      </c>
      <c r="C2801">
        <v>300285005</v>
      </c>
      <c r="D2801">
        <v>16482204</v>
      </c>
      <c r="E2801" t="s">
        <v>37</v>
      </c>
      <c r="F2801" t="s">
        <v>3330</v>
      </c>
      <c r="G2801" s="26">
        <v>50</v>
      </c>
      <c r="H2801" t="s">
        <v>2318</v>
      </c>
      <c r="J2801" s="18"/>
      <c r="K2801" s="11">
        <v>46247.657465277778</v>
      </c>
      <c r="M2801">
        <v>2130</v>
      </c>
      <c r="N2801" t="s">
        <v>867</v>
      </c>
      <c r="O2801" s="17" t="s">
        <v>4636</v>
      </c>
      <c r="P2801" s="5"/>
      <c r="Q2801" s="10">
        <f>INT(Tabela1[[#This Row],[DATA]])</f>
        <v>46247</v>
      </c>
      <c r="R2801" s="14" t="str">
        <f ca="1">IF(AND(Q2801&gt;=TODAY()-WEEKDAY(TODAY(),2)+1,Q2801&lt;TODAY()),"SIM","NÃO")</f>
        <v>SIM</v>
      </c>
    </row>
    <row r="2802" spans="1:18" hidden="1">
      <c r="A2802" t="s">
        <v>3132</v>
      </c>
      <c r="B2802" t="s">
        <v>242</v>
      </c>
      <c r="C2802">
        <v>300288869</v>
      </c>
      <c r="D2802">
        <v>16473604</v>
      </c>
      <c r="E2802" t="s">
        <v>37</v>
      </c>
      <c r="F2802" t="s">
        <v>3241</v>
      </c>
      <c r="G2802" s="26" t="s">
        <v>4195</v>
      </c>
      <c r="H2802" t="s">
        <v>4637</v>
      </c>
      <c r="J2802" s="18" t="s">
        <v>4638</v>
      </c>
      <c r="K2802" s="11">
        <v>46247.675127314818</v>
      </c>
      <c r="M2802">
        <v>2131</v>
      </c>
      <c r="N2802" t="s">
        <v>867</v>
      </c>
      <c r="O2802" s="17">
        <v>10000072683</v>
      </c>
      <c r="P2802" s="5"/>
      <c r="Q2802" s="10">
        <f>INT(Tabela1[[#This Row],[DATA]])</f>
        <v>46247</v>
      </c>
      <c r="R2802" s="14" t="str">
        <f ca="1">IF(AND(Q2802&gt;=TODAY()-WEEKDAY(TODAY(),2)+1,Q2802&lt;TODAY()),"SIM","NÃO")</f>
        <v>SIM</v>
      </c>
    </row>
    <row r="2803" spans="1:18" hidden="1">
      <c r="A2803" t="s">
        <v>2991</v>
      </c>
      <c r="B2803" t="s">
        <v>534</v>
      </c>
      <c r="C2803">
        <v>300285686</v>
      </c>
      <c r="D2803">
        <v>16508190</v>
      </c>
      <c r="E2803" t="s">
        <v>37</v>
      </c>
      <c r="F2803" t="s">
        <v>3502</v>
      </c>
      <c r="G2803" s="26" t="s">
        <v>457</v>
      </c>
      <c r="H2803" t="s">
        <v>4639</v>
      </c>
      <c r="J2803" s="18" t="s">
        <v>4640</v>
      </c>
      <c r="K2803" s="11">
        <v>46247.693101851852</v>
      </c>
      <c r="M2803">
        <v>2132</v>
      </c>
      <c r="N2803" t="s">
        <v>867</v>
      </c>
      <c r="O2803" s="17">
        <v>0</v>
      </c>
      <c r="P2803" s="5"/>
      <c r="Q2803" s="10">
        <f>INT(Tabela1[[#This Row],[DATA]])</f>
        <v>46247</v>
      </c>
      <c r="R2803" s="14" t="str">
        <f ca="1">IF(AND(Q2803&gt;=TODAY()-WEEKDAY(TODAY(),2)+1,Q2803&lt;TODAY()),"SIM","NÃO")</f>
        <v>SIM</v>
      </c>
    </row>
    <row r="2804" spans="1:18" hidden="1">
      <c r="A2804" t="s">
        <v>253</v>
      </c>
      <c r="B2804" t="s">
        <v>254</v>
      </c>
      <c r="C2804">
        <v>300287289</v>
      </c>
      <c r="D2804">
        <v>16224388</v>
      </c>
      <c r="E2804" t="s">
        <v>45</v>
      </c>
      <c r="F2804" t="s">
        <v>3241</v>
      </c>
      <c r="G2804" s="26">
        <v>4</v>
      </c>
      <c r="H2804" t="s">
        <v>582</v>
      </c>
      <c r="J2804" s="18" t="s">
        <v>582</v>
      </c>
      <c r="K2804" s="11">
        <v>46247.693680555552</v>
      </c>
      <c r="M2804">
        <v>2133</v>
      </c>
      <c r="N2804" t="s">
        <v>867</v>
      </c>
      <c r="O2804" s="17">
        <v>0</v>
      </c>
      <c r="P2804" s="5"/>
      <c r="Q2804" s="10">
        <f>INT(Tabela1[[#This Row],[DATA]])</f>
        <v>46247</v>
      </c>
      <c r="R2804" s="14" t="str">
        <f ca="1">IF(AND(Q2804&gt;=TODAY()-WEEKDAY(TODAY(),2)+1,Q2804&lt;TODAY()),"SIM","NÃO")</f>
        <v>SIM</v>
      </c>
    </row>
    <row r="2805" spans="1:18" hidden="1">
      <c r="A2805" t="s">
        <v>253</v>
      </c>
      <c r="B2805" t="s">
        <v>254</v>
      </c>
      <c r="C2805">
        <v>300287289</v>
      </c>
      <c r="D2805">
        <v>16224388</v>
      </c>
      <c r="E2805" t="s">
        <v>45</v>
      </c>
      <c r="F2805" t="s">
        <v>259</v>
      </c>
      <c r="G2805" s="26">
        <v>4</v>
      </c>
      <c r="H2805" t="s">
        <v>582</v>
      </c>
      <c r="J2805" s="18" t="s">
        <v>582</v>
      </c>
      <c r="K2805" s="11">
        <v>46247.694421296299</v>
      </c>
      <c r="M2805">
        <v>2134</v>
      </c>
      <c r="N2805" t="s">
        <v>867</v>
      </c>
      <c r="O2805" s="17">
        <v>0</v>
      </c>
      <c r="P2805" s="5"/>
      <c r="Q2805" s="10">
        <f>INT(Tabela1[[#This Row],[DATA]])</f>
        <v>46247</v>
      </c>
      <c r="R2805" s="14" t="str">
        <f ca="1">IF(AND(Q2805&gt;=TODAY()-WEEKDAY(TODAY(),2)+1,Q2805&lt;TODAY()),"SIM","NÃO")</f>
        <v>SIM</v>
      </c>
    </row>
    <row r="2806" spans="1:18" hidden="1">
      <c r="A2806" t="s">
        <v>2610</v>
      </c>
      <c r="B2806" t="s">
        <v>74</v>
      </c>
      <c r="C2806">
        <v>300290353</v>
      </c>
      <c r="D2806">
        <v>16217870</v>
      </c>
      <c r="E2806" t="s">
        <v>20</v>
      </c>
      <c r="F2806" t="s">
        <v>3241</v>
      </c>
      <c r="G2806" s="26">
        <v>10</v>
      </c>
      <c r="H2806" t="s">
        <v>4641</v>
      </c>
      <c r="J2806" s="18"/>
      <c r="K2806" s="11">
        <v>46247.704745370371</v>
      </c>
      <c r="M2806">
        <v>2135</v>
      </c>
      <c r="N2806" t="s">
        <v>867</v>
      </c>
      <c r="O2806" s="17">
        <v>10000062704</v>
      </c>
      <c r="P2806" s="5"/>
      <c r="Q2806" s="10">
        <f>INT(Tabela1[[#This Row],[DATA]])</f>
        <v>46247</v>
      </c>
      <c r="R2806" s="14" t="str">
        <f ca="1">IF(AND(Q2806&gt;=TODAY()-WEEKDAY(TODAY(),2)+1,Q2806&lt;TODAY()),"SIM","NÃO")</f>
        <v>SIM</v>
      </c>
    </row>
    <row r="2807" spans="1:18" hidden="1">
      <c r="A2807" t="s">
        <v>2541</v>
      </c>
      <c r="B2807" t="s">
        <v>388</v>
      </c>
      <c r="C2807">
        <v>300287228</v>
      </c>
      <c r="D2807">
        <v>16217470</v>
      </c>
      <c r="E2807" t="s">
        <v>37</v>
      </c>
      <c r="F2807" t="s">
        <v>216</v>
      </c>
      <c r="G2807" s="26">
        <v>208</v>
      </c>
      <c r="H2807" t="s">
        <v>2313</v>
      </c>
      <c r="J2807" s="18"/>
      <c r="K2807" s="11">
        <v>46247.722581018519</v>
      </c>
      <c r="M2807">
        <v>2136</v>
      </c>
      <c r="N2807" t="s">
        <v>867</v>
      </c>
      <c r="O2807" s="17">
        <v>0</v>
      </c>
      <c r="P2807" s="5"/>
      <c r="Q2807" s="10">
        <f>INT(Tabela1[[#This Row],[DATA]])</f>
        <v>46247</v>
      </c>
      <c r="R2807" s="14" t="str">
        <f ca="1">IF(AND(Q2807&gt;=TODAY()-WEEKDAY(TODAY(),2)+1,Q2807&lt;TODAY()),"SIM","NÃO")</f>
        <v>SIM</v>
      </c>
    </row>
    <row r="2808" spans="1:18" hidden="1">
      <c r="A2808" t="s">
        <v>2549</v>
      </c>
      <c r="B2808" t="s">
        <v>19</v>
      </c>
      <c r="C2808">
        <v>300287194</v>
      </c>
      <c r="D2808">
        <v>16442466</v>
      </c>
      <c r="E2808" t="s">
        <v>29</v>
      </c>
      <c r="F2808" t="s">
        <v>151</v>
      </c>
      <c r="G2808" s="26">
        <v>40</v>
      </c>
      <c r="H2808" t="s">
        <v>2228</v>
      </c>
      <c r="J2808" s="18" t="s">
        <v>2802</v>
      </c>
      <c r="K2808" s="11">
        <v>46247.740671296298</v>
      </c>
      <c r="M2808">
        <v>2137</v>
      </c>
      <c r="N2808" t="s">
        <v>867</v>
      </c>
      <c r="O2808" s="17" t="s">
        <v>2802</v>
      </c>
      <c r="P2808" s="5"/>
      <c r="Q2808" s="10">
        <f>INT(Tabela1[[#This Row],[DATA]])</f>
        <v>46247</v>
      </c>
      <c r="R2808" s="14" t="str">
        <f ca="1">IF(AND(Q2808&gt;=TODAY()-WEEKDAY(TODAY(),2)+1,Q2808&lt;TODAY()),"SIM","NÃO")</f>
        <v>SIM</v>
      </c>
    </row>
    <row r="2809" spans="1:18" hidden="1">
      <c r="A2809" t="s">
        <v>2578</v>
      </c>
      <c r="B2809" t="s">
        <v>69</v>
      </c>
      <c r="C2809">
        <v>300287292</v>
      </c>
      <c r="D2809">
        <v>16445007</v>
      </c>
      <c r="E2809" t="s">
        <v>45</v>
      </c>
      <c r="F2809" t="s">
        <v>329</v>
      </c>
      <c r="G2809" s="26">
        <v>1140</v>
      </c>
      <c r="H2809" t="s">
        <v>4642</v>
      </c>
      <c r="J2809" s="18" t="s">
        <v>4642</v>
      </c>
      <c r="K2809" s="11">
        <v>46247.749374999999</v>
      </c>
      <c r="M2809">
        <v>2138</v>
      </c>
      <c r="N2809" t="s">
        <v>878</v>
      </c>
      <c r="O2809" s="17">
        <v>16445007</v>
      </c>
      <c r="P2809" s="5"/>
      <c r="Q2809" s="10">
        <f>INT(Tabela1[[#This Row],[DATA]])</f>
        <v>46247</v>
      </c>
      <c r="R2809" s="14" t="str">
        <f ca="1">IF(AND(Q2809&gt;=TODAY()-WEEKDAY(TODAY(),2)+1,Q2809&lt;TODAY()),"SIM","NÃO")</f>
        <v>SIM</v>
      </c>
    </row>
    <row r="2810" spans="1:18" hidden="1">
      <c r="A2810" t="s">
        <v>2624</v>
      </c>
      <c r="B2810" t="s">
        <v>50</v>
      </c>
      <c r="C2810">
        <v>300286536</v>
      </c>
      <c r="D2810">
        <v>16217861</v>
      </c>
      <c r="E2810" t="s">
        <v>37</v>
      </c>
      <c r="F2810" t="s">
        <v>3241</v>
      </c>
      <c r="G2810" s="26">
        <v>10</v>
      </c>
      <c r="H2810" t="s">
        <v>4643</v>
      </c>
      <c r="J2810" s="18" t="s">
        <v>4644</v>
      </c>
      <c r="K2810" s="11">
        <v>46247.75984953704</v>
      </c>
      <c r="M2810">
        <v>2139</v>
      </c>
      <c r="N2810" t="s">
        <v>867</v>
      </c>
      <c r="O2810" s="17">
        <v>10000073228</v>
      </c>
      <c r="P2810" s="5"/>
      <c r="Q2810" s="10">
        <f>INT(Tabela1[[#This Row],[DATA]])</f>
        <v>46247</v>
      </c>
      <c r="R2810" s="14" t="str">
        <f ca="1">IF(AND(Q2810&gt;=TODAY()-WEEKDAY(TODAY(),2)+1,Q2810&lt;TODAY()),"SIM","NÃO")</f>
        <v>SIM</v>
      </c>
    </row>
    <row r="2811" spans="1:18" hidden="1">
      <c r="A2811" t="s">
        <v>2624</v>
      </c>
      <c r="B2811" t="s">
        <v>50</v>
      </c>
      <c r="C2811">
        <v>300285688</v>
      </c>
      <c r="D2811">
        <v>16217861</v>
      </c>
      <c r="E2811" t="s">
        <v>37</v>
      </c>
      <c r="F2811" t="s">
        <v>3241</v>
      </c>
      <c r="G2811" s="26">
        <v>10</v>
      </c>
      <c r="H2811" t="s">
        <v>4643</v>
      </c>
      <c r="J2811" s="18" t="s">
        <v>4644</v>
      </c>
      <c r="K2811" s="11">
        <v>46247.761631944442</v>
      </c>
      <c r="M2811">
        <v>2140</v>
      </c>
      <c r="N2811" t="s">
        <v>867</v>
      </c>
      <c r="O2811" s="17">
        <v>10000073228</v>
      </c>
      <c r="P2811" s="5"/>
      <c r="Q2811" s="10">
        <f>INT(Tabela1[[#This Row],[DATA]])</f>
        <v>46247</v>
      </c>
      <c r="R2811" s="14" t="str">
        <f ca="1">IF(AND(Q2811&gt;=TODAY()-WEEKDAY(TODAY(),2)+1,Q2811&lt;TODAY()),"SIM","NÃO")</f>
        <v>SIM</v>
      </c>
    </row>
    <row r="2812" spans="1:18" hidden="1">
      <c r="A2812" t="s">
        <v>2991</v>
      </c>
      <c r="B2812" t="s">
        <v>534</v>
      </c>
      <c r="C2812">
        <v>300285686</v>
      </c>
      <c r="D2812">
        <v>16508190</v>
      </c>
      <c r="E2812" t="s">
        <v>37</v>
      </c>
      <c r="F2812" t="s">
        <v>3241</v>
      </c>
      <c r="G2812" s="26" t="s">
        <v>4645</v>
      </c>
      <c r="H2812" t="s">
        <v>4646</v>
      </c>
      <c r="J2812" s="18" t="s">
        <v>4647</v>
      </c>
      <c r="K2812" s="11">
        <v>46247.794120370374</v>
      </c>
      <c r="M2812">
        <v>2141</v>
      </c>
      <c r="N2812" t="s">
        <v>867</v>
      </c>
      <c r="O2812" s="17">
        <v>10000063383</v>
      </c>
      <c r="P2812" s="5"/>
      <c r="Q2812" s="10">
        <f>INT(Tabela1[[#This Row],[DATA]])</f>
        <v>46247</v>
      </c>
      <c r="R2812" s="14" t="str">
        <f ca="1">IF(AND(Q2812&gt;=TODAY()-WEEKDAY(TODAY(),2)+1,Q2812&lt;TODAY()),"SIM","NÃO")</f>
        <v>SIM</v>
      </c>
    </row>
    <row r="2813" spans="1:18" hidden="1">
      <c r="A2813" t="s">
        <v>79</v>
      </c>
      <c r="B2813" t="s">
        <v>80</v>
      </c>
      <c r="C2813">
        <v>300285086</v>
      </c>
      <c r="D2813">
        <v>16442717</v>
      </c>
      <c r="E2813" t="s">
        <v>29</v>
      </c>
      <c r="F2813" t="s">
        <v>2405</v>
      </c>
      <c r="G2813" s="26" t="s">
        <v>4648</v>
      </c>
      <c r="H2813" t="s">
        <v>4210</v>
      </c>
      <c r="J2813" s="18"/>
      <c r="K2813" s="11">
        <v>46248.3283912037</v>
      </c>
      <c r="M2813">
        <v>2142</v>
      </c>
      <c r="N2813" t="s">
        <v>867</v>
      </c>
      <c r="O2813" s="17">
        <v>0</v>
      </c>
      <c r="P2813" s="5"/>
      <c r="Q2813" s="10">
        <f>INT(Tabela1[[#This Row],[DATA]])</f>
        <v>46248</v>
      </c>
      <c r="R2813" s="14" t="str">
        <f ca="1">IF(AND(Q2813&gt;=TODAY()-WEEKDAY(TODAY(),2)+1,Q2813&lt;TODAY()),"SIM","NÃO")</f>
        <v>SIM</v>
      </c>
    </row>
    <row r="2814" spans="1:18" hidden="1">
      <c r="A2814" t="s">
        <v>249</v>
      </c>
      <c r="B2814" t="s">
        <v>112</v>
      </c>
      <c r="C2814">
        <v>300271870</v>
      </c>
      <c r="D2814">
        <v>16222954</v>
      </c>
      <c r="E2814" t="s">
        <v>45</v>
      </c>
      <c r="F2814" t="s">
        <v>2405</v>
      </c>
      <c r="G2814" s="26">
        <v>3</v>
      </c>
      <c r="H2814" t="s">
        <v>1335</v>
      </c>
      <c r="J2814" s="18"/>
      <c r="K2814" s="11">
        <v>46248.330185185187</v>
      </c>
      <c r="M2814">
        <v>2143</v>
      </c>
      <c r="N2814" t="s">
        <v>867</v>
      </c>
      <c r="O2814" s="17">
        <v>0</v>
      </c>
      <c r="P2814" s="5"/>
      <c r="Q2814" s="10">
        <f>INT(Tabela1[[#This Row],[DATA]])</f>
        <v>46248</v>
      </c>
      <c r="R2814" s="14" t="str">
        <f ca="1">IF(AND(Q2814&gt;=TODAY()-WEEKDAY(TODAY(),2)+1,Q2814&lt;TODAY()),"SIM","NÃO")</f>
        <v>SIM</v>
      </c>
    </row>
    <row r="2815" spans="1:18" hidden="1">
      <c r="A2815" t="s">
        <v>1236</v>
      </c>
      <c r="B2815" t="s">
        <v>1237</v>
      </c>
      <c r="C2815">
        <v>300286154</v>
      </c>
      <c r="D2815">
        <v>16293274</v>
      </c>
      <c r="E2815" t="s">
        <v>37</v>
      </c>
      <c r="F2815" t="s">
        <v>3241</v>
      </c>
      <c r="G2815" s="26">
        <v>6</v>
      </c>
      <c r="H2815" t="s">
        <v>4192</v>
      </c>
      <c r="J2815" s="18" t="s">
        <v>4649</v>
      </c>
      <c r="K2815" s="11">
        <v>46248.338692129626</v>
      </c>
      <c r="M2815">
        <v>2144</v>
      </c>
      <c r="N2815" t="s">
        <v>867</v>
      </c>
      <c r="O2815" s="17">
        <v>63189</v>
      </c>
      <c r="P2815" s="5"/>
      <c r="Q2815" s="10">
        <f>INT(Tabela1[[#This Row],[DATA]])</f>
        <v>46248</v>
      </c>
      <c r="R2815" s="14" t="str">
        <f ca="1">IF(AND(Q2815&gt;=TODAY()-WEEKDAY(TODAY(),2)+1,Q2815&lt;TODAY()),"SIM","NÃO")</f>
        <v>SIM</v>
      </c>
    </row>
    <row r="2816" spans="1:18" hidden="1">
      <c r="A2816" t="s">
        <v>1236</v>
      </c>
      <c r="B2816" t="s">
        <v>1237</v>
      </c>
      <c r="C2816">
        <v>300286154</v>
      </c>
      <c r="D2816">
        <v>16293274</v>
      </c>
      <c r="E2816" t="s">
        <v>37</v>
      </c>
      <c r="F2816" t="s">
        <v>3241</v>
      </c>
      <c r="G2816" s="26">
        <v>7</v>
      </c>
      <c r="H2816" t="s">
        <v>2907</v>
      </c>
      <c r="J2816" s="18" t="s">
        <v>4650</v>
      </c>
      <c r="K2816" s="11">
        <v>46248.339791666665</v>
      </c>
      <c r="M2816">
        <v>2145</v>
      </c>
      <c r="N2816" t="s">
        <v>867</v>
      </c>
      <c r="O2816" s="17">
        <v>227632</v>
      </c>
      <c r="P2816" s="5"/>
      <c r="Q2816" s="10">
        <f>INT(Tabela1[[#This Row],[DATA]])</f>
        <v>46248</v>
      </c>
      <c r="R2816" s="14" t="str">
        <f ca="1">IF(AND(Q2816&gt;=TODAY()-WEEKDAY(TODAY(),2)+1,Q2816&lt;TODAY()),"SIM","NÃO")</f>
        <v>SIM</v>
      </c>
    </row>
    <row r="2817" spans="1:18" hidden="1">
      <c r="A2817" t="s">
        <v>2754</v>
      </c>
      <c r="B2817" t="s">
        <v>822</v>
      </c>
      <c r="C2817">
        <v>300286125</v>
      </c>
      <c r="D2817">
        <v>16488393</v>
      </c>
      <c r="E2817" t="s">
        <v>37</v>
      </c>
      <c r="F2817" t="s">
        <v>3241</v>
      </c>
      <c r="G2817" s="26">
        <v>10</v>
      </c>
      <c r="H2817" t="s">
        <v>4651</v>
      </c>
      <c r="J2817" s="18" t="s">
        <v>2804</v>
      </c>
      <c r="K2817" s="11">
        <v>46248.344699074078</v>
      </c>
      <c r="M2817">
        <v>2146</v>
      </c>
      <c r="N2817" t="s">
        <v>867</v>
      </c>
      <c r="O2817" s="17" t="s">
        <v>4652</v>
      </c>
      <c r="P2817" s="5"/>
      <c r="Q2817" s="10">
        <f>INT(Tabela1[[#This Row],[DATA]])</f>
        <v>46248</v>
      </c>
      <c r="R2817" s="14" t="str">
        <f ca="1">IF(AND(Q2817&gt;=TODAY()-WEEKDAY(TODAY(),2)+1,Q2817&lt;TODAY()),"SIM","NÃO")</f>
        <v>SIM</v>
      </c>
    </row>
    <row r="2818" spans="1:18" hidden="1">
      <c r="A2818" t="s">
        <v>605</v>
      </c>
      <c r="B2818" t="s">
        <v>606</v>
      </c>
      <c r="C2818">
        <v>300278731</v>
      </c>
      <c r="D2818">
        <v>15128288</v>
      </c>
      <c r="E2818" t="s">
        <v>29</v>
      </c>
      <c r="F2818" t="s">
        <v>291</v>
      </c>
      <c r="G2818" s="26">
        <v>187</v>
      </c>
      <c r="H2818" t="s">
        <v>2401</v>
      </c>
      <c r="J2818" s="18" t="s">
        <v>4653</v>
      </c>
      <c r="K2818" s="11">
        <v>46248.365949074076</v>
      </c>
      <c r="M2818">
        <v>2147</v>
      </c>
      <c r="N2818" t="s">
        <v>878</v>
      </c>
      <c r="O2818" s="17">
        <v>0</v>
      </c>
      <c r="P2818" s="5"/>
      <c r="Q2818" s="10">
        <f>INT(Tabela1[[#This Row],[DATA]])</f>
        <v>46248</v>
      </c>
      <c r="R2818" s="14" t="str">
        <f ca="1">IF(AND(Q2818&gt;=TODAY()-WEEKDAY(TODAY(),2)+1,Q2818&lt;TODAY()),"SIM","NÃO")</f>
        <v>SIM</v>
      </c>
    </row>
    <row r="2819" spans="1:18" hidden="1">
      <c r="A2819" t="s">
        <v>605</v>
      </c>
      <c r="B2819" t="s">
        <v>606</v>
      </c>
      <c r="C2819">
        <v>300278731</v>
      </c>
      <c r="D2819">
        <v>15128288</v>
      </c>
      <c r="E2819" t="s">
        <v>29</v>
      </c>
      <c r="F2819" t="s">
        <v>96</v>
      </c>
      <c r="G2819" s="26">
        <v>187</v>
      </c>
      <c r="H2819" t="s">
        <v>2284</v>
      </c>
      <c r="J2819" s="18" t="s">
        <v>4654</v>
      </c>
      <c r="K2819" s="11">
        <v>46248.367777777778</v>
      </c>
      <c r="M2819">
        <v>2148</v>
      </c>
      <c r="N2819" t="s">
        <v>878</v>
      </c>
      <c r="O2819" s="17">
        <v>0</v>
      </c>
      <c r="P2819" s="5"/>
      <c r="Q2819" s="10">
        <f>INT(Tabela1[[#This Row],[DATA]])</f>
        <v>46248</v>
      </c>
      <c r="R2819" s="14" t="str">
        <f ca="1">IF(AND(Q2819&gt;=TODAY()-WEEKDAY(TODAY(),2)+1,Q2819&lt;TODAY()),"SIM","NÃO")</f>
        <v>SIM</v>
      </c>
    </row>
    <row r="2820" spans="1:18" hidden="1">
      <c r="A2820" t="s">
        <v>3311</v>
      </c>
      <c r="B2820" t="s">
        <v>768</v>
      </c>
      <c r="C2820">
        <v>300281108</v>
      </c>
      <c r="D2820">
        <v>16519710</v>
      </c>
      <c r="E2820" t="s">
        <v>37</v>
      </c>
      <c r="F2820" t="s">
        <v>151</v>
      </c>
      <c r="G2820" s="26">
        <v>64</v>
      </c>
      <c r="H2820" t="s">
        <v>4655</v>
      </c>
      <c r="J2820" s="18" t="s">
        <v>4656</v>
      </c>
      <c r="K2820" s="11">
        <v>46248.370173611111</v>
      </c>
      <c r="M2820">
        <v>2149</v>
      </c>
      <c r="N2820" t="s">
        <v>867</v>
      </c>
      <c r="O2820" s="17" t="s">
        <v>848</v>
      </c>
      <c r="P2820" s="5"/>
      <c r="Q2820" s="10">
        <f>INT(Tabela1[[#This Row],[DATA]])</f>
        <v>46248</v>
      </c>
      <c r="R2820" s="14" t="str">
        <f ca="1">IF(AND(Q2820&gt;=TODAY()-WEEKDAY(TODAY(),2)+1,Q2820&lt;TODAY()),"SIM","NÃO")</f>
        <v>SIM</v>
      </c>
    </row>
    <row r="2821" spans="1:18" hidden="1">
      <c r="A2821" t="s">
        <v>2765</v>
      </c>
      <c r="B2821" t="s">
        <v>107</v>
      </c>
      <c r="C2821">
        <v>300289861</v>
      </c>
      <c r="D2821">
        <v>16577558</v>
      </c>
      <c r="E2821" t="s">
        <v>45</v>
      </c>
      <c r="F2821" t="s">
        <v>2405</v>
      </c>
      <c r="G2821" s="26">
        <v>42</v>
      </c>
      <c r="H2821" t="s">
        <v>2880</v>
      </c>
      <c r="J2821" s="18"/>
      <c r="K2821" s="11">
        <v>46248.396435185183</v>
      </c>
      <c r="M2821">
        <v>2150</v>
      </c>
      <c r="N2821" t="s">
        <v>878</v>
      </c>
      <c r="O2821" s="17">
        <v>0</v>
      </c>
      <c r="P2821" s="5"/>
      <c r="Q2821" s="10">
        <f>INT(Tabela1[[#This Row],[DATA]])</f>
        <v>46248</v>
      </c>
      <c r="R2821" s="14" t="str">
        <f ca="1">IF(AND(Q2821&gt;=TODAY()-WEEKDAY(TODAY(),2)+1,Q2821&lt;TODAY()),"SIM","NÃO")</f>
        <v>SIM</v>
      </c>
    </row>
    <row r="2822" spans="1:18" hidden="1">
      <c r="A2822" t="s">
        <v>35</v>
      </c>
      <c r="B2822" t="s">
        <v>36</v>
      </c>
      <c r="C2822">
        <v>300000000</v>
      </c>
      <c r="D2822">
        <v>0</v>
      </c>
      <c r="E2822" t="s">
        <v>37</v>
      </c>
      <c r="F2822" t="s">
        <v>3215</v>
      </c>
      <c r="G2822" s="26">
        <v>4</v>
      </c>
      <c r="H2822" t="s">
        <v>4657</v>
      </c>
      <c r="J2822" s="18"/>
      <c r="K2822" s="11">
        <v>46248.396666666667</v>
      </c>
      <c r="M2822">
        <v>2151</v>
      </c>
      <c r="N2822" t="s">
        <v>867</v>
      </c>
      <c r="O2822" s="17">
        <v>0</v>
      </c>
      <c r="P2822" s="5"/>
      <c r="Q2822" s="10">
        <f>INT(Tabela1[[#This Row],[DATA]])</f>
        <v>46248</v>
      </c>
      <c r="R2822" s="14" t="str">
        <f ca="1">IF(AND(Q2822&gt;=TODAY()-WEEKDAY(TODAY(),2)+1,Q2822&lt;TODAY()),"SIM","NÃO")</f>
        <v>SIM</v>
      </c>
    </row>
    <row r="2823" spans="1:18" hidden="1">
      <c r="A2823" t="s">
        <v>101</v>
      </c>
      <c r="B2823" t="s">
        <v>990</v>
      </c>
      <c r="C2823">
        <v>300288420</v>
      </c>
      <c r="D2823">
        <v>16186621</v>
      </c>
      <c r="E2823" t="s">
        <v>37</v>
      </c>
      <c r="F2823" t="s">
        <v>2405</v>
      </c>
      <c r="G2823" s="26">
        <v>8</v>
      </c>
      <c r="H2823" t="s">
        <v>4284</v>
      </c>
      <c r="J2823" s="18" t="s">
        <v>4658</v>
      </c>
      <c r="K2823" s="11">
        <v>46248.406840277778</v>
      </c>
      <c r="M2823">
        <v>2152</v>
      </c>
      <c r="N2823" t="s">
        <v>867</v>
      </c>
      <c r="O2823" s="17">
        <v>0</v>
      </c>
      <c r="P2823" s="5"/>
      <c r="Q2823" s="10">
        <f>INT(Tabela1[[#This Row],[DATA]])</f>
        <v>46248</v>
      </c>
      <c r="R2823" s="14" t="str">
        <f ca="1">IF(AND(Q2823&gt;=TODAY()-WEEKDAY(TODAY(),2)+1,Q2823&lt;TODAY()),"SIM","NÃO")</f>
        <v>SIM</v>
      </c>
    </row>
    <row r="2824" spans="1:18" hidden="1">
      <c r="A2824" t="s">
        <v>185</v>
      </c>
      <c r="B2824" t="s">
        <v>1625</v>
      </c>
      <c r="C2824">
        <v>300285259</v>
      </c>
      <c r="D2824">
        <v>16626737</v>
      </c>
      <c r="E2824" t="s">
        <v>37</v>
      </c>
      <c r="F2824" t="s">
        <v>177</v>
      </c>
      <c r="G2824" s="26">
        <v>170</v>
      </c>
      <c r="H2824" t="s">
        <v>2137</v>
      </c>
      <c r="J2824" s="18"/>
      <c r="K2824" s="11">
        <v>46248.417696759258</v>
      </c>
      <c r="M2824">
        <v>2153</v>
      </c>
      <c r="N2824" t="s">
        <v>867</v>
      </c>
      <c r="O2824" s="17">
        <v>10000211585</v>
      </c>
      <c r="P2824" s="5"/>
      <c r="Q2824" s="10">
        <f>INT(Tabela1[[#This Row],[DATA]])</f>
        <v>46248</v>
      </c>
      <c r="R2824" s="14" t="str">
        <f ca="1">IF(AND(Q2824&gt;=TODAY()-WEEKDAY(TODAY(),2)+1,Q2824&lt;TODAY()),"SIM","NÃO")</f>
        <v>SIM</v>
      </c>
    </row>
    <row r="2825" spans="1:18" hidden="1">
      <c r="A2825" t="s">
        <v>2541</v>
      </c>
      <c r="B2825" t="s">
        <v>388</v>
      </c>
      <c r="C2825">
        <v>300287228</v>
      </c>
      <c r="D2825">
        <v>16217470</v>
      </c>
      <c r="E2825" t="s">
        <v>37</v>
      </c>
      <c r="F2825" t="s">
        <v>2213</v>
      </c>
      <c r="G2825" s="26">
        <v>208</v>
      </c>
      <c r="H2825" t="s">
        <v>2313</v>
      </c>
      <c r="J2825" s="18"/>
      <c r="K2825" s="11">
        <v>46248.430358796293</v>
      </c>
      <c r="M2825">
        <v>2154</v>
      </c>
      <c r="N2825" t="s">
        <v>867</v>
      </c>
      <c r="O2825" s="17">
        <v>10000216483</v>
      </c>
      <c r="P2825" s="5"/>
      <c r="Q2825" s="10">
        <f>INT(Tabela1[[#This Row],[DATA]])</f>
        <v>46248</v>
      </c>
      <c r="R2825" s="14" t="str">
        <f ca="1">IF(AND(Q2825&gt;=TODAY()-WEEKDAY(TODAY(),2)+1,Q2825&lt;TODAY()),"SIM","NÃO")</f>
        <v>SIM</v>
      </c>
    </row>
    <row r="2826" spans="1:18" hidden="1">
      <c r="A2826" t="s">
        <v>2605</v>
      </c>
      <c r="B2826" t="s">
        <v>2606</v>
      </c>
      <c r="C2826">
        <v>300287597</v>
      </c>
      <c r="D2826">
        <v>16561090</v>
      </c>
      <c r="E2826" t="s">
        <v>37</v>
      </c>
      <c r="F2826" t="s">
        <v>2213</v>
      </c>
      <c r="G2826" s="26">
        <v>34</v>
      </c>
      <c r="H2826" t="s">
        <v>4111</v>
      </c>
      <c r="J2826" s="18" t="s">
        <v>4111</v>
      </c>
      <c r="K2826" s="11">
        <v>46248.440486111111</v>
      </c>
      <c r="M2826">
        <v>2155</v>
      </c>
      <c r="N2826" t="s">
        <v>867</v>
      </c>
      <c r="O2826" s="17" t="s">
        <v>4659</v>
      </c>
      <c r="P2826" s="5"/>
      <c r="Q2826" s="10">
        <f>INT(Tabela1[[#This Row],[DATA]])</f>
        <v>46248</v>
      </c>
      <c r="R2826" s="14" t="str">
        <f ca="1">IF(AND(Q2826&gt;=TODAY()-WEEKDAY(TODAY(),2)+1,Q2826&lt;TODAY()),"SIM","NÃO")</f>
        <v>SIM</v>
      </c>
    </row>
    <row r="2827" spans="1:18" hidden="1">
      <c r="A2827" t="s">
        <v>2541</v>
      </c>
      <c r="B2827" t="s">
        <v>388</v>
      </c>
      <c r="C2827">
        <v>300286686</v>
      </c>
      <c r="D2827">
        <v>16561074</v>
      </c>
      <c r="E2827" t="s">
        <v>37</v>
      </c>
      <c r="F2827" t="s">
        <v>2213</v>
      </c>
      <c r="G2827" s="26">
        <v>10</v>
      </c>
      <c r="H2827" t="s">
        <v>2313</v>
      </c>
      <c r="J2827" s="18"/>
      <c r="K2827" s="11">
        <v>46248.442523148151</v>
      </c>
      <c r="M2827">
        <v>2156</v>
      </c>
      <c r="N2827" t="s">
        <v>867</v>
      </c>
      <c r="O2827" s="17">
        <v>1000247658</v>
      </c>
      <c r="P2827" s="5"/>
      <c r="Q2827" s="10">
        <f>INT(Tabela1[[#This Row],[DATA]])</f>
        <v>46248</v>
      </c>
      <c r="R2827" s="14" t="str">
        <f ca="1">IF(AND(Q2827&gt;=TODAY()-WEEKDAY(TODAY(),2)+1,Q2827&lt;TODAY()),"SIM","NÃO")</f>
        <v>SIM</v>
      </c>
    </row>
    <row r="2828" spans="1:18" hidden="1">
      <c r="A2828" t="s">
        <v>2624</v>
      </c>
      <c r="B2828" t="s">
        <v>50</v>
      </c>
      <c r="C2828">
        <v>300285687</v>
      </c>
      <c r="D2828">
        <v>16217861</v>
      </c>
      <c r="E2828" t="s">
        <v>37</v>
      </c>
      <c r="F2828" t="s">
        <v>2405</v>
      </c>
      <c r="G2828" s="26" t="s">
        <v>4660</v>
      </c>
      <c r="H2828" t="s">
        <v>4661</v>
      </c>
      <c r="J2828" s="18" t="s">
        <v>4662</v>
      </c>
      <c r="K2828" s="11">
        <v>46248.450243055559</v>
      </c>
      <c r="M2828">
        <v>2157</v>
      </c>
      <c r="N2828" t="s">
        <v>878</v>
      </c>
      <c r="O2828" s="17" t="s">
        <v>4663</v>
      </c>
      <c r="P2828" s="5"/>
      <c r="Q2828" s="10">
        <f>INT(Tabela1[[#This Row],[DATA]])</f>
        <v>46248</v>
      </c>
      <c r="R2828" s="14" t="str">
        <f ca="1">IF(AND(Q2828&gt;=TODAY()-WEEKDAY(TODAY(),2)+1,Q2828&lt;TODAY()),"SIM","NÃO")</f>
        <v>SIM</v>
      </c>
    </row>
    <row r="2829" spans="1:18" hidden="1">
      <c r="A2829" t="s">
        <v>233</v>
      </c>
      <c r="B2829" t="s">
        <v>234</v>
      </c>
      <c r="C2829">
        <v>300290762</v>
      </c>
      <c r="D2829">
        <v>16576527</v>
      </c>
      <c r="E2829" t="s">
        <v>37</v>
      </c>
      <c r="F2829" t="s">
        <v>2405</v>
      </c>
      <c r="G2829" s="26">
        <v>1.107</v>
      </c>
      <c r="H2829" t="s">
        <v>4664</v>
      </c>
      <c r="J2829" s="18" t="s">
        <v>4665</v>
      </c>
      <c r="K2829" s="11">
        <v>46248.462071759262</v>
      </c>
      <c r="M2829">
        <v>2158</v>
      </c>
      <c r="N2829" t="s">
        <v>878</v>
      </c>
      <c r="O2829" s="17">
        <v>0</v>
      </c>
      <c r="P2829" s="5"/>
      <c r="Q2829" s="10">
        <f>INT(Tabela1[[#This Row],[DATA]])</f>
        <v>46248</v>
      </c>
      <c r="R2829" s="14" t="str">
        <f ca="1">IF(AND(Q2829&gt;=TODAY()-WEEKDAY(TODAY(),2)+1,Q2829&lt;TODAY()),"SIM","NÃO")</f>
        <v>SIM</v>
      </c>
    </row>
    <row r="2830" spans="1:18" hidden="1">
      <c r="A2830" t="s">
        <v>2549</v>
      </c>
      <c r="B2830" t="s">
        <v>19</v>
      </c>
      <c r="C2830">
        <v>300287194</v>
      </c>
      <c r="D2830">
        <v>16442466</v>
      </c>
      <c r="E2830" t="s">
        <v>29</v>
      </c>
      <c r="F2830" t="s">
        <v>3502</v>
      </c>
      <c r="G2830" s="26">
        <v>8</v>
      </c>
      <c r="H2830" t="s">
        <v>2228</v>
      </c>
      <c r="J2830" s="18" t="s">
        <v>2802</v>
      </c>
      <c r="K2830" s="11">
        <v>46248.480729166666</v>
      </c>
      <c r="M2830">
        <v>2159</v>
      </c>
      <c r="N2830" t="s">
        <v>867</v>
      </c>
      <c r="O2830" s="17" t="s">
        <v>2802</v>
      </c>
      <c r="P2830" s="5"/>
      <c r="Q2830" s="10">
        <f>INT(Tabela1[[#This Row],[DATA]])</f>
        <v>46248</v>
      </c>
      <c r="R2830" s="14" t="str">
        <f ca="1">IF(AND(Q2830&gt;=TODAY()-WEEKDAY(TODAY(),2)+1,Q2830&lt;TODAY()),"SIM","NÃO")</f>
        <v>SIM</v>
      </c>
    </row>
    <row r="2831" spans="1:18" hidden="1">
      <c r="A2831" t="s">
        <v>2707</v>
      </c>
      <c r="B2831" t="s">
        <v>181</v>
      </c>
      <c r="C2831">
        <v>300287928</v>
      </c>
      <c r="D2831">
        <v>15345904</v>
      </c>
      <c r="E2831" t="s">
        <v>37</v>
      </c>
      <c r="F2831" t="s">
        <v>3502</v>
      </c>
      <c r="G2831" s="26">
        <v>8</v>
      </c>
      <c r="H2831" t="s">
        <v>4666</v>
      </c>
      <c r="J2831" s="18" t="s">
        <v>3988</v>
      </c>
      <c r="K2831" s="11">
        <v>46248.513055555559</v>
      </c>
      <c r="M2831">
        <v>2160</v>
      </c>
      <c r="N2831" t="s">
        <v>867</v>
      </c>
      <c r="O2831" s="17">
        <v>0</v>
      </c>
      <c r="P2831" s="5"/>
      <c r="Q2831" s="10">
        <f>INT(Tabela1[[#This Row],[DATA]])</f>
        <v>46248</v>
      </c>
      <c r="R2831" s="14" t="str">
        <f ca="1">IF(AND(Q2831&gt;=TODAY()-WEEKDAY(TODAY(),2)+1,Q2831&lt;TODAY()),"SIM","NÃO")</f>
        <v>SIM</v>
      </c>
    </row>
    <row r="2832" spans="1:18" hidden="1">
      <c r="A2832" t="s">
        <v>214</v>
      </c>
      <c r="B2832" t="s">
        <v>215</v>
      </c>
      <c r="C2832">
        <v>300274212</v>
      </c>
      <c r="D2832">
        <v>15774120</v>
      </c>
      <c r="E2832" t="s">
        <v>37</v>
      </c>
      <c r="F2832" t="s">
        <v>3215</v>
      </c>
      <c r="G2832" s="26">
        <v>2</v>
      </c>
      <c r="H2832" t="s">
        <v>2073</v>
      </c>
      <c r="J2832" s="18" t="s">
        <v>2073</v>
      </c>
      <c r="K2832" s="11">
        <v>46248.516817129632</v>
      </c>
      <c r="M2832">
        <v>2161</v>
      </c>
      <c r="N2832" t="s">
        <v>867</v>
      </c>
      <c r="O2832" s="17">
        <v>0</v>
      </c>
      <c r="P2832" s="5"/>
      <c r="Q2832" s="10">
        <f>INT(Tabela1[[#This Row],[DATA]])</f>
        <v>46248</v>
      </c>
      <c r="R2832" s="14" t="str">
        <f ca="1">IF(AND(Q2832&gt;=TODAY()-WEEKDAY(TODAY(),2)+1,Q2832&lt;TODAY()),"SIM","NÃO")</f>
        <v>SIM</v>
      </c>
    </row>
    <row r="2833" spans="1:18" hidden="1">
      <c r="A2833" t="s">
        <v>79</v>
      </c>
      <c r="B2833" t="s">
        <v>4667</v>
      </c>
      <c r="C2833">
        <v>300281012</v>
      </c>
      <c r="D2833">
        <v>16442660</v>
      </c>
      <c r="E2833" t="s">
        <v>29</v>
      </c>
      <c r="F2833" t="s">
        <v>96</v>
      </c>
      <c r="G2833" s="26" t="s">
        <v>4668</v>
      </c>
      <c r="H2833" t="s">
        <v>4669</v>
      </c>
      <c r="J2833" s="18" t="s">
        <v>4670</v>
      </c>
      <c r="K2833" s="11">
        <v>46248.538310185184</v>
      </c>
      <c r="M2833">
        <v>2162</v>
      </c>
      <c r="N2833" t="s">
        <v>867</v>
      </c>
      <c r="O2833" s="17">
        <v>0</v>
      </c>
      <c r="P2833" s="5"/>
      <c r="Q2833" s="10">
        <f>INT(Tabela1[[#This Row],[DATA]])</f>
        <v>46248</v>
      </c>
      <c r="R2833" s="14" t="str">
        <f ca="1">IF(AND(Q2833&gt;=TODAY()-WEEKDAY(TODAY(),2)+1,Q2833&lt;TODAY()),"SIM","NÃO")</f>
        <v>SIM</v>
      </c>
    </row>
    <row r="2834" spans="1:18" hidden="1">
      <c r="A2834" t="s">
        <v>2991</v>
      </c>
      <c r="B2834" t="s">
        <v>534</v>
      </c>
      <c r="C2834">
        <v>300285686</v>
      </c>
      <c r="D2834">
        <v>16508190</v>
      </c>
      <c r="E2834" t="s">
        <v>37</v>
      </c>
      <c r="F2834" t="s">
        <v>177</v>
      </c>
      <c r="G2834" s="26">
        <v>690</v>
      </c>
      <c r="H2834" t="s">
        <v>4671</v>
      </c>
      <c r="J2834" s="18" t="s">
        <v>4672</v>
      </c>
      <c r="K2834" s="11">
        <v>46248.572581018518</v>
      </c>
      <c r="M2834">
        <v>2163</v>
      </c>
      <c r="N2834" t="s">
        <v>867</v>
      </c>
      <c r="O2834" s="17" t="s">
        <v>4673</v>
      </c>
      <c r="P2834" s="5"/>
      <c r="Q2834" s="10">
        <f>INT(Tabela1[[#This Row],[DATA]])</f>
        <v>46248</v>
      </c>
      <c r="R2834" s="14" t="str">
        <f ca="1">IF(AND(Q2834&gt;=TODAY()-WEEKDAY(TODAY(),2)+1,Q2834&lt;TODAY()),"SIM","NÃO")</f>
        <v>SIM</v>
      </c>
    </row>
    <row r="2835" spans="1:18" hidden="1">
      <c r="A2835" t="s">
        <v>2681</v>
      </c>
      <c r="B2835" t="s">
        <v>1284</v>
      </c>
      <c r="C2835">
        <v>300290644</v>
      </c>
      <c r="D2835">
        <v>15773469</v>
      </c>
      <c r="E2835" t="s">
        <v>37</v>
      </c>
      <c r="F2835" t="s">
        <v>2405</v>
      </c>
      <c r="G2835" s="26" t="s">
        <v>4674</v>
      </c>
      <c r="H2835" t="s">
        <v>3260</v>
      </c>
      <c r="J2835" s="18"/>
      <c r="K2835" s="11">
        <v>46248.580729166664</v>
      </c>
      <c r="M2835">
        <v>2164</v>
      </c>
      <c r="N2835" t="s">
        <v>867</v>
      </c>
      <c r="O2835" s="17">
        <v>0</v>
      </c>
      <c r="P2835" s="5"/>
      <c r="Q2835" s="10">
        <f>INT(Tabela1[[#This Row],[DATA]])</f>
        <v>46248</v>
      </c>
      <c r="R2835" s="14" t="str">
        <f ca="1">IF(AND(Q2835&gt;=TODAY()-WEEKDAY(TODAY(),2)+1,Q2835&lt;TODAY()),"SIM","NÃO")</f>
        <v>SIM</v>
      </c>
    </row>
    <row r="2836" spans="1:18" hidden="1">
      <c r="A2836" t="s">
        <v>2991</v>
      </c>
      <c r="B2836" t="s">
        <v>534</v>
      </c>
      <c r="C2836">
        <v>300285686</v>
      </c>
      <c r="D2836">
        <v>16508190</v>
      </c>
      <c r="E2836" t="s">
        <v>37</v>
      </c>
      <c r="F2836" t="s">
        <v>3330</v>
      </c>
      <c r="G2836" s="26">
        <v>690</v>
      </c>
      <c r="H2836" t="s">
        <v>4675</v>
      </c>
      <c r="J2836" s="18" t="s">
        <v>4647</v>
      </c>
      <c r="K2836" s="11">
        <v>46248.586562500001</v>
      </c>
      <c r="M2836">
        <v>2165</v>
      </c>
      <c r="N2836" t="s">
        <v>867</v>
      </c>
      <c r="O2836" s="17">
        <v>10000228869</v>
      </c>
      <c r="P2836" s="5"/>
      <c r="Q2836" s="10">
        <f>INT(Tabela1[[#This Row],[DATA]])</f>
        <v>46248</v>
      </c>
      <c r="R2836" s="14" t="str">
        <f ca="1">IF(AND(Q2836&gt;=TODAY()-WEEKDAY(TODAY(),2)+1,Q2836&lt;TODAY()),"SIM","NÃO")</f>
        <v>SIM</v>
      </c>
    </row>
    <row r="2837" spans="1:18" hidden="1">
      <c r="A2837" t="s">
        <v>111</v>
      </c>
      <c r="B2837" t="s">
        <v>4676</v>
      </c>
      <c r="C2837">
        <v>300288806</v>
      </c>
      <c r="D2837">
        <v>16561651</v>
      </c>
      <c r="E2837" t="s">
        <v>20</v>
      </c>
      <c r="F2837" t="s">
        <v>2405</v>
      </c>
      <c r="G2837" s="26">
        <v>5</v>
      </c>
      <c r="H2837" t="s">
        <v>1335</v>
      </c>
      <c r="J2837" s="18"/>
      <c r="K2837" s="11">
        <v>46248.587037037039</v>
      </c>
      <c r="M2837">
        <v>2166</v>
      </c>
      <c r="N2837" t="s">
        <v>867</v>
      </c>
      <c r="O2837" s="17">
        <v>0</v>
      </c>
      <c r="P2837" s="5"/>
      <c r="Q2837" s="10">
        <f>INT(Tabela1[[#This Row],[DATA]])</f>
        <v>46248</v>
      </c>
      <c r="R2837" s="14" t="str">
        <f ca="1">IF(AND(Q2837&gt;=TODAY()-WEEKDAY(TODAY(),2)+1,Q2837&lt;TODAY()),"SIM","NÃO")</f>
        <v>SIM</v>
      </c>
    </row>
    <row r="2838" spans="1:18" hidden="1">
      <c r="A2838" t="s">
        <v>2681</v>
      </c>
      <c r="B2838" t="s">
        <v>1284</v>
      </c>
      <c r="C2838">
        <v>300290644</v>
      </c>
      <c r="D2838">
        <v>15773469</v>
      </c>
      <c r="E2838" t="s">
        <v>37</v>
      </c>
      <c r="F2838" t="s">
        <v>2405</v>
      </c>
      <c r="G2838" s="26" t="s">
        <v>4677</v>
      </c>
      <c r="H2838" t="s">
        <v>4678</v>
      </c>
      <c r="J2838" s="18"/>
      <c r="K2838" s="11">
        <v>46248.587673611109</v>
      </c>
      <c r="M2838">
        <v>2167</v>
      </c>
      <c r="N2838" t="s">
        <v>867</v>
      </c>
      <c r="O2838" s="17">
        <v>0</v>
      </c>
      <c r="P2838" s="5"/>
      <c r="Q2838" s="10">
        <f>INT(Tabela1[[#This Row],[DATA]])</f>
        <v>46248</v>
      </c>
      <c r="R2838" s="14" t="str">
        <f ca="1">IF(AND(Q2838&gt;=TODAY()-WEEKDAY(TODAY(),2)+1,Q2838&lt;TODAY()),"SIM","NÃO")</f>
        <v>SIM</v>
      </c>
    </row>
    <row r="2839" spans="1:18" hidden="1">
      <c r="A2839" t="s">
        <v>249</v>
      </c>
      <c r="B2839" t="s">
        <v>112</v>
      </c>
      <c r="C2839">
        <v>300289532</v>
      </c>
      <c r="D2839">
        <v>16549090</v>
      </c>
      <c r="E2839" t="s">
        <v>45</v>
      </c>
      <c r="F2839" t="s">
        <v>2405</v>
      </c>
      <c r="G2839" s="26">
        <v>384</v>
      </c>
      <c r="H2839" t="s">
        <v>1112</v>
      </c>
      <c r="J2839" s="18"/>
      <c r="K2839" s="11">
        <v>46248.588113425925</v>
      </c>
      <c r="M2839">
        <v>2168</v>
      </c>
      <c r="N2839" t="s">
        <v>878</v>
      </c>
      <c r="O2839" s="17">
        <v>0</v>
      </c>
      <c r="P2839" s="5"/>
      <c r="Q2839" s="10">
        <f>INT(Tabela1[[#This Row],[DATA]])</f>
        <v>46248</v>
      </c>
      <c r="R2839" s="14" t="str">
        <f ca="1">IF(AND(Q2839&gt;=TODAY()-WEEKDAY(TODAY(),2)+1,Q2839&lt;TODAY()),"SIM","NÃO")</f>
        <v>SIM</v>
      </c>
    </row>
    <row r="2840" spans="1:18" hidden="1">
      <c r="A2840" t="s">
        <v>79</v>
      </c>
      <c r="B2840" t="s">
        <v>80</v>
      </c>
      <c r="C2840">
        <v>300281012</v>
      </c>
      <c r="D2840">
        <v>16442660</v>
      </c>
      <c r="E2840" t="s">
        <v>29</v>
      </c>
      <c r="F2840" t="s">
        <v>96</v>
      </c>
      <c r="G2840" s="26" t="s">
        <v>4679</v>
      </c>
      <c r="H2840" t="s">
        <v>4680</v>
      </c>
      <c r="J2840" s="18" t="s">
        <v>4681</v>
      </c>
      <c r="K2840" s="11">
        <v>46248.588877314818</v>
      </c>
      <c r="M2840">
        <v>2169</v>
      </c>
      <c r="N2840" t="s">
        <v>867</v>
      </c>
      <c r="O2840" s="17">
        <v>0</v>
      </c>
      <c r="P2840" s="5"/>
      <c r="Q2840" s="10">
        <f>INT(Tabela1[[#This Row],[DATA]])</f>
        <v>46248</v>
      </c>
      <c r="R2840" s="14" t="str">
        <f ca="1">IF(AND(Q2840&gt;=TODAY()-WEEKDAY(TODAY(),2)+1,Q2840&lt;TODAY()),"SIM","NÃO")</f>
        <v>SIM</v>
      </c>
    </row>
    <row r="2841" spans="1:18" hidden="1">
      <c r="A2841" t="s">
        <v>3022</v>
      </c>
      <c r="B2841" t="s">
        <v>3023</v>
      </c>
      <c r="C2841">
        <v>300288348</v>
      </c>
      <c r="D2841">
        <v>16229550</v>
      </c>
      <c r="E2841" t="s">
        <v>45</v>
      </c>
      <c r="F2841" t="s">
        <v>3241</v>
      </c>
      <c r="G2841" s="26">
        <v>12</v>
      </c>
      <c r="H2841" t="s">
        <v>1992</v>
      </c>
      <c r="J2841" s="18"/>
      <c r="K2841" s="11">
        <v>46248.591446759259</v>
      </c>
      <c r="M2841">
        <v>2170</v>
      </c>
      <c r="N2841" t="s">
        <v>867</v>
      </c>
      <c r="O2841" s="17">
        <v>214</v>
      </c>
      <c r="P2841" s="5"/>
      <c r="Q2841" s="10">
        <f>INT(Tabela1[[#This Row],[DATA]])</f>
        <v>46248</v>
      </c>
      <c r="R2841" s="14" t="str">
        <f ca="1">IF(AND(Q2841&gt;=TODAY()-WEEKDAY(TODAY(),2)+1,Q2841&lt;TODAY()),"SIM","NÃO")</f>
        <v>SIM</v>
      </c>
    </row>
    <row r="2842" spans="1:18" hidden="1">
      <c r="A2842" t="s">
        <v>3022</v>
      </c>
      <c r="B2842" t="s">
        <v>3023</v>
      </c>
      <c r="C2842">
        <v>300288348</v>
      </c>
      <c r="D2842">
        <v>16229550</v>
      </c>
      <c r="E2842" t="s">
        <v>45</v>
      </c>
      <c r="F2842" t="s">
        <v>259</v>
      </c>
      <c r="G2842" s="26">
        <v>12</v>
      </c>
      <c r="H2842" t="s">
        <v>2709</v>
      </c>
      <c r="J2842" s="18"/>
      <c r="K2842" s="11">
        <v>46248.592592592591</v>
      </c>
      <c r="M2842">
        <v>2171</v>
      </c>
      <c r="N2842" t="s">
        <v>867</v>
      </c>
      <c r="O2842" s="17">
        <v>8192</v>
      </c>
      <c r="P2842" s="5"/>
      <c r="Q2842" s="10">
        <f>INT(Tabela1[[#This Row],[DATA]])</f>
        <v>46248</v>
      </c>
      <c r="R2842" s="14" t="str">
        <f ca="1">IF(AND(Q2842&gt;=TODAY()-WEEKDAY(TODAY(),2)+1,Q2842&lt;TODAY()),"SIM","NÃO")</f>
        <v>SIM</v>
      </c>
    </row>
    <row r="2843" spans="1:18" hidden="1">
      <c r="A2843" t="s">
        <v>2991</v>
      </c>
      <c r="B2843" t="s">
        <v>534</v>
      </c>
      <c r="C2843">
        <v>300285686</v>
      </c>
      <c r="D2843">
        <v>16508190</v>
      </c>
      <c r="E2843" t="s">
        <v>37</v>
      </c>
      <c r="F2843" t="s">
        <v>2213</v>
      </c>
      <c r="G2843" s="26">
        <v>690</v>
      </c>
      <c r="H2843" t="s">
        <v>4682</v>
      </c>
      <c r="J2843" s="18" t="s">
        <v>4672</v>
      </c>
      <c r="K2843" s="11">
        <v>46248.5934375</v>
      </c>
      <c r="M2843">
        <v>2172</v>
      </c>
      <c r="N2843" t="s">
        <v>867</v>
      </c>
      <c r="O2843" s="17" t="s">
        <v>4683</v>
      </c>
      <c r="P2843" s="5"/>
      <c r="Q2843" s="10">
        <f>INT(Tabela1[[#This Row],[DATA]])</f>
        <v>46248</v>
      </c>
      <c r="R2843" s="14" t="str">
        <f ca="1">IF(AND(Q2843&gt;=TODAY()-WEEKDAY(TODAY(),2)+1,Q2843&lt;TODAY()),"SIM","NÃO")</f>
        <v>SIM</v>
      </c>
    </row>
    <row r="2844" spans="1:18" hidden="1">
      <c r="A2844" t="s">
        <v>2549</v>
      </c>
      <c r="B2844" t="s">
        <v>19</v>
      </c>
      <c r="C2844">
        <v>300289171</v>
      </c>
      <c r="D2844">
        <v>16537122</v>
      </c>
      <c r="E2844" t="s">
        <v>20</v>
      </c>
      <c r="F2844" t="s">
        <v>3212</v>
      </c>
      <c r="G2844" s="26">
        <v>112</v>
      </c>
      <c r="H2844" t="s">
        <v>4684</v>
      </c>
      <c r="J2844" s="18" t="s">
        <v>2802</v>
      </c>
      <c r="K2844" s="11">
        <v>46248.594247685185</v>
      </c>
      <c r="M2844">
        <v>2173</v>
      </c>
      <c r="N2844" t="s">
        <v>867</v>
      </c>
      <c r="O2844" s="17" t="s">
        <v>2802</v>
      </c>
      <c r="P2844" s="5"/>
      <c r="Q2844" s="10">
        <f>INT(Tabela1[[#This Row],[DATA]])</f>
        <v>46248</v>
      </c>
      <c r="R2844" s="14" t="str">
        <f ca="1">IF(AND(Q2844&gt;=TODAY()-WEEKDAY(TODAY(),2)+1,Q2844&lt;TODAY()),"SIM","NÃO")</f>
        <v>SIM</v>
      </c>
    </row>
    <row r="2845" spans="1:18" hidden="1">
      <c r="A2845" t="s">
        <v>3564</v>
      </c>
      <c r="B2845" t="s">
        <v>3565</v>
      </c>
      <c r="C2845">
        <v>300288798</v>
      </c>
      <c r="D2845">
        <v>16229320</v>
      </c>
      <c r="E2845" t="s">
        <v>45</v>
      </c>
      <c r="F2845" t="s">
        <v>3212</v>
      </c>
      <c r="G2845" s="26">
        <v>100</v>
      </c>
      <c r="H2845" t="s">
        <v>3566</v>
      </c>
      <c r="J2845" s="18"/>
      <c r="K2845" s="11">
        <v>46248.595439814817</v>
      </c>
      <c r="M2845">
        <v>2174</v>
      </c>
      <c r="N2845" t="s">
        <v>867</v>
      </c>
      <c r="O2845" s="17">
        <v>10000070395</v>
      </c>
      <c r="P2845" s="5"/>
      <c r="Q2845" s="10">
        <f>INT(Tabela1[[#This Row],[DATA]])</f>
        <v>46248</v>
      </c>
      <c r="R2845" s="14" t="str">
        <f ca="1">IF(AND(Q2845&gt;=TODAY()-WEEKDAY(TODAY(),2)+1,Q2845&lt;TODAY()),"SIM","NÃO")</f>
        <v>SIM</v>
      </c>
    </row>
    <row r="2846" spans="1:18" hidden="1">
      <c r="A2846" t="s">
        <v>2551</v>
      </c>
      <c r="B2846" t="s">
        <v>274</v>
      </c>
      <c r="C2846">
        <v>300289379</v>
      </c>
      <c r="D2846">
        <v>16186656</v>
      </c>
      <c r="E2846" t="s">
        <v>37</v>
      </c>
      <c r="F2846" t="s">
        <v>177</v>
      </c>
      <c r="G2846" s="26">
        <v>114</v>
      </c>
      <c r="H2846" t="s">
        <v>2917</v>
      </c>
      <c r="J2846" s="18"/>
      <c r="K2846" s="11">
        <v>46248.606134259258</v>
      </c>
      <c r="M2846">
        <v>2175</v>
      </c>
      <c r="N2846" t="s">
        <v>867</v>
      </c>
      <c r="O2846" s="17" t="s">
        <v>4685</v>
      </c>
      <c r="P2846" s="5"/>
      <c r="Q2846" s="10">
        <f>INT(Tabela1[[#This Row],[DATA]])</f>
        <v>46248</v>
      </c>
      <c r="R2846" s="14" t="str">
        <f ca="1">IF(AND(Q2846&gt;=TODAY()-WEEKDAY(TODAY(),2)+1,Q2846&lt;TODAY()),"SIM","NÃO")</f>
        <v>SIM</v>
      </c>
    </row>
    <row r="2847" spans="1:18" hidden="1">
      <c r="A2847" t="s">
        <v>185</v>
      </c>
      <c r="B2847" t="s">
        <v>1625</v>
      </c>
      <c r="C2847">
        <v>300000000</v>
      </c>
      <c r="D2847">
        <v>0</v>
      </c>
      <c r="E2847" t="s">
        <v>37</v>
      </c>
      <c r="F2847" t="s">
        <v>3215</v>
      </c>
      <c r="G2847" s="26">
        <v>10</v>
      </c>
      <c r="H2847" t="s">
        <v>1771</v>
      </c>
      <c r="J2847" s="18"/>
      <c r="K2847" s="11">
        <v>46248.625833333332</v>
      </c>
      <c r="M2847">
        <v>2176</v>
      </c>
      <c r="N2847" t="s">
        <v>878</v>
      </c>
      <c r="O2847" s="17">
        <v>0</v>
      </c>
      <c r="P2847" s="5"/>
      <c r="Q2847" s="10">
        <f>INT(Tabela1[[#This Row],[DATA]])</f>
        <v>46248</v>
      </c>
      <c r="R2847" s="14" t="str">
        <f ca="1">IF(AND(Q2847&gt;=TODAY()-WEEKDAY(TODAY(),2)+1,Q2847&lt;TODAY()),"SIM","NÃO")</f>
        <v>SIM</v>
      </c>
    </row>
    <row r="2848" spans="1:18" hidden="1">
      <c r="A2848" t="s">
        <v>196</v>
      </c>
      <c r="B2848" t="s">
        <v>1625</v>
      </c>
      <c r="C2848">
        <v>300000000</v>
      </c>
      <c r="D2848">
        <v>0</v>
      </c>
      <c r="E2848" t="s">
        <v>37</v>
      </c>
      <c r="F2848" t="s">
        <v>3215</v>
      </c>
      <c r="G2848" s="26">
        <v>10</v>
      </c>
      <c r="H2848" t="s">
        <v>1771</v>
      </c>
      <c r="J2848" s="18"/>
      <c r="K2848" s="11">
        <v>46248.626597222225</v>
      </c>
      <c r="M2848">
        <v>2177</v>
      </c>
      <c r="N2848" t="s">
        <v>878</v>
      </c>
      <c r="O2848" s="17">
        <v>0</v>
      </c>
      <c r="P2848" s="5"/>
      <c r="Q2848" s="10">
        <f>INT(Tabela1[[#This Row],[DATA]])</f>
        <v>46248</v>
      </c>
      <c r="R2848" s="14" t="str">
        <f ca="1">IF(AND(Q2848&gt;=TODAY()-WEEKDAY(TODAY(),2)+1,Q2848&lt;TODAY()),"SIM","NÃO")</f>
        <v>SIM</v>
      </c>
    </row>
    <row r="2849" spans="1:18" hidden="1">
      <c r="A2849" t="s">
        <v>489</v>
      </c>
      <c r="B2849" t="s">
        <v>490</v>
      </c>
      <c r="C2849">
        <v>300287942</v>
      </c>
      <c r="D2849">
        <v>16561376</v>
      </c>
      <c r="E2849" t="s">
        <v>37</v>
      </c>
      <c r="F2849" t="s">
        <v>2213</v>
      </c>
      <c r="G2849" s="26">
        <v>20</v>
      </c>
      <c r="H2849" t="s">
        <v>4686</v>
      </c>
      <c r="J2849" s="18" t="s">
        <v>4687</v>
      </c>
      <c r="K2849" s="11">
        <v>46248.631249999999</v>
      </c>
      <c r="M2849">
        <v>2178</v>
      </c>
      <c r="N2849" t="s">
        <v>867</v>
      </c>
      <c r="O2849" s="17" t="s">
        <v>4688</v>
      </c>
      <c r="P2849" s="5"/>
      <c r="Q2849" s="10">
        <f>INT(Tabela1[[#This Row],[DATA]])</f>
        <v>46248</v>
      </c>
      <c r="R2849" s="14" t="str">
        <f ca="1">IF(AND(Q2849&gt;=TODAY()-WEEKDAY(TODAY(),2)+1,Q2849&lt;TODAY()),"SIM","NÃO")</f>
        <v>SIM</v>
      </c>
    </row>
    <row r="2850" spans="1:18" hidden="1">
      <c r="A2850" t="s">
        <v>130</v>
      </c>
      <c r="B2850" t="s">
        <v>4689</v>
      </c>
      <c r="C2850">
        <v>300288752</v>
      </c>
      <c r="D2850">
        <v>16552601</v>
      </c>
      <c r="E2850" t="s">
        <v>37</v>
      </c>
      <c r="F2850" t="s">
        <v>2213</v>
      </c>
      <c r="G2850" s="26">
        <v>224</v>
      </c>
      <c r="H2850" t="s">
        <v>2232</v>
      </c>
      <c r="J2850" s="18" t="s">
        <v>4690</v>
      </c>
      <c r="K2850" s="11">
        <v>46248.632187499999</v>
      </c>
      <c r="M2850">
        <v>2179</v>
      </c>
      <c r="N2850" t="s">
        <v>878</v>
      </c>
      <c r="O2850" s="17">
        <v>10000063383</v>
      </c>
      <c r="P2850" s="5"/>
      <c r="Q2850" s="10">
        <f>INT(Tabela1[[#This Row],[DATA]])</f>
        <v>46248</v>
      </c>
      <c r="R2850" s="14" t="str">
        <f ca="1">IF(AND(Q2850&gt;=TODAY()-WEEKDAY(TODAY(),2)+1,Q2850&lt;TODAY()),"SIM","NÃO")</f>
        <v>SIM</v>
      </c>
    </row>
    <row r="2851" spans="1:18">
      <c r="A2851" t="s">
        <v>163</v>
      </c>
      <c r="B2851" t="s">
        <v>164</v>
      </c>
      <c r="C2851">
        <v>300287598</v>
      </c>
      <c r="D2851">
        <v>16430301</v>
      </c>
      <c r="E2851" t="s">
        <v>37</v>
      </c>
      <c r="F2851" t="s">
        <v>221</v>
      </c>
      <c r="G2851" s="26">
        <v>1980</v>
      </c>
      <c r="H2851" t="s">
        <v>2880</v>
      </c>
      <c r="J2851" s="18"/>
      <c r="K2851" s="11">
        <v>46248.643159722225</v>
      </c>
      <c r="M2851">
        <v>2180</v>
      </c>
      <c r="N2851" t="s">
        <v>878</v>
      </c>
      <c r="O2851" s="17">
        <v>0</v>
      </c>
      <c r="P2851" s="5"/>
      <c r="Q2851" s="10">
        <f>INT(Tabela1[[#This Row],[DATA]])</f>
        <v>46248</v>
      </c>
      <c r="R2851" s="14" t="str">
        <f ca="1">IF(AND(Q2851&gt;=TODAY()-WEEKDAY(TODAY(),2)+1,Q2851&lt;TODAY()),"SIM","NÃO")</f>
        <v>SIM</v>
      </c>
    </row>
    <row r="2852" spans="1:18">
      <c r="A2852" t="s">
        <v>2571</v>
      </c>
      <c r="B2852" t="s">
        <v>798</v>
      </c>
      <c r="C2852">
        <v>300280200</v>
      </c>
      <c r="D2852">
        <v>16472209</v>
      </c>
      <c r="E2852" t="s">
        <v>37</v>
      </c>
      <c r="F2852" t="s">
        <v>2405</v>
      </c>
      <c r="G2852" s="26">
        <v>78</v>
      </c>
      <c r="H2852" t="s">
        <v>3781</v>
      </c>
      <c r="J2852" s="18" t="s">
        <v>4691</v>
      </c>
      <c r="K2852" s="11">
        <v>46248.674629629626</v>
      </c>
      <c r="M2852">
        <v>2181</v>
      </c>
      <c r="N2852" t="s">
        <v>867</v>
      </c>
      <c r="O2852" s="17" t="s">
        <v>4692</v>
      </c>
      <c r="P2852" s="5"/>
      <c r="Q2852" s="10">
        <f>INT(Tabela1[[#This Row],[DATA]])</f>
        <v>46248</v>
      </c>
      <c r="R2852" s="14" t="str">
        <f ca="1">IF(AND(Q2852&gt;=TODAY()-WEEKDAY(TODAY(),2)+1,Q2852&lt;TODAY()),"SIM","NÃO")</f>
        <v>SIM</v>
      </c>
    </row>
    <row r="2853" spans="1:18">
      <c r="A2853" t="s">
        <v>111</v>
      </c>
      <c r="B2853" t="s">
        <v>112</v>
      </c>
      <c r="C2853">
        <v>300289534</v>
      </c>
      <c r="D2853">
        <v>16549090</v>
      </c>
      <c r="E2853" t="s">
        <v>45</v>
      </c>
      <c r="F2853" t="s">
        <v>2405</v>
      </c>
      <c r="G2853" s="26">
        <v>3</v>
      </c>
      <c r="H2853" t="s">
        <v>1335</v>
      </c>
      <c r="J2853" s="18"/>
      <c r="K2853" s="11">
        <v>46248.692986111113</v>
      </c>
      <c r="M2853">
        <v>2182</v>
      </c>
      <c r="N2853" t="s">
        <v>867</v>
      </c>
      <c r="O2853" s="17">
        <v>0</v>
      </c>
      <c r="P2853" s="5"/>
      <c r="Q2853" s="10">
        <f>INT(Tabela1[[#This Row],[DATA]])</f>
        <v>46248</v>
      </c>
      <c r="R2853" s="14" t="str">
        <f ca="1">IF(AND(Q2853&gt;=TODAY()-WEEKDAY(TODAY(),2)+1,Q2853&lt;TODAY()),"SIM","NÃO")</f>
        <v>SIM</v>
      </c>
    </row>
    <row r="2854" spans="1:18">
      <c r="A2854" t="s">
        <v>2541</v>
      </c>
      <c r="B2854" t="s">
        <v>388</v>
      </c>
      <c r="C2854">
        <v>300286686</v>
      </c>
      <c r="D2854">
        <v>16561074</v>
      </c>
      <c r="E2854" t="s">
        <v>37</v>
      </c>
      <c r="F2854" t="s">
        <v>323</v>
      </c>
      <c r="G2854" s="26">
        <v>16</v>
      </c>
      <c r="H2854" t="s">
        <v>2313</v>
      </c>
      <c r="J2854" s="18"/>
      <c r="K2854" s="11">
        <v>46248.695925925924</v>
      </c>
      <c r="M2854">
        <v>2183</v>
      </c>
      <c r="N2854" t="s">
        <v>867</v>
      </c>
      <c r="O2854" s="17">
        <v>0</v>
      </c>
      <c r="P2854" s="5"/>
      <c r="Q2854" s="10">
        <f>INT(Tabela1[[#This Row],[DATA]])</f>
        <v>46248</v>
      </c>
      <c r="R2854" s="14" t="str">
        <f ca="1">IF(AND(Q2854&gt;=TODAY()-WEEKDAY(TODAY(),2)+1,Q2854&lt;TODAY()),"SIM","NÃO")</f>
        <v>SIM</v>
      </c>
    </row>
    <row r="2855" spans="1:18">
      <c r="A2855" t="s">
        <v>163</v>
      </c>
      <c r="B2855" t="s">
        <v>164</v>
      </c>
      <c r="C2855">
        <v>300282775</v>
      </c>
      <c r="D2855">
        <v>16285328</v>
      </c>
      <c r="E2855" t="s">
        <v>37</v>
      </c>
      <c r="F2855" t="s">
        <v>221</v>
      </c>
      <c r="G2855" s="26">
        <v>324</v>
      </c>
      <c r="H2855" t="s">
        <v>2880</v>
      </c>
      <c r="J2855" s="18" t="s">
        <v>4693</v>
      </c>
      <c r="K2855" s="11">
        <v>46248.842997685184</v>
      </c>
      <c r="M2855">
        <v>2184</v>
      </c>
      <c r="N2855" t="s">
        <v>878</v>
      </c>
      <c r="O2855" s="17">
        <v>0</v>
      </c>
      <c r="P2855" s="5"/>
      <c r="Q2855" s="10">
        <f>INT(Tabela1[[#This Row],[DATA]])</f>
        <v>46248</v>
      </c>
      <c r="R2855" s="14" t="str">
        <f ca="1">IF(AND(Q2855&gt;=TODAY()-WEEKDAY(TODAY(),2)+1,Q2855&lt;TODAY()),"SIM","NÃO")</f>
        <v>SIM</v>
      </c>
    </row>
    <row r="2856" spans="1:18">
      <c r="A2856" t="s">
        <v>249</v>
      </c>
      <c r="B2856" t="s">
        <v>112</v>
      </c>
      <c r="C2856">
        <v>300287290</v>
      </c>
      <c r="D2856">
        <v>16224368</v>
      </c>
      <c r="E2856" t="s">
        <v>45</v>
      </c>
      <c r="F2856" t="s">
        <v>3212</v>
      </c>
      <c r="G2856" s="26">
        <v>1.649</v>
      </c>
      <c r="H2856" t="s">
        <v>2081</v>
      </c>
      <c r="J2856" s="18"/>
      <c r="K2856" s="11">
        <v>46249.350069444445</v>
      </c>
      <c r="M2856">
        <v>2185</v>
      </c>
      <c r="N2856" t="s">
        <v>878</v>
      </c>
      <c r="O2856" s="17">
        <v>0</v>
      </c>
      <c r="P2856" s="5"/>
      <c r="Q2856" s="10">
        <f>INT(Tabela1[[#This Row],[DATA]])</f>
        <v>46249</v>
      </c>
      <c r="R2856" s="14" t="str">
        <f ca="1">IF(AND(Q2856&gt;=TODAY()-WEEKDAY(TODAY(),2)+1,Q2856&lt;TODAY()),"SIM","NÃO")</f>
        <v>NÃO</v>
      </c>
    </row>
    <row r="2857" spans="1:18">
      <c r="A2857" t="s">
        <v>2656</v>
      </c>
      <c r="B2857" t="s">
        <v>119</v>
      </c>
      <c r="C2857">
        <v>300282774</v>
      </c>
      <c r="D2857">
        <v>16482751</v>
      </c>
      <c r="E2857" t="s">
        <v>37</v>
      </c>
      <c r="F2857" t="s">
        <v>323</v>
      </c>
      <c r="G2857" s="26">
        <v>896</v>
      </c>
      <c r="H2857" t="s">
        <v>4694</v>
      </c>
      <c r="J2857" s="18" t="s">
        <v>4695</v>
      </c>
      <c r="K2857" s="11">
        <v>46249.438645833332</v>
      </c>
      <c r="M2857">
        <v>2186</v>
      </c>
      <c r="N2857" t="s">
        <v>867</v>
      </c>
      <c r="O2857" s="17">
        <v>0</v>
      </c>
      <c r="P2857" s="5"/>
      <c r="Q2857" s="10">
        <f>INT(Tabela1[[#This Row],[DATA]])</f>
        <v>46249</v>
      </c>
      <c r="R2857" s="14" t="str">
        <f ca="1">IF(AND(Q2857&gt;=TODAY()-WEEKDAY(TODAY(),2)+1,Q2857&lt;TODAY()),"SIM","NÃO")</f>
        <v>NÃO</v>
      </c>
    </row>
    <row r="2858" spans="1:18">
      <c r="A2858" t="s">
        <v>111</v>
      </c>
      <c r="B2858" t="s">
        <v>112</v>
      </c>
      <c r="C2858">
        <v>300286524</v>
      </c>
      <c r="D2858">
        <v>16243668</v>
      </c>
      <c r="E2858" t="s">
        <v>37</v>
      </c>
      <c r="F2858" t="s">
        <v>177</v>
      </c>
      <c r="G2858" s="26">
        <v>35</v>
      </c>
      <c r="H2858" t="s">
        <v>1335</v>
      </c>
      <c r="J2858" s="18"/>
      <c r="K2858" s="11">
        <v>46249.457326388889</v>
      </c>
      <c r="M2858">
        <v>2187</v>
      </c>
      <c r="N2858" t="s">
        <v>867</v>
      </c>
      <c r="O2858" s="17" t="s">
        <v>4696</v>
      </c>
      <c r="P2858" s="5"/>
      <c r="Q2858" s="10">
        <f>INT(Tabela1[[#This Row],[DATA]])</f>
        <v>46249</v>
      </c>
      <c r="R2858" s="14" t="str">
        <f ca="1">IF(AND(Q2858&gt;=TODAY()-WEEKDAY(TODAY(),2)+1,Q2858&lt;TODAY()),"SIM","NÃO")</f>
        <v>NÃO</v>
      </c>
    </row>
    <row r="2859" spans="1:18">
      <c r="A2859" t="s">
        <v>111</v>
      </c>
      <c r="B2859" t="s">
        <v>112</v>
      </c>
      <c r="C2859">
        <v>300286524</v>
      </c>
      <c r="D2859">
        <v>16243668</v>
      </c>
      <c r="E2859" t="s">
        <v>37</v>
      </c>
      <c r="F2859" t="s">
        <v>3333</v>
      </c>
      <c r="G2859" s="26">
        <v>15</v>
      </c>
      <c r="H2859" t="s">
        <v>1335</v>
      </c>
      <c r="J2859" s="18"/>
      <c r="K2859" s="11">
        <v>46249.458182870374</v>
      </c>
      <c r="M2859">
        <v>2188</v>
      </c>
      <c r="N2859" t="s">
        <v>867</v>
      </c>
      <c r="O2859" s="17">
        <v>10000220031</v>
      </c>
      <c r="P2859" s="5"/>
      <c r="Q2859" s="10">
        <f>INT(Tabela1[[#This Row],[DATA]])</f>
        <v>46249</v>
      </c>
      <c r="R2859" s="14" t="str">
        <f ca="1">IF(AND(Q2859&gt;=TODAY()-WEEKDAY(TODAY(),2)+1,Q2859&lt;TODAY()),"SIM","NÃO")</f>
        <v>NÃO</v>
      </c>
    </row>
    <row r="2860" spans="1:18">
      <c r="A2860" t="s">
        <v>111</v>
      </c>
      <c r="B2860" t="s">
        <v>112</v>
      </c>
      <c r="C2860">
        <v>300286524</v>
      </c>
      <c r="D2860">
        <v>16243668</v>
      </c>
      <c r="E2860" t="s">
        <v>37</v>
      </c>
      <c r="F2860" t="s">
        <v>3330</v>
      </c>
      <c r="G2860" s="26">
        <v>6</v>
      </c>
      <c r="H2860" t="s">
        <v>2843</v>
      </c>
      <c r="J2860" s="18"/>
      <c r="K2860" s="11">
        <v>46249.458993055552</v>
      </c>
      <c r="M2860">
        <v>2189</v>
      </c>
      <c r="N2860" t="s">
        <v>867</v>
      </c>
      <c r="O2860" s="17">
        <v>10000073690</v>
      </c>
      <c r="P2860" s="5"/>
      <c r="Q2860" s="10">
        <f>INT(Tabela1[[#This Row],[DATA]])</f>
        <v>46249</v>
      </c>
      <c r="R2860" s="14" t="str">
        <f ca="1">IF(AND(Q2860&gt;=TODAY()-WEEKDAY(TODAY(),2)+1,Q2860&lt;TODAY()),"SIM","NÃO")</f>
        <v>NÃO</v>
      </c>
    </row>
    <row r="2861" spans="1:18">
      <c r="A2861" t="s">
        <v>111</v>
      </c>
      <c r="B2861" t="s">
        <v>112</v>
      </c>
      <c r="C2861">
        <v>300286524</v>
      </c>
      <c r="D2861">
        <v>16243668</v>
      </c>
      <c r="E2861" t="s">
        <v>37</v>
      </c>
      <c r="F2861" t="s">
        <v>3215</v>
      </c>
      <c r="G2861" s="26">
        <v>0</v>
      </c>
      <c r="H2861" t="s">
        <v>2976</v>
      </c>
      <c r="J2861" s="18"/>
      <c r="K2861" s="11">
        <v>46249.459699074076</v>
      </c>
      <c r="M2861">
        <v>2190</v>
      </c>
      <c r="N2861" t="s">
        <v>878</v>
      </c>
      <c r="O2861" s="17">
        <v>0</v>
      </c>
      <c r="P2861" s="5"/>
      <c r="Q2861" s="10">
        <f>INT(Tabela1[[#This Row],[DATA]])</f>
        <v>46249</v>
      </c>
      <c r="R2861" s="14" t="str">
        <f ca="1">IF(AND(Q2861&gt;=TODAY()-WEEKDAY(TODAY(),2)+1,Q2861&lt;TODAY()),"SIM","NÃO")</f>
        <v>NÃO</v>
      </c>
    </row>
  </sheetData>
  <dataValidations count="1">
    <dataValidation type="list" allowBlank="1" showInputMessage="1" showErrorMessage="1" sqref="L1:L1048576" xr:uid="{5C79D54A-B28C-4335-8B1B-3A055130EF10}">
      <formula1>"ABERTURA DO CHAMADO,RECEBEU A SOLICITAÇÃO,ENCAMINHOU PARA O SETOR RESPONSÁVEL,EM PROCESSO,RECEBEU DO SETOR RESPONSÁVEL,ENVIADO PARA OFICINAS"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3517-7F81-4D13-AAB8-C5CB5059F9FF}">
  <dimension ref="A2:AM75"/>
  <sheetViews>
    <sheetView workbookViewId="0">
      <selection activeCell="I27" sqref="I27"/>
    </sheetView>
  </sheetViews>
  <sheetFormatPr defaultRowHeight="15"/>
  <cols>
    <col min="1" max="1" width="26.7109375" customWidth="1"/>
    <col min="2" max="2" width="24.42578125" customWidth="1"/>
    <col min="3" max="3" width="23.5703125" customWidth="1"/>
    <col min="4" max="4" width="27.7109375" bestFit="1" customWidth="1"/>
    <col min="5" max="5" width="48.140625" bestFit="1" customWidth="1"/>
    <col min="6" max="6" width="21.140625" bestFit="1" customWidth="1"/>
    <col min="7" max="7" width="20.42578125" bestFit="1" customWidth="1"/>
    <col min="8" max="8" width="19.28515625" bestFit="1" customWidth="1"/>
    <col min="9" max="9" width="27.7109375" bestFit="1" customWidth="1"/>
    <col min="10" max="10" width="22.42578125" bestFit="1" customWidth="1"/>
    <col min="11" max="11" width="27.7109375" bestFit="1" customWidth="1"/>
    <col min="12" max="27" width="17.42578125" bestFit="1" customWidth="1"/>
    <col min="28" max="28" width="19" customWidth="1"/>
    <col min="29" max="29" width="17.42578125" bestFit="1" customWidth="1"/>
    <col min="30" max="30" width="21" customWidth="1"/>
    <col min="31" max="31" width="22.42578125" customWidth="1"/>
    <col min="32" max="32" width="20.28515625" customWidth="1"/>
    <col min="33" max="33" width="21" customWidth="1"/>
    <col min="34" max="34" width="24" customWidth="1"/>
    <col min="35" max="35" width="20.7109375" customWidth="1"/>
    <col min="36" max="36" width="22.85546875" customWidth="1"/>
    <col min="37" max="37" width="21.140625" customWidth="1"/>
    <col min="38" max="38" width="22.140625" customWidth="1"/>
    <col min="39" max="39" width="20.85546875" customWidth="1"/>
    <col min="40" max="2070" width="17.42578125" bestFit="1" customWidth="1"/>
    <col min="2071" max="2071" width="11" bestFit="1" customWidth="1"/>
  </cols>
  <sheetData>
    <row r="2" spans="1:39" ht="16.5">
      <c r="A2" s="1" t="s">
        <v>4697</v>
      </c>
      <c r="B2">
        <f ca="1">COUNTIFS(Tabela1[DATA],"&gt;="&amp;TODAY()-1,Tabela1[DATA],"&lt;"&amp;TODAY())</f>
        <v>43</v>
      </c>
      <c r="F2" s="15" t="s">
        <v>4698</v>
      </c>
      <c r="G2" s="15" t="s">
        <v>4699</v>
      </c>
      <c r="H2" s="15" t="s">
        <v>4700</v>
      </c>
      <c r="I2" s="15" t="s">
        <v>4701</v>
      </c>
      <c r="J2" s="15" t="s">
        <v>4702</v>
      </c>
      <c r="K2" s="15" t="s">
        <v>4703</v>
      </c>
      <c r="L2" s="15" t="s">
        <v>4704</v>
      </c>
      <c r="M2" s="15" t="s">
        <v>4705</v>
      </c>
      <c r="N2" s="15" t="s">
        <v>4706</v>
      </c>
      <c r="O2" s="15" t="s">
        <v>4707</v>
      </c>
      <c r="P2" s="15" t="s">
        <v>4708</v>
      </c>
      <c r="Q2" s="15" t="s">
        <v>4709</v>
      </c>
      <c r="R2" s="15" t="s">
        <v>4710</v>
      </c>
      <c r="S2" s="15" t="s">
        <v>4711</v>
      </c>
      <c r="T2" s="15" t="s">
        <v>4712</v>
      </c>
      <c r="U2" s="15" t="s">
        <v>4713</v>
      </c>
      <c r="V2" s="15" t="s">
        <v>4714</v>
      </c>
      <c r="W2" s="15" t="s">
        <v>4715</v>
      </c>
      <c r="X2" s="15" t="s">
        <v>4716</v>
      </c>
      <c r="Y2" s="15" t="s">
        <v>4717</v>
      </c>
      <c r="Z2" s="15" t="s">
        <v>4718</v>
      </c>
      <c r="AA2" s="15" t="s">
        <v>4719</v>
      </c>
      <c r="AB2" s="15" t="s">
        <v>4720</v>
      </c>
      <c r="AC2" s="15" t="s">
        <v>4721</v>
      </c>
      <c r="AD2" s="15" t="s">
        <v>4722</v>
      </c>
      <c r="AE2" s="15" t="s">
        <v>4723</v>
      </c>
      <c r="AF2" s="15" t="s">
        <v>4724</v>
      </c>
      <c r="AG2" s="15" t="s">
        <v>4725</v>
      </c>
      <c r="AH2" s="15" t="s">
        <v>4726</v>
      </c>
      <c r="AI2" s="15" t="s">
        <v>4727</v>
      </c>
      <c r="AJ2" s="15" t="s">
        <v>4728</v>
      </c>
      <c r="AK2" s="15" t="s">
        <v>4729</v>
      </c>
      <c r="AL2" s="15" t="s">
        <v>4730</v>
      </c>
      <c r="AM2" s="15" t="s">
        <v>4731</v>
      </c>
    </row>
    <row r="3" spans="1:39" ht="16.5">
      <c r="A3" s="1" t="s">
        <v>4732</v>
      </c>
      <c r="B3">
        <f ca="1">COUNTIFS(Tabela1[DATA],"&gt;="&amp;TODAY()-1,Tabela1[DATA],"&lt;"&amp;TODAY(),Tabela1[REPOSIÇÃO],"COMPLETA")</f>
        <v>11</v>
      </c>
      <c r="F3">
        <f ca="1">B2</f>
        <v>43</v>
      </c>
      <c r="G3">
        <f ca="1">B3</f>
        <v>11</v>
      </c>
      <c r="H3">
        <f ca="1">B4</f>
        <v>32</v>
      </c>
      <c r="I3">
        <f ca="1">B7</f>
        <v>210</v>
      </c>
      <c r="J3">
        <f ca="1">B8</f>
        <v>28</v>
      </c>
      <c r="K3">
        <f ca="1">B9</f>
        <v>182</v>
      </c>
      <c r="L3" t="str">
        <f>E15</f>
        <v>SERRANA TEXTIL LTDA</v>
      </c>
      <c r="M3">
        <f>F15</f>
        <v>10</v>
      </c>
      <c r="N3" t="str">
        <f>E16</f>
        <v>POTENGI TEXTIL LTDA</v>
      </c>
      <c r="O3">
        <f>F16</f>
        <v>10</v>
      </c>
      <c r="P3" t="str">
        <f>E17</f>
        <v>DI3 CONFECCOES LTDA</v>
      </c>
      <c r="Q3">
        <f>F17</f>
        <v>10</v>
      </c>
      <c r="R3" t="str">
        <f>C15</f>
        <v>linhas</v>
      </c>
      <c r="S3">
        <f>D15</f>
        <v>25</v>
      </c>
      <c r="T3" t="str">
        <f>C16</f>
        <v>etiqueta de composição</v>
      </c>
      <c r="U3">
        <f>D16</f>
        <v>21</v>
      </c>
      <c r="V3" t="str">
        <f>C17</f>
        <v>Etiqueta de preço</v>
      </c>
      <c r="W3">
        <f>D17</f>
        <v>14</v>
      </c>
      <c r="X3">
        <f ca="1">B11</f>
        <v>28</v>
      </c>
      <c r="Y3">
        <f ca="1">B12</f>
        <v>7</v>
      </c>
      <c r="Z3">
        <f ca="1">B13</f>
        <v>2</v>
      </c>
      <c r="AA3">
        <f ca="1">B14</f>
        <v>6</v>
      </c>
      <c r="AB3" t="str">
        <f>H15</f>
        <v>Etiqueta de preço</v>
      </c>
      <c r="AC3">
        <f>I15</f>
        <v>7</v>
      </c>
      <c r="AD3" t="str">
        <f>H16</f>
        <v>Martingal</v>
      </c>
      <c r="AE3">
        <f>I16</f>
        <v>2</v>
      </c>
      <c r="AF3" t="str">
        <f>H17</f>
        <v>Cadarço</v>
      </c>
      <c r="AG3">
        <f>I17</f>
        <v>2</v>
      </c>
      <c r="AH3" t="str">
        <f>J15</f>
        <v>linhas</v>
      </c>
      <c r="AI3">
        <f>K15</f>
        <v>24</v>
      </c>
      <c r="AJ3" t="str">
        <f>J16</f>
        <v>etiqueta de composição</v>
      </c>
      <c r="AK3">
        <f>K16</f>
        <v>21</v>
      </c>
      <c r="AL3" t="str">
        <f>J17</f>
        <v>ETIQUETA DE CÓS</v>
      </c>
      <c r="AM3">
        <f>K17</f>
        <v>11</v>
      </c>
    </row>
    <row r="4" spans="1:39">
      <c r="A4" t="s">
        <v>4733</v>
      </c>
      <c r="B4">
        <f ca="1">COUNTIFS(Tabela1[DATA],"&gt;="&amp;TODAY()-1,Tabela1[DATA],"&lt;"&amp;TODAY(),Tabela1[REPOSIÇÃO],"INCOMPLETA")</f>
        <v>32</v>
      </c>
    </row>
    <row r="6" spans="1:39" ht="16.5">
      <c r="A6" s="1" t="s">
        <v>4734</v>
      </c>
      <c r="F6" t="s">
        <v>4735</v>
      </c>
      <c r="G6" t="s">
        <v>4736</v>
      </c>
      <c r="H6" t="s">
        <v>4737</v>
      </c>
      <c r="I6" t="s">
        <v>4738</v>
      </c>
      <c r="J6" t="s">
        <v>4739</v>
      </c>
      <c r="K6" t="s">
        <v>4740</v>
      </c>
    </row>
    <row r="7" spans="1:39" ht="16.5">
      <c r="A7" s="1" t="s">
        <v>4741</v>
      </c>
      <c r="B7">
        <f ca="1">COUNTIFS(Tabela1[DATA],"&gt;="&amp;(TODAY()-WEEKDAY(TODAY(),2)+1),Tabela1[DATA],"&lt;"&amp;TODAY())</f>
        <v>210</v>
      </c>
      <c r="F7">
        <f ca="1">B18</f>
        <v>1071</v>
      </c>
      <c r="G7">
        <f ca="1">B19</f>
        <v>260</v>
      </c>
      <c r="H7">
        <f ca="1">B20</f>
        <v>811</v>
      </c>
      <c r="I7">
        <f>B22</f>
        <v>452</v>
      </c>
      <c r="J7">
        <f>B23</f>
        <v>47</v>
      </c>
      <c r="K7">
        <f>B24</f>
        <v>404</v>
      </c>
    </row>
    <row r="8" spans="1:39" ht="16.5">
      <c r="A8" s="1" t="s">
        <v>4742</v>
      </c>
      <c r="B8">
        <f ca="1">COUNTIFS(Tabela1[DATA],"&gt;="&amp;(TODAY()-WEEKDAY(TODAY(),2)+1),Tabela1[DATA],"&lt;"&amp;TODAY(),Tabela1[REPOSIÇÃO],"COMPLETA")</f>
        <v>28</v>
      </c>
    </row>
    <row r="9" spans="1:39" ht="16.5">
      <c r="A9" s="1" t="s">
        <v>4743</v>
      </c>
      <c r="B9">
        <f ca="1">COUNTIFS(Tabela1[DATA],"&gt;="&amp;(TODAY()-WEEKDAY(TODAY(),2)+1),Tabela1[DATA],"&lt;"&amp;TODAY(),Tabela1[REPOSIÇÃO],"INCOMPLETA")</f>
        <v>182</v>
      </c>
      <c r="D9" t="s">
        <v>4744</v>
      </c>
    </row>
    <row r="10" spans="1:39" ht="16.5">
      <c r="A10" s="1"/>
    </row>
    <row r="11" spans="1:39" ht="16.5">
      <c r="A11" s="1" t="s">
        <v>37</v>
      </c>
      <c r="B11">
        <f ca="1">COUNTIFS(Tabela1[DATA],"&gt;="&amp;TODAY()-1,Tabela1[DATA],"&lt;"&amp;TODAY(),Tabela1[MP],"JEANS")</f>
        <v>28</v>
      </c>
      <c r="C11" s="12" t="s">
        <v>17</v>
      </c>
      <c r="D11" t="s">
        <v>4745</v>
      </c>
      <c r="E11" s="12" t="s">
        <v>17</v>
      </c>
      <c r="F11" t="s">
        <v>4745</v>
      </c>
      <c r="H11" s="12" t="s">
        <v>17</v>
      </c>
      <c r="I11" t="s">
        <v>4745</v>
      </c>
      <c r="J11" s="12" t="s">
        <v>17</v>
      </c>
      <c r="K11" t="s">
        <v>4745</v>
      </c>
    </row>
    <row r="12" spans="1:39">
      <c r="A12" t="s">
        <v>45</v>
      </c>
      <c r="B12">
        <f ca="1">COUNTIFS(Tabela1[DATA],"&gt;="&amp;TODAY()-1,Tabela1[DATA],"&lt;"&amp;TODAY(),Tabela1[MP],"MALHA")</f>
        <v>7</v>
      </c>
      <c r="C12" s="12" t="s">
        <v>4</v>
      </c>
      <c r="D12" t="s">
        <v>4746</v>
      </c>
      <c r="E12" s="12" t="s">
        <v>4</v>
      </c>
      <c r="F12" t="s">
        <v>4746</v>
      </c>
      <c r="H12" s="12" t="s">
        <v>13</v>
      </c>
      <c r="I12" t="s">
        <v>878</v>
      </c>
      <c r="J12" s="12" t="s">
        <v>13</v>
      </c>
      <c r="K12" t="s">
        <v>867</v>
      </c>
    </row>
    <row r="13" spans="1:39">
      <c r="A13" t="s">
        <v>20</v>
      </c>
      <c r="B13">
        <f ca="1">COUNTIFS(Tabela1[DATA],"&gt;="&amp;TODAY()-1,Tabela1[DATA],"&lt;"&amp;TODAY(),Tabela1[MP],"TEAR")</f>
        <v>2</v>
      </c>
    </row>
    <row r="14" spans="1:39">
      <c r="A14" t="s">
        <v>29</v>
      </c>
      <c r="B14">
        <f ca="1">COUNTIFS(Tabela1[DATA],"&gt;="&amp;TODAY()-1,Tabela1[DATA],"&lt;"&amp;TODAY(),Tabela1[MP],"POLO")</f>
        <v>6</v>
      </c>
      <c r="C14" s="12" t="s">
        <v>5</v>
      </c>
      <c r="D14" t="s">
        <v>4747</v>
      </c>
      <c r="E14" s="12" t="s">
        <v>0</v>
      </c>
      <c r="F14" t="s">
        <v>4748</v>
      </c>
      <c r="H14" s="12" t="s">
        <v>5</v>
      </c>
      <c r="I14" t="s">
        <v>4747</v>
      </c>
      <c r="J14" s="12" t="s">
        <v>5</v>
      </c>
      <c r="K14" t="s">
        <v>4747</v>
      </c>
    </row>
    <row r="15" spans="1:39">
      <c r="C15" t="s">
        <v>2471</v>
      </c>
      <c r="D15">
        <v>25</v>
      </c>
      <c r="E15" t="s">
        <v>79</v>
      </c>
      <c r="F15">
        <v>10</v>
      </c>
      <c r="H15" t="s">
        <v>64</v>
      </c>
      <c r="I15">
        <v>7</v>
      </c>
      <c r="J15" t="s">
        <v>2471</v>
      </c>
      <c r="K15">
        <v>24</v>
      </c>
    </row>
    <row r="16" spans="1:39">
      <c r="C16" t="s">
        <v>1953</v>
      </c>
      <c r="D16">
        <v>21</v>
      </c>
      <c r="E16" t="s">
        <v>163</v>
      </c>
      <c r="F16">
        <v>10</v>
      </c>
      <c r="H16" t="s">
        <v>4529</v>
      </c>
      <c r="I16">
        <v>2</v>
      </c>
      <c r="J16" t="s">
        <v>1953</v>
      </c>
      <c r="K16">
        <v>21</v>
      </c>
    </row>
    <row r="17" spans="1:11">
      <c r="C17" t="s">
        <v>64</v>
      </c>
      <c r="D17">
        <v>14</v>
      </c>
      <c r="E17" t="s">
        <v>253</v>
      </c>
      <c r="F17">
        <v>10</v>
      </c>
      <c r="H17" t="s">
        <v>329</v>
      </c>
      <c r="I17">
        <v>2</v>
      </c>
      <c r="J17" t="s">
        <v>1170</v>
      </c>
      <c r="K17">
        <v>11</v>
      </c>
    </row>
    <row r="18" spans="1:11">
      <c r="A18" t="s">
        <v>4749</v>
      </c>
      <c r="B18" s="15">
        <f ca="1">COUNTIFS(Tabela1[DATA_RELATORIO],"&gt;="&amp;DATE(YEAR(EOMONTH(TODAY(),-1)),MONTH(EOMONTH(TODAY(),-1)),1),Tabela1[DATA_RELATORIO],"&lt;"&amp;DATE(YEAR(TODAY()),MONTH(TODAY()),1))</f>
        <v>1071</v>
      </c>
      <c r="C18" t="s">
        <v>1170</v>
      </c>
      <c r="D18">
        <v>11</v>
      </c>
      <c r="E18" t="s">
        <v>111</v>
      </c>
      <c r="F18">
        <v>9</v>
      </c>
      <c r="H18" t="s">
        <v>2471</v>
      </c>
      <c r="I18">
        <v>1</v>
      </c>
      <c r="J18" t="s">
        <v>151</v>
      </c>
      <c r="K18">
        <v>10</v>
      </c>
    </row>
    <row r="19" spans="1:11">
      <c r="A19" t="s">
        <v>4750</v>
      </c>
      <c r="B19" s="15">
        <f ca="1">COUNTIFS(Tabela1[REPOSIÇÃO],"COMPLETA",Tabela1[DATA_RELATORIO],"&gt;="&amp;DATE(YEAR(EOMONTH(TODAY(),-1)),MONTH(EOMONTH(TODAY(),-1)),1),Tabela1[DATA_RELATORIO],"&lt;"&amp;DATE(YEAR(TODAY()),MONTH(TODAY()),1))</f>
        <v>260</v>
      </c>
      <c r="C19" t="s">
        <v>90</v>
      </c>
      <c r="D19">
        <v>11</v>
      </c>
      <c r="E19" t="s">
        <v>2610</v>
      </c>
      <c r="F19">
        <v>6</v>
      </c>
      <c r="H19" t="s">
        <v>221</v>
      </c>
      <c r="I19">
        <v>1</v>
      </c>
      <c r="J19" t="s">
        <v>90</v>
      </c>
      <c r="K19">
        <v>10</v>
      </c>
    </row>
    <row r="20" spans="1:11">
      <c r="A20" t="s">
        <v>4751</v>
      </c>
      <c r="B20" s="15">
        <f ca="1">COUNTIFS(Tabela1[REPOSIÇÃO],"INCOMPLETA",Tabela1[DATA_RELATORIO],"&gt;="&amp;DATE(YEAR(EOMONTH(TODAY(),-1)),MONTH(EOMONTH(TODAY(),-1)),1),Tabela1[DATA_RELATORIO],"&lt;"&amp;DATE(YEAR(TODAY()),MONTH(TODAY()),1))</f>
        <v>811</v>
      </c>
      <c r="C20" t="s">
        <v>151</v>
      </c>
      <c r="D20">
        <v>10</v>
      </c>
      <c r="E20" t="s">
        <v>2578</v>
      </c>
      <c r="F20">
        <v>6</v>
      </c>
      <c r="G20" t="s">
        <v>4752</v>
      </c>
      <c r="H20" t="s">
        <v>203</v>
      </c>
      <c r="I20">
        <v>1</v>
      </c>
      <c r="J20" t="s">
        <v>177</v>
      </c>
      <c r="K20">
        <v>9</v>
      </c>
    </row>
    <row r="21" spans="1:11">
      <c r="B21" s="15"/>
      <c r="C21" t="s">
        <v>177</v>
      </c>
      <c r="D21">
        <v>9</v>
      </c>
      <c r="E21" t="s">
        <v>428</v>
      </c>
      <c r="F21">
        <v>6</v>
      </c>
      <c r="H21" t="s">
        <v>216</v>
      </c>
      <c r="I21">
        <v>1</v>
      </c>
      <c r="J21" t="s">
        <v>64</v>
      </c>
      <c r="K21">
        <v>7</v>
      </c>
    </row>
    <row r="22" spans="1:11">
      <c r="A22" t="s">
        <v>4753</v>
      </c>
      <c r="B22" s="15">
        <f>COUNTIFS(Tabela1[DATA_RELATORIO],"&gt;="&amp;DATE(2026,8,1),Tabela1[DATA_RELATORIO],"&lt;"&amp;DATE(2026,9,1))</f>
        <v>452</v>
      </c>
      <c r="C22" t="s">
        <v>259</v>
      </c>
      <c r="D22">
        <v>8</v>
      </c>
      <c r="E22" t="s">
        <v>2624</v>
      </c>
      <c r="F22">
        <v>6</v>
      </c>
      <c r="H22" t="s">
        <v>259</v>
      </c>
      <c r="I22">
        <v>1</v>
      </c>
      <c r="J22" t="s">
        <v>259</v>
      </c>
      <c r="K22">
        <v>7</v>
      </c>
    </row>
    <row r="23" spans="1:11">
      <c r="A23" t="s">
        <v>4754</v>
      </c>
      <c r="B23" s="15">
        <f>COUNTIFS(Tabela1[REPOSIÇÃO],"COMPLETA",Tabela1[DATA_RELATORIO],"&gt;="&amp;DATE(2026,8,1),Tabela1[DATA_RELATORIO],"&lt;"&amp;DATE(2026,9,1))</f>
        <v>47</v>
      </c>
      <c r="C23" t="s">
        <v>3502</v>
      </c>
      <c r="D23">
        <v>5</v>
      </c>
      <c r="E23" t="s">
        <v>196</v>
      </c>
      <c r="F23">
        <v>5</v>
      </c>
      <c r="H23" t="s">
        <v>90</v>
      </c>
      <c r="I23">
        <v>1</v>
      </c>
      <c r="J23" t="s">
        <v>3502</v>
      </c>
      <c r="K23">
        <v>5</v>
      </c>
    </row>
    <row r="24" spans="1:11">
      <c r="A24" t="s">
        <v>4755</v>
      </c>
      <c r="B24" s="15">
        <f>COUNTIFS(Tabela1[REPOSIÇÃO],"INCOMPLETA",Tabela1[DATA_RELATORIO],"&gt;="&amp;DATE(2026,8,1),Tabela1[DATA_RELATORIO],"&lt;"&amp;DATE(2026,9,1))</f>
        <v>404</v>
      </c>
      <c r="C24" t="s">
        <v>323</v>
      </c>
      <c r="D24">
        <v>5</v>
      </c>
      <c r="E24" t="s">
        <v>249</v>
      </c>
      <c r="F24">
        <v>5</v>
      </c>
      <c r="H24" t="s">
        <v>4756</v>
      </c>
      <c r="I24">
        <v>17</v>
      </c>
      <c r="J24" t="s">
        <v>323</v>
      </c>
      <c r="K24">
        <v>5</v>
      </c>
    </row>
    <row r="25" spans="1:11">
      <c r="C25" t="s">
        <v>315</v>
      </c>
      <c r="D25">
        <v>5</v>
      </c>
      <c r="E25" t="s">
        <v>2549</v>
      </c>
      <c r="F25">
        <v>5</v>
      </c>
      <c r="J25" t="s">
        <v>315</v>
      </c>
      <c r="K25">
        <v>5</v>
      </c>
    </row>
    <row r="26" spans="1:11">
      <c r="C26" t="s">
        <v>216</v>
      </c>
      <c r="D26">
        <v>4</v>
      </c>
      <c r="E26" t="s">
        <v>2547</v>
      </c>
      <c r="F26">
        <v>4</v>
      </c>
      <c r="J26" t="s">
        <v>96</v>
      </c>
      <c r="K26">
        <v>4</v>
      </c>
    </row>
    <row r="27" spans="1:11">
      <c r="C27" t="s">
        <v>96</v>
      </c>
      <c r="D27">
        <v>4</v>
      </c>
      <c r="E27" t="s">
        <v>2649</v>
      </c>
      <c r="F27">
        <v>4</v>
      </c>
      <c r="J27" t="s">
        <v>132</v>
      </c>
      <c r="K27">
        <v>3</v>
      </c>
    </row>
    <row r="28" spans="1:11">
      <c r="C28" t="s">
        <v>132</v>
      </c>
      <c r="D28">
        <v>3</v>
      </c>
      <c r="E28" t="s">
        <v>2659</v>
      </c>
      <c r="F28">
        <v>3</v>
      </c>
      <c r="J28" t="s">
        <v>216</v>
      </c>
      <c r="K28">
        <v>3</v>
      </c>
    </row>
    <row r="29" spans="1:11">
      <c r="C29" t="s">
        <v>769</v>
      </c>
      <c r="D29">
        <v>3</v>
      </c>
      <c r="E29" t="s">
        <v>1236</v>
      </c>
      <c r="F29">
        <v>3</v>
      </c>
      <c r="J29" t="s">
        <v>3121</v>
      </c>
      <c r="K29">
        <v>3</v>
      </c>
    </row>
    <row r="30" spans="1:11">
      <c r="C30" t="s">
        <v>3121</v>
      </c>
      <c r="D30">
        <v>3</v>
      </c>
      <c r="E30" t="s">
        <v>1835</v>
      </c>
      <c r="F30">
        <v>3</v>
      </c>
      <c r="J30" t="s">
        <v>769</v>
      </c>
      <c r="K30">
        <v>3</v>
      </c>
    </row>
    <row r="31" spans="1:11">
      <c r="C31" t="s">
        <v>221</v>
      </c>
      <c r="D31">
        <v>3</v>
      </c>
      <c r="E31" t="s">
        <v>605</v>
      </c>
      <c r="F31">
        <v>3</v>
      </c>
      <c r="J31" t="s">
        <v>3899</v>
      </c>
      <c r="K31">
        <v>2</v>
      </c>
    </row>
    <row r="32" spans="1:11">
      <c r="C32" t="s">
        <v>203</v>
      </c>
      <c r="D32">
        <v>2</v>
      </c>
      <c r="E32" t="s">
        <v>332</v>
      </c>
      <c r="F32">
        <v>3</v>
      </c>
      <c r="J32" t="s">
        <v>291</v>
      </c>
      <c r="K32">
        <v>2</v>
      </c>
    </row>
    <row r="33" spans="3:11">
      <c r="C33" t="s">
        <v>291</v>
      </c>
      <c r="D33">
        <v>2</v>
      </c>
      <c r="E33" t="s">
        <v>1439</v>
      </c>
      <c r="F33">
        <v>3</v>
      </c>
      <c r="J33" t="s">
        <v>1522</v>
      </c>
      <c r="K33">
        <v>2</v>
      </c>
    </row>
    <row r="34" spans="3:11">
      <c r="C34" t="s">
        <v>3899</v>
      </c>
      <c r="D34">
        <v>2</v>
      </c>
      <c r="E34" t="s">
        <v>2713</v>
      </c>
      <c r="F34">
        <v>3</v>
      </c>
      <c r="J34" t="s">
        <v>221</v>
      </c>
      <c r="K34">
        <v>2</v>
      </c>
    </row>
    <row r="35" spans="3:11">
      <c r="C35" t="s">
        <v>4529</v>
      </c>
      <c r="D35">
        <v>2</v>
      </c>
      <c r="E35" t="s">
        <v>3132</v>
      </c>
      <c r="F35">
        <v>3</v>
      </c>
      <c r="J35" t="s">
        <v>525</v>
      </c>
      <c r="K35">
        <v>2</v>
      </c>
    </row>
    <row r="36" spans="3:11">
      <c r="C36" t="s">
        <v>329</v>
      </c>
      <c r="D36">
        <v>2</v>
      </c>
      <c r="E36" t="s">
        <v>123</v>
      </c>
      <c r="F36">
        <v>3</v>
      </c>
      <c r="J36" t="s">
        <v>1646</v>
      </c>
      <c r="K36">
        <v>1</v>
      </c>
    </row>
    <row r="37" spans="3:11">
      <c r="C37" t="s">
        <v>1522</v>
      </c>
      <c r="D37">
        <v>2</v>
      </c>
      <c r="E37" t="s">
        <v>2991</v>
      </c>
      <c r="F37">
        <v>3</v>
      </c>
      <c r="J37" t="s">
        <v>1760</v>
      </c>
      <c r="K37">
        <v>1</v>
      </c>
    </row>
    <row r="38" spans="3:11">
      <c r="C38" t="s">
        <v>525</v>
      </c>
      <c r="D38">
        <v>2</v>
      </c>
      <c r="E38" t="s">
        <v>3073</v>
      </c>
      <c r="F38">
        <v>3</v>
      </c>
      <c r="J38" t="s">
        <v>417</v>
      </c>
      <c r="K38">
        <v>1</v>
      </c>
    </row>
    <row r="39" spans="3:11">
      <c r="C39" t="s">
        <v>991</v>
      </c>
      <c r="D39">
        <v>1</v>
      </c>
      <c r="E39" t="s">
        <v>2565</v>
      </c>
      <c r="F39">
        <v>2</v>
      </c>
      <c r="J39" t="s">
        <v>430</v>
      </c>
      <c r="K39">
        <v>1</v>
      </c>
    </row>
    <row r="40" spans="3:11">
      <c r="C40" t="s">
        <v>1646</v>
      </c>
      <c r="D40">
        <v>1</v>
      </c>
      <c r="E40" t="s">
        <v>3492</v>
      </c>
      <c r="F40">
        <v>2</v>
      </c>
      <c r="J40" t="s">
        <v>1137</v>
      </c>
      <c r="K40">
        <v>1</v>
      </c>
    </row>
    <row r="41" spans="3:11">
      <c r="C41" t="s">
        <v>430</v>
      </c>
      <c r="D41">
        <v>1</v>
      </c>
      <c r="E41" t="s">
        <v>2562</v>
      </c>
      <c r="F41">
        <v>2</v>
      </c>
      <c r="J41" t="s">
        <v>203</v>
      </c>
      <c r="K41">
        <v>1</v>
      </c>
    </row>
    <row r="42" spans="3:11">
      <c r="C42" t="s">
        <v>3843</v>
      </c>
      <c r="D42">
        <v>1</v>
      </c>
      <c r="E42" t="s">
        <v>191</v>
      </c>
      <c r="F42">
        <v>2</v>
      </c>
      <c r="J42" t="s">
        <v>651</v>
      </c>
      <c r="K42">
        <v>1</v>
      </c>
    </row>
    <row r="43" spans="3:11">
      <c r="C43" t="s">
        <v>651</v>
      </c>
      <c r="D43">
        <v>1</v>
      </c>
      <c r="E43" t="s">
        <v>489</v>
      </c>
      <c r="F43">
        <v>2</v>
      </c>
      <c r="J43" t="s">
        <v>3843</v>
      </c>
      <c r="K43">
        <v>1</v>
      </c>
    </row>
    <row r="44" spans="3:11">
      <c r="C44" t="s">
        <v>1137</v>
      </c>
      <c r="D44">
        <v>1</v>
      </c>
      <c r="E44" t="s">
        <v>755</v>
      </c>
      <c r="F44">
        <v>2</v>
      </c>
      <c r="J44" t="s">
        <v>991</v>
      </c>
      <c r="K44">
        <v>1</v>
      </c>
    </row>
    <row r="45" spans="3:11">
      <c r="C45" t="s">
        <v>1760</v>
      </c>
      <c r="D45">
        <v>1</v>
      </c>
      <c r="E45" t="s">
        <v>3513</v>
      </c>
      <c r="F45">
        <v>2</v>
      </c>
      <c r="J45" t="s">
        <v>1564</v>
      </c>
      <c r="K45">
        <v>1</v>
      </c>
    </row>
    <row r="46" spans="3:11">
      <c r="C46" t="s">
        <v>417</v>
      </c>
      <c r="D46">
        <v>1</v>
      </c>
      <c r="E46" t="s">
        <v>3564</v>
      </c>
      <c r="F46">
        <v>2</v>
      </c>
      <c r="J46" t="s">
        <v>4756</v>
      </c>
      <c r="K46">
        <v>150</v>
      </c>
    </row>
    <row r="47" spans="3:11">
      <c r="C47" t="s">
        <v>1564</v>
      </c>
      <c r="D47">
        <v>1</v>
      </c>
      <c r="E47" t="s">
        <v>2551</v>
      </c>
      <c r="F47">
        <v>2</v>
      </c>
    </row>
    <row r="48" spans="3:11">
      <c r="C48" t="s">
        <v>4756</v>
      </c>
      <c r="D48">
        <v>167</v>
      </c>
      <c r="E48" t="s">
        <v>2671</v>
      </c>
      <c r="F48">
        <v>2</v>
      </c>
    </row>
    <row r="49" spans="5:6">
      <c r="E49" t="s">
        <v>3022</v>
      </c>
      <c r="F49">
        <v>2</v>
      </c>
    </row>
    <row r="50" spans="5:6">
      <c r="E50" t="s">
        <v>1096</v>
      </c>
      <c r="F50">
        <v>2</v>
      </c>
    </row>
    <row r="51" spans="5:6">
      <c r="E51" t="s">
        <v>287</v>
      </c>
      <c r="F51">
        <v>1</v>
      </c>
    </row>
    <row r="52" spans="5:6">
      <c r="E52" t="s">
        <v>1154</v>
      </c>
      <c r="F52">
        <v>1</v>
      </c>
    </row>
    <row r="53" spans="5:6">
      <c r="E53" t="s">
        <v>3234</v>
      </c>
      <c r="F53">
        <v>1</v>
      </c>
    </row>
    <row r="54" spans="5:6">
      <c r="E54" t="s">
        <v>214</v>
      </c>
      <c r="F54">
        <v>1</v>
      </c>
    </row>
    <row r="55" spans="5:6">
      <c r="E55" t="s">
        <v>3517</v>
      </c>
      <c r="F55">
        <v>1</v>
      </c>
    </row>
    <row r="56" spans="5:6">
      <c r="E56" t="s">
        <v>807</v>
      </c>
      <c r="F56">
        <v>1</v>
      </c>
    </row>
    <row r="57" spans="5:6">
      <c r="E57" t="s">
        <v>899</v>
      </c>
      <c r="F57">
        <v>1</v>
      </c>
    </row>
    <row r="58" spans="5:6">
      <c r="E58" t="s">
        <v>2541</v>
      </c>
      <c r="F58">
        <v>1</v>
      </c>
    </row>
    <row r="59" spans="5:6">
      <c r="E59" t="s">
        <v>2605</v>
      </c>
      <c r="F59">
        <v>1</v>
      </c>
    </row>
    <row r="60" spans="5:6">
      <c r="E60" t="s">
        <v>2765</v>
      </c>
      <c r="F60">
        <v>1</v>
      </c>
    </row>
    <row r="61" spans="5:6">
      <c r="E61" t="s">
        <v>233</v>
      </c>
      <c r="F61">
        <v>1</v>
      </c>
    </row>
    <row r="62" spans="5:6">
      <c r="E62" t="s">
        <v>3062</v>
      </c>
      <c r="F62">
        <v>1</v>
      </c>
    </row>
    <row r="63" spans="5:6">
      <c r="E63" t="s">
        <v>2825</v>
      </c>
      <c r="F63">
        <v>1</v>
      </c>
    </row>
    <row r="64" spans="5:6">
      <c r="E64" t="s">
        <v>2681</v>
      </c>
      <c r="F64">
        <v>1</v>
      </c>
    </row>
    <row r="65" spans="1:6">
      <c r="E65" t="s">
        <v>101</v>
      </c>
      <c r="F65">
        <v>1</v>
      </c>
    </row>
    <row r="66" spans="1:6">
      <c r="E66" t="s">
        <v>1110</v>
      </c>
      <c r="F66">
        <v>1</v>
      </c>
    </row>
    <row r="67" spans="1:6">
      <c r="E67" t="s">
        <v>1175</v>
      </c>
      <c r="F67">
        <v>1</v>
      </c>
    </row>
    <row r="68" spans="1:6">
      <c r="A68" t="s">
        <v>4757</v>
      </c>
      <c r="E68" t="s">
        <v>493</v>
      </c>
      <c r="F68">
        <v>1</v>
      </c>
    </row>
    <row r="69" spans="1:6">
      <c r="E69" t="s">
        <v>2903</v>
      </c>
      <c r="F69">
        <v>1</v>
      </c>
    </row>
    <row r="70" spans="1:6">
      <c r="E70" t="s">
        <v>2656</v>
      </c>
      <c r="F70">
        <v>1</v>
      </c>
    </row>
    <row r="71" spans="1:6">
      <c r="E71" t="s">
        <v>159</v>
      </c>
      <c r="F71">
        <v>1</v>
      </c>
    </row>
    <row r="72" spans="1:6">
      <c r="E72" t="s">
        <v>2967</v>
      </c>
      <c r="F72">
        <v>1</v>
      </c>
    </row>
    <row r="73" spans="1:6">
      <c r="E73" t="s">
        <v>2543</v>
      </c>
      <c r="F73">
        <v>1</v>
      </c>
    </row>
    <row r="74" spans="1:6">
      <c r="E74" t="s">
        <v>2775</v>
      </c>
      <c r="F74">
        <v>1</v>
      </c>
    </row>
    <row r="75" spans="1:6">
      <c r="E75" t="s">
        <v>4756</v>
      </c>
      <c r="F75">
        <v>167</v>
      </c>
    </row>
  </sheetData>
  <pageMargins left="0.7" right="0.7" top="0.75" bottom="0.75" header="0.3" footer="0.3"/>
  <tableParts count="2"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AFB04-8936-45F8-9DD3-7ED8C124CF1C}">
  <dimension ref="A1:B1973"/>
  <sheetViews>
    <sheetView workbookViewId="0">
      <selection activeCell="D1" sqref="D1"/>
    </sheetView>
  </sheetViews>
  <sheetFormatPr defaultRowHeight="15"/>
  <cols>
    <col min="1" max="1" width="29.5703125" style="2" bestFit="1" customWidth="1"/>
    <col min="2" max="2" width="93.28515625" bestFit="1" customWidth="1"/>
  </cols>
  <sheetData>
    <row r="1" spans="1:2">
      <c r="A1" s="2" t="s">
        <v>4758</v>
      </c>
      <c r="B1" t="s">
        <v>4759</v>
      </c>
    </row>
    <row r="2" spans="1:2">
      <c r="A2" s="2" t="s">
        <v>4760</v>
      </c>
      <c r="B2" t="s">
        <v>4761</v>
      </c>
    </row>
    <row r="3" spans="1:2">
      <c r="A3" s="2" t="s">
        <v>4762</v>
      </c>
      <c r="B3" t="s">
        <v>4763</v>
      </c>
    </row>
    <row r="4" spans="1:2">
      <c r="A4" s="2" t="s">
        <v>4764</v>
      </c>
      <c r="B4" t="s">
        <v>4765</v>
      </c>
    </row>
    <row r="5" spans="1:2">
      <c r="A5" s="2" t="s">
        <v>4766</v>
      </c>
      <c r="B5" t="s">
        <v>4767</v>
      </c>
    </row>
    <row r="6" spans="1:2">
      <c r="A6" s="2" t="s">
        <v>4768</v>
      </c>
      <c r="B6" t="s">
        <v>4769</v>
      </c>
    </row>
    <row r="7" spans="1:2">
      <c r="A7" s="2" t="s">
        <v>4770</v>
      </c>
      <c r="B7" t="s">
        <v>4771</v>
      </c>
    </row>
    <row r="8" spans="1:2">
      <c r="A8" s="2" t="s">
        <v>4772</v>
      </c>
      <c r="B8" t="s">
        <v>4773</v>
      </c>
    </row>
    <row r="9" spans="1:2">
      <c r="A9" s="2" t="s">
        <v>4774</v>
      </c>
      <c r="B9" t="s">
        <v>4775</v>
      </c>
    </row>
    <row r="10" spans="1:2">
      <c r="A10" s="2" t="s">
        <v>4774</v>
      </c>
      <c r="B10" t="s">
        <v>4776</v>
      </c>
    </row>
    <row r="11" spans="1:2">
      <c r="A11" s="2" t="s">
        <v>4777</v>
      </c>
      <c r="B11" t="s">
        <v>4778</v>
      </c>
    </row>
    <row r="12" spans="1:2">
      <c r="A12" s="2" t="s">
        <v>4774</v>
      </c>
      <c r="B12" t="s">
        <v>4779</v>
      </c>
    </row>
    <row r="13" spans="1:2">
      <c r="A13" s="2" t="s">
        <v>4774</v>
      </c>
      <c r="B13" t="s">
        <v>4780</v>
      </c>
    </row>
    <row r="14" spans="1:2">
      <c r="A14" s="2" t="s">
        <v>4777</v>
      </c>
      <c r="B14" t="s">
        <v>4781</v>
      </c>
    </row>
    <row r="15" spans="1:2">
      <c r="A15" s="2" t="s">
        <v>4777</v>
      </c>
      <c r="B15" t="s">
        <v>4782</v>
      </c>
    </row>
    <row r="16" spans="1:2">
      <c r="A16" s="2" t="s">
        <v>4783</v>
      </c>
      <c r="B16" t="s">
        <v>4784</v>
      </c>
    </row>
    <row r="17" spans="1:2">
      <c r="A17" s="2" t="s">
        <v>4785</v>
      </c>
      <c r="B17" t="s">
        <v>4786</v>
      </c>
    </row>
    <row r="18" spans="1:2">
      <c r="A18" s="2" t="s">
        <v>4787</v>
      </c>
      <c r="B18" t="s">
        <v>4788</v>
      </c>
    </row>
    <row r="19" spans="1:2">
      <c r="A19" s="2" t="s">
        <v>4787</v>
      </c>
      <c r="B19" t="s">
        <v>4789</v>
      </c>
    </row>
    <row r="20" spans="1:2">
      <c r="A20" s="2" t="s">
        <v>4787</v>
      </c>
      <c r="B20" t="s">
        <v>4790</v>
      </c>
    </row>
    <row r="21" spans="1:2">
      <c r="A21" s="2" t="s">
        <v>4791</v>
      </c>
      <c r="B21" t="s">
        <v>4792</v>
      </c>
    </row>
    <row r="22" spans="1:2">
      <c r="A22" s="2" t="s">
        <v>4791</v>
      </c>
      <c r="B22" t="s">
        <v>4793</v>
      </c>
    </row>
    <row r="23" spans="1:2">
      <c r="A23" s="2" t="s">
        <v>4794</v>
      </c>
      <c r="B23" t="s">
        <v>4795</v>
      </c>
    </row>
    <row r="24" spans="1:2">
      <c r="A24" s="2" t="s">
        <v>1037</v>
      </c>
      <c r="B24" t="s">
        <v>4796</v>
      </c>
    </row>
    <row r="25" spans="1:2">
      <c r="A25" s="2" t="s">
        <v>1037</v>
      </c>
      <c r="B25" t="s">
        <v>4797</v>
      </c>
    </row>
    <row r="26" spans="1:2">
      <c r="A26" s="2" t="s">
        <v>1037</v>
      </c>
      <c r="B26" t="s">
        <v>4798</v>
      </c>
    </row>
    <row r="27" spans="1:2">
      <c r="A27" s="2" t="s">
        <v>4799</v>
      </c>
      <c r="B27" t="s">
        <v>4800</v>
      </c>
    </row>
    <row r="28" spans="1:2">
      <c r="A28" s="2" t="s">
        <v>4799</v>
      </c>
      <c r="B28" t="s">
        <v>4801</v>
      </c>
    </row>
    <row r="29" spans="1:2">
      <c r="A29" s="2" t="s">
        <v>4799</v>
      </c>
      <c r="B29" t="s">
        <v>4802</v>
      </c>
    </row>
    <row r="30" spans="1:2">
      <c r="A30" s="2" t="s">
        <v>4803</v>
      </c>
      <c r="B30" t="s">
        <v>4804</v>
      </c>
    </row>
    <row r="31" spans="1:2">
      <c r="A31" s="2" t="s">
        <v>1053</v>
      </c>
      <c r="B31" t="s">
        <v>4805</v>
      </c>
    </row>
    <row r="32" spans="1:2">
      <c r="A32" s="2" t="s">
        <v>4806</v>
      </c>
      <c r="B32" t="s">
        <v>4807</v>
      </c>
    </row>
    <row r="33" spans="1:2">
      <c r="A33" s="2" t="s">
        <v>4806</v>
      </c>
      <c r="B33" t="s">
        <v>4808</v>
      </c>
    </row>
    <row r="34" spans="1:2">
      <c r="A34" s="2" t="s">
        <v>4806</v>
      </c>
      <c r="B34" t="s">
        <v>4809</v>
      </c>
    </row>
    <row r="35" spans="1:2">
      <c r="A35" s="2" t="s">
        <v>4810</v>
      </c>
      <c r="B35" t="s">
        <v>4811</v>
      </c>
    </row>
    <row r="36" spans="1:2">
      <c r="A36" s="2" t="s">
        <v>4812</v>
      </c>
      <c r="B36" t="s">
        <v>4813</v>
      </c>
    </row>
    <row r="37" spans="1:2">
      <c r="A37" s="2" t="s">
        <v>4812</v>
      </c>
      <c r="B37" t="s">
        <v>4814</v>
      </c>
    </row>
    <row r="38" spans="1:2">
      <c r="A38" s="2" t="s">
        <v>4812</v>
      </c>
      <c r="B38" t="s">
        <v>4815</v>
      </c>
    </row>
    <row r="39" spans="1:2">
      <c r="A39" s="2" t="s">
        <v>4812</v>
      </c>
      <c r="B39" t="s">
        <v>4816</v>
      </c>
    </row>
    <row r="40" spans="1:2">
      <c r="A40" s="2" t="s">
        <v>4817</v>
      </c>
      <c r="B40" t="s">
        <v>4818</v>
      </c>
    </row>
    <row r="41" spans="1:2">
      <c r="A41" s="2" t="s">
        <v>4819</v>
      </c>
      <c r="B41" t="s">
        <v>4820</v>
      </c>
    </row>
    <row r="42" spans="1:2">
      <c r="A42" s="2" t="s">
        <v>4817</v>
      </c>
      <c r="B42" t="s">
        <v>4821</v>
      </c>
    </row>
    <row r="43" spans="1:2">
      <c r="A43" s="2" t="s">
        <v>4822</v>
      </c>
      <c r="B43" t="s">
        <v>4823</v>
      </c>
    </row>
    <row r="44" spans="1:2">
      <c r="A44" s="2" t="s">
        <v>4819</v>
      </c>
      <c r="B44" t="s">
        <v>4824</v>
      </c>
    </row>
    <row r="45" spans="1:2">
      <c r="A45" s="2" t="s">
        <v>4825</v>
      </c>
      <c r="B45" t="s">
        <v>4826</v>
      </c>
    </row>
    <row r="46" spans="1:2">
      <c r="A46" s="2" t="s">
        <v>4827</v>
      </c>
      <c r="B46" t="s">
        <v>4828</v>
      </c>
    </row>
    <row r="47" spans="1:2">
      <c r="A47" s="2" t="s">
        <v>4829</v>
      </c>
      <c r="B47" t="s">
        <v>4830</v>
      </c>
    </row>
    <row r="48" spans="1:2">
      <c r="A48" s="2" t="s">
        <v>4829</v>
      </c>
      <c r="B48" t="s">
        <v>4831</v>
      </c>
    </row>
    <row r="49" spans="1:2">
      <c r="A49" s="2" t="s">
        <v>4832</v>
      </c>
      <c r="B49" t="s">
        <v>4833</v>
      </c>
    </row>
    <row r="50" spans="1:2">
      <c r="A50" s="2" t="s">
        <v>4832</v>
      </c>
      <c r="B50" t="s">
        <v>4834</v>
      </c>
    </row>
    <row r="51" spans="1:2">
      <c r="A51" s="2" t="s">
        <v>4832</v>
      </c>
      <c r="B51" t="s">
        <v>4835</v>
      </c>
    </row>
    <row r="52" spans="1:2">
      <c r="A52" s="2" t="s">
        <v>4836</v>
      </c>
      <c r="B52" t="s">
        <v>4837</v>
      </c>
    </row>
    <row r="53" spans="1:2">
      <c r="A53" s="2" t="s">
        <v>4838</v>
      </c>
      <c r="B53" t="s">
        <v>4839</v>
      </c>
    </row>
    <row r="54" spans="1:2">
      <c r="A54" s="2" t="s">
        <v>4840</v>
      </c>
      <c r="B54" t="s">
        <v>4841</v>
      </c>
    </row>
    <row r="55" spans="1:2">
      <c r="A55" s="2" t="s">
        <v>4842</v>
      </c>
      <c r="B55" t="s">
        <v>4843</v>
      </c>
    </row>
    <row r="56" spans="1:2">
      <c r="A56" s="2" t="s">
        <v>4842</v>
      </c>
      <c r="B56" t="s">
        <v>4844</v>
      </c>
    </row>
    <row r="57" spans="1:2">
      <c r="A57" s="2" t="s">
        <v>4840</v>
      </c>
      <c r="B57" t="s">
        <v>4845</v>
      </c>
    </row>
    <row r="58" spans="1:2">
      <c r="A58" s="2" t="s">
        <v>4840</v>
      </c>
      <c r="B58" t="s">
        <v>4846</v>
      </c>
    </row>
    <row r="59" spans="1:2">
      <c r="A59" s="2" t="s">
        <v>4847</v>
      </c>
      <c r="B59" t="s">
        <v>4848</v>
      </c>
    </row>
    <row r="60" spans="1:2">
      <c r="A60" s="2" t="s">
        <v>4838</v>
      </c>
      <c r="B60" t="s">
        <v>4849</v>
      </c>
    </row>
    <row r="61" spans="1:2">
      <c r="A61" s="2" t="s">
        <v>4842</v>
      </c>
      <c r="B61" t="s">
        <v>4850</v>
      </c>
    </row>
    <row r="62" spans="1:2">
      <c r="A62" s="2" t="s">
        <v>4851</v>
      </c>
      <c r="B62" t="s">
        <v>4852</v>
      </c>
    </row>
    <row r="63" spans="1:2">
      <c r="A63" s="2" t="s">
        <v>4851</v>
      </c>
      <c r="B63" t="s">
        <v>4853</v>
      </c>
    </row>
    <row r="64" spans="1:2">
      <c r="A64" s="2" t="s">
        <v>4854</v>
      </c>
      <c r="B64" t="s">
        <v>4855</v>
      </c>
    </row>
    <row r="65" spans="1:2">
      <c r="A65" s="2" t="s">
        <v>4854</v>
      </c>
      <c r="B65" t="s">
        <v>4856</v>
      </c>
    </row>
    <row r="66" spans="1:2">
      <c r="A66" s="2" t="s">
        <v>4857</v>
      </c>
      <c r="B66" t="s">
        <v>4858</v>
      </c>
    </row>
    <row r="67" spans="1:2">
      <c r="A67" s="2" t="s">
        <v>1249</v>
      </c>
      <c r="B67" t="s">
        <v>4859</v>
      </c>
    </row>
    <row r="68" spans="1:2">
      <c r="A68" s="2" t="s">
        <v>1249</v>
      </c>
      <c r="B68" t="s">
        <v>4860</v>
      </c>
    </row>
    <row r="69" spans="1:2">
      <c r="A69" s="2" t="s">
        <v>4861</v>
      </c>
      <c r="B69" t="s">
        <v>4862</v>
      </c>
    </row>
    <row r="70" spans="1:2">
      <c r="A70" s="2" t="s">
        <v>4863</v>
      </c>
      <c r="B70" t="s">
        <v>4864</v>
      </c>
    </row>
    <row r="71" spans="1:2">
      <c r="A71" s="2" t="s">
        <v>4863</v>
      </c>
      <c r="B71" t="s">
        <v>4865</v>
      </c>
    </row>
    <row r="72" spans="1:2">
      <c r="A72" s="2" t="s">
        <v>4866</v>
      </c>
      <c r="B72" t="s">
        <v>4867</v>
      </c>
    </row>
    <row r="73" spans="1:2">
      <c r="A73" s="2" t="s">
        <v>4863</v>
      </c>
      <c r="B73" t="s">
        <v>4868</v>
      </c>
    </row>
    <row r="74" spans="1:2">
      <c r="A74" s="2" t="s">
        <v>4869</v>
      </c>
      <c r="B74" t="s">
        <v>4870</v>
      </c>
    </row>
    <row r="75" spans="1:2">
      <c r="A75" s="2" t="s">
        <v>4871</v>
      </c>
      <c r="B75" t="s">
        <v>4872</v>
      </c>
    </row>
    <row r="76" spans="1:2">
      <c r="A76" s="2" t="s">
        <v>4873</v>
      </c>
      <c r="B76" t="s">
        <v>4874</v>
      </c>
    </row>
    <row r="77" spans="1:2">
      <c r="A77" s="2" t="s">
        <v>4875</v>
      </c>
      <c r="B77" t="s">
        <v>4876</v>
      </c>
    </row>
    <row r="78" spans="1:2">
      <c r="A78" s="2" t="s">
        <v>4875</v>
      </c>
      <c r="B78" t="s">
        <v>4877</v>
      </c>
    </row>
    <row r="79" spans="1:2">
      <c r="A79" s="2" t="s">
        <v>4878</v>
      </c>
      <c r="B79" t="s">
        <v>4879</v>
      </c>
    </row>
    <row r="80" spans="1:2">
      <c r="A80" s="2" t="s">
        <v>4878</v>
      </c>
      <c r="B80" t="s">
        <v>4880</v>
      </c>
    </row>
    <row r="81" spans="1:2">
      <c r="A81" s="2" t="s">
        <v>4881</v>
      </c>
      <c r="B81" t="s">
        <v>4882</v>
      </c>
    </row>
    <row r="82" spans="1:2">
      <c r="A82" s="2" t="s">
        <v>4883</v>
      </c>
      <c r="B82" t="s">
        <v>4884</v>
      </c>
    </row>
    <row r="83" spans="1:2">
      <c r="A83" s="2" t="s">
        <v>4885</v>
      </c>
      <c r="B83" t="s">
        <v>4886</v>
      </c>
    </row>
    <row r="84" spans="1:2">
      <c r="A84" s="2" t="s">
        <v>4887</v>
      </c>
      <c r="B84" t="s">
        <v>4888</v>
      </c>
    </row>
    <row r="85" spans="1:2">
      <c r="A85" s="2" t="s">
        <v>4889</v>
      </c>
      <c r="B85" t="s">
        <v>4890</v>
      </c>
    </row>
    <row r="86" spans="1:2">
      <c r="A86" s="2" t="s">
        <v>4891</v>
      </c>
      <c r="B86" t="s">
        <v>4892</v>
      </c>
    </row>
    <row r="87" spans="1:2">
      <c r="A87" s="2" t="s">
        <v>4893</v>
      </c>
      <c r="B87" t="s">
        <v>4894</v>
      </c>
    </row>
    <row r="88" spans="1:2">
      <c r="A88" s="2" t="s">
        <v>4895</v>
      </c>
      <c r="B88" t="s">
        <v>4896</v>
      </c>
    </row>
    <row r="89" spans="1:2">
      <c r="A89" s="2" t="s">
        <v>4897</v>
      </c>
      <c r="B89" t="s">
        <v>4898</v>
      </c>
    </row>
    <row r="90" spans="1:2">
      <c r="A90" s="2" t="s">
        <v>4899</v>
      </c>
      <c r="B90" t="s">
        <v>4900</v>
      </c>
    </row>
    <row r="91" spans="1:2">
      <c r="A91" s="2" t="s">
        <v>4901</v>
      </c>
      <c r="B91" t="s">
        <v>4902</v>
      </c>
    </row>
    <row r="92" spans="1:2">
      <c r="A92" s="2" t="s">
        <v>4903</v>
      </c>
      <c r="B92" t="s">
        <v>4904</v>
      </c>
    </row>
    <row r="93" spans="1:2">
      <c r="A93" s="2" t="s">
        <v>1373</v>
      </c>
      <c r="B93" t="s">
        <v>4905</v>
      </c>
    </row>
    <row r="94" spans="1:2">
      <c r="A94" s="2" t="s">
        <v>1373</v>
      </c>
      <c r="B94" t="s">
        <v>4906</v>
      </c>
    </row>
    <row r="95" spans="1:2">
      <c r="A95" s="2" t="s">
        <v>1373</v>
      </c>
      <c r="B95" t="s">
        <v>4907</v>
      </c>
    </row>
    <row r="96" spans="1:2">
      <c r="A96" s="2" t="s">
        <v>4908</v>
      </c>
      <c r="B96" t="s">
        <v>4909</v>
      </c>
    </row>
    <row r="97" spans="1:2">
      <c r="A97" s="2" t="s">
        <v>4908</v>
      </c>
      <c r="B97" t="s">
        <v>4910</v>
      </c>
    </row>
    <row r="98" spans="1:2">
      <c r="A98" s="2" t="s">
        <v>4911</v>
      </c>
      <c r="B98" t="s">
        <v>4912</v>
      </c>
    </row>
    <row r="99" spans="1:2">
      <c r="A99" s="2" t="s">
        <v>4913</v>
      </c>
      <c r="B99" t="s">
        <v>4914</v>
      </c>
    </row>
    <row r="100" spans="1:2">
      <c r="A100" s="2" t="s">
        <v>4915</v>
      </c>
      <c r="B100" t="s">
        <v>4916</v>
      </c>
    </row>
    <row r="101" spans="1:2">
      <c r="A101" s="2" t="s">
        <v>4915</v>
      </c>
      <c r="B101" t="s">
        <v>4917</v>
      </c>
    </row>
    <row r="102" spans="1:2">
      <c r="A102" s="2" t="s">
        <v>4918</v>
      </c>
      <c r="B102" t="s">
        <v>4919</v>
      </c>
    </row>
    <row r="103" spans="1:2">
      <c r="A103" s="2" t="s">
        <v>4915</v>
      </c>
      <c r="B103" t="s">
        <v>4920</v>
      </c>
    </row>
    <row r="104" spans="1:2">
      <c r="A104" s="2" t="s">
        <v>4913</v>
      </c>
      <c r="B104" t="s">
        <v>4921</v>
      </c>
    </row>
    <row r="105" spans="1:2">
      <c r="A105" s="2" t="s">
        <v>4913</v>
      </c>
      <c r="B105" t="s">
        <v>4922</v>
      </c>
    </row>
    <row r="106" spans="1:2">
      <c r="A106" s="2" t="s">
        <v>4918</v>
      </c>
      <c r="B106" t="s">
        <v>4923</v>
      </c>
    </row>
    <row r="107" spans="1:2">
      <c r="A107" s="2" t="s">
        <v>4924</v>
      </c>
      <c r="B107" t="s">
        <v>4925</v>
      </c>
    </row>
    <row r="108" spans="1:2">
      <c r="A108" s="2" t="s">
        <v>4915</v>
      </c>
      <c r="B108" t="s">
        <v>4926</v>
      </c>
    </row>
    <row r="109" spans="1:2">
      <c r="A109" s="2" t="s">
        <v>4913</v>
      </c>
      <c r="B109" t="s">
        <v>4927</v>
      </c>
    </row>
    <row r="110" spans="1:2">
      <c r="A110" s="2" t="s">
        <v>4918</v>
      </c>
      <c r="B110" t="s">
        <v>4928</v>
      </c>
    </row>
    <row r="111" spans="1:2">
      <c r="A111" s="2" t="s">
        <v>4929</v>
      </c>
      <c r="B111" t="s">
        <v>4930</v>
      </c>
    </row>
    <row r="112" spans="1:2">
      <c r="A112" s="2" t="s">
        <v>4929</v>
      </c>
      <c r="B112" t="s">
        <v>4931</v>
      </c>
    </row>
    <row r="113" spans="1:2">
      <c r="A113" s="2" t="s">
        <v>4929</v>
      </c>
      <c r="B113" t="s">
        <v>4932</v>
      </c>
    </row>
    <row r="114" spans="1:2">
      <c r="A114" s="2" t="s">
        <v>4933</v>
      </c>
      <c r="B114" t="s">
        <v>4934</v>
      </c>
    </row>
    <row r="115" spans="1:2">
      <c r="A115" s="2" t="s">
        <v>4933</v>
      </c>
      <c r="B115" t="s">
        <v>4935</v>
      </c>
    </row>
    <row r="116" spans="1:2">
      <c r="A116" s="2" t="s">
        <v>4933</v>
      </c>
      <c r="B116" t="s">
        <v>4936</v>
      </c>
    </row>
    <row r="117" spans="1:2">
      <c r="A117" s="2" t="s">
        <v>4937</v>
      </c>
      <c r="B117" t="s">
        <v>4938</v>
      </c>
    </row>
    <row r="118" spans="1:2">
      <c r="A118" s="2" t="s">
        <v>4937</v>
      </c>
      <c r="B118" t="s">
        <v>4939</v>
      </c>
    </row>
    <row r="119" spans="1:2">
      <c r="A119" s="4">
        <v>46174.311805555553</v>
      </c>
      <c r="B119" t="s">
        <v>4940</v>
      </c>
    </row>
    <row r="120" spans="1:2">
      <c r="A120" s="4">
        <v>46174.405011574076</v>
      </c>
      <c r="B120" t="s">
        <v>4941</v>
      </c>
    </row>
    <row r="121" spans="1:2">
      <c r="A121" s="4">
        <v>46174.425949074073</v>
      </c>
      <c r="B121" t="s">
        <v>4942</v>
      </c>
    </row>
    <row r="122" spans="1:2">
      <c r="A122" s="4">
        <v>46174.425949074073</v>
      </c>
      <c r="B122" t="s">
        <v>4943</v>
      </c>
    </row>
    <row r="123" spans="1:2">
      <c r="A123" s="4">
        <v>46174.446828703702</v>
      </c>
      <c r="B123" t="s">
        <v>4944</v>
      </c>
    </row>
    <row r="124" spans="1:2">
      <c r="A124" s="4">
        <v>46174.446828703702</v>
      </c>
      <c r="B124" t="s">
        <v>4945</v>
      </c>
    </row>
    <row r="125" spans="1:2">
      <c r="A125" s="4">
        <v>46174.455185185187</v>
      </c>
      <c r="B125" t="s">
        <v>4946</v>
      </c>
    </row>
    <row r="126" spans="1:2">
      <c r="A126" s="4">
        <v>46174.455185185187</v>
      </c>
      <c r="B126" t="s">
        <v>4947</v>
      </c>
    </row>
    <row r="127" spans="1:2">
      <c r="A127" s="4">
        <v>46174.513703703706</v>
      </c>
      <c r="B127" t="s">
        <v>4948</v>
      </c>
    </row>
    <row r="128" spans="1:2">
      <c r="A128" s="4">
        <v>46174.513703703706</v>
      </c>
      <c r="B128" t="s">
        <v>4949</v>
      </c>
    </row>
    <row r="129" spans="1:2">
      <c r="A129" s="4">
        <v>46174.513703703706</v>
      </c>
      <c r="B129" t="s">
        <v>4950</v>
      </c>
    </row>
    <row r="130" spans="1:2">
      <c r="A130" s="4">
        <v>46174.639004629629</v>
      </c>
      <c r="B130" t="s">
        <v>4951</v>
      </c>
    </row>
    <row r="131" spans="1:2">
      <c r="A131" s="4">
        <v>46174.705868055556</v>
      </c>
      <c r="B131" t="s">
        <v>4952</v>
      </c>
    </row>
    <row r="132" spans="1:2">
      <c r="A132" s="4">
        <v>46174.705868055556</v>
      </c>
      <c r="B132" t="s">
        <v>4953</v>
      </c>
    </row>
    <row r="133" spans="1:2">
      <c r="A133" s="4">
        <v>46174.710057870368</v>
      </c>
      <c r="B133" t="s">
        <v>4954</v>
      </c>
    </row>
    <row r="134" spans="1:2">
      <c r="A134" s="4">
        <v>46175.349016203705</v>
      </c>
      <c r="B134" t="s">
        <v>4955</v>
      </c>
    </row>
    <row r="135" spans="1:2">
      <c r="A135" s="4">
        <v>46175.349027777775</v>
      </c>
      <c r="B135" t="s">
        <v>4956</v>
      </c>
    </row>
    <row r="136" spans="1:2">
      <c r="A136" s="4">
        <v>46175.349016203705</v>
      </c>
      <c r="B136" t="s">
        <v>4957</v>
      </c>
    </row>
    <row r="137" spans="1:2">
      <c r="A137" s="4">
        <v>46175.349027777775</v>
      </c>
      <c r="B137" t="s">
        <v>4958</v>
      </c>
    </row>
    <row r="138" spans="1:2">
      <c r="A138" s="4">
        <v>46175.474456018521</v>
      </c>
      <c r="B138" t="s">
        <v>4959</v>
      </c>
    </row>
    <row r="139" spans="1:2">
      <c r="A139" s="4">
        <v>46175.549618055556</v>
      </c>
      <c r="B139" t="s">
        <v>4960</v>
      </c>
    </row>
    <row r="140" spans="1:2">
      <c r="A140" s="4">
        <v>46175.566319444442</v>
      </c>
      <c r="B140" t="s">
        <v>4961</v>
      </c>
    </row>
    <row r="141" spans="1:2">
      <c r="A141" s="4">
        <v>46175.566319444442</v>
      </c>
      <c r="B141" t="s">
        <v>4962</v>
      </c>
    </row>
    <row r="142" spans="1:2">
      <c r="A142" s="4">
        <v>46175.574664351851</v>
      </c>
      <c r="B142" t="s">
        <v>4963</v>
      </c>
    </row>
    <row r="143" spans="1:2">
      <c r="A143" s="4">
        <v>46175.574664351851</v>
      </c>
      <c r="B143" t="s">
        <v>4964</v>
      </c>
    </row>
    <row r="144" spans="1:2">
      <c r="A144" s="4">
        <v>46175.574675925927</v>
      </c>
      <c r="B144" t="s">
        <v>4965</v>
      </c>
    </row>
    <row r="145" spans="1:2">
      <c r="A145" s="4">
        <v>46175.62871527778</v>
      </c>
      <c r="B145" t="s">
        <v>4966</v>
      </c>
    </row>
    <row r="146" spans="1:2">
      <c r="A146" s="4">
        <v>46175.683680555558</v>
      </c>
      <c r="B146" t="s">
        <v>4967</v>
      </c>
    </row>
    <row r="147" spans="1:2">
      <c r="A147" s="4">
        <v>46175.683680555558</v>
      </c>
      <c r="B147" t="s">
        <v>4968</v>
      </c>
    </row>
    <row r="148" spans="1:2">
      <c r="A148" s="4">
        <v>46175.683680555558</v>
      </c>
      <c r="B148" t="s">
        <v>4969</v>
      </c>
    </row>
    <row r="149" spans="1:2">
      <c r="A149" s="4">
        <v>46175.683680555558</v>
      </c>
      <c r="B149" t="s">
        <v>4970</v>
      </c>
    </row>
    <row r="150" spans="1:2">
      <c r="A150" s="4">
        <v>46175.687175925923</v>
      </c>
      <c r="B150" t="s">
        <v>4971</v>
      </c>
    </row>
    <row r="151" spans="1:2">
      <c r="A151" s="4">
        <v>46175.687175925923</v>
      </c>
      <c r="B151" t="s">
        <v>4972</v>
      </c>
    </row>
    <row r="152" spans="1:2">
      <c r="A152" s="4">
        <v>46175.687858796293</v>
      </c>
      <c r="B152" t="s">
        <v>4973</v>
      </c>
    </row>
    <row r="153" spans="1:2">
      <c r="A153" s="4">
        <v>46175.687858796293</v>
      </c>
      <c r="B153" t="s">
        <v>4974</v>
      </c>
    </row>
    <row r="154" spans="1:2">
      <c r="A154" s="4">
        <v>46175.687858796293</v>
      </c>
      <c r="B154" t="s">
        <v>4975</v>
      </c>
    </row>
    <row r="155" spans="1:2">
      <c r="A155" s="4">
        <v>46175.687858796293</v>
      </c>
      <c r="B155" t="s">
        <v>4976</v>
      </c>
    </row>
    <row r="156" spans="1:2">
      <c r="A156" s="4">
        <v>46175.687858796293</v>
      </c>
      <c r="B156" t="s">
        <v>4977</v>
      </c>
    </row>
    <row r="157" spans="1:2">
      <c r="A157" s="4">
        <v>46175.687858796293</v>
      </c>
      <c r="B157" t="s">
        <v>4978</v>
      </c>
    </row>
    <row r="158" spans="1:2">
      <c r="A158" s="4">
        <v>46175.691331018519</v>
      </c>
      <c r="B158" t="s">
        <v>4979</v>
      </c>
    </row>
    <row r="159" spans="1:2">
      <c r="A159" s="4">
        <v>46175.691331018519</v>
      </c>
      <c r="B159" t="s">
        <v>4980</v>
      </c>
    </row>
    <row r="160" spans="1:2">
      <c r="A160" s="4">
        <v>46175.691331018519</v>
      </c>
      <c r="B160" t="s">
        <v>4981</v>
      </c>
    </row>
    <row r="161" spans="1:2">
      <c r="A161" s="4">
        <v>46175.691331018519</v>
      </c>
      <c r="B161" t="s">
        <v>4982</v>
      </c>
    </row>
    <row r="162" spans="1:2">
      <c r="A162" s="4">
        <v>46175.691331018519</v>
      </c>
      <c r="B162" t="s">
        <v>4983</v>
      </c>
    </row>
    <row r="163" spans="1:2">
      <c r="A163" s="4">
        <v>46175.704571759263</v>
      </c>
      <c r="B163" t="s">
        <v>4984</v>
      </c>
    </row>
    <row r="164" spans="1:2">
      <c r="A164" s="4">
        <v>46175.704571759263</v>
      </c>
      <c r="B164" t="s">
        <v>4985</v>
      </c>
    </row>
    <row r="165" spans="1:2">
      <c r="A165" s="4">
        <v>46175.704571759263</v>
      </c>
      <c r="B165" t="s">
        <v>4986</v>
      </c>
    </row>
    <row r="166" spans="1:2">
      <c r="A166" s="4">
        <v>46175.704571759263</v>
      </c>
      <c r="B166" t="s">
        <v>4987</v>
      </c>
    </row>
    <row r="167" spans="1:2">
      <c r="A167" s="4">
        <v>46175.704571759263</v>
      </c>
      <c r="B167" t="s">
        <v>4988</v>
      </c>
    </row>
    <row r="168" spans="1:2">
      <c r="A168" s="4">
        <v>46175.708749999998</v>
      </c>
      <c r="B168" t="s">
        <v>4989</v>
      </c>
    </row>
    <row r="169" spans="1:2">
      <c r="A169" s="4">
        <v>46175.712916666664</v>
      </c>
      <c r="B169" t="s">
        <v>4959</v>
      </c>
    </row>
    <row r="170" spans="1:2">
      <c r="A170" s="4">
        <v>46175.81318287037</v>
      </c>
      <c r="B170" t="s">
        <v>4990</v>
      </c>
    </row>
    <row r="171" spans="1:2">
      <c r="A171" s="4">
        <v>46175.81318287037</v>
      </c>
      <c r="B171" t="s">
        <v>4991</v>
      </c>
    </row>
    <row r="172" spans="1:2">
      <c r="A172" s="4">
        <v>46176.339548611111</v>
      </c>
      <c r="B172" t="s">
        <v>4992</v>
      </c>
    </row>
    <row r="173" spans="1:2">
      <c r="A173" s="4">
        <v>46176.36041666667</v>
      </c>
      <c r="B173" t="s">
        <v>4993</v>
      </c>
    </row>
    <row r="174" spans="1:2">
      <c r="A174" s="4">
        <v>46176.36041666667</v>
      </c>
      <c r="B174" t="s">
        <v>4994</v>
      </c>
    </row>
    <row r="175" spans="1:2">
      <c r="A175" s="4">
        <v>46176.36041666667</v>
      </c>
      <c r="B175" t="s">
        <v>4995</v>
      </c>
    </row>
    <row r="176" spans="1:2">
      <c r="A176" s="4">
        <v>46176.36041666667</v>
      </c>
      <c r="B176" t="s">
        <v>4996</v>
      </c>
    </row>
    <row r="177" spans="1:2">
      <c r="A177" s="4">
        <v>46176.36042824074</v>
      </c>
      <c r="B177" t="s">
        <v>4997</v>
      </c>
    </row>
    <row r="178" spans="1:2">
      <c r="A178" s="4">
        <v>46176.363900462966</v>
      </c>
      <c r="B178" t="s">
        <v>4998</v>
      </c>
    </row>
    <row r="179" spans="1:2">
      <c r="A179" s="4">
        <v>46176.368773148148</v>
      </c>
      <c r="B179" t="s">
        <v>4999</v>
      </c>
    </row>
    <row r="180" spans="1:2">
      <c r="A180" s="4">
        <v>46176.368773148148</v>
      </c>
      <c r="B180" t="s">
        <v>5000</v>
      </c>
    </row>
    <row r="181" spans="1:2">
      <c r="A181" s="4">
        <v>46176.427291666667</v>
      </c>
      <c r="B181" t="s">
        <v>5001</v>
      </c>
    </row>
    <row r="182" spans="1:2">
      <c r="A182" s="4">
        <v>46176.431469907409</v>
      </c>
      <c r="B182" t="s">
        <v>5002</v>
      </c>
    </row>
    <row r="183" spans="1:2">
      <c r="A183" s="4">
        <v>46176.494131944448</v>
      </c>
      <c r="B183" t="s">
        <v>5003</v>
      </c>
    </row>
    <row r="184" spans="1:2">
      <c r="A184" s="4">
        <v>46176.502476851849</v>
      </c>
      <c r="B184" t="s">
        <v>5004</v>
      </c>
    </row>
    <row r="185" spans="1:2">
      <c r="A185" s="4">
        <v>46176.502476851849</v>
      </c>
      <c r="B185" t="s">
        <v>5005</v>
      </c>
    </row>
    <row r="186" spans="1:2">
      <c r="A186" s="4">
        <v>46176.577025462961</v>
      </c>
      <c r="B186" t="s">
        <v>5006</v>
      </c>
    </row>
    <row r="187" spans="1:2">
      <c r="A187" s="4">
        <v>46176.577025462961</v>
      </c>
      <c r="B187" t="s">
        <v>5007</v>
      </c>
    </row>
    <row r="188" spans="1:2">
      <c r="A188" s="4">
        <v>46176.577025462961</v>
      </c>
      <c r="B188" t="s">
        <v>5008</v>
      </c>
    </row>
    <row r="189" spans="1:2">
      <c r="A189" s="4">
        <v>46176.577025462961</v>
      </c>
      <c r="B189" t="s">
        <v>5009</v>
      </c>
    </row>
    <row r="190" spans="1:2">
      <c r="A190" s="4">
        <v>46176.581192129626</v>
      </c>
      <c r="B190" t="s">
        <v>5010</v>
      </c>
    </row>
    <row r="191" spans="1:2">
      <c r="A191" s="4">
        <v>46176.593738425923</v>
      </c>
      <c r="B191" t="s">
        <v>5011</v>
      </c>
    </row>
    <row r="192" spans="1:2">
      <c r="A192" s="4">
        <v>46176.593738425923</v>
      </c>
      <c r="B192" t="s">
        <v>5012</v>
      </c>
    </row>
    <row r="193" spans="1:2">
      <c r="A193" s="4">
        <v>46176.59375</v>
      </c>
      <c r="B193" t="s">
        <v>5013</v>
      </c>
    </row>
    <row r="194" spans="1:2">
      <c r="A194" s="4">
        <v>46176.59375</v>
      </c>
      <c r="B194" t="s">
        <v>5014</v>
      </c>
    </row>
    <row r="195" spans="1:2">
      <c r="A195" s="4">
        <v>46176.593738425923</v>
      </c>
      <c r="B195" t="s">
        <v>5015</v>
      </c>
    </row>
    <row r="196" spans="1:2">
      <c r="A196" s="4">
        <v>46176.597222222219</v>
      </c>
      <c r="B196" t="s">
        <v>5016</v>
      </c>
    </row>
    <row r="197" spans="1:2">
      <c r="A197" s="4">
        <v>46176.597222222219</v>
      </c>
      <c r="B197" t="s">
        <v>5017</v>
      </c>
    </row>
    <row r="198" spans="1:2">
      <c r="A198" s="4">
        <v>46176.597916666666</v>
      </c>
      <c r="B198" t="s">
        <v>5018</v>
      </c>
    </row>
    <row r="199" spans="1:2">
      <c r="A199" s="4">
        <v>46176.597916666666</v>
      </c>
      <c r="B199" t="s">
        <v>5019</v>
      </c>
    </row>
    <row r="200" spans="1:2">
      <c r="A200" s="4">
        <v>46176.597916666666</v>
      </c>
      <c r="B200" t="s">
        <v>5020</v>
      </c>
    </row>
    <row r="201" spans="1:2">
      <c r="A201" s="4">
        <v>46176.618807870371</v>
      </c>
      <c r="B201" t="s">
        <v>5021</v>
      </c>
    </row>
    <row r="202" spans="1:2">
      <c r="A202" s="4">
        <v>46176.618807870371</v>
      </c>
      <c r="B202" t="s">
        <v>5022</v>
      </c>
    </row>
    <row r="203" spans="1:2">
      <c r="A203" s="4">
        <v>46176.618807870371</v>
      </c>
      <c r="B203" t="s">
        <v>5023</v>
      </c>
    </row>
    <row r="204" spans="1:2">
      <c r="A204" s="4">
        <v>46176.618807870371</v>
      </c>
      <c r="B204" t="s">
        <v>5024</v>
      </c>
    </row>
    <row r="205" spans="1:2">
      <c r="A205" s="4">
        <v>46176.631342592591</v>
      </c>
      <c r="B205" t="s">
        <v>5025</v>
      </c>
    </row>
    <row r="206" spans="1:2">
      <c r="A206" s="4">
        <v>46176.668946759259</v>
      </c>
      <c r="B206" t="s">
        <v>5026</v>
      </c>
    </row>
    <row r="207" spans="1:2">
      <c r="A207" s="4">
        <v>46176.668946759259</v>
      </c>
      <c r="B207" t="s">
        <v>5027</v>
      </c>
    </row>
    <row r="208" spans="1:2">
      <c r="A208" s="4">
        <v>46176.668958333335</v>
      </c>
      <c r="B208" t="s">
        <v>5028</v>
      </c>
    </row>
    <row r="209" spans="1:2">
      <c r="A209" s="4">
        <v>46176.668946759259</v>
      </c>
      <c r="B209" t="s">
        <v>5029</v>
      </c>
    </row>
    <row r="210" spans="1:2">
      <c r="A210" s="4">
        <v>46176.677349537036</v>
      </c>
      <c r="B210" t="s">
        <v>5028</v>
      </c>
    </row>
    <row r="211" spans="1:2">
      <c r="A211" s="4">
        <v>46176.685706018521</v>
      </c>
      <c r="B211" t="s">
        <v>5030</v>
      </c>
    </row>
    <row r="212" spans="1:2">
      <c r="A212" s="4">
        <v>46176.702407407407</v>
      </c>
      <c r="B212" t="s">
        <v>5031</v>
      </c>
    </row>
    <row r="213" spans="1:2">
      <c r="A213" s="4">
        <v>46176.702407407407</v>
      </c>
      <c r="B213" t="s">
        <v>5032</v>
      </c>
    </row>
    <row r="214" spans="1:2">
      <c r="A214" s="4">
        <v>46176.706574074073</v>
      </c>
      <c r="B214" t="s">
        <v>5033</v>
      </c>
    </row>
    <row r="215" spans="1:2">
      <c r="A215" s="4">
        <v>46177.391053240739</v>
      </c>
      <c r="B215" t="s">
        <v>5034</v>
      </c>
    </row>
    <row r="216" spans="1:2">
      <c r="A216" s="4">
        <v>46177.41611111111</v>
      </c>
      <c r="B216" t="s">
        <v>5026</v>
      </c>
    </row>
    <row r="217" spans="1:2">
      <c r="A217" s="4">
        <v>46177.41611111111</v>
      </c>
      <c r="B217" t="s">
        <v>5028</v>
      </c>
    </row>
    <row r="218" spans="1:2">
      <c r="A218" s="4">
        <v>46177.482986111114</v>
      </c>
      <c r="B218" t="s">
        <v>5035</v>
      </c>
    </row>
    <row r="219" spans="1:2">
      <c r="A219" s="4">
        <v>46177.482986111114</v>
      </c>
      <c r="B219" t="s">
        <v>5036</v>
      </c>
    </row>
    <row r="220" spans="1:2">
      <c r="A220" s="4">
        <v>46177.482986111114</v>
      </c>
      <c r="B220" t="s">
        <v>5037</v>
      </c>
    </row>
    <row r="221" spans="1:2">
      <c r="A221" s="4">
        <v>46177.48715277778</v>
      </c>
      <c r="B221" t="s">
        <v>5038</v>
      </c>
    </row>
    <row r="222" spans="1:2">
      <c r="A222" s="4">
        <v>46177.554027777776</v>
      </c>
      <c r="B222" t="s">
        <v>5039</v>
      </c>
    </row>
    <row r="223" spans="1:2">
      <c r="A223" s="4">
        <v>46177.554027777776</v>
      </c>
      <c r="B223" t="s">
        <v>5040</v>
      </c>
    </row>
    <row r="224" spans="1:2">
      <c r="A224" s="4">
        <v>46177.554027777776</v>
      </c>
      <c r="B224" t="s">
        <v>5041</v>
      </c>
    </row>
    <row r="225" spans="1:2">
      <c r="A225" s="4">
        <v>46177.58326388889</v>
      </c>
      <c r="B225" t="s">
        <v>5042</v>
      </c>
    </row>
    <row r="226" spans="1:2">
      <c r="A226" s="4">
        <v>46177.616701388892</v>
      </c>
      <c r="B226" t="s">
        <v>5043</v>
      </c>
    </row>
    <row r="227" spans="1:2">
      <c r="A227" s="4">
        <v>46177.645925925928</v>
      </c>
      <c r="B227" t="s">
        <v>5044</v>
      </c>
    </row>
    <row r="228" spans="1:2">
      <c r="A228" s="4">
        <v>46177.645925925928</v>
      </c>
      <c r="B228" t="s">
        <v>5045</v>
      </c>
    </row>
    <row r="229" spans="1:2">
      <c r="A229" s="4">
        <v>46177.67523148148</v>
      </c>
      <c r="B229" t="s">
        <v>5046</v>
      </c>
    </row>
    <row r="230" spans="1:2">
      <c r="A230" s="4">
        <v>46177.67523148148</v>
      </c>
      <c r="B230" t="s">
        <v>5047</v>
      </c>
    </row>
    <row r="231" spans="1:2">
      <c r="A231" s="4">
        <v>46177.67523148148</v>
      </c>
      <c r="B231" t="s">
        <v>5048</v>
      </c>
    </row>
    <row r="232" spans="1:2">
      <c r="A232" s="4">
        <v>46177.67523148148</v>
      </c>
      <c r="B232" t="s">
        <v>5049</v>
      </c>
    </row>
    <row r="233" spans="1:2">
      <c r="A233" s="4">
        <v>46177.67523148148</v>
      </c>
      <c r="B233" t="s">
        <v>5050</v>
      </c>
    </row>
    <row r="234" spans="1:2">
      <c r="A234" s="4">
        <v>46177.691932870373</v>
      </c>
      <c r="B234" t="s">
        <v>5051</v>
      </c>
    </row>
    <row r="235" spans="1:2">
      <c r="A235" s="4">
        <v>46177.696122685185</v>
      </c>
      <c r="B235" t="s">
        <v>5052</v>
      </c>
    </row>
    <row r="236" spans="1:2">
      <c r="A236" s="4">
        <v>46177.704479166663</v>
      </c>
      <c r="B236" t="s">
        <v>5053</v>
      </c>
    </row>
    <row r="237" spans="1:2">
      <c r="A237" s="4">
        <v>46177.704479166663</v>
      </c>
      <c r="B237" t="s">
        <v>5054</v>
      </c>
    </row>
    <row r="238" spans="1:2">
      <c r="A238" s="4">
        <v>46177.712835648148</v>
      </c>
      <c r="B238" t="s">
        <v>5055</v>
      </c>
    </row>
    <row r="239" spans="1:2">
      <c r="A239" s="4">
        <v>46177.712835648148</v>
      </c>
      <c r="B239" t="s">
        <v>5056</v>
      </c>
    </row>
    <row r="240" spans="1:2">
      <c r="A240" s="4">
        <v>46177.712835648148</v>
      </c>
      <c r="B240" t="s">
        <v>5057</v>
      </c>
    </row>
    <row r="241" spans="1:2">
      <c r="A241" s="4">
        <v>46177.737905092596</v>
      </c>
      <c r="B241" t="s">
        <v>5058</v>
      </c>
    </row>
    <row r="242" spans="1:2">
      <c r="A242" s="4">
        <v>46177.737905092596</v>
      </c>
      <c r="B242" t="s">
        <v>5059</v>
      </c>
    </row>
    <row r="243" spans="1:2">
      <c r="A243" s="4">
        <v>46177.737905092596</v>
      </c>
      <c r="B243" t="s">
        <v>5060</v>
      </c>
    </row>
    <row r="244" spans="1:2">
      <c r="A244" s="4">
        <v>46177.737905092596</v>
      </c>
      <c r="B244" t="s">
        <v>5061</v>
      </c>
    </row>
    <row r="245" spans="1:2">
      <c r="A245" s="4">
        <v>46177.741377314815</v>
      </c>
      <c r="B245" t="s">
        <v>5062</v>
      </c>
    </row>
    <row r="246" spans="1:2">
      <c r="A246" s="4">
        <v>46177.838206018518</v>
      </c>
      <c r="B246" t="s">
        <v>5063</v>
      </c>
    </row>
    <row r="247" spans="1:2">
      <c r="A247" s="4">
        <v>46177.838206018518</v>
      </c>
      <c r="B247" t="s">
        <v>5064</v>
      </c>
    </row>
    <row r="248" spans="1:2">
      <c r="A248" s="4">
        <v>46177.838217592594</v>
      </c>
      <c r="B248" t="s">
        <v>5065</v>
      </c>
    </row>
    <row r="249" spans="1:2">
      <c r="A249" s="4">
        <v>46177.838206018518</v>
      </c>
      <c r="B249" t="s">
        <v>5066</v>
      </c>
    </row>
    <row r="250" spans="1:2">
      <c r="A250" s="4">
        <v>46177.841689814813</v>
      </c>
      <c r="B250" t="s">
        <v>5067</v>
      </c>
    </row>
    <row r="251" spans="1:2">
      <c r="A251" s="4">
        <v>46177.841689814813</v>
      </c>
      <c r="B251" t="s">
        <v>5068</v>
      </c>
    </row>
    <row r="252" spans="1:2">
      <c r="A252" s="4">
        <v>46177.841689814813</v>
      </c>
      <c r="B252" t="s">
        <v>5069</v>
      </c>
    </row>
    <row r="253" spans="1:2">
      <c r="A253" s="4">
        <v>46177.884247685186</v>
      </c>
      <c r="B253" t="s">
        <v>5070</v>
      </c>
    </row>
    <row r="254" spans="1:2">
      <c r="A254" s="4">
        <v>46178.348032407404</v>
      </c>
      <c r="B254" t="s">
        <v>5071</v>
      </c>
    </row>
    <row r="255" spans="1:2">
      <c r="A255" s="4">
        <v>46178.414884259262</v>
      </c>
      <c r="B255" t="s">
        <v>5072</v>
      </c>
    </row>
    <row r="256" spans="1:2">
      <c r="A256" s="4">
        <v>46178.414884259262</v>
      </c>
      <c r="B256" t="s">
        <v>5073</v>
      </c>
    </row>
    <row r="257" spans="1:2">
      <c r="A257" s="4">
        <v>46178.414884259262</v>
      </c>
      <c r="B257" t="s">
        <v>5074</v>
      </c>
    </row>
    <row r="258" spans="1:2">
      <c r="A258" s="4">
        <v>46178.414884259262</v>
      </c>
      <c r="B258" t="s">
        <v>5075</v>
      </c>
    </row>
    <row r="259" spans="1:2">
      <c r="A259" s="4">
        <v>46178.414942129632</v>
      </c>
      <c r="B259" t="s">
        <v>5076</v>
      </c>
    </row>
    <row r="260" spans="1:2">
      <c r="A260" s="4">
        <v>46178.418368055558</v>
      </c>
      <c r="B260" t="s">
        <v>5077</v>
      </c>
    </row>
    <row r="261" spans="1:2">
      <c r="A261" s="4">
        <v>46178.418368055558</v>
      </c>
      <c r="B261" t="s">
        <v>5078</v>
      </c>
    </row>
    <row r="262" spans="1:2">
      <c r="A262" s="4">
        <v>46178.418368055558</v>
      </c>
      <c r="B262" t="s">
        <v>5079</v>
      </c>
    </row>
    <row r="263" spans="1:2">
      <c r="A263" s="4">
        <v>46178.418368055558</v>
      </c>
      <c r="B263" t="s">
        <v>5080</v>
      </c>
    </row>
    <row r="264" spans="1:2">
      <c r="A264" s="4">
        <v>46178.419062499997</v>
      </c>
      <c r="B264" t="s">
        <v>5081</v>
      </c>
    </row>
    <row r="265" spans="1:2">
      <c r="A265" s="4">
        <v>46178.427407407406</v>
      </c>
      <c r="B265" t="s">
        <v>5082</v>
      </c>
    </row>
    <row r="266" spans="1:2">
      <c r="A266" s="4">
        <v>46178.427418981482</v>
      </c>
      <c r="B266" t="s">
        <v>5083</v>
      </c>
    </row>
    <row r="267" spans="1:2">
      <c r="A267" s="4">
        <v>46178.469224537039</v>
      </c>
      <c r="B267" t="s">
        <v>5084</v>
      </c>
    </row>
    <row r="268" spans="1:2">
      <c r="A268" s="4">
        <v>46178.510972222219</v>
      </c>
      <c r="B268" t="s">
        <v>5085</v>
      </c>
    </row>
    <row r="269" spans="1:2">
      <c r="A269" s="4">
        <v>46178.653101851851</v>
      </c>
      <c r="B269" t="s">
        <v>5086</v>
      </c>
    </row>
    <row r="270" spans="1:2">
      <c r="A270" s="4">
        <v>46178.653101851851</v>
      </c>
      <c r="B270" t="s">
        <v>5087</v>
      </c>
    </row>
    <row r="271" spans="1:2">
      <c r="A271" s="4">
        <v>46178.653101851851</v>
      </c>
      <c r="B271" t="s">
        <v>5088</v>
      </c>
    </row>
    <row r="272" spans="1:2">
      <c r="A272" s="4">
        <v>46178.661446759259</v>
      </c>
      <c r="B272" t="s">
        <v>5089</v>
      </c>
    </row>
    <row r="273" spans="1:2">
      <c r="A273" s="4">
        <v>46178.665625000001</v>
      </c>
      <c r="B273" t="s">
        <v>5090</v>
      </c>
    </row>
    <row r="274" spans="1:2">
      <c r="A274" s="4">
        <v>46178.665625000001</v>
      </c>
      <c r="B274" t="s">
        <v>5091</v>
      </c>
    </row>
    <row r="275" spans="1:2">
      <c r="A275" s="4">
        <v>46178.665625000001</v>
      </c>
      <c r="B275" t="s">
        <v>5092</v>
      </c>
    </row>
    <row r="276" spans="1:2">
      <c r="A276" s="4">
        <v>46178.665625000001</v>
      </c>
      <c r="B276" t="s">
        <v>5093</v>
      </c>
    </row>
    <row r="277" spans="1:2">
      <c r="A277" s="4">
        <v>46178.669803240744</v>
      </c>
      <c r="B277" t="s">
        <v>5094</v>
      </c>
    </row>
    <row r="278" spans="1:2">
      <c r="A278" s="4">
        <v>46178.669872685183</v>
      </c>
      <c r="B278" t="s">
        <v>5095</v>
      </c>
    </row>
    <row r="279" spans="1:2">
      <c r="A279" s="4">
        <v>46178.699050925927</v>
      </c>
      <c r="B279" t="s">
        <v>5096</v>
      </c>
    </row>
    <row r="280" spans="1:2">
      <c r="A280" s="4">
        <v>46178.699050925927</v>
      </c>
      <c r="B280" t="s">
        <v>5097</v>
      </c>
    </row>
    <row r="281" spans="1:2">
      <c r="A281" s="4">
        <v>46179.438657407409</v>
      </c>
      <c r="B281" t="s">
        <v>5098</v>
      </c>
    </row>
    <row r="282" spans="1:2">
      <c r="A282" s="4">
        <v>46179.438657407409</v>
      </c>
      <c r="B282" t="s">
        <v>5099</v>
      </c>
    </row>
    <row r="283" spans="1:2">
      <c r="A283" s="4">
        <v>46179.467905092592</v>
      </c>
      <c r="B283" t="s">
        <v>5100</v>
      </c>
    </row>
    <row r="284" spans="1:2">
      <c r="A284" s="4">
        <v>46179.467905092592</v>
      </c>
      <c r="B284" t="s">
        <v>5101</v>
      </c>
    </row>
    <row r="285" spans="1:2">
      <c r="A285" s="4">
        <v>46179.467905092592</v>
      </c>
      <c r="B285" t="s">
        <v>5102</v>
      </c>
    </row>
    <row r="286" spans="1:2">
      <c r="A286" s="4">
        <v>46179.467905092592</v>
      </c>
      <c r="B286" t="s">
        <v>5103</v>
      </c>
    </row>
    <row r="287" spans="1:2">
      <c r="A287" s="4">
        <v>46181.319004629629</v>
      </c>
      <c r="B287" t="s">
        <v>5104</v>
      </c>
    </row>
    <row r="288" spans="1:2">
      <c r="A288" s="4">
        <v>46181.318993055553</v>
      </c>
      <c r="B288" t="s">
        <v>5105</v>
      </c>
    </row>
    <row r="289" spans="1:2">
      <c r="A289" s="4">
        <v>46181.318993055553</v>
      </c>
      <c r="B289" t="s">
        <v>5106</v>
      </c>
    </row>
    <row r="290" spans="1:2">
      <c r="A290" s="4">
        <v>46181.335729166669</v>
      </c>
      <c r="B290" t="s">
        <v>5107</v>
      </c>
    </row>
    <row r="291" spans="1:2">
      <c r="A291" s="4">
        <v>46181.335729166669</v>
      </c>
      <c r="B291" t="s">
        <v>5108</v>
      </c>
    </row>
    <row r="292" spans="1:2">
      <c r="A292" s="4">
        <v>46181.335729166669</v>
      </c>
      <c r="B292" t="s">
        <v>5109</v>
      </c>
    </row>
    <row r="293" spans="1:2">
      <c r="A293" s="4">
        <v>46181.352453703701</v>
      </c>
      <c r="B293" t="s">
        <v>5110</v>
      </c>
    </row>
    <row r="294" spans="1:2">
      <c r="A294" s="4">
        <v>46181.615717592591</v>
      </c>
      <c r="B294" t="s">
        <v>5111</v>
      </c>
    </row>
    <row r="295" spans="1:2">
      <c r="A295" s="4">
        <v>46181.628229166665</v>
      </c>
      <c r="B295" t="s">
        <v>5112</v>
      </c>
    </row>
    <row r="296" spans="1:2">
      <c r="A296" s="4">
        <v>46181.628229166665</v>
      </c>
      <c r="B296" t="s">
        <v>5113</v>
      </c>
    </row>
    <row r="297" spans="1:2">
      <c r="A297" s="4">
        <v>46181.674212962964</v>
      </c>
      <c r="B297" t="s">
        <v>5114</v>
      </c>
    </row>
    <row r="298" spans="1:2">
      <c r="A298" s="4">
        <v>46181.674212962964</v>
      </c>
      <c r="B298" t="s">
        <v>5115</v>
      </c>
    </row>
    <row r="299" spans="1:2">
      <c r="A299" s="4">
        <v>46181.699270833335</v>
      </c>
      <c r="B299" t="s">
        <v>5116</v>
      </c>
    </row>
    <row r="300" spans="1:2">
      <c r="A300" s="4">
        <v>46181.807291666664</v>
      </c>
      <c r="B300" t="s">
        <v>5117</v>
      </c>
    </row>
    <row r="301" spans="1:2">
      <c r="A301" s="4">
        <v>46182.292094907411</v>
      </c>
      <c r="B301" t="s">
        <v>5118</v>
      </c>
    </row>
    <row r="302" spans="1:2">
      <c r="A302" s="4">
        <v>46182.296261574076</v>
      </c>
      <c r="B302" t="s">
        <v>5119</v>
      </c>
    </row>
    <row r="303" spans="1:2">
      <c r="A303" s="4">
        <v>46182.296261574076</v>
      </c>
      <c r="B303" t="s">
        <v>5120</v>
      </c>
    </row>
    <row r="304" spans="1:2">
      <c r="A304" s="4">
        <v>46182.346435185187</v>
      </c>
      <c r="B304" t="s">
        <v>5121</v>
      </c>
    </row>
    <row r="305" spans="1:2">
      <c r="A305" s="4">
        <v>46182.446747685186</v>
      </c>
      <c r="B305" t="s">
        <v>5122</v>
      </c>
    </row>
    <row r="306" spans="1:2">
      <c r="A306" s="4">
        <v>46182.446747685186</v>
      </c>
      <c r="B306" t="s">
        <v>5123</v>
      </c>
    </row>
    <row r="307" spans="1:2">
      <c r="A307" s="4">
        <v>46182.446747685186</v>
      </c>
      <c r="B307" t="s">
        <v>5124</v>
      </c>
    </row>
    <row r="308" spans="1:2">
      <c r="A308" s="4">
        <v>46182.476030092592</v>
      </c>
      <c r="B308" t="s">
        <v>5125</v>
      </c>
    </row>
    <row r="309" spans="1:2">
      <c r="A309" s="4">
        <v>46182.476030092592</v>
      </c>
      <c r="B309" t="s">
        <v>5126</v>
      </c>
    </row>
    <row r="310" spans="1:2">
      <c r="A310" s="4">
        <v>46182.476030092592</v>
      </c>
      <c r="B310" t="s">
        <v>5127</v>
      </c>
    </row>
    <row r="311" spans="1:2">
      <c r="A311" s="4">
        <v>46182.476030092592</v>
      </c>
      <c r="B311" t="s">
        <v>5128</v>
      </c>
    </row>
    <row r="312" spans="1:2">
      <c r="A312" s="4">
        <v>46182.479502314818</v>
      </c>
      <c r="B312" t="s">
        <v>5129</v>
      </c>
    </row>
    <row r="313" spans="1:2">
      <c r="A313" s="4">
        <v>46182.479513888888</v>
      </c>
      <c r="B313" t="s">
        <v>5130</v>
      </c>
    </row>
    <row r="314" spans="1:2">
      <c r="A314" s="4">
        <v>46182.488564814812</v>
      </c>
      <c r="B314" t="s">
        <v>5131</v>
      </c>
    </row>
    <row r="315" spans="1:2">
      <c r="A315" s="4">
        <v>46182.488564814812</v>
      </c>
      <c r="B315" t="s">
        <v>5132</v>
      </c>
    </row>
    <row r="316" spans="1:2">
      <c r="A316" s="4">
        <v>46182.555462962962</v>
      </c>
      <c r="B316" t="s">
        <v>5133</v>
      </c>
    </row>
    <row r="317" spans="1:2">
      <c r="A317" s="4">
        <v>46182.563807870371</v>
      </c>
      <c r="B317" t="s">
        <v>5134</v>
      </c>
    </row>
    <row r="318" spans="1:2">
      <c r="A318" s="4">
        <v>46182.613993055558</v>
      </c>
      <c r="B318" t="s">
        <v>5135</v>
      </c>
    </row>
    <row r="319" spans="1:2">
      <c r="A319" s="4">
        <v>46182.672511574077</v>
      </c>
      <c r="B319" t="s">
        <v>5136</v>
      </c>
    </row>
    <row r="320" spans="1:2">
      <c r="A320" s="4">
        <v>46182.697662037041</v>
      </c>
      <c r="B320" t="s">
        <v>5137</v>
      </c>
    </row>
    <row r="321" spans="1:2">
      <c r="A321" s="4">
        <v>46182.718564814815</v>
      </c>
      <c r="B321" t="s">
        <v>5138</v>
      </c>
    </row>
    <row r="322" spans="1:2">
      <c r="A322" s="4">
        <v>46182.718553240738</v>
      </c>
      <c r="B322" t="s">
        <v>5139</v>
      </c>
    </row>
    <row r="323" spans="1:2">
      <c r="A323" s="4">
        <v>46182.718564814815</v>
      </c>
      <c r="B323" t="s">
        <v>5140</v>
      </c>
    </row>
    <row r="324" spans="1:2">
      <c r="A324" s="4">
        <v>46182.718564814815</v>
      </c>
      <c r="B324" t="s">
        <v>5141</v>
      </c>
    </row>
    <row r="325" spans="1:2">
      <c r="A325" s="4">
        <v>46182.722037037034</v>
      </c>
      <c r="B325" t="s">
        <v>5142</v>
      </c>
    </row>
    <row r="326" spans="1:2">
      <c r="A326" s="4">
        <v>46182.726909722223</v>
      </c>
      <c r="B326" t="s">
        <v>5143</v>
      </c>
    </row>
    <row r="327" spans="1:2">
      <c r="A327" s="4">
        <v>46182.726909722223</v>
      </c>
      <c r="B327" t="s">
        <v>5144</v>
      </c>
    </row>
    <row r="328" spans="1:2">
      <c r="A328" s="4">
        <v>46182.726909722223</v>
      </c>
      <c r="B328" t="s">
        <v>5145</v>
      </c>
    </row>
    <row r="329" spans="1:2">
      <c r="A329" s="4">
        <v>46182.726909722223</v>
      </c>
      <c r="B329" t="s">
        <v>5146</v>
      </c>
    </row>
    <row r="330" spans="1:2">
      <c r="A330" s="4">
        <v>46182.726921296293</v>
      </c>
      <c r="B330" t="s">
        <v>5147</v>
      </c>
    </row>
    <row r="331" spans="1:2">
      <c r="A331" s="4">
        <v>46182.726921296293</v>
      </c>
      <c r="B331" t="s">
        <v>5148</v>
      </c>
    </row>
    <row r="332" spans="1:2">
      <c r="A332" s="4">
        <v>46182.726921296293</v>
      </c>
      <c r="B332" t="s">
        <v>5149</v>
      </c>
    </row>
    <row r="333" spans="1:2">
      <c r="A333" s="4">
        <v>46182.726921296293</v>
      </c>
      <c r="B333" t="s">
        <v>5150</v>
      </c>
    </row>
    <row r="334" spans="1:2">
      <c r="A334" s="4">
        <v>46182.726921296293</v>
      </c>
      <c r="B334" t="s">
        <v>5151</v>
      </c>
    </row>
    <row r="335" spans="1:2">
      <c r="A335" s="4">
        <v>46182.726921296293</v>
      </c>
      <c r="B335" t="s">
        <v>5152</v>
      </c>
    </row>
    <row r="336" spans="1:2">
      <c r="A336" s="4">
        <v>46182.726921296293</v>
      </c>
      <c r="B336" t="s">
        <v>5153</v>
      </c>
    </row>
    <row r="337" spans="1:2">
      <c r="A337" s="4">
        <v>46182.730405092596</v>
      </c>
      <c r="B337" t="s">
        <v>5154</v>
      </c>
    </row>
    <row r="338" spans="1:2">
      <c r="A338" s="4">
        <v>46182.730405092596</v>
      </c>
      <c r="B338" t="s">
        <v>5155</v>
      </c>
    </row>
    <row r="339" spans="1:2">
      <c r="A339" s="4">
        <v>46182.730405092596</v>
      </c>
      <c r="B339" t="s">
        <v>5156</v>
      </c>
    </row>
    <row r="340" spans="1:2">
      <c r="A340" s="4">
        <v>46182.730405092596</v>
      </c>
      <c r="B340" t="s">
        <v>5157</v>
      </c>
    </row>
    <row r="341" spans="1:2">
      <c r="A341" s="4">
        <v>46182.734456018516</v>
      </c>
      <c r="B341" t="s">
        <v>5158</v>
      </c>
    </row>
    <row r="342" spans="1:2">
      <c r="A342" s="4">
        <v>46182.735497685186</v>
      </c>
      <c r="B342" t="s">
        <v>5159</v>
      </c>
    </row>
    <row r="343" spans="1:2">
      <c r="A343" s="4">
        <v>46182.736886574072</v>
      </c>
      <c r="B343" t="s">
        <v>5160</v>
      </c>
    </row>
    <row r="344" spans="1:2">
      <c r="A344" s="4">
        <v>46182.827291666668</v>
      </c>
      <c r="B344" t="s">
        <v>5161</v>
      </c>
    </row>
    <row r="345" spans="1:2">
      <c r="A345" s="4">
        <v>46183.274525462963</v>
      </c>
      <c r="B345" t="s">
        <v>5162</v>
      </c>
    </row>
    <row r="346" spans="1:2">
      <c r="A346" s="4">
        <v>46183.278692129628</v>
      </c>
      <c r="B346" t="s">
        <v>5163</v>
      </c>
    </row>
    <row r="347" spans="1:2">
      <c r="A347" s="4">
        <v>46183.278692129628</v>
      </c>
      <c r="B347" t="s">
        <v>5164</v>
      </c>
    </row>
    <row r="348" spans="1:2">
      <c r="A348" s="4">
        <v>46183.282881944448</v>
      </c>
      <c r="B348" t="s">
        <v>5165</v>
      </c>
    </row>
    <row r="349" spans="1:2">
      <c r="A349" s="4">
        <v>46183.282881944448</v>
      </c>
      <c r="B349" t="s">
        <v>5166</v>
      </c>
    </row>
    <row r="350" spans="1:2">
      <c r="A350" s="4">
        <v>46183.282881944448</v>
      </c>
      <c r="B350" t="s">
        <v>5167</v>
      </c>
    </row>
    <row r="351" spans="1:2">
      <c r="A351" s="4">
        <v>46183.282881944448</v>
      </c>
      <c r="B351" t="s">
        <v>5168</v>
      </c>
    </row>
    <row r="352" spans="1:2">
      <c r="A352" s="4">
        <v>46183.286365740743</v>
      </c>
      <c r="B352" t="s">
        <v>5169</v>
      </c>
    </row>
    <row r="353" spans="1:2">
      <c r="A353" s="4">
        <v>46183.287060185183</v>
      </c>
      <c r="B353" t="s">
        <v>5170</v>
      </c>
    </row>
    <row r="354" spans="1:2">
      <c r="A354" s="4">
        <v>46183.287060185183</v>
      </c>
      <c r="B354" t="s">
        <v>5171</v>
      </c>
    </row>
    <row r="355" spans="1:2">
      <c r="A355" s="4">
        <v>46183.287060185183</v>
      </c>
      <c r="B355" t="s">
        <v>5172</v>
      </c>
    </row>
    <row r="356" spans="1:2">
      <c r="A356" s="4">
        <v>46183.287060185183</v>
      </c>
      <c r="B356" t="s">
        <v>5173</v>
      </c>
    </row>
    <row r="357" spans="1:2">
      <c r="A357" s="4">
        <v>46183.287060185183</v>
      </c>
      <c r="B357" t="s">
        <v>5174</v>
      </c>
    </row>
    <row r="358" spans="1:2">
      <c r="A358" s="4">
        <v>46183.291250000002</v>
      </c>
      <c r="B358" t="s">
        <v>5175</v>
      </c>
    </row>
    <row r="359" spans="1:2">
      <c r="A359" s="4">
        <v>46183.349768518521</v>
      </c>
      <c r="B359" t="s">
        <v>5176</v>
      </c>
    </row>
    <row r="360" spans="1:2">
      <c r="A360" s="4">
        <v>46183.395740740743</v>
      </c>
      <c r="B360" t="s">
        <v>5177</v>
      </c>
    </row>
    <row r="361" spans="1:2">
      <c r="A361" s="4">
        <v>46183.395729166667</v>
      </c>
      <c r="B361" t="s">
        <v>5178</v>
      </c>
    </row>
    <row r="362" spans="1:2">
      <c r="A362" s="4">
        <v>46183.395740740743</v>
      </c>
      <c r="B362" t="s">
        <v>5179</v>
      </c>
    </row>
    <row r="363" spans="1:2">
      <c r="A363" s="4">
        <v>46183.554618055554</v>
      </c>
      <c r="B363" t="s">
        <v>5180</v>
      </c>
    </row>
    <row r="364" spans="1:2">
      <c r="A364" s="4">
        <v>46183.575520833336</v>
      </c>
      <c r="B364" t="s">
        <v>5181</v>
      </c>
    </row>
    <row r="365" spans="1:2">
      <c r="A365" s="4">
        <v>46183.592245370368</v>
      </c>
      <c r="B365" t="s">
        <v>5182</v>
      </c>
    </row>
    <row r="366" spans="1:2">
      <c r="A366" s="4">
        <v>46183.592245370368</v>
      </c>
      <c r="B366" t="s">
        <v>5183</v>
      </c>
    </row>
    <row r="367" spans="1:2">
      <c r="A367" s="4">
        <v>46183.592245370368</v>
      </c>
      <c r="B367" t="s">
        <v>5184</v>
      </c>
    </row>
    <row r="368" spans="1:2">
      <c r="A368" s="4">
        <v>46183.59642361111</v>
      </c>
      <c r="B368" t="s">
        <v>5185</v>
      </c>
    </row>
    <row r="369" spans="1:2">
      <c r="A369" s="4">
        <v>46183.596435185187</v>
      </c>
      <c r="B369" t="s">
        <v>5186</v>
      </c>
    </row>
    <row r="370" spans="1:2">
      <c r="A370" s="4">
        <v>46183.69258101852</v>
      </c>
      <c r="B370" t="s">
        <v>5187</v>
      </c>
    </row>
    <row r="371" spans="1:2">
      <c r="A371" s="4">
        <v>46183.700925925928</v>
      </c>
      <c r="B371" t="s">
        <v>5188</v>
      </c>
    </row>
    <row r="372" spans="1:2">
      <c r="A372" s="4">
        <v>46183.700925925928</v>
      </c>
      <c r="B372" t="s">
        <v>5189</v>
      </c>
    </row>
    <row r="373" spans="1:2">
      <c r="A373" s="4">
        <v>46183.700925925928</v>
      </c>
      <c r="B373" t="s">
        <v>5190</v>
      </c>
    </row>
    <row r="374" spans="1:2">
      <c r="A374" s="4">
        <v>46183.700925925928</v>
      </c>
      <c r="B374" t="s">
        <v>5191</v>
      </c>
    </row>
    <row r="375" spans="1:2">
      <c r="A375" s="4">
        <v>46183.700937499998</v>
      </c>
      <c r="B375" t="s">
        <v>5192</v>
      </c>
    </row>
    <row r="376" spans="1:2">
      <c r="A376" s="4">
        <v>46183.704409722224</v>
      </c>
      <c r="B376" t="s">
        <v>5193</v>
      </c>
    </row>
    <row r="377" spans="1:2">
      <c r="A377" s="4">
        <v>46183.704409722224</v>
      </c>
      <c r="B377" t="s">
        <v>5194</v>
      </c>
    </row>
    <row r="378" spans="1:2">
      <c r="A378" s="4">
        <v>46183.704409722224</v>
      </c>
      <c r="B378" t="s">
        <v>5195</v>
      </c>
    </row>
    <row r="379" spans="1:2">
      <c r="A379" s="4">
        <v>46183.705104166664</v>
      </c>
      <c r="B379" t="s">
        <v>5196</v>
      </c>
    </row>
    <row r="380" spans="1:2">
      <c r="A380" s="4">
        <v>46183.705104166664</v>
      </c>
      <c r="B380" t="s">
        <v>5197</v>
      </c>
    </row>
    <row r="381" spans="1:2">
      <c r="A381" s="4">
        <v>46183.705104166664</v>
      </c>
      <c r="B381" t="s">
        <v>5198</v>
      </c>
    </row>
    <row r="382" spans="1:2">
      <c r="A382" s="4">
        <v>46183.705104166664</v>
      </c>
      <c r="B382" t="s">
        <v>5199</v>
      </c>
    </row>
    <row r="383" spans="1:2">
      <c r="A383" s="4">
        <v>46183.708587962959</v>
      </c>
      <c r="B383" t="s">
        <v>5200</v>
      </c>
    </row>
    <row r="384" spans="1:2">
      <c r="A384" s="4">
        <v>46183.713518518518</v>
      </c>
      <c r="B384" t="s">
        <v>5201</v>
      </c>
    </row>
    <row r="385" spans="1:2">
      <c r="A385" s="4">
        <v>46183.713518518518</v>
      </c>
      <c r="B385" t="s">
        <v>5202</v>
      </c>
    </row>
    <row r="386" spans="1:2">
      <c r="A386" s="4">
        <v>46183.805451388886</v>
      </c>
      <c r="B386" t="s">
        <v>5203</v>
      </c>
    </row>
    <row r="387" spans="1:2">
      <c r="A387" s="4">
        <v>46183.926689814813</v>
      </c>
      <c r="B387" t="s">
        <v>5204</v>
      </c>
    </row>
    <row r="388" spans="1:2">
      <c r="A388" s="4">
        <v>46184.273657407408</v>
      </c>
      <c r="B388" t="s">
        <v>5205</v>
      </c>
    </row>
    <row r="389" spans="1:2">
      <c r="A389" s="4">
        <v>46184.298715277779</v>
      </c>
      <c r="B389" t="s">
        <v>5206</v>
      </c>
    </row>
    <row r="390" spans="1:2">
      <c r="A390" s="4">
        <v>46184.298715277779</v>
      </c>
      <c r="B390" t="s">
        <v>5207</v>
      </c>
    </row>
    <row r="391" spans="1:2">
      <c r="A391" s="4">
        <v>46184.302893518521</v>
      </c>
      <c r="B391" t="s">
        <v>5208</v>
      </c>
    </row>
    <row r="392" spans="1:2">
      <c r="A392" s="4">
        <v>46184.307083333333</v>
      </c>
      <c r="B392" t="s">
        <v>5209</v>
      </c>
    </row>
    <row r="393" spans="1:2">
      <c r="A393" s="4">
        <v>46184.323807870373</v>
      </c>
      <c r="B393" t="s">
        <v>5210</v>
      </c>
    </row>
    <row r="394" spans="1:2">
      <c r="A394" s="4">
        <v>46184.332152777781</v>
      </c>
      <c r="B394" t="s">
        <v>5211</v>
      </c>
    </row>
    <row r="395" spans="1:2">
      <c r="A395" s="4">
        <v>46184.332152777781</v>
      </c>
      <c r="B395" t="s">
        <v>5212</v>
      </c>
    </row>
    <row r="396" spans="1:2">
      <c r="A396" s="4">
        <v>46184.332152777781</v>
      </c>
      <c r="B396" t="s">
        <v>5213</v>
      </c>
    </row>
    <row r="397" spans="1:2">
      <c r="A397" s="4">
        <v>46184.332152777781</v>
      </c>
      <c r="B397" t="s">
        <v>5214</v>
      </c>
    </row>
    <row r="398" spans="1:2">
      <c r="A398" s="4">
        <v>46184.335625</v>
      </c>
      <c r="B398" t="s">
        <v>5215</v>
      </c>
    </row>
    <row r="399" spans="1:2">
      <c r="A399" s="4">
        <v>46184.335625</v>
      </c>
      <c r="B399" t="s">
        <v>5216</v>
      </c>
    </row>
    <row r="400" spans="1:2">
      <c r="A400" s="4">
        <v>46184.336331018516</v>
      </c>
      <c r="B400" t="s">
        <v>5217</v>
      </c>
    </row>
    <row r="401" spans="1:2">
      <c r="A401" s="4">
        <v>46184.336331018516</v>
      </c>
      <c r="B401" t="s">
        <v>5218</v>
      </c>
    </row>
    <row r="402" spans="1:2">
      <c r="A402" s="4">
        <v>46184.436678240738</v>
      </c>
      <c r="B402" t="s">
        <v>5219</v>
      </c>
    </row>
    <row r="403" spans="1:2">
      <c r="A403" s="4">
        <v>46184.436678240738</v>
      </c>
      <c r="B403" t="s">
        <v>5220</v>
      </c>
    </row>
    <row r="404" spans="1:2">
      <c r="A404" s="4">
        <v>46184.436678240738</v>
      </c>
      <c r="B404" t="s">
        <v>5221</v>
      </c>
    </row>
    <row r="405" spans="1:2">
      <c r="A405" s="4">
        <v>46184.457569444443</v>
      </c>
      <c r="B405" t="s">
        <v>5222</v>
      </c>
    </row>
    <row r="406" spans="1:2">
      <c r="A406" s="4">
        <v>46184.465937499997</v>
      </c>
      <c r="B406" t="s">
        <v>5223</v>
      </c>
    </row>
    <row r="407" spans="1:2">
      <c r="A407" s="4">
        <v>46184.47011574074</v>
      </c>
      <c r="B407" t="s">
        <v>5224</v>
      </c>
    </row>
    <row r="408" spans="1:2">
      <c r="A408" s="4">
        <v>46184.478472222225</v>
      </c>
      <c r="B408" t="s">
        <v>5225</v>
      </c>
    </row>
    <row r="409" spans="1:2">
      <c r="A409" s="4">
        <v>46184.482662037037</v>
      </c>
      <c r="B409" t="s">
        <v>5226</v>
      </c>
    </row>
    <row r="410" spans="1:2">
      <c r="A410" s="4">
        <v>46184.482662037037</v>
      </c>
      <c r="B410" t="s">
        <v>5227</v>
      </c>
    </row>
    <row r="411" spans="1:2">
      <c r="A411" s="4">
        <v>46184.482662037037</v>
      </c>
      <c r="B411" t="s">
        <v>5228</v>
      </c>
    </row>
    <row r="412" spans="1:2">
      <c r="A412" s="4">
        <v>46184.570439814815</v>
      </c>
      <c r="B412" t="s">
        <v>5229</v>
      </c>
    </row>
    <row r="413" spans="1:2">
      <c r="A413" s="4">
        <v>46184.574629629627</v>
      </c>
      <c r="B413" t="s">
        <v>5230</v>
      </c>
    </row>
    <row r="414" spans="1:2">
      <c r="A414" s="4">
        <v>46184.574629629627</v>
      </c>
      <c r="B414" t="s">
        <v>5231</v>
      </c>
    </row>
    <row r="415" spans="1:2">
      <c r="A415" s="4">
        <v>46184.599710648145</v>
      </c>
      <c r="B415" t="s">
        <v>5232</v>
      </c>
    </row>
    <row r="416" spans="1:2">
      <c r="A416" s="4">
        <v>46184.603888888887</v>
      </c>
      <c r="B416" t="s">
        <v>5233</v>
      </c>
    </row>
    <row r="417" spans="1:2">
      <c r="A417" s="4">
        <v>46184.603888888887</v>
      </c>
      <c r="B417" t="s">
        <v>5234</v>
      </c>
    </row>
    <row r="418" spans="1:2">
      <c r="A418" s="4">
        <v>46184.624791666669</v>
      </c>
      <c r="B418" t="s">
        <v>5235</v>
      </c>
    </row>
    <row r="419" spans="1:2">
      <c r="A419" s="4">
        <v>46184.624791666669</v>
      </c>
      <c r="B419" t="s">
        <v>5236</v>
      </c>
    </row>
    <row r="420" spans="1:2">
      <c r="A420" s="4">
        <v>46184.628969907404</v>
      </c>
      <c r="B420" t="s">
        <v>5237</v>
      </c>
    </row>
    <row r="421" spans="1:2">
      <c r="A421" s="4">
        <v>46184.628969907404</v>
      </c>
      <c r="B421" t="s">
        <v>5238</v>
      </c>
    </row>
    <row r="422" spans="1:2">
      <c r="A422" s="4">
        <v>46184.628969907404</v>
      </c>
      <c r="B422" t="s">
        <v>5239</v>
      </c>
    </row>
    <row r="423" spans="1:2">
      <c r="A423" s="4">
        <v>46184.637337962966</v>
      </c>
      <c r="B423" t="s">
        <v>5240</v>
      </c>
    </row>
    <row r="424" spans="1:2">
      <c r="A424" s="4">
        <v>46184.637337962966</v>
      </c>
      <c r="B424" t="s">
        <v>5241</v>
      </c>
    </row>
    <row r="425" spans="1:2">
      <c r="A425" s="4">
        <v>46184.637349537035</v>
      </c>
      <c r="B425" t="s">
        <v>5242</v>
      </c>
    </row>
    <row r="426" spans="1:2">
      <c r="A426" s="4">
        <v>46184.65824074074</v>
      </c>
      <c r="B426" t="s">
        <v>5243</v>
      </c>
    </row>
    <row r="427" spans="1:2">
      <c r="A427" s="4">
        <v>46184.65824074074</v>
      </c>
      <c r="B427" t="s">
        <v>5244</v>
      </c>
    </row>
    <row r="428" spans="1:2">
      <c r="A428" s="4">
        <v>46184.662418981483</v>
      </c>
      <c r="B428" t="s">
        <v>5245</v>
      </c>
    </row>
    <row r="429" spans="1:2">
      <c r="A429" s="4">
        <v>46184.662418981483</v>
      </c>
      <c r="B429" t="s">
        <v>5246</v>
      </c>
    </row>
    <row r="430" spans="1:2">
      <c r="A430" s="4">
        <v>46184.700057870374</v>
      </c>
      <c r="B430" t="s">
        <v>5247</v>
      </c>
    </row>
    <row r="431" spans="1:2">
      <c r="A431" s="4">
        <v>46185.26458333333</v>
      </c>
      <c r="B431" t="s">
        <v>5248</v>
      </c>
    </row>
    <row r="432" spans="1:2">
      <c r="A432" s="4">
        <v>46185.298009259262</v>
      </c>
      <c r="B432" t="s">
        <v>5249</v>
      </c>
    </row>
    <row r="433" spans="1:2">
      <c r="A433" s="4">
        <v>46185.298009259262</v>
      </c>
      <c r="B433" t="s">
        <v>5250</v>
      </c>
    </row>
    <row r="434" spans="1:2">
      <c r="A434" s="4">
        <v>46185.298009259262</v>
      </c>
      <c r="B434" t="s">
        <v>5251</v>
      </c>
    </row>
    <row r="435" spans="1:2">
      <c r="A435" s="4">
        <v>46185.302199074074</v>
      </c>
      <c r="B435" t="s">
        <v>5252</v>
      </c>
    </row>
    <row r="436" spans="1:2">
      <c r="A436" s="4">
        <v>46185.46534722222</v>
      </c>
      <c r="B436" t="s">
        <v>5253</v>
      </c>
    </row>
    <row r="437" spans="1:2">
      <c r="A437" s="4">
        <v>46185.46534722222</v>
      </c>
      <c r="B437" t="s">
        <v>5254</v>
      </c>
    </row>
    <row r="438" spans="1:2">
      <c r="A438" s="4">
        <v>46185.46534722222</v>
      </c>
      <c r="B438" t="s">
        <v>5255</v>
      </c>
    </row>
    <row r="439" spans="1:2">
      <c r="A439" s="4">
        <v>46185.561550925922</v>
      </c>
      <c r="B439" t="s">
        <v>5256</v>
      </c>
    </row>
    <row r="440" spans="1:2">
      <c r="A440" s="4">
        <v>46185.565717592595</v>
      </c>
      <c r="B440" t="s">
        <v>5257</v>
      </c>
    </row>
    <row r="441" spans="1:2">
      <c r="A441" s="4">
        <v>46185.574097222219</v>
      </c>
      <c r="B441" t="s">
        <v>5258</v>
      </c>
    </row>
    <row r="442" spans="1:2">
      <c r="A442" s="4">
        <v>46185.574108796296</v>
      </c>
      <c r="B442" t="s">
        <v>5259</v>
      </c>
    </row>
    <row r="443" spans="1:2">
      <c r="A443" s="4">
        <v>46185.628495370373</v>
      </c>
      <c r="B443" t="s">
        <v>5260</v>
      </c>
    </row>
    <row r="444" spans="1:2">
      <c r="A444" s="4">
        <v>46185.628483796296</v>
      </c>
      <c r="B444" t="s">
        <v>5261</v>
      </c>
    </row>
    <row r="445" spans="1:2">
      <c r="A445" s="4">
        <v>46185.632673611108</v>
      </c>
      <c r="B445" t="s">
        <v>5262</v>
      </c>
    </row>
    <row r="446" spans="1:2">
      <c r="A446" s="4">
        <v>46185.632673611108</v>
      </c>
      <c r="B446" t="s">
        <v>5263</v>
      </c>
    </row>
    <row r="447" spans="1:2">
      <c r="A447" s="4">
        <v>46185.632673611108</v>
      </c>
      <c r="B447" t="s">
        <v>5264</v>
      </c>
    </row>
    <row r="448" spans="1:2">
      <c r="A448" s="4">
        <v>46185.632673611108</v>
      </c>
      <c r="B448" t="s">
        <v>5265</v>
      </c>
    </row>
    <row r="449" spans="1:2">
      <c r="A449" s="4">
        <v>46185.641030092593</v>
      </c>
      <c r="B449" t="s">
        <v>5266</v>
      </c>
    </row>
    <row r="450" spans="1:2">
      <c r="A450" s="4">
        <v>46185.657766203702</v>
      </c>
      <c r="B450" t="s">
        <v>5267</v>
      </c>
    </row>
    <row r="451" spans="1:2">
      <c r="A451" s="4">
        <v>46185.657766203702</v>
      </c>
      <c r="B451" t="s">
        <v>5268</v>
      </c>
    </row>
    <row r="452" spans="1:2">
      <c r="A452" s="4">
        <v>46185.657777777778</v>
      </c>
      <c r="B452" t="s">
        <v>5269</v>
      </c>
    </row>
    <row r="453" spans="1:2">
      <c r="A453" s="4">
        <v>46185.687060185184</v>
      </c>
      <c r="B453" t="s">
        <v>5270</v>
      </c>
    </row>
    <row r="454" spans="1:2">
      <c r="A454" s="4">
        <v>46185.687060185184</v>
      </c>
      <c r="B454" t="s">
        <v>5271</v>
      </c>
    </row>
    <row r="455" spans="1:2">
      <c r="A455" s="4">
        <v>46185.69122685185</v>
      </c>
      <c r="B455" t="s">
        <v>5272</v>
      </c>
    </row>
    <row r="456" spans="1:2">
      <c r="A456" s="4">
        <v>46185.69122685185</v>
      </c>
      <c r="B456" t="s">
        <v>5273</v>
      </c>
    </row>
    <row r="457" spans="1:2">
      <c r="A457" s="4">
        <v>46185.69122685185</v>
      </c>
      <c r="B457" t="s">
        <v>5274</v>
      </c>
    </row>
    <row r="458" spans="1:2">
      <c r="A458" s="4">
        <v>46185.691238425927</v>
      </c>
      <c r="B458" t="s">
        <v>5275</v>
      </c>
    </row>
    <row r="459" spans="1:2">
      <c r="A459" s="4">
        <v>46185.694710648146</v>
      </c>
      <c r="B459" t="s">
        <v>5276</v>
      </c>
    </row>
    <row r="460" spans="1:2">
      <c r="A460" s="4">
        <v>46185.695405092592</v>
      </c>
      <c r="B460" t="s">
        <v>5277</v>
      </c>
    </row>
    <row r="461" spans="1:2">
      <c r="A461" s="4">
        <v>46185.695405092592</v>
      </c>
      <c r="B461" t="s">
        <v>5278</v>
      </c>
    </row>
    <row r="462" spans="1:2">
      <c r="A462" s="4">
        <v>46185.699594907404</v>
      </c>
      <c r="B462" t="s">
        <v>5279</v>
      </c>
    </row>
    <row r="463" spans="1:2">
      <c r="A463" s="4">
        <v>46185.699594907404</v>
      </c>
      <c r="B463" t="s">
        <v>5280</v>
      </c>
    </row>
    <row r="464" spans="1:2">
      <c r="A464" s="4">
        <v>46185.716319444444</v>
      </c>
      <c r="B464" t="s">
        <v>5281</v>
      </c>
    </row>
    <row r="465" spans="1:2">
      <c r="A465" s="4">
        <v>46185.716319444444</v>
      </c>
      <c r="B465" t="s">
        <v>5282</v>
      </c>
    </row>
    <row r="466" spans="1:2">
      <c r="A466" s="4">
        <v>46185.716319444444</v>
      </c>
      <c r="B466" t="s">
        <v>5283</v>
      </c>
    </row>
    <row r="467" spans="1:2">
      <c r="A467" s="4">
        <v>46185.716319444444</v>
      </c>
      <c r="B467" t="s">
        <v>5284</v>
      </c>
    </row>
    <row r="468" spans="1:2">
      <c r="A468" s="4">
        <v>46185.71980324074</v>
      </c>
      <c r="B468" t="s">
        <v>5285</v>
      </c>
    </row>
    <row r="469" spans="1:2">
      <c r="A469" s="4">
        <v>46188.294247685182</v>
      </c>
      <c r="B469" t="s">
        <v>5203</v>
      </c>
    </row>
    <row r="470" spans="1:2">
      <c r="A470" s="4">
        <v>46188.331863425927</v>
      </c>
      <c r="B470" t="s">
        <v>5286</v>
      </c>
    </row>
    <row r="471" spans="1:2">
      <c r="A471" s="4">
        <v>46188.331863425927</v>
      </c>
      <c r="B471" t="s">
        <v>5262</v>
      </c>
    </row>
    <row r="472" spans="1:2">
      <c r="A472" s="4">
        <v>46188.331863425927</v>
      </c>
      <c r="B472" t="s">
        <v>5287</v>
      </c>
    </row>
    <row r="473" spans="1:2">
      <c r="A473" s="4">
        <v>46188.38621527778</v>
      </c>
      <c r="B473" t="s">
        <v>5288</v>
      </c>
    </row>
    <row r="474" spans="1:2">
      <c r="A474" s="4">
        <v>46188.394618055558</v>
      </c>
      <c r="B474" t="s">
        <v>5289</v>
      </c>
    </row>
    <row r="475" spans="1:2">
      <c r="A475" s="4">
        <v>46188.398761574077</v>
      </c>
      <c r="B475" t="s">
        <v>5290</v>
      </c>
    </row>
    <row r="476" spans="1:2">
      <c r="A476" s="4">
        <v>46188.402939814812</v>
      </c>
      <c r="B476" t="s">
        <v>5291</v>
      </c>
    </row>
    <row r="477" spans="1:2">
      <c r="A477" s="4">
        <v>46188.402939814812</v>
      </c>
      <c r="B477" t="s">
        <v>5292</v>
      </c>
    </row>
    <row r="478" spans="1:2">
      <c r="A478" s="4">
        <v>46188.402951388889</v>
      </c>
      <c r="B478" t="s">
        <v>5293</v>
      </c>
    </row>
    <row r="479" spans="1:2">
      <c r="A479" s="4">
        <v>46188.402951388889</v>
      </c>
      <c r="B479" t="s">
        <v>5294</v>
      </c>
    </row>
    <row r="480" spans="1:2">
      <c r="A480" s="4">
        <v>46188.402962962966</v>
      </c>
      <c r="B480" t="s">
        <v>5295</v>
      </c>
    </row>
    <row r="481" spans="1:2">
      <c r="A481" s="4">
        <v>46188.536203703705</v>
      </c>
      <c r="B481" t="s">
        <v>5296</v>
      </c>
    </row>
    <row r="482" spans="1:2">
      <c r="A482" s="4">
        <v>46188.536203703705</v>
      </c>
      <c r="B482" t="s">
        <v>5297</v>
      </c>
    </row>
    <row r="483" spans="1:2">
      <c r="A483" s="4">
        <v>46188.607291666667</v>
      </c>
      <c r="B483" t="s">
        <v>5298</v>
      </c>
    </row>
    <row r="484" spans="1:2">
      <c r="A484" s="4">
        <v>46188.611458333333</v>
      </c>
      <c r="B484" t="s">
        <v>5299</v>
      </c>
    </row>
    <row r="485" spans="1:2">
      <c r="A485" s="4">
        <v>46188.615648148145</v>
      </c>
      <c r="B485" t="s">
        <v>5300</v>
      </c>
    </row>
    <row r="486" spans="1:2">
      <c r="A486" s="4">
        <v>46188.615648148145</v>
      </c>
      <c r="B486" t="s">
        <v>5301</v>
      </c>
    </row>
    <row r="487" spans="1:2">
      <c r="A487" s="4">
        <v>46188.632384259261</v>
      </c>
      <c r="B487" t="s">
        <v>5302</v>
      </c>
    </row>
    <row r="488" spans="1:2">
      <c r="A488" s="4">
        <v>46188.636574074073</v>
      </c>
      <c r="B488" t="s">
        <v>5303</v>
      </c>
    </row>
    <row r="489" spans="1:2">
      <c r="A489" s="4">
        <v>46188.686759259261</v>
      </c>
      <c r="B489" t="s">
        <v>5304</v>
      </c>
    </row>
    <row r="490" spans="1:2">
      <c r="A490" s="4">
        <v>46188.686759259261</v>
      </c>
      <c r="B490" t="s">
        <v>5305</v>
      </c>
    </row>
    <row r="491" spans="1:2">
      <c r="A491" s="4">
        <v>46188.690949074073</v>
      </c>
      <c r="B491" t="s">
        <v>5306</v>
      </c>
    </row>
    <row r="492" spans="1:2">
      <c r="A492" s="4">
        <v>46188.690949074073</v>
      </c>
      <c r="B492" t="s">
        <v>5307</v>
      </c>
    </row>
    <row r="493" spans="1:2">
      <c r="A493" s="4">
        <v>46188.690949074073</v>
      </c>
      <c r="B493" t="s">
        <v>5308</v>
      </c>
    </row>
    <row r="494" spans="1:2">
      <c r="A494" s="4">
        <v>46188.720208333332</v>
      </c>
      <c r="B494" t="s">
        <v>5309</v>
      </c>
    </row>
    <row r="495" spans="1:2">
      <c r="A495" s="4">
        <v>46188.720208333332</v>
      </c>
      <c r="B495" t="s">
        <v>5310</v>
      </c>
    </row>
    <row r="496" spans="1:2">
      <c r="A496" s="4">
        <v>46188.720208333332</v>
      </c>
      <c r="B496" t="s">
        <v>5311</v>
      </c>
    </row>
    <row r="497" spans="1:2">
      <c r="A497" s="4">
        <v>46188.720208333332</v>
      </c>
      <c r="B497" t="s">
        <v>5312</v>
      </c>
    </row>
    <row r="498" spans="1:2">
      <c r="A498" s="4">
        <v>46188.723692129628</v>
      </c>
      <c r="B498" t="s">
        <v>5313</v>
      </c>
    </row>
    <row r="499" spans="1:2">
      <c r="A499" s="4">
        <v>46189.417974537035</v>
      </c>
      <c r="B499" t="s">
        <v>5314</v>
      </c>
    </row>
    <row r="500" spans="1:2">
      <c r="A500" s="4">
        <v>46189.488391203704</v>
      </c>
      <c r="B500" t="s">
        <v>5315</v>
      </c>
    </row>
    <row r="501" spans="1:2">
      <c r="A501" s="4">
        <v>46189.488391203704</v>
      </c>
      <c r="B501" t="s">
        <v>5316</v>
      </c>
    </row>
    <row r="502" spans="1:2">
      <c r="A502" s="4">
        <v>46189.488391203704</v>
      </c>
      <c r="B502" t="s">
        <v>5317</v>
      </c>
    </row>
    <row r="503" spans="1:2">
      <c r="A503" s="4">
        <v>46189.488391203704</v>
      </c>
      <c r="B503" t="s">
        <v>5318</v>
      </c>
    </row>
    <row r="504" spans="1:2">
      <c r="A504" s="4">
        <v>46189.534386574072</v>
      </c>
      <c r="B504" t="s">
        <v>5319</v>
      </c>
    </row>
    <row r="505" spans="1:2">
      <c r="A505" s="4">
        <v>46189.534386574072</v>
      </c>
      <c r="B505" t="s">
        <v>5320</v>
      </c>
    </row>
    <row r="506" spans="1:2">
      <c r="A506" s="4">
        <v>46189.551122685189</v>
      </c>
      <c r="B506" t="s">
        <v>5321</v>
      </c>
    </row>
    <row r="507" spans="1:2">
      <c r="A507" s="4">
        <v>46189.567881944444</v>
      </c>
      <c r="B507" t="s">
        <v>5322</v>
      </c>
    </row>
    <row r="508" spans="1:2">
      <c r="A508" s="4">
        <v>46189.567881944444</v>
      </c>
      <c r="B508" t="s">
        <v>5323</v>
      </c>
    </row>
    <row r="509" spans="1:2">
      <c r="A509" s="4">
        <v>46189.567881944444</v>
      </c>
      <c r="B509" t="s">
        <v>5324</v>
      </c>
    </row>
    <row r="510" spans="1:2">
      <c r="A510" s="4">
        <v>46189.567881944444</v>
      </c>
      <c r="B510" t="s">
        <v>5325</v>
      </c>
    </row>
    <row r="511" spans="1:2">
      <c r="A511" s="4">
        <v>46189.572060185186</v>
      </c>
      <c r="B511" t="s">
        <v>5326</v>
      </c>
    </row>
    <row r="512" spans="1:2">
      <c r="A512" s="4">
        <v>46189.572060185186</v>
      </c>
      <c r="B512" t="s">
        <v>5327</v>
      </c>
    </row>
    <row r="513" spans="1:2">
      <c r="A513" s="4">
        <v>46189.572060185186</v>
      </c>
      <c r="B513" t="s">
        <v>5328</v>
      </c>
    </row>
    <row r="514" spans="1:2">
      <c r="A514" s="4">
        <v>46189.572060185186</v>
      </c>
      <c r="B514" t="s">
        <v>5329</v>
      </c>
    </row>
    <row r="515" spans="1:2">
      <c r="A515" s="4">
        <v>46189.572083333333</v>
      </c>
      <c r="B515" t="s">
        <v>5330</v>
      </c>
    </row>
    <row r="516" spans="1:2">
      <c r="A516" s="4">
        <v>46189.575532407405</v>
      </c>
      <c r="B516" t="s">
        <v>5331</v>
      </c>
    </row>
    <row r="517" spans="1:2">
      <c r="A517" s="4">
        <v>46189.576238425929</v>
      </c>
      <c r="B517" t="s">
        <v>5332</v>
      </c>
    </row>
    <row r="518" spans="1:2">
      <c r="A518" s="4">
        <v>46189.613900462966</v>
      </c>
      <c r="B518" t="s">
        <v>5333</v>
      </c>
    </row>
    <row r="519" spans="1:2">
      <c r="A519" s="4">
        <v>46189.622245370374</v>
      </c>
      <c r="B519" t="s">
        <v>5334</v>
      </c>
    </row>
    <row r="520" spans="1:2">
      <c r="A520" s="4">
        <v>46189.647337962961</v>
      </c>
      <c r="B520" t="s">
        <v>5335</v>
      </c>
    </row>
    <row r="521" spans="1:2">
      <c r="A521" s="4">
        <v>46189.659884259258</v>
      </c>
      <c r="B521" t="s">
        <v>5336</v>
      </c>
    </row>
    <row r="522" spans="1:2">
      <c r="A522" s="4">
        <v>46189.668275462966</v>
      </c>
      <c r="B522" t="s">
        <v>5337</v>
      </c>
    </row>
    <row r="523" spans="1:2">
      <c r="A523" s="4">
        <v>46189.668287037035</v>
      </c>
      <c r="B523" t="s">
        <v>5338</v>
      </c>
    </row>
    <row r="524" spans="1:2">
      <c r="A524" s="4">
        <v>46189.676631944443</v>
      </c>
      <c r="B524" t="s">
        <v>5339</v>
      </c>
    </row>
    <row r="525" spans="1:2">
      <c r="A525" s="4">
        <v>46189.684999999998</v>
      </c>
      <c r="B525" t="s">
        <v>5340</v>
      </c>
    </row>
    <row r="526" spans="1:2">
      <c r="A526" s="4">
        <v>46189.689189814817</v>
      </c>
      <c r="B526" t="s">
        <v>5341</v>
      </c>
    </row>
    <row r="527" spans="1:2">
      <c r="A527" s="4">
        <v>46189.689189814817</v>
      </c>
      <c r="B527" t="s">
        <v>5342</v>
      </c>
    </row>
    <row r="528" spans="1:2">
      <c r="A528" s="4">
        <v>46189.689189814817</v>
      </c>
      <c r="B528" t="s">
        <v>5343</v>
      </c>
    </row>
    <row r="529" spans="1:2">
      <c r="A529" s="4">
        <v>46189.689189814817</v>
      </c>
      <c r="B529" t="s">
        <v>5344</v>
      </c>
    </row>
    <row r="530" spans="1:2">
      <c r="A530" s="4">
        <v>46189.689189814817</v>
      </c>
      <c r="B530" t="s">
        <v>5345</v>
      </c>
    </row>
    <row r="531" spans="1:2">
      <c r="A531" s="4">
        <v>46189.689189814817</v>
      </c>
      <c r="B531" t="s">
        <v>5346</v>
      </c>
    </row>
    <row r="532" spans="1:2">
      <c r="A532" s="4">
        <v>46189.689189814817</v>
      </c>
      <c r="B532" t="s">
        <v>5347</v>
      </c>
    </row>
    <row r="533" spans="1:2">
      <c r="A533" s="4">
        <v>46189.689201388886</v>
      </c>
      <c r="B533" t="s">
        <v>5348</v>
      </c>
    </row>
    <row r="534" spans="1:2">
      <c r="A534" s="4">
        <v>46189.692662037036</v>
      </c>
      <c r="B534" t="s">
        <v>5349</v>
      </c>
    </row>
    <row r="535" spans="1:2">
      <c r="A535" s="4">
        <v>46189.693368055552</v>
      </c>
      <c r="B535" t="s">
        <v>5350</v>
      </c>
    </row>
    <row r="536" spans="1:2">
      <c r="A536" s="4">
        <v>46189.693368055552</v>
      </c>
      <c r="B536" t="s">
        <v>5351</v>
      </c>
    </row>
    <row r="537" spans="1:2">
      <c r="A537" s="4">
        <v>46189.693368055552</v>
      </c>
      <c r="B537" t="s">
        <v>5352</v>
      </c>
    </row>
    <row r="538" spans="1:2">
      <c r="A538" s="4">
        <v>46189.693368055552</v>
      </c>
      <c r="B538" t="s">
        <v>5353</v>
      </c>
    </row>
    <row r="539" spans="1:2">
      <c r="A539" s="4">
        <v>46189.693368055552</v>
      </c>
      <c r="B539" t="s">
        <v>5354</v>
      </c>
    </row>
    <row r="540" spans="1:2">
      <c r="A540" s="4">
        <v>46189.693379629629</v>
      </c>
      <c r="B540" t="s">
        <v>5355</v>
      </c>
    </row>
    <row r="541" spans="1:2">
      <c r="A541" s="4">
        <v>46189.701736111114</v>
      </c>
      <c r="B541" t="s">
        <v>5356</v>
      </c>
    </row>
    <row r="542" spans="1:2">
      <c r="A542" s="4">
        <v>46189.705914351849</v>
      </c>
      <c r="B542" t="s">
        <v>5357</v>
      </c>
    </row>
    <row r="543" spans="1:2">
      <c r="A543" s="4">
        <v>46189.705914351849</v>
      </c>
      <c r="B543" t="s">
        <v>5358</v>
      </c>
    </row>
    <row r="544" spans="1:2">
      <c r="A544" s="4">
        <v>46189.705914351849</v>
      </c>
      <c r="B544" t="s">
        <v>5359</v>
      </c>
    </row>
    <row r="545" spans="1:2">
      <c r="A545" s="4">
        <v>46189.710115740738</v>
      </c>
      <c r="B545" t="s">
        <v>5360</v>
      </c>
    </row>
    <row r="546" spans="1:2">
      <c r="A546" s="4">
        <v>46189.714305555557</v>
      </c>
      <c r="B546" t="s">
        <v>5361</v>
      </c>
    </row>
    <row r="547" spans="1:2">
      <c r="A547" s="4">
        <v>46190.299432870372</v>
      </c>
      <c r="B547" t="s">
        <v>5362</v>
      </c>
    </row>
    <row r="548" spans="1:2">
      <c r="A548" s="4">
        <v>46190.30777777778</v>
      </c>
      <c r="B548" t="s">
        <v>5363</v>
      </c>
    </row>
    <row r="549" spans="1:2">
      <c r="A549" s="4">
        <v>46190.307789351849</v>
      </c>
      <c r="B549" t="s">
        <v>5364</v>
      </c>
    </row>
    <row r="550" spans="1:2">
      <c r="A550" s="4">
        <v>46190.307789351849</v>
      </c>
      <c r="B550" t="s">
        <v>5365</v>
      </c>
    </row>
    <row r="551" spans="1:2">
      <c r="A551" s="4">
        <v>46190.39980324074</v>
      </c>
      <c r="B551" t="s">
        <v>5366</v>
      </c>
    </row>
    <row r="552" spans="1:2">
      <c r="A552" s="4">
        <v>46190.403981481482</v>
      </c>
      <c r="B552" t="s">
        <v>5367</v>
      </c>
    </row>
    <row r="553" spans="1:2">
      <c r="A553" s="4">
        <v>46190.433263888888</v>
      </c>
      <c r="B553" t="s">
        <v>5368</v>
      </c>
    </row>
    <row r="554" spans="1:2">
      <c r="A554" s="4">
        <v>46190.437442129631</v>
      </c>
      <c r="B554" t="s">
        <v>5369</v>
      </c>
    </row>
    <row r="555" spans="1:2">
      <c r="A555" s="4">
        <v>46190.475081018521</v>
      </c>
      <c r="B555" t="s">
        <v>5370</v>
      </c>
    </row>
    <row r="556" spans="1:2">
      <c r="A556" s="4">
        <v>46190.479259259257</v>
      </c>
      <c r="B556" t="s">
        <v>5371</v>
      </c>
    </row>
    <row r="557" spans="1:2">
      <c r="A557" s="4">
        <v>46190.550439814811</v>
      </c>
      <c r="B557" t="s">
        <v>5372</v>
      </c>
    </row>
    <row r="558" spans="1:2">
      <c r="A558" s="4">
        <v>46190.550439814811</v>
      </c>
      <c r="B558" t="s">
        <v>5373</v>
      </c>
    </row>
    <row r="559" spans="1:2">
      <c r="A559" s="4">
        <v>46190.554618055554</v>
      </c>
      <c r="B559" t="s">
        <v>5374</v>
      </c>
    </row>
    <row r="560" spans="1:2">
      <c r="A560" s="4">
        <v>46190.5546412037</v>
      </c>
      <c r="B560" t="s">
        <v>5375</v>
      </c>
    </row>
    <row r="561" spans="1:2">
      <c r="A561" s="4">
        <v>46190.596446759257</v>
      </c>
      <c r="B561" t="s">
        <v>5376</v>
      </c>
    </row>
    <row r="562" spans="1:2">
      <c r="A562" s="4">
        <v>46190.596458333333</v>
      </c>
      <c r="B562" t="s">
        <v>5377</v>
      </c>
    </row>
    <row r="563" spans="1:2">
      <c r="A563" s="4">
        <v>46190.604814814818</v>
      </c>
      <c r="B563" t="s">
        <v>5378</v>
      </c>
    </row>
    <row r="564" spans="1:2">
      <c r="A564" s="4">
        <v>46190.609039351853</v>
      </c>
      <c r="B564" t="s">
        <v>5379</v>
      </c>
    </row>
    <row r="565" spans="1:2">
      <c r="A565" s="4">
        <v>46190.621539351851</v>
      </c>
      <c r="B565" t="s">
        <v>5380</v>
      </c>
    </row>
    <row r="566" spans="1:2">
      <c r="A566" s="4">
        <v>46190.621539351851</v>
      </c>
      <c r="B566" t="s">
        <v>5381</v>
      </c>
    </row>
    <row r="567" spans="1:2">
      <c r="A567" s="4">
        <v>46190.636307870373</v>
      </c>
      <c r="B567" t="s">
        <v>5382</v>
      </c>
    </row>
    <row r="568" spans="1:2">
      <c r="A568" s="4">
        <v>46190.636307870373</v>
      </c>
      <c r="B568" t="s">
        <v>5383</v>
      </c>
    </row>
    <row r="569" spans="1:2">
      <c r="A569" s="4">
        <v>46190.653101851851</v>
      </c>
      <c r="B569" t="s">
        <v>5384</v>
      </c>
    </row>
    <row r="570" spans="1:2">
      <c r="A570" s="4">
        <v>46190.665636574071</v>
      </c>
      <c r="B570" t="s">
        <v>5385</v>
      </c>
    </row>
    <row r="571" spans="1:2">
      <c r="A571" s="4">
        <v>46190.686562499999</v>
      </c>
      <c r="B571" t="s">
        <v>5386</v>
      </c>
    </row>
    <row r="572" spans="1:2">
      <c r="A572" s="4">
        <v>46190.690740740742</v>
      </c>
      <c r="B572" t="s">
        <v>5387</v>
      </c>
    </row>
    <row r="573" spans="1:2">
      <c r="A573" s="4">
        <v>46190.690740740742</v>
      </c>
      <c r="B573" t="s">
        <v>5388</v>
      </c>
    </row>
    <row r="574" spans="1:2">
      <c r="A574" s="4">
        <v>46190.690740740742</v>
      </c>
      <c r="B574" t="s">
        <v>5389</v>
      </c>
    </row>
    <row r="575" spans="1:2">
      <c r="A575" s="4">
        <v>46190.707465277781</v>
      </c>
      <c r="B575" t="s">
        <v>5390</v>
      </c>
    </row>
    <row r="576" spans="1:2">
      <c r="A576" s="4">
        <v>46190.707465277781</v>
      </c>
      <c r="B576" t="s">
        <v>5391</v>
      </c>
    </row>
    <row r="577" spans="1:2">
      <c r="A577" s="4">
        <v>46190.707476851851</v>
      </c>
      <c r="B577" t="s">
        <v>5392</v>
      </c>
    </row>
    <row r="578" spans="1:2">
      <c r="A578" s="4">
        <v>46190.732557870368</v>
      </c>
      <c r="B578" t="s">
        <v>5393</v>
      </c>
    </row>
    <row r="579" spans="1:2">
      <c r="A579" s="4">
        <v>46191.355856481481</v>
      </c>
      <c r="B579" t="s">
        <v>5394</v>
      </c>
    </row>
    <row r="580" spans="1:2">
      <c r="A580" s="4">
        <v>46191.355856481481</v>
      </c>
      <c r="B580" t="s">
        <v>5395</v>
      </c>
    </row>
    <row r="581" spans="1:2">
      <c r="A581" s="4">
        <v>46191.355856481481</v>
      </c>
      <c r="B581" t="s">
        <v>5396</v>
      </c>
    </row>
    <row r="582" spans="1:2">
      <c r="A582" s="4">
        <v>46191.355844907404</v>
      </c>
      <c r="B582" t="s">
        <v>5397</v>
      </c>
    </row>
    <row r="583" spans="1:2">
      <c r="A583" s="4">
        <v>46191.397673611114</v>
      </c>
      <c r="B583" t="s">
        <v>5398</v>
      </c>
    </row>
    <row r="584" spans="1:2">
      <c r="A584" s="4">
        <v>46191.40185185185</v>
      </c>
      <c r="B584" t="s">
        <v>5399</v>
      </c>
    </row>
    <row r="585" spans="1:2">
      <c r="A585" s="4">
        <v>46191.40185185185</v>
      </c>
      <c r="B585" t="s">
        <v>5400</v>
      </c>
    </row>
    <row r="586" spans="1:2">
      <c r="A586" s="4">
        <v>46191.42696759259</v>
      </c>
      <c r="B586" t="s">
        <v>5401</v>
      </c>
    </row>
    <row r="587" spans="1:2">
      <c r="A587" s="4">
        <v>46191.431145833332</v>
      </c>
      <c r="B587" t="s">
        <v>5402</v>
      </c>
    </row>
    <row r="588" spans="1:2">
      <c r="A588" s="4">
        <v>46191.431145833332</v>
      </c>
      <c r="B588" t="s">
        <v>5403</v>
      </c>
    </row>
    <row r="589" spans="1:2">
      <c r="A589" s="4">
        <v>46191.502280092594</v>
      </c>
      <c r="B589" t="s">
        <v>5404</v>
      </c>
    </row>
    <row r="590" spans="1:2">
      <c r="A590" s="4">
        <v>46191.502280092594</v>
      </c>
      <c r="B590" t="s">
        <v>5405</v>
      </c>
    </row>
    <row r="591" spans="1:2">
      <c r="A591" s="4">
        <v>46191.502349537041</v>
      </c>
      <c r="B591" t="s">
        <v>5406</v>
      </c>
    </row>
    <row r="592" spans="1:2">
      <c r="A592" s="4">
        <v>46191.581759259258</v>
      </c>
      <c r="B592" t="s">
        <v>5407</v>
      </c>
    </row>
    <row r="593" spans="1:2">
      <c r="A593" s="4">
        <v>46191.581759259258</v>
      </c>
      <c r="B593" t="s">
        <v>5408</v>
      </c>
    </row>
    <row r="594" spans="1:2">
      <c r="A594" s="4">
        <v>46191.590104166666</v>
      </c>
      <c r="B594" t="s">
        <v>5409</v>
      </c>
    </row>
    <row r="595" spans="1:2">
      <c r="A595" s="4">
        <v>46191.590115740742</v>
      </c>
      <c r="B595" t="s">
        <v>5410</v>
      </c>
    </row>
    <row r="596" spans="1:2">
      <c r="A596" s="4">
        <v>46191.606851851851</v>
      </c>
      <c r="B596" t="s">
        <v>5411</v>
      </c>
    </row>
    <row r="597" spans="1:2">
      <c r="A597" s="4">
        <v>46191.623576388891</v>
      </c>
      <c r="B597" t="s">
        <v>5412</v>
      </c>
    </row>
    <row r="598" spans="1:2">
      <c r="A598" s="4">
        <v>46191.669618055559</v>
      </c>
      <c r="B598" t="s">
        <v>5413</v>
      </c>
    </row>
    <row r="599" spans="1:2">
      <c r="A599" s="4">
        <v>46191.690532407411</v>
      </c>
      <c r="B599" t="s">
        <v>5414</v>
      </c>
    </row>
    <row r="600" spans="1:2">
      <c r="A600" s="4">
        <v>46191.690532407411</v>
      </c>
      <c r="B600" t="s">
        <v>5415</v>
      </c>
    </row>
    <row r="601" spans="1:2">
      <c r="A601" s="4">
        <v>46191.690532407411</v>
      </c>
      <c r="B601" t="s">
        <v>5416</v>
      </c>
    </row>
    <row r="602" spans="1:2">
      <c r="A602" s="4">
        <v>46191.698900462965</v>
      </c>
      <c r="B602" t="s">
        <v>5417</v>
      </c>
    </row>
    <row r="603" spans="1:2">
      <c r="A603" s="4">
        <v>46191.698900462965</v>
      </c>
      <c r="B603" t="s">
        <v>5418</v>
      </c>
    </row>
    <row r="604" spans="1:2">
      <c r="A604" s="4">
        <v>46191.698900462965</v>
      </c>
      <c r="B604" t="s">
        <v>5419</v>
      </c>
    </row>
    <row r="605" spans="1:2">
      <c r="A605" s="4">
        <v>46191.698900462965</v>
      </c>
      <c r="B605" t="s">
        <v>5420</v>
      </c>
    </row>
    <row r="606" spans="1:2">
      <c r="A606" s="4">
        <v>46191.698912037034</v>
      </c>
      <c r="B606" t="s">
        <v>5421</v>
      </c>
    </row>
    <row r="607" spans="1:2">
      <c r="A607" s="4">
        <v>46191.702372685184</v>
      </c>
      <c r="B607" t="s">
        <v>5422</v>
      </c>
    </row>
    <row r="608" spans="1:2">
      <c r="A608" s="4">
        <v>46191.702372685184</v>
      </c>
      <c r="B608" t="s">
        <v>5423</v>
      </c>
    </row>
    <row r="609" spans="1:2">
      <c r="A609" s="4">
        <v>46191.719861111109</v>
      </c>
      <c r="B609" t="s">
        <v>5424</v>
      </c>
    </row>
    <row r="610" spans="1:2">
      <c r="A610" s="4">
        <v>46191.719861111109</v>
      </c>
      <c r="B610" t="s">
        <v>5425</v>
      </c>
    </row>
    <row r="611" spans="1:2">
      <c r="A611" s="4">
        <v>46192.305543981478</v>
      </c>
      <c r="B611" t="s">
        <v>5426</v>
      </c>
    </row>
    <row r="612" spans="1:2">
      <c r="A612" s="4">
        <v>46192.305555555555</v>
      </c>
      <c r="B612" t="s">
        <v>5427</v>
      </c>
    </row>
    <row r="613" spans="1:2">
      <c r="A613" s="4">
        <v>46192.30972222222</v>
      </c>
      <c r="B613" t="s">
        <v>5428</v>
      </c>
    </row>
    <row r="614" spans="1:2">
      <c r="A614" s="4">
        <v>46192.30972222222</v>
      </c>
      <c r="B614" t="s">
        <v>5429</v>
      </c>
    </row>
    <row r="615" spans="1:2">
      <c r="A615" s="4">
        <v>46192.339004629626</v>
      </c>
      <c r="B615" t="s">
        <v>5430</v>
      </c>
    </row>
    <row r="616" spans="1:2">
      <c r="A616" s="4">
        <v>46192.351574074077</v>
      </c>
      <c r="B616" t="s">
        <v>5431</v>
      </c>
    </row>
    <row r="617" spans="1:2">
      <c r="A617" s="4">
        <v>46192.443611111114</v>
      </c>
      <c r="B617" t="s">
        <v>5432</v>
      </c>
    </row>
    <row r="618" spans="1:2">
      <c r="A618" s="4">
        <v>46192.539895833332</v>
      </c>
      <c r="B618" t="s">
        <v>5433</v>
      </c>
    </row>
    <row r="619" spans="1:2">
      <c r="A619" s="4">
        <v>46192.539895833332</v>
      </c>
      <c r="B619" t="s">
        <v>5434</v>
      </c>
    </row>
    <row r="620" spans="1:2">
      <c r="A620" s="4">
        <v>46192.539895833332</v>
      </c>
      <c r="B620" t="s">
        <v>5435</v>
      </c>
    </row>
    <row r="621" spans="1:2">
      <c r="A621" s="4">
        <v>46192.577546296299</v>
      </c>
      <c r="B621" t="s">
        <v>5436</v>
      </c>
    </row>
    <row r="622" spans="1:2">
      <c r="A622" s="4">
        <v>46192.581724537034</v>
      </c>
      <c r="B622" t="s">
        <v>5437</v>
      </c>
    </row>
    <row r="623" spans="1:2">
      <c r="A623" s="4">
        <v>46192.590092592596</v>
      </c>
      <c r="B623" t="s">
        <v>5438</v>
      </c>
    </row>
    <row r="624" spans="1:2">
      <c r="A624" s="4">
        <v>46192.590092592596</v>
      </c>
      <c r="B624" t="s">
        <v>5439</v>
      </c>
    </row>
    <row r="625" spans="1:2">
      <c r="A625" s="4">
        <v>46192.590092592596</v>
      </c>
      <c r="B625" t="s">
        <v>5440</v>
      </c>
    </row>
    <row r="626" spans="1:2">
      <c r="A626" s="4">
        <v>46192.590092592596</v>
      </c>
      <c r="B626" t="s">
        <v>5441</v>
      </c>
    </row>
    <row r="627" spans="1:2">
      <c r="A627" s="4">
        <v>46192.590104166666</v>
      </c>
      <c r="B627" t="s">
        <v>5442</v>
      </c>
    </row>
    <row r="628" spans="1:2">
      <c r="A628" s="4">
        <v>46192.590138888889</v>
      </c>
      <c r="B628" t="s">
        <v>5443</v>
      </c>
    </row>
    <row r="629" spans="1:2">
      <c r="A629" s="4">
        <v>46192.615254629629</v>
      </c>
      <c r="B629" t="s">
        <v>5444</v>
      </c>
    </row>
    <row r="630" spans="1:2">
      <c r="A630" s="4">
        <v>46192.623622685183</v>
      </c>
      <c r="B630" t="s">
        <v>5445</v>
      </c>
    </row>
    <row r="631" spans="1:2">
      <c r="A631" s="4">
        <v>46192.623622685183</v>
      </c>
      <c r="B631" t="s">
        <v>5446</v>
      </c>
    </row>
    <row r="632" spans="1:2">
      <c r="A632" s="4">
        <v>46192.644548611112</v>
      </c>
      <c r="B632" t="s">
        <v>5447</v>
      </c>
    </row>
    <row r="633" spans="1:2">
      <c r="A633" s="4">
        <v>46192.678055555552</v>
      </c>
      <c r="B633" t="s">
        <v>5448</v>
      </c>
    </row>
    <row r="634" spans="1:2">
      <c r="A634" s="4">
        <v>46192.678055555552</v>
      </c>
      <c r="B634" t="s">
        <v>5449</v>
      </c>
    </row>
    <row r="635" spans="1:2">
      <c r="A635" s="4">
        <v>46192.678055555552</v>
      </c>
      <c r="B635" t="s">
        <v>5450</v>
      </c>
    </row>
    <row r="636" spans="1:2">
      <c r="A636" s="4">
        <v>46192.678055555552</v>
      </c>
      <c r="B636" t="s">
        <v>5451</v>
      </c>
    </row>
    <row r="637" spans="1:2">
      <c r="A637" s="4">
        <v>46192.681527777779</v>
      </c>
      <c r="B637" t="s">
        <v>5452</v>
      </c>
    </row>
    <row r="638" spans="1:2">
      <c r="A638" s="4">
        <v>46192.681539351855</v>
      </c>
      <c r="B638" t="s">
        <v>5453</v>
      </c>
    </row>
    <row r="639" spans="1:2">
      <c r="A639" s="4">
        <v>46192.681550925925</v>
      </c>
      <c r="B639" t="s">
        <v>5454</v>
      </c>
    </row>
    <row r="640" spans="1:2">
      <c r="A640" s="4">
        <v>46192.690613425926</v>
      </c>
      <c r="B640" t="s">
        <v>5455</v>
      </c>
    </row>
    <row r="641" spans="1:2">
      <c r="A641" s="4">
        <v>46192.690613425926</v>
      </c>
      <c r="B641" t="s">
        <v>5456</v>
      </c>
    </row>
    <row r="642" spans="1:2">
      <c r="A642" s="4">
        <v>46192.698981481481</v>
      </c>
      <c r="B642" t="s">
        <v>5457</v>
      </c>
    </row>
    <row r="643" spans="1:2">
      <c r="A643" s="4">
        <v>46192.698981481481</v>
      </c>
      <c r="B643" t="s">
        <v>5458</v>
      </c>
    </row>
    <row r="644" spans="1:2">
      <c r="A644" s="4">
        <v>46195.288518518515</v>
      </c>
      <c r="B644" t="s">
        <v>5459</v>
      </c>
    </row>
    <row r="645" spans="1:2">
      <c r="A645" s="4">
        <v>46195.288518518515</v>
      </c>
      <c r="B645" t="s">
        <v>5460</v>
      </c>
    </row>
    <row r="646" spans="1:2">
      <c r="A646" s="4">
        <v>46195.288518518515</v>
      </c>
      <c r="B646" t="s">
        <v>5461</v>
      </c>
    </row>
    <row r="647" spans="1:2">
      <c r="A647" s="4">
        <v>46195.322002314817</v>
      </c>
      <c r="B647" t="s">
        <v>5462</v>
      </c>
    </row>
    <row r="648" spans="1:2">
      <c r="A648" s="4">
        <v>46195.418252314812</v>
      </c>
      <c r="B648" t="s">
        <v>5463</v>
      </c>
    </row>
    <row r="649" spans="1:2">
      <c r="A649" s="4">
        <v>46195.472627314812</v>
      </c>
      <c r="B649" t="s">
        <v>5464</v>
      </c>
    </row>
    <row r="650" spans="1:2">
      <c r="A650" s="4">
        <v>46195.50199074074</v>
      </c>
      <c r="B650" t="s">
        <v>5465</v>
      </c>
    </row>
    <row r="651" spans="1:2">
      <c r="A651" s="4">
        <v>46195.564756944441</v>
      </c>
      <c r="B651" t="s">
        <v>5466</v>
      </c>
    </row>
    <row r="652" spans="1:2">
      <c r="A652" s="4">
        <v>46195.564756944441</v>
      </c>
      <c r="B652" t="s">
        <v>5467</v>
      </c>
    </row>
    <row r="653" spans="1:2">
      <c r="A653" s="4">
        <v>46195.564756944441</v>
      </c>
      <c r="B653" t="s">
        <v>5468</v>
      </c>
    </row>
    <row r="654" spans="1:2">
      <c r="A654" s="4">
        <v>46195.610763888886</v>
      </c>
      <c r="B654" t="s">
        <v>5469</v>
      </c>
    </row>
    <row r="655" spans="1:2">
      <c r="A655" s="4">
        <v>46195.610763888886</v>
      </c>
      <c r="B655" t="s">
        <v>5470</v>
      </c>
    </row>
    <row r="656" spans="1:2">
      <c r="A656" s="4">
        <v>46195.610763888886</v>
      </c>
      <c r="B656" t="s">
        <v>5471</v>
      </c>
    </row>
    <row r="657" spans="1:2">
      <c r="A657" s="4">
        <v>46195.614942129629</v>
      </c>
      <c r="B657" t="s">
        <v>5472</v>
      </c>
    </row>
    <row r="658" spans="1:2">
      <c r="A658" s="4">
        <v>46195.614942129629</v>
      </c>
      <c r="B658" t="s">
        <v>5473</v>
      </c>
    </row>
    <row r="659" spans="1:2">
      <c r="A659" s="4">
        <v>46195.614942129629</v>
      </c>
      <c r="B659" t="s">
        <v>5474</v>
      </c>
    </row>
    <row r="660" spans="1:2">
      <c r="A660" s="4">
        <v>46195.614942129629</v>
      </c>
      <c r="B660" t="s">
        <v>5475</v>
      </c>
    </row>
    <row r="661" spans="1:2">
      <c r="A661" s="4">
        <v>46195.623333333337</v>
      </c>
      <c r="B661" t="s">
        <v>5476</v>
      </c>
    </row>
    <row r="662" spans="1:2">
      <c r="A662" s="4">
        <v>46195.627511574072</v>
      </c>
      <c r="B662" t="s">
        <v>5477</v>
      </c>
    </row>
    <row r="663" spans="1:2">
      <c r="A663" s="4">
        <v>46195.627511574072</v>
      </c>
      <c r="B663" t="s">
        <v>5478</v>
      </c>
    </row>
    <row r="664" spans="1:2">
      <c r="A664" s="4">
        <v>46195.635868055557</v>
      </c>
      <c r="B664" t="s">
        <v>5479</v>
      </c>
    </row>
    <row r="665" spans="1:2">
      <c r="A665" s="4">
        <v>46195.656782407408</v>
      </c>
      <c r="B665" t="s">
        <v>5480</v>
      </c>
    </row>
    <row r="666" spans="1:2">
      <c r="A666" s="4">
        <v>46195.694479166668</v>
      </c>
      <c r="B666" t="s">
        <v>5481</v>
      </c>
    </row>
    <row r="667" spans="1:2">
      <c r="A667" s="4">
        <v>46195.715370370373</v>
      </c>
      <c r="B667" t="s">
        <v>5482</v>
      </c>
    </row>
    <row r="668" spans="1:2">
      <c r="A668" s="4">
        <v>46195.715370370373</v>
      </c>
      <c r="B668" t="s">
        <v>5483</v>
      </c>
    </row>
    <row r="669" spans="1:2">
      <c r="A669" s="4">
        <v>46195.715370370373</v>
      </c>
      <c r="B669" t="s">
        <v>5484</v>
      </c>
    </row>
    <row r="670" spans="1:2">
      <c r="A670" s="4">
        <v>46195.715370370373</v>
      </c>
      <c r="B670" t="s">
        <v>5485</v>
      </c>
    </row>
    <row r="671" spans="1:2">
      <c r="A671" s="4">
        <v>46195.715381944443</v>
      </c>
      <c r="B671" t="s">
        <v>5486</v>
      </c>
    </row>
    <row r="672" spans="1:2">
      <c r="A672" s="4">
        <v>46195.719560185185</v>
      </c>
      <c r="B672" t="s">
        <v>5487</v>
      </c>
    </row>
    <row r="673" spans="1:2">
      <c r="A673" s="4">
        <v>46195.719560185185</v>
      </c>
      <c r="B673" t="s">
        <v>5488</v>
      </c>
    </row>
    <row r="674" spans="1:2">
      <c r="A674" s="4">
        <v>46195.828356481485</v>
      </c>
      <c r="B674" t="s">
        <v>5489</v>
      </c>
    </row>
    <row r="675" spans="1:2">
      <c r="A675" s="4">
        <v>46195.828344907408</v>
      </c>
      <c r="B675" t="s">
        <v>5490</v>
      </c>
    </row>
    <row r="676" spans="1:2">
      <c r="A676" s="4">
        <v>46195.828356481485</v>
      </c>
      <c r="B676" t="s">
        <v>5491</v>
      </c>
    </row>
    <row r="677" spans="1:2">
      <c r="A677" s="4">
        <v>46195.828356481485</v>
      </c>
      <c r="B677" t="s">
        <v>5492</v>
      </c>
    </row>
    <row r="678" spans="1:2">
      <c r="A678" s="4">
        <v>46195.828356481485</v>
      </c>
      <c r="B678" t="s">
        <v>5493</v>
      </c>
    </row>
    <row r="679" spans="1:2">
      <c r="A679" s="4">
        <v>46195.828356481485</v>
      </c>
      <c r="B679" t="s">
        <v>5494</v>
      </c>
    </row>
    <row r="680" spans="1:2">
      <c r="A680" s="4">
        <v>46195.828356481485</v>
      </c>
      <c r="B680" t="s">
        <v>5495</v>
      </c>
    </row>
    <row r="681" spans="1:2">
      <c r="A681" s="4">
        <v>46195.828344907408</v>
      </c>
      <c r="B681" t="s">
        <v>5496</v>
      </c>
    </row>
    <row r="682" spans="1:2">
      <c r="A682" s="4">
        <v>46195.828344907408</v>
      </c>
      <c r="B682" t="s">
        <v>5497</v>
      </c>
    </row>
    <row r="683" spans="1:2">
      <c r="A683" s="4">
        <v>46195.828344907408</v>
      </c>
      <c r="B683" t="s">
        <v>5498</v>
      </c>
    </row>
    <row r="684" spans="1:2">
      <c r="A684" s="4">
        <v>46195.828356481485</v>
      </c>
      <c r="B684" t="s">
        <v>5499</v>
      </c>
    </row>
    <row r="685" spans="1:2">
      <c r="A685" s="4">
        <v>46195.828356481485</v>
      </c>
      <c r="B685" t="s">
        <v>5500</v>
      </c>
    </row>
    <row r="686" spans="1:2">
      <c r="A686" s="4">
        <v>46196.364004629628</v>
      </c>
      <c r="B686" t="s">
        <v>5501</v>
      </c>
    </row>
    <row r="687" spans="1:2">
      <c r="A687" s="4">
        <v>46196.569016203706</v>
      </c>
      <c r="B687" t="s">
        <v>5502</v>
      </c>
    </row>
    <row r="688" spans="1:2">
      <c r="A688" s="4">
        <v>46196.569016203706</v>
      </c>
      <c r="B688" t="s">
        <v>5503</v>
      </c>
    </row>
    <row r="689" spans="1:2">
      <c r="A689" s="4">
        <v>46196.569016203706</v>
      </c>
      <c r="B689" t="s">
        <v>5504</v>
      </c>
    </row>
    <row r="690" spans="1:2">
      <c r="A690" s="4">
        <v>46196.569016203706</v>
      </c>
      <c r="B690" t="s">
        <v>5505</v>
      </c>
    </row>
    <row r="691" spans="1:2">
      <c r="A691" s="4">
        <v>46196.572500000002</v>
      </c>
      <c r="B691" t="s">
        <v>5506</v>
      </c>
    </row>
    <row r="692" spans="1:2">
      <c r="A692" s="4">
        <v>46196.573194444441</v>
      </c>
      <c r="B692" t="s">
        <v>5507</v>
      </c>
    </row>
    <row r="693" spans="1:2">
      <c r="A693" s="4">
        <v>46196.573194444441</v>
      </c>
      <c r="B693" t="s">
        <v>5508</v>
      </c>
    </row>
    <row r="694" spans="1:2">
      <c r="A694" s="4">
        <v>46196.577372685184</v>
      </c>
      <c r="B694" t="s">
        <v>5509</v>
      </c>
    </row>
    <row r="695" spans="1:2">
      <c r="A695" s="4">
        <v>46196.615034722221</v>
      </c>
      <c r="B695" t="s">
        <v>5510</v>
      </c>
    </row>
    <row r="696" spans="1:2">
      <c r="A696" s="4">
        <v>46196.615034722221</v>
      </c>
      <c r="B696" t="s">
        <v>5511</v>
      </c>
    </row>
    <row r="697" spans="1:2">
      <c r="A697" s="4">
        <v>46196.615034722221</v>
      </c>
      <c r="B697" t="s">
        <v>5512</v>
      </c>
    </row>
    <row r="698" spans="1:2">
      <c r="A698" s="4">
        <v>46196.619212962964</v>
      </c>
      <c r="B698" t="s">
        <v>5513</v>
      </c>
    </row>
    <row r="699" spans="1:2">
      <c r="A699" s="4">
        <v>46196.619212962964</v>
      </c>
      <c r="B699" t="s">
        <v>5514</v>
      </c>
    </row>
    <row r="700" spans="1:2">
      <c r="A700" s="4">
        <v>46196.631782407407</v>
      </c>
      <c r="B700" t="s">
        <v>5515</v>
      </c>
    </row>
    <row r="701" spans="1:2">
      <c r="A701" s="4">
        <v>46196.631782407407</v>
      </c>
      <c r="B701" t="s">
        <v>5516</v>
      </c>
    </row>
    <row r="702" spans="1:2">
      <c r="A702" s="4">
        <v>46196.66946759259</v>
      </c>
      <c r="B702" t="s">
        <v>5517</v>
      </c>
    </row>
    <row r="703" spans="1:2">
      <c r="A703" s="4">
        <v>46196.690405092595</v>
      </c>
      <c r="B703" t="s">
        <v>5518</v>
      </c>
    </row>
    <row r="704" spans="1:2">
      <c r="A704" s="4">
        <v>46196.690405092595</v>
      </c>
      <c r="B704" t="s">
        <v>5519</v>
      </c>
    </row>
    <row r="705" spans="1:2">
      <c r="A705" s="4">
        <v>46196.690405092595</v>
      </c>
      <c r="B705" t="s">
        <v>5520</v>
      </c>
    </row>
    <row r="706" spans="1:2">
      <c r="A706" s="4">
        <v>46196.690405092595</v>
      </c>
      <c r="B706" t="s">
        <v>5521</v>
      </c>
    </row>
    <row r="707" spans="1:2">
      <c r="A707" s="4">
        <v>46196.690439814818</v>
      </c>
      <c r="B707" t="s">
        <v>5522</v>
      </c>
    </row>
    <row r="708" spans="1:2">
      <c r="A708" s="4">
        <v>46196.71130787037</v>
      </c>
      <c r="B708" t="s">
        <v>5523</v>
      </c>
    </row>
    <row r="709" spans="1:2">
      <c r="A709" s="4">
        <v>46197.301354166666</v>
      </c>
      <c r="B709" t="s">
        <v>5524</v>
      </c>
    </row>
    <row r="710" spans="1:2">
      <c r="A710" s="4">
        <v>46197.301354166666</v>
      </c>
      <c r="B710" t="s">
        <v>5525</v>
      </c>
    </row>
    <row r="711" spans="1:2">
      <c r="A711" s="4">
        <v>46197.313900462963</v>
      </c>
      <c r="B711" t="s">
        <v>5526</v>
      </c>
    </row>
    <row r="712" spans="1:2">
      <c r="A712" s="4">
        <v>46197.326458333337</v>
      </c>
      <c r="B712" t="s">
        <v>5527</v>
      </c>
    </row>
    <row r="713" spans="1:2">
      <c r="A713" s="4">
        <v>46197.326458333337</v>
      </c>
      <c r="B713" t="s">
        <v>5528</v>
      </c>
    </row>
    <row r="714" spans="1:2">
      <c r="A714" s="4">
        <v>46197.481261574074</v>
      </c>
      <c r="B714" t="s">
        <v>5529</v>
      </c>
    </row>
    <row r="715" spans="1:2">
      <c r="A715" s="4">
        <v>46197.506365740737</v>
      </c>
      <c r="B715" t="s">
        <v>5225</v>
      </c>
    </row>
    <row r="716" spans="1:2">
      <c r="A716" s="4">
        <v>46197.506365740737</v>
      </c>
      <c r="B716" t="s">
        <v>5530</v>
      </c>
    </row>
    <row r="717" spans="1:2">
      <c r="A717" s="4">
        <v>46197.552418981482</v>
      </c>
      <c r="B717" t="s">
        <v>5531</v>
      </c>
    </row>
    <row r="718" spans="1:2">
      <c r="A718" s="4">
        <v>46197.556585648148</v>
      </c>
      <c r="B718" t="s">
        <v>5532</v>
      </c>
    </row>
    <row r="719" spans="1:2">
      <c r="A719" s="4">
        <v>46197.556585648148</v>
      </c>
      <c r="B719" t="s">
        <v>5533</v>
      </c>
    </row>
    <row r="720" spans="1:2">
      <c r="A720" s="4">
        <v>46197.556585648148</v>
      </c>
      <c r="B720" t="s">
        <v>5534</v>
      </c>
    </row>
    <row r="721" spans="1:2">
      <c r="A721" s="4">
        <v>46197.556597222225</v>
      </c>
      <c r="B721" t="s">
        <v>5535</v>
      </c>
    </row>
    <row r="722" spans="1:2">
      <c r="A722" s="4">
        <v>46197.556608796294</v>
      </c>
      <c r="B722" t="s">
        <v>5536</v>
      </c>
    </row>
    <row r="723" spans="1:2">
      <c r="A723" s="4">
        <v>46197.56077546296</v>
      </c>
      <c r="B723" t="s">
        <v>5537</v>
      </c>
    </row>
    <row r="724" spans="1:2">
      <c r="A724" s="4">
        <v>46197.56077546296</v>
      </c>
      <c r="B724" t="s">
        <v>5538</v>
      </c>
    </row>
    <row r="725" spans="1:2">
      <c r="A725" s="4">
        <v>46197.564953703702</v>
      </c>
      <c r="B725" t="s">
        <v>5539</v>
      </c>
    </row>
    <row r="726" spans="1:2">
      <c r="A726" s="4">
        <v>46197.564953703702</v>
      </c>
      <c r="B726" t="s">
        <v>5540</v>
      </c>
    </row>
    <row r="727" spans="1:2">
      <c r="A727" s="4">
        <v>46197.573321759257</v>
      </c>
      <c r="B727" t="s">
        <v>5541</v>
      </c>
    </row>
    <row r="728" spans="1:2">
      <c r="A728" s="4">
        <v>46197.631921296299</v>
      </c>
      <c r="B728" t="s">
        <v>5542</v>
      </c>
    </row>
    <row r="729" spans="1:2">
      <c r="A729" s="4">
        <v>46197.631921296299</v>
      </c>
      <c r="B729" t="s">
        <v>5543</v>
      </c>
    </row>
    <row r="730" spans="1:2">
      <c r="A730" s="4">
        <v>46197.631921296299</v>
      </c>
      <c r="B730" t="s">
        <v>5544</v>
      </c>
    </row>
    <row r="731" spans="1:2">
      <c r="A731" s="4">
        <v>46197.648645833331</v>
      </c>
      <c r="B731" t="s">
        <v>5545</v>
      </c>
    </row>
    <row r="732" spans="1:2">
      <c r="A732" s="4">
        <v>46197.65283564815</v>
      </c>
      <c r="B732" t="s">
        <v>5546</v>
      </c>
    </row>
    <row r="733" spans="1:2">
      <c r="A733" s="4">
        <v>46197.686331018522</v>
      </c>
      <c r="B733" t="s">
        <v>5547</v>
      </c>
    </row>
    <row r="734" spans="1:2">
      <c r="A734" s="4">
        <v>46197.686331018522</v>
      </c>
      <c r="B734" t="s">
        <v>5548</v>
      </c>
    </row>
    <row r="735" spans="1:2">
      <c r="A735" s="4">
        <v>46197.686331018522</v>
      </c>
      <c r="B735" t="s">
        <v>5549</v>
      </c>
    </row>
    <row r="736" spans="1:2">
      <c r="A736" s="4">
        <v>46197.690497685187</v>
      </c>
      <c r="B736" t="s">
        <v>5550</v>
      </c>
    </row>
    <row r="737" spans="1:2">
      <c r="A737" s="4">
        <v>46197.690497685187</v>
      </c>
      <c r="B737" t="s">
        <v>5551</v>
      </c>
    </row>
    <row r="738" spans="1:2">
      <c r="A738" s="4">
        <v>46197.690497685187</v>
      </c>
      <c r="B738" t="s">
        <v>5552</v>
      </c>
    </row>
    <row r="739" spans="1:2">
      <c r="A739" s="4">
        <v>46197.690509259257</v>
      </c>
      <c r="B739" t="s">
        <v>5553</v>
      </c>
    </row>
    <row r="740" spans="1:2">
      <c r="A740" s="4">
        <v>46197.690509259257</v>
      </c>
      <c r="B740" t="s">
        <v>5554</v>
      </c>
    </row>
    <row r="741" spans="1:2">
      <c r="A741" s="4">
        <v>46197.693981481483</v>
      </c>
      <c r="B741" t="s">
        <v>5555</v>
      </c>
    </row>
    <row r="742" spans="1:2">
      <c r="A742" s="4">
        <v>46197.693981481483</v>
      </c>
      <c r="B742" t="s">
        <v>5556</v>
      </c>
    </row>
    <row r="743" spans="1:2">
      <c r="A743" s="4">
        <v>46197.693981481483</v>
      </c>
      <c r="B743" t="s">
        <v>5557</v>
      </c>
    </row>
    <row r="744" spans="1:2">
      <c r="A744" s="4">
        <v>46197.694687499999</v>
      </c>
      <c r="B744" t="s">
        <v>5558</v>
      </c>
    </row>
    <row r="745" spans="1:2">
      <c r="A745" s="4">
        <v>46197.694687499999</v>
      </c>
      <c r="B745" t="s">
        <v>5559</v>
      </c>
    </row>
    <row r="746" spans="1:2">
      <c r="A746" s="4">
        <v>46197.774259259262</v>
      </c>
      <c r="B746" t="s">
        <v>5560</v>
      </c>
    </row>
    <row r="747" spans="1:2">
      <c r="A747" s="4">
        <v>46197.774259259262</v>
      </c>
      <c r="B747" t="s">
        <v>5561</v>
      </c>
    </row>
    <row r="748" spans="1:2">
      <c r="A748" s="4">
        <v>46198.352048611108</v>
      </c>
      <c r="B748" t="s">
        <v>5562</v>
      </c>
    </row>
    <row r="749" spans="1:2">
      <c r="A749" s="4">
        <v>46198.402256944442</v>
      </c>
      <c r="B749" t="s">
        <v>5563</v>
      </c>
    </row>
    <row r="750" spans="1:2">
      <c r="A750" s="4">
        <v>46198.402256944442</v>
      </c>
      <c r="B750" t="s">
        <v>5564</v>
      </c>
    </row>
    <row r="751" spans="1:2">
      <c r="A751" s="4">
        <v>46198.402256944442</v>
      </c>
      <c r="B751" t="s">
        <v>5565</v>
      </c>
    </row>
    <row r="752" spans="1:2">
      <c r="A752" s="4">
        <v>46198.402268518519</v>
      </c>
      <c r="B752" t="s">
        <v>5566</v>
      </c>
    </row>
    <row r="753" spans="1:2">
      <c r="A753" s="4">
        <v>46198.506944444445</v>
      </c>
      <c r="B753" t="s">
        <v>5567</v>
      </c>
    </row>
    <row r="754" spans="1:2">
      <c r="A754" s="4">
        <v>46198.506956018522</v>
      </c>
      <c r="B754" t="s">
        <v>5568</v>
      </c>
    </row>
    <row r="755" spans="1:2">
      <c r="A755" s="4">
        <v>46198.506944444445</v>
      </c>
      <c r="B755" t="s">
        <v>5569</v>
      </c>
    </row>
    <row r="756" spans="1:2">
      <c r="A756" s="4">
        <v>46198.511145833334</v>
      </c>
      <c r="B756" t="s">
        <v>5570</v>
      </c>
    </row>
    <row r="757" spans="1:2">
      <c r="A757" s="4">
        <v>46198.511145833334</v>
      </c>
      <c r="B757" t="s">
        <v>5571</v>
      </c>
    </row>
    <row r="758" spans="1:2">
      <c r="A758" s="4">
        <v>46198.511145833334</v>
      </c>
      <c r="B758" t="s">
        <v>5572</v>
      </c>
    </row>
    <row r="759" spans="1:2">
      <c r="A759" s="4">
        <v>46198.511145833334</v>
      </c>
      <c r="B759" t="s">
        <v>5573</v>
      </c>
    </row>
    <row r="760" spans="1:2">
      <c r="A760" s="4">
        <v>46198.540439814817</v>
      </c>
      <c r="B760" t="s">
        <v>5574</v>
      </c>
    </row>
    <row r="761" spans="1:2">
      <c r="A761" s="4">
        <v>46198.540439814817</v>
      </c>
      <c r="B761" t="s">
        <v>5575</v>
      </c>
    </row>
    <row r="762" spans="1:2">
      <c r="A762" s="4">
        <v>46198.544687499998</v>
      </c>
      <c r="B762" t="s">
        <v>5576</v>
      </c>
    </row>
    <row r="763" spans="1:2">
      <c r="A763" s="4">
        <v>46198.574004629627</v>
      </c>
      <c r="B763" t="s">
        <v>5577</v>
      </c>
    </row>
    <row r="764" spans="1:2">
      <c r="A764" s="4">
        <v>46198.574004629627</v>
      </c>
      <c r="B764" t="s">
        <v>5578</v>
      </c>
    </row>
    <row r="765" spans="1:2">
      <c r="A765" s="4">
        <v>46198.5781712963</v>
      </c>
      <c r="B765" t="s">
        <v>5579</v>
      </c>
    </row>
    <row r="766" spans="1:2">
      <c r="A766" s="4">
        <v>46198.578182870369</v>
      </c>
      <c r="B766" t="s">
        <v>5580</v>
      </c>
    </row>
    <row r="767" spans="1:2">
      <c r="A767" s="4">
        <v>46198.578182870369</v>
      </c>
      <c r="B767" t="s">
        <v>5581</v>
      </c>
    </row>
    <row r="768" spans="1:2">
      <c r="A768" s="4">
        <v>46198.594918981478</v>
      </c>
      <c r="B768" t="s">
        <v>5582</v>
      </c>
    </row>
    <row r="769" spans="1:2">
      <c r="A769" s="4">
        <v>46198.599097222221</v>
      </c>
      <c r="B769" t="s">
        <v>5583</v>
      </c>
    </row>
    <row r="770" spans="1:2">
      <c r="A770" s="4">
        <v>46198.60328703704</v>
      </c>
      <c r="B770" t="s">
        <v>5584</v>
      </c>
    </row>
    <row r="771" spans="1:2">
      <c r="A771" s="4">
        <v>46198.687025462961</v>
      </c>
      <c r="B771" t="s">
        <v>5585</v>
      </c>
    </row>
    <row r="772" spans="1:2">
      <c r="A772" s="4">
        <v>46198.691192129627</v>
      </c>
      <c r="B772" t="s">
        <v>5586</v>
      </c>
    </row>
    <row r="773" spans="1:2">
      <c r="A773" s="4">
        <v>46198.691192129627</v>
      </c>
      <c r="B773" t="s">
        <v>5587</v>
      </c>
    </row>
    <row r="774" spans="1:2">
      <c r="A774" s="4">
        <v>46198.695381944446</v>
      </c>
      <c r="B774" t="s">
        <v>5588</v>
      </c>
    </row>
    <row r="775" spans="1:2">
      <c r="A775" s="4">
        <v>46198.695381944446</v>
      </c>
      <c r="B775" t="s">
        <v>5589</v>
      </c>
    </row>
    <row r="776" spans="1:2">
      <c r="A776" s="4">
        <v>46198.695393518516</v>
      </c>
      <c r="B776" t="s">
        <v>5590</v>
      </c>
    </row>
    <row r="777" spans="1:2">
      <c r="A777" s="4">
        <v>46198.712129629632</v>
      </c>
      <c r="B777" t="s">
        <v>5591</v>
      </c>
    </row>
    <row r="778" spans="1:2">
      <c r="A778" s="4">
        <v>46198.716307870367</v>
      </c>
      <c r="B778" t="s">
        <v>5592</v>
      </c>
    </row>
    <row r="779" spans="1:2">
      <c r="A779" s="4">
        <v>46198.716307870367</v>
      </c>
      <c r="B779" t="s">
        <v>5593</v>
      </c>
    </row>
    <row r="780" spans="1:2">
      <c r="A780" s="4">
        <v>46198.720497685186</v>
      </c>
      <c r="B780" t="s">
        <v>5594</v>
      </c>
    </row>
    <row r="781" spans="1:2">
      <c r="A781" s="4">
        <v>46198.724687499998</v>
      </c>
      <c r="B781" t="s">
        <v>5595</v>
      </c>
    </row>
    <row r="782" spans="1:2">
      <c r="A782" s="4">
        <v>46198.724687499998</v>
      </c>
      <c r="B782" t="s">
        <v>5596</v>
      </c>
    </row>
    <row r="783" spans="1:2">
      <c r="A783" s="4">
        <v>46199.284942129627</v>
      </c>
      <c r="B783" t="s">
        <v>5597</v>
      </c>
    </row>
    <row r="784" spans="1:2">
      <c r="A784" s="4">
        <v>46199.284942129627</v>
      </c>
      <c r="B784" t="s">
        <v>5598</v>
      </c>
    </row>
    <row r="785" spans="1:2">
      <c r="A785" s="4">
        <v>46199.360266203701</v>
      </c>
      <c r="B785" t="s">
        <v>5599</v>
      </c>
    </row>
    <row r="786" spans="1:2">
      <c r="A786" s="4">
        <v>46199.360277777778</v>
      </c>
      <c r="B786" t="s">
        <v>5600</v>
      </c>
    </row>
    <row r="787" spans="1:2">
      <c r="A787" s="4">
        <v>46199.360266203701</v>
      </c>
      <c r="B787" t="s">
        <v>5601</v>
      </c>
    </row>
    <row r="788" spans="1:2">
      <c r="A788" s="4">
        <v>46199.372824074075</v>
      </c>
      <c r="B788" t="s">
        <v>5602</v>
      </c>
    </row>
    <row r="789" spans="1:2">
      <c r="A789" s="4">
        <v>46199.377013888887</v>
      </c>
      <c r="B789" t="s">
        <v>5603</v>
      </c>
    </row>
    <row r="790" spans="1:2">
      <c r="A790" s="4">
        <v>46199.377013888887</v>
      </c>
      <c r="B790" t="s">
        <v>5604</v>
      </c>
    </row>
    <row r="791" spans="1:2">
      <c r="A791" s="4">
        <v>46199.377013888887</v>
      </c>
      <c r="B791" t="s">
        <v>5605</v>
      </c>
    </row>
    <row r="792" spans="1:2">
      <c r="A792" s="4">
        <v>46199.377013888887</v>
      </c>
      <c r="B792" t="s">
        <v>5606</v>
      </c>
    </row>
    <row r="793" spans="1:2">
      <c r="A793" s="4">
        <v>46199.506828703707</v>
      </c>
      <c r="B793" t="s">
        <v>5607</v>
      </c>
    </row>
    <row r="794" spans="1:2">
      <c r="A794" s="4">
        <v>46199.552881944444</v>
      </c>
      <c r="B794" t="s">
        <v>5608</v>
      </c>
    </row>
    <row r="795" spans="1:2">
      <c r="A795" s="4">
        <v>46199.552881944444</v>
      </c>
      <c r="B795" t="s">
        <v>5609</v>
      </c>
    </row>
    <row r="796" spans="1:2">
      <c r="A796" s="4">
        <v>46199.565451388888</v>
      </c>
      <c r="B796" t="s">
        <v>5610</v>
      </c>
    </row>
    <row r="797" spans="1:2">
      <c r="A797" s="4">
        <v>46199.56962962963</v>
      </c>
      <c r="B797" t="s">
        <v>5611</v>
      </c>
    </row>
    <row r="798" spans="1:2">
      <c r="A798" s="4">
        <v>46199.569641203707</v>
      </c>
      <c r="B798" t="s">
        <v>5612</v>
      </c>
    </row>
    <row r="799" spans="1:2">
      <c r="A799" s="4">
        <v>46199.56962962963</v>
      </c>
      <c r="B799" t="s">
        <v>5613</v>
      </c>
    </row>
    <row r="800" spans="1:2">
      <c r="A800" s="4">
        <v>46199.569641203707</v>
      </c>
      <c r="B800" t="s">
        <v>5614</v>
      </c>
    </row>
    <row r="801" spans="1:2">
      <c r="A801" s="4">
        <v>46199.896168981482</v>
      </c>
      <c r="B801" t="s">
        <v>5615</v>
      </c>
    </row>
    <row r="802" spans="1:2">
      <c r="A802" s="4">
        <v>46200.285474537035</v>
      </c>
      <c r="B802" t="s">
        <v>5616</v>
      </c>
    </row>
    <row r="803" spans="1:2">
      <c r="A803" s="4">
        <v>46200.289664351854</v>
      </c>
      <c r="B803" t="s">
        <v>5617</v>
      </c>
    </row>
    <row r="804" spans="1:2">
      <c r="A804" s="4">
        <v>46200.47797453704</v>
      </c>
      <c r="B804" t="s">
        <v>5618</v>
      </c>
    </row>
    <row r="805" spans="1:2">
      <c r="A805" s="4">
        <v>46202.27820601852</v>
      </c>
      <c r="B805" t="s">
        <v>5619</v>
      </c>
    </row>
    <row r="806" spans="1:2">
      <c r="A806" s="4">
        <v>46202.27820601852</v>
      </c>
      <c r="B806" t="s">
        <v>5620</v>
      </c>
    </row>
    <row r="807" spans="1:2">
      <c r="A807" s="4">
        <v>46202.278217592589</v>
      </c>
      <c r="B807" t="s">
        <v>5621</v>
      </c>
    </row>
    <row r="808" spans="1:2">
      <c r="A808" s="4">
        <v>46202.294942129629</v>
      </c>
      <c r="B808" t="s">
        <v>5622</v>
      </c>
    </row>
    <row r="809" spans="1:2">
      <c r="A809" s="4">
        <v>46202.294942129629</v>
      </c>
      <c r="B809" t="s">
        <v>5623</v>
      </c>
    </row>
    <row r="810" spans="1:2">
      <c r="A810" s="4">
        <v>46202.378680555557</v>
      </c>
      <c r="B810" t="s">
        <v>5624</v>
      </c>
    </row>
    <row r="811" spans="1:2">
      <c r="A811" s="4">
        <v>46203.357835648145</v>
      </c>
      <c r="B811" t="s">
        <v>5625</v>
      </c>
    </row>
    <row r="812" spans="1:2">
      <c r="A812" s="4">
        <v>46203.358518518522</v>
      </c>
      <c r="B812" t="s">
        <v>5626</v>
      </c>
    </row>
    <row r="813" spans="1:2">
      <c r="A813" s="4">
        <v>46203.567997685182</v>
      </c>
      <c r="B813" t="s">
        <v>5627</v>
      </c>
    </row>
    <row r="814" spans="1:2">
      <c r="A814" s="4">
        <v>46203.614039351851</v>
      </c>
      <c r="B814" t="s">
        <v>5628</v>
      </c>
    </row>
    <row r="815" spans="1:2">
      <c r="A815" s="4">
        <v>46203.614050925928</v>
      </c>
      <c r="B815" t="s">
        <v>5629</v>
      </c>
    </row>
    <row r="816" spans="1:2">
      <c r="A816" s="4">
        <v>46203.614039351851</v>
      </c>
      <c r="B816" t="s">
        <v>5630</v>
      </c>
    </row>
    <row r="817" spans="1:2">
      <c r="A817" s="4">
        <v>46203.61822916667</v>
      </c>
      <c r="B817" t="s">
        <v>5631</v>
      </c>
    </row>
    <row r="818" spans="1:2">
      <c r="A818" s="4">
        <v>46203.626608796294</v>
      </c>
      <c r="B818" t="s">
        <v>5632</v>
      </c>
    </row>
    <row r="819" spans="1:2">
      <c r="A819" s="4">
        <v>46203.626608796294</v>
      </c>
      <c r="B819" t="s">
        <v>5633</v>
      </c>
    </row>
    <row r="820" spans="1:2">
      <c r="A820" s="4">
        <v>46203.626608796294</v>
      </c>
      <c r="B820" t="s">
        <v>5634</v>
      </c>
    </row>
    <row r="821" spans="1:2">
      <c r="A821" s="4">
        <v>46203.626608796294</v>
      </c>
      <c r="B821" t="s">
        <v>5635</v>
      </c>
    </row>
    <row r="822" spans="1:2">
      <c r="A822" s="4">
        <v>46203.63008101852</v>
      </c>
      <c r="B822" t="s">
        <v>5636</v>
      </c>
    </row>
    <row r="823" spans="1:2">
      <c r="A823" s="4">
        <v>46203.63008101852</v>
      </c>
      <c r="B823" t="s">
        <v>5637</v>
      </c>
    </row>
    <row r="824" spans="1:2">
      <c r="A824" s="4">
        <v>46203.63008101852</v>
      </c>
      <c r="B824" t="s">
        <v>5638</v>
      </c>
    </row>
    <row r="825" spans="1:2">
      <c r="A825" s="4">
        <v>46203.63008101852</v>
      </c>
      <c r="B825" t="s">
        <v>5639</v>
      </c>
    </row>
    <row r="826" spans="1:2">
      <c r="A826" s="4">
        <v>46203.63008101852</v>
      </c>
      <c r="B826" t="s">
        <v>5640</v>
      </c>
    </row>
    <row r="827" spans="1:2">
      <c r="A827" s="4">
        <v>46203.63009259259</v>
      </c>
      <c r="B827" t="s">
        <v>5641</v>
      </c>
    </row>
    <row r="828" spans="1:2">
      <c r="A828" s="4">
        <v>46203.63653935185</v>
      </c>
      <c r="B828" t="s">
        <v>5642</v>
      </c>
    </row>
    <row r="829" spans="1:2">
      <c r="A829" s="4">
        <v>46203.668506944443</v>
      </c>
      <c r="B829" t="s">
        <v>5643</v>
      </c>
    </row>
    <row r="830" spans="1:2">
      <c r="A830" s="4">
        <v>46203.668495370373</v>
      </c>
      <c r="B830" t="s">
        <v>5644</v>
      </c>
    </row>
    <row r="831" spans="1:2">
      <c r="A831" s="4">
        <v>46203.668506944443</v>
      </c>
      <c r="B831" t="s">
        <v>5645</v>
      </c>
    </row>
    <row r="832" spans="1:2">
      <c r="A832" s="4">
        <v>46203.66851851852</v>
      </c>
      <c r="B832" t="s">
        <v>5646</v>
      </c>
    </row>
    <row r="833" spans="1:2">
      <c r="A833" s="4">
        <v>46203.672685185185</v>
      </c>
      <c r="B833" t="s">
        <v>5647</v>
      </c>
    </row>
    <row r="834" spans="1:2">
      <c r="A834" s="4">
        <v>46203.672696759262</v>
      </c>
      <c r="B834" t="s">
        <v>5648</v>
      </c>
    </row>
    <row r="835" spans="1:2">
      <c r="A835" s="4">
        <v>46203.672696759262</v>
      </c>
      <c r="B835" t="s">
        <v>5649</v>
      </c>
    </row>
    <row r="836" spans="1:2">
      <c r="A836" s="4">
        <v>46203.672696759262</v>
      </c>
      <c r="B836" t="s">
        <v>5650</v>
      </c>
    </row>
    <row r="837" spans="1:2">
      <c r="A837" s="4">
        <v>46204.31354166667</v>
      </c>
      <c r="B837" t="s">
        <v>5651</v>
      </c>
    </row>
    <row r="838" spans="1:2">
      <c r="A838" s="4">
        <v>46204.31354166667</v>
      </c>
      <c r="B838" t="s">
        <v>5652</v>
      </c>
    </row>
    <row r="839" spans="1:2">
      <c r="A839" s="4">
        <v>46204.31354166667</v>
      </c>
      <c r="B839" t="s">
        <v>5653</v>
      </c>
    </row>
    <row r="840" spans="1:2">
      <c r="A840" s="4">
        <v>46204.31354166667</v>
      </c>
      <c r="B840" t="s">
        <v>5654</v>
      </c>
    </row>
    <row r="841" spans="1:2">
      <c r="A841" s="4">
        <v>46204.338645833333</v>
      </c>
      <c r="B841" t="s">
        <v>5655</v>
      </c>
    </row>
    <row r="842" spans="1:2">
      <c r="A842" s="4">
        <v>46204.351203703707</v>
      </c>
      <c r="B842" t="s">
        <v>5656</v>
      </c>
    </row>
    <row r="843" spans="1:2">
      <c r="A843" s="4">
        <v>46204.405636574076</v>
      </c>
      <c r="B843" t="s">
        <v>5657</v>
      </c>
    </row>
    <row r="844" spans="1:2">
      <c r="A844" s="4">
        <v>46204.447523148148</v>
      </c>
      <c r="B844" t="s">
        <v>5658</v>
      </c>
    </row>
    <row r="845" spans="1:2">
      <c r="A845" s="4">
        <v>46204.447523148148</v>
      </c>
      <c r="B845" t="s">
        <v>5659</v>
      </c>
    </row>
    <row r="846" spans="1:2">
      <c r="A846" s="4">
        <v>46204.447546296295</v>
      </c>
      <c r="B846" t="s">
        <v>5660</v>
      </c>
    </row>
    <row r="847" spans="1:2">
      <c r="A847" s="4">
        <v>46204.451782407406</v>
      </c>
      <c r="B847" t="s">
        <v>5661</v>
      </c>
    </row>
    <row r="848" spans="1:2">
      <c r="A848" s="4">
        <v>46204.543958333335</v>
      </c>
      <c r="B848" t="s">
        <v>5662</v>
      </c>
    </row>
    <row r="849" spans="1:2">
      <c r="A849" s="4">
        <v>46204.543958333335</v>
      </c>
      <c r="B849" t="s">
        <v>5663</v>
      </c>
    </row>
    <row r="850" spans="1:2">
      <c r="A850" s="4">
        <v>46204.543958333335</v>
      </c>
      <c r="B850" t="s">
        <v>5664</v>
      </c>
    </row>
    <row r="851" spans="1:2">
      <c r="A851" s="4">
        <v>46204.543958333335</v>
      </c>
      <c r="B851" t="s">
        <v>5665</v>
      </c>
    </row>
    <row r="852" spans="1:2">
      <c r="A852" s="4">
        <v>46204.543969907405</v>
      </c>
      <c r="B852" t="s">
        <v>5666</v>
      </c>
    </row>
    <row r="853" spans="1:2">
      <c r="A853" s="4">
        <v>46204.543969907405</v>
      </c>
      <c r="B853" t="s">
        <v>5667</v>
      </c>
    </row>
    <row r="854" spans="1:2">
      <c r="A854" s="4">
        <v>46204.547430555554</v>
      </c>
      <c r="B854" t="s">
        <v>5668</v>
      </c>
    </row>
    <row r="855" spans="1:2">
      <c r="A855" s="4">
        <v>46204.547430555554</v>
      </c>
      <c r="B855" t="s">
        <v>5669</v>
      </c>
    </row>
    <row r="856" spans="1:2">
      <c r="A856" s="4">
        <v>46204.547430555554</v>
      </c>
      <c r="B856" t="s">
        <v>5670</v>
      </c>
    </row>
    <row r="857" spans="1:2">
      <c r="A857" s="4">
        <v>46204.560717592591</v>
      </c>
      <c r="B857" t="s">
        <v>5671</v>
      </c>
    </row>
    <row r="858" spans="1:2">
      <c r="A858" s="4">
        <v>46204.573263888888</v>
      </c>
      <c r="B858" t="s">
        <v>5672</v>
      </c>
    </row>
    <row r="859" spans="1:2">
      <c r="A859" s="4">
        <v>46204.59003472222</v>
      </c>
      <c r="B859" t="s">
        <v>5673</v>
      </c>
    </row>
    <row r="860" spans="1:2">
      <c r="A860" s="4">
        <v>46204.59003472222</v>
      </c>
      <c r="B860" t="s">
        <v>5674</v>
      </c>
    </row>
    <row r="861" spans="1:2">
      <c r="A861" s="4">
        <v>46204.631921296299</v>
      </c>
      <c r="B861" t="s">
        <v>5675</v>
      </c>
    </row>
    <row r="862" spans="1:2">
      <c r="A862" s="4">
        <v>46204.631921296299</v>
      </c>
      <c r="B862" t="s">
        <v>5676</v>
      </c>
    </row>
    <row r="863" spans="1:2">
      <c r="A863" s="4">
        <v>46204.640324074076</v>
      </c>
      <c r="B863" t="s">
        <v>5677</v>
      </c>
    </row>
    <row r="864" spans="1:2">
      <c r="A864" s="4">
        <v>46204.640324074076</v>
      </c>
      <c r="B864" t="s">
        <v>5678</v>
      </c>
    </row>
    <row r="865" spans="1:2">
      <c r="A865" s="4">
        <v>46204.640324074076</v>
      </c>
      <c r="B865" t="s">
        <v>5679</v>
      </c>
    </row>
    <row r="866" spans="1:2">
      <c r="A866" s="4">
        <v>46204.640324074076</v>
      </c>
      <c r="B866" t="s">
        <v>5680</v>
      </c>
    </row>
    <row r="867" spans="1:2">
      <c r="A867" s="4">
        <v>46204.640335648146</v>
      </c>
      <c r="B867" t="s">
        <v>5681</v>
      </c>
    </row>
    <row r="868" spans="1:2">
      <c r="A868" s="4">
        <v>46204.678032407406</v>
      </c>
      <c r="B868" t="s">
        <v>5682</v>
      </c>
    </row>
    <row r="869" spans="1:2">
      <c r="A869" s="4">
        <v>46204.711527777778</v>
      </c>
      <c r="B869" t="s">
        <v>5683</v>
      </c>
    </row>
    <row r="870" spans="1:2">
      <c r="A870" s="4">
        <v>46204.715717592589</v>
      </c>
      <c r="B870" t="s">
        <v>5684</v>
      </c>
    </row>
    <row r="871" spans="1:2">
      <c r="A871" s="4">
        <v>46205.352418981478</v>
      </c>
      <c r="B871" t="s">
        <v>5685</v>
      </c>
    </row>
    <row r="872" spans="1:2">
      <c r="A872" s="4">
        <v>46205.352418981478</v>
      </c>
      <c r="B872" t="s">
        <v>5686</v>
      </c>
    </row>
    <row r="873" spans="1:2">
      <c r="A873" s="4">
        <v>46205.352418981478</v>
      </c>
      <c r="B873" t="s">
        <v>5687</v>
      </c>
    </row>
    <row r="874" spans="1:2">
      <c r="A874" s="4">
        <v>46205.35659722222</v>
      </c>
      <c r="B874" t="s">
        <v>5688</v>
      </c>
    </row>
    <row r="875" spans="1:2">
      <c r="A875" s="4">
        <v>46205.35659722222</v>
      </c>
      <c r="B875" t="s">
        <v>5689</v>
      </c>
    </row>
    <row r="876" spans="1:2">
      <c r="A876" s="4">
        <v>46205.35659722222</v>
      </c>
      <c r="B876" t="s">
        <v>5690</v>
      </c>
    </row>
    <row r="877" spans="1:2">
      <c r="A877" s="4">
        <v>46205.440439814818</v>
      </c>
      <c r="B877" t="s">
        <v>5691</v>
      </c>
    </row>
    <row r="878" spans="1:2">
      <c r="A878" s="4">
        <v>46205.440428240741</v>
      </c>
      <c r="B878" t="s">
        <v>5692</v>
      </c>
    </row>
    <row r="879" spans="1:2">
      <c r="A879" s="4">
        <v>46205.478148148148</v>
      </c>
      <c r="B879" t="s">
        <v>5693</v>
      </c>
    </row>
    <row r="880" spans="1:2">
      <c r="A880" s="4">
        <v>46205.490717592591</v>
      </c>
      <c r="B880" t="s">
        <v>5694</v>
      </c>
    </row>
    <row r="881" spans="1:2">
      <c r="A881" s="4">
        <v>46205.641481481478</v>
      </c>
      <c r="B881" t="s">
        <v>5695</v>
      </c>
    </row>
    <row r="882" spans="1:2">
      <c r="A882" s="4">
        <v>46205.641481481478</v>
      </c>
      <c r="B882" t="s">
        <v>5696</v>
      </c>
    </row>
    <row r="883" spans="1:2">
      <c r="A883" s="4">
        <v>46205.641481481478</v>
      </c>
      <c r="B883" t="s">
        <v>5697</v>
      </c>
    </row>
    <row r="884" spans="1:2">
      <c r="A884" s="4">
        <v>46205.641481481478</v>
      </c>
      <c r="B884" t="s">
        <v>5698</v>
      </c>
    </row>
    <row r="885" spans="1:2">
      <c r="A885" s="4">
        <v>46205.64565972222</v>
      </c>
      <c r="B885" t="s">
        <v>5699</v>
      </c>
    </row>
    <row r="886" spans="1:2">
      <c r="A886" s="4">
        <v>46205.64565972222</v>
      </c>
      <c r="B886" t="s">
        <v>5700</v>
      </c>
    </row>
    <row r="887" spans="1:2">
      <c r="A887" s="4">
        <v>46205.64565972222</v>
      </c>
      <c r="B887" t="s">
        <v>5701</v>
      </c>
    </row>
    <row r="888" spans="1:2">
      <c r="A888" s="4">
        <v>46205.64565972222</v>
      </c>
      <c r="B888" t="s">
        <v>5702</v>
      </c>
    </row>
    <row r="889" spans="1:2">
      <c r="A889" s="4">
        <v>46205.64565972222</v>
      </c>
      <c r="B889" t="s">
        <v>5703</v>
      </c>
    </row>
    <row r="890" spans="1:2">
      <c r="A890" s="4">
        <v>46205.64565972222</v>
      </c>
      <c r="B890" t="s">
        <v>5704</v>
      </c>
    </row>
    <row r="891" spans="1:2">
      <c r="A891" s="4">
        <v>46205.64565972222</v>
      </c>
      <c r="B891" t="s">
        <v>5705</v>
      </c>
    </row>
    <row r="892" spans="1:2">
      <c r="A892" s="4">
        <v>46205.645682870374</v>
      </c>
      <c r="B892" t="s">
        <v>5706</v>
      </c>
    </row>
    <row r="893" spans="1:2">
      <c r="A893" s="4">
        <v>46205.649143518516</v>
      </c>
      <c r="B893" t="s">
        <v>5707</v>
      </c>
    </row>
    <row r="894" spans="1:2">
      <c r="A894" s="4">
        <v>46205.649143518516</v>
      </c>
      <c r="B894" t="s">
        <v>5708</v>
      </c>
    </row>
    <row r="895" spans="1:2">
      <c r="A895" s="4">
        <v>46205.64984953704</v>
      </c>
      <c r="B895" t="s">
        <v>5709</v>
      </c>
    </row>
    <row r="896" spans="1:2">
      <c r="A896" s="4">
        <v>46205.654027777775</v>
      </c>
      <c r="B896" t="s">
        <v>5710</v>
      </c>
    </row>
    <row r="897" spans="1:2">
      <c r="A897" s="4">
        <v>46205.662407407406</v>
      </c>
      <c r="B897" t="s">
        <v>5711</v>
      </c>
    </row>
    <row r="898" spans="1:2">
      <c r="A898" s="4">
        <v>46205.683391203704</v>
      </c>
      <c r="B898" t="s">
        <v>5712</v>
      </c>
    </row>
    <row r="899" spans="1:2">
      <c r="A899" s="4">
        <v>46205.712696759256</v>
      </c>
      <c r="B899" t="s">
        <v>5713</v>
      </c>
    </row>
    <row r="900" spans="1:2">
      <c r="A900" s="4">
        <v>46206.324270833335</v>
      </c>
      <c r="B900" t="s">
        <v>5714</v>
      </c>
    </row>
    <row r="901" spans="1:2">
      <c r="A901" s="4">
        <v>46206.324270833335</v>
      </c>
      <c r="B901" t="s">
        <v>5715</v>
      </c>
    </row>
    <row r="902" spans="1:2">
      <c r="A902" s="4">
        <v>46206.34101851852</v>
      </c>
      <c r="B902" t="s">
        <v>5716</v>
      </c>
    </row>
    <row r="903" spans="1:2">
      <c r="A903" s="4">
        <v>46206.34101851852</v>
      </c>
      <c r="B903" t="s">
        <v>5717</v>
      </c>
    </row>
    <row r="904" spans="1:2">
      <c r="A904" s="4">
        <v>46206.34101851852</v>
      </c>
      <c r="B904" t="s">
        <v>5718</v>
      </c>
    </row>
    <row r="905" spans="1:2">
      <c r="A905" s="4">
        <v>46206.34101851852</v>
      </c>
      <c r="B905" t="s">
        <v>5719</v>
      </c>
    </row>
    <row r="906" spans="1:2">
      <c r="A906" s="4">
        <v>46206.345208333332</v>
      </c>
      <c r="B906" t="s">
        <v>5720</v>
      </c>
    </row>
    <row r="907" spans="1:2">
      <c r="A907" s="4">
        <v>46206.345208333332</v>
      </c>
      <c r="B907" t="s">
        <v>5721</v>
      </c>
    </row>
    <row r="908" spans="1:2">
      <c r="A908" s="4">
        <v>46206.353576388887</v>
      </c>
      <c r="B908" t="s">
        <v>5722</v>
      </c>
    </row>
    <row r="909" spans="1:2">
      <c r="A909" s="4">
        <v>46206.353587962964</v>
      </c>
      <c r="B909" t="s">
        <v>5723</v>
      </c>
    </row>
    <row r="910" spans="1:2">
      <c r="A910" s="4">
        <v>46206.362002314818</v>
      </c>
      <c r="B910" t="s">
        <v>5724</v>
      </c>
    </row>
    <row r="911" spans="1:2">
      <c r="A911" s="4">
        <v>46206.424814814818</v>
      </c>
      <c r="B911" t="s">
        <v>5725</v>
      </c>
    </row>
    <row r="912" spans="1:2">
      <c r="A912" s="4">
        <v>46206.424814814818</v>
      </c>
      <c r="B912" t="s">
        <v>5726</v>
      </c>
    </row>
    <row r="913" spans="1:2">
      <c r="A913" s="4">
        <v>46206.441562499997</v>
      </c>
      <c r="B913" t="s">
        <v>5727</v>
      </c>
    </row>
    <row r="914" spans="1:2">
      <c r="A914" s="4">
        <v>46206.458321759259</v>
      </c>
      <c r="B914" t="s">
        <v>5728</v>
      </c>
    </row>
    <row r="915" spans="1:2">
      <c r="A915" s="4">
        <v>46206.470879629633</v>
      </c>
      <c r="B915" t="s">
        <v>5729</v>
      </c>
    </row>
    <row r="916" spans="1:2">
      <c r="A916" s="4">
        <v>46206.508564814816</v>
      </c>
      <c r="B916" t="s">
        <v>5730</v>
      </c>
    </row>
    <row r="917" spans="1:2">
      <c r="A917" s="4">
        <v>46206.54210648148</v>
      </c>
      <c r="B917" t="s">
        <v>5731</v>
      </c>
    </row>
    <row r="918" spans="1:2">
      <c r="A918" s="4">
        <v>46206.575567129628</v>
      </c>
      <c r="B918" t="s">
        <v>5732</v>
      </c>
    </row>
    <row r="919" spans="1:2">
      <c r="A919" s="4">
        <v>46206.575567129628</v>
      </c>
      <c r="B919" t="s">
        <v>5733</v>
      </c>
    </row>
    <row r="920" spans="1:2">
      <c r="A920" s="4">
        <v>46206.63003472222</v>
      </c>
      <c r="B920" t="s">
        <v>5734</v>
      </c>
    </row>
    <row r="921" spans="1:2">
      <c r="A921" s="4">
        <v>46206.63003472222</v>
      </c>
      <c r="B921" t="s">
        <v>5735</v>
      </c>
    </row>
    <row r="922" spans="1:2">
      <c r="A922" s="4">
        <v>46206.63003472222</v>
      </c>
      <c r="B922" t="s">
        <v>5736</v>
      </c>
    </row>
    <row r="923" spans="1:2">
      <c r="A923" s="4">
        <v>46206.63003472222</v>
      </c>
      <c r="B923" t="s">
        <v>5737</v>
      </c>
    </row>
    <row r="924" spans="1:2">
      <c r="A924" s="4">
        <v>46206.63003472222</v>
      </c>
      <c r="B924" t="s">
        <v>5738</v>
      </c>
    </row>
    <row r="925" spans="1:2">
      <c r="A925" s="4">
        <v>46206.633518518516</v>
      </c>
      <c r="B925" t="s">
        <v>5739</v>
      </c>
    </row>
    <row r="926" spans="1:2">
      <c r="A926" s="4">
        <v>46206.633518518516</v>
      </c>
      <c r="B926" t="s">
        <v>5740</v>
      </c>
    </row>
    <row r="927" spans="1:2">
      <c r="A927" s="4">
        <v>46206.633518518516</v>
      </c>
      <c r="B927" t="s">
        <v>5741</v>
      </c>
    </row>
    <row r="928" spans="1:2">
      <c r="A928" s="4">
        <v>46206.633518518516</v>
      </c>
      <c r="B928" t="s">
        <v>5742</v>
      </c>
    </row>
    <row r="929" spans="1:2">
      <c r="A929" s="4">
        <v>46206.634212962963</v>
      </c>
      <c r="B929" t="s">
        <v>5743</v>
      </c>
    </row>
    <row r="930" spans="1:2">
      <c r="A930" s="4">
        <v>46206.634212962963</v>
      </c>
      <c r="B930" t="s">
        <v>5744</v>
      </c>
    </row>
    <row r="931" spans="1:2">
      <c r="A931" s="4">
        <v>46206.634212962963</v>
      </c>
      <c r="B931" t="s">
        <v>5745</v>
      </c>
    </row>
    <row r="932" spans="1:2">
      <c r="A932" s="4">
        <v>46206.634212962963</v>
      </c>
      <c r="B932" t="s">
        <v>5746</v>
      </c>
    </row>
    <row r="933" spans="1:2">
      <c r="A933" s="4">
        <v>46206.638402777775</v>
      </c>
      <c r="B933" t="s">
        <v>5747</v>
      </c>
    </row>
    <row r="934" spans="1:2">
      <c r="A934" s="4">
        <v>46206.638402777775</v>
      </c>
      <c r="B934" t="s">
        <v>5748</v>
      </c>
    </row>
    <row r="935" spans="1:2">
      <c r="A935" s="4">
        <v>46206.638449074075</v>
      </c>
      <c r="B935" t="s">
        <v>5749</v>
      </c>
    </row>
    <row r="936" spans="1:2">
      <c r="A936" s="4">
        <v>46206.650972222225</v>
      </c>
      <c r="B936" t="s">
        <v>5750</v>
      </c>
    </row>
    <row r="937" spans="1:2">
      <c r="A937" s="4">
        <v>46206.676087962966</v>
      </c>
      <c r="B937" t="s">
        <v>5751</v>
      </c>
    </row>
    <row r="938" spans="1:2">
      <c r="A938" s="4">
        <v>46206.680277777778</v>
      </c>
      <c r="B938" t="s">
        <v>5752</v>
      </c>
    </row>
    <row r="939" spans="1:2">
      <c r="A939" s="4">
        <v>46206.680277777778</v>
      </c>
      <c r="B939" t="s">
        <v>5753</v>
      </c>
    </row>
    <row r="940" spans="1:2">
      <c r="A940" s="4">
        <v>46206.684467592589</v>
      </c>
      <c r="B940" t="s">
        <v>5754</v>
      </c>
    </row>
    <row r="941" spans="1:2">
      <c r="A941" s="4">
        <v>46206.684467592589</v>
      </c>
      <c r="B941" t="s">
        <v>5755</v>
      </c>
    </row>
    <row r="942" spans="1:2">
      <c r="A942" s="4">
        <v>46206.692835648151</v>
      </c>
      <c r="B942" t="s">
        <v>5756</v>
      </c>
    </row>
    <row r="943" spans="1:2">
      <c r="A943" s="4">
        <v>46206.69703703704</v>
      </c>
      <c r="B943" t="s">
        <v>5757</v>
      </c>
    </row>
    <row r="944" spans="1:2">
      <c r="A944" s="4">
        <v>46206.69703703704</v>
      </c>
      <c r="B944" t="s">
        <v>5758</v>
      </c>
    </row>
    <row r="945" spans="1:2">
      <c r="A945" s="4">
        <v>46206.69703703704</v>
      </c>
      <c r="B945" t="s">
        <v>5759</v>
      </c>
    </row>
    <row r="946" spans="1:2">
      <c r="A946" s="4">
        <v>46206.69703703704</v>
      </c>
      <c r="B946" t="s">
        <v>5760</v>
      </c>
    </row>
    <row r="947" spans="1:2">
      <c r="A947" s="4">
        <v>46206.717986111114</v>
      </c>
      <c r="B947" t="s">
        <v>5761</v>
      </c>
    </row>
    <row r="948" spans="1:2">
      <c r="A948" s="4">
        <v>46206.717986111114</v>
      </c>
      <c r="B948" t="s">
        <v>5762</v>
      </c>
    </row>
    <row r="949" spans="1:2">
      <c r="A949" s="4">
        <v>46206.722175925926</v>
      </c>
      <c r="B949" t="s">
        <v>5763</v>
      </c>
    </row>
    <row r="950" spans="1:2">
      <c r="A950" s="4">
        <v>46207.270868055559</v>
      </c>
      <c r="B950" t="s">
        <v>5764</v>
      </c>
    </row>
    <row r="951" spans="1:2">
      <c r="A951" s="4">
        <v>46207.295300925929</v>
      </c>
      <c r="B951" t="s">
        <v>5765</v>
      </c>
    </row>
    <row r="952" spans="1:2">
      <c r="A952" s="4">
        <v>46207.295300925929</v>
      </c>
      <c r="B952" t="s">
        <v>5766</v>
      </c>
    </row>
    <row r="953" spans="1:2">
      <c r="A953" s="4">
        <v>46207.333680555559</v>
      </c>
      <c r="B953" t="s">
        <v>5767</v>
      </c>
    </row>
    <row r="954" spans="1:2">
      <c r="A954" s="4">
        <v>46207.375520833331</v>
      </c>
      <c r="B954" t="s">
        <v>5768</v>
      </c>
    </row>
    <row r="955" spans="1:2">
      <c r="A955" s="4">
        <v>46207.388090277775</v>
      </c>
      <c r="B955" t="s">
        <v>5769</v>
      </c>
    </row>
    <row r="956" spans="1:2">
      <c r="A956" s="4">
        <v>46207.421631944446</v>
      </c>
      <c r="B956" t="s">
        <v>5770</v>
      </c>
    </row>
    <row r="957" spans="1:2">
      <c r="A957" s="4">
        <v>46207.425821759258</v>
      </c>
      <c r="B957" t="s">
        <v>5771</v>
      </c>
    </row>
    <row r="958" spans="1:2">
      <c r="A958" s="4">
        <v>46207.434189814812</v>
      </c>
      <c r="B958" t="s">
        <v>5772</v>
      </c>
    </row>
    <row r="959" spans="1:2">
      <c r="A959" s="4">
        <v>46207.450949074075</v>
      </c>
      <c r="B959" t="s">
        <v>5773</v>
      </c>
    </row>
    <row r="960" spans="1:2">
      <c r="A960" s="4">
        <v>46207.488622685189</v>
      </c>
      <c r="B960" t="s">
        <v>5774</v>
      </c>
    </row>
    <row r="961" spans="1:2">
      <c r="A961" s="4">
        <v>46207.488622685189</v>
      </c>
      <c r="B961" t="s">
        <v>5775</v>
      </c>
    </row>
    <row r="962" spans="1:2">
      <c r="A962" s="4">
        <v>46209.327280092592</v>
      </c>
      <c r="B962" t="s">
        <v>5776</v>
      </c>
    </row>
    <row r="963" spans="1:2">
      <c r="A963" s="4">
        <v>46209.415266203701</v>
      </c>
      <c r="B963" t="s">
        <v>5777</v>
      </c>
    </row>
    <row r="964" spans="1:2">
      <c r="A964" s="4">
        <v>46209.415266203701</v>
      </c>
      <c r="B964" t="s">
        <v>5778</v>
      </c>
    </row>
    <row r="965" spans="1:2">
      <c r="A965" s="4">
        <v>46209.419444444444</v>
      </c>
      <c r="B965" t="s">
        <v>5779</v>
      </c>
    </row>
    <row r="966" spans="1:2">
      <c r="A966" s="4">
        <v>46209.536782407406</v>
      </c>
      <c r="B966" t="s">
        <v>5780</v>
      </c>
    </row>
    <row r="967" spans="1:2">
      <c r="A967" s="4">
        <v>46209.536782407406</v>
      </c>
      <c r="B967" t="s">
        <v>5781</v>
      </c>
    </row>
    <row r="968" spans="1:2">
      <c r="A968" s="4">
        <v>46209.536782407406</v>
      </c>
      <c r="B968" t="s">
        <v>5782</v>
      </c>
    </row>
    <row r="969" spans="1:2">
      <c r="A969" s="4">
        <v>46209.540949074071</v>
      </c>
      <c r="B969" t="s">
        <v>5783</v>
      </c>
    </row>
    <row r="970" spans="1:2">
      <c r="A970" s="4">
        <v>46209.574479166666</v>
      </c>
      <c r="B970" t="s">
        <v>5784</v>
      </c>
    </row>
    <row r="971" spans="1:2">
      <c r="A971" s="4">
        <v>46209.591249999998</v>
      </c>
      <c r="B971" t="s">
        <v>5785</v>
      </c>
    </row>
    <row r="972" spans="1:2">
      <c r="A972" s="4">
        <v>46209.628958333335</v>
      </c>
      <c r="B972" t="s">
        <v>5786</v>
      </c>
    </row>
    <row r="973" spans="1:2">
      <c r="A973" s="4">
        <v>46209.670243055552</v>
      </c>
      <c r="B973" t="s">
        <v>5787</v>
      </c>
    </row>
    <row r="974" spans="1:2">
      <c r="A974" s="4">
        <v>46209.683425925927</v>
      </c>
      <c r="B974" t="s">
        <v>5788</v>
      </c>
    </row>
    <row r="975" spans="1:2">
      <c r="A975" s="4">
        <v>46209.683425925927</v>
      </c>
      <c r="B975" t="s">
        <v>5789</v>
      </c>
    </row>
    <row r="976" spans="1:2">
      <c r="A976" s="4">
        <v>46209.687604166669</v>
      </c>
      <c r="B976" t="s">
        <v>5790</v>
      </c>
    </row>
    <row r="977" spans="1:2">
      <c r="A977" s="4">
        <v>46209.691122685188</v>
      </c>
      <c r="B977" t="s">
        <v>5791</v>
      </c>
    </row>
    <row r="978" spans="1:2">
      <c r="A978" s="4">
        <v>46209.691134259258</v>
      </c>
      <c r="B978" t="s">
        <v>5792</v>
      </c>
    </row>
    <row r="979" spans="1:2">
      <c r="A979" s="4">
        <v>46209.712060185186</v>
      </c>
      <c r="B979" t="s">
        <v>5793</v>
      </c>
    </row>
    <row r="980" spans="1:2">
      <c r="A980" s="4">
        <v>46209.712060185186</v>
      </c>
      <c r="B980" t="s">
        <v>5794</v>
      </c>
    </row>
    <row r="981" spans="1:2">
      <c r="A981" s="4">
        <v>46209.712060185186</v>
      </c>
      <c r="B981" t="s">
        <v>5795</v>
      </c>
    </row>
    <row r="982" spans="1:2">
      <c r="A982" s="4">
        <v>46210.332916666666</v>
      </c>
      <c r="B982" t="s">
        <v>5796</v>
      </c>
    </row>
    <row r="983" spans="1:2">
      <c r="A983" s="4">
        <v>46210.337106481478</v>
      </c>
      <c r="B983" t="s">
        <v>5742</v>
      </c>
    </row>
    <row r="984" spans="1:2">
      <c r="A984" s="4">
        <v>46210.337106481478</v>
      </c>
      <c r="B984" t="s">
        <v>5797</v>
      </c>
    </row>
    <row r="985" spans="1:2">
      <c r="A985" s="4">
        <v>46210.395729166667</v>
      </c>
      <c r="B985" t="s">
        <v>5798</v>
      </c>
    </row>
    <row r="986" spans="1:2">
      <c r="A986" s="4">
        <v>46210.399930555555</v>
      </c>
      <c r="B986" t="s">
        <v>5799</v>
      </c>
    </row>
    <row r="987" spans="1:2">
      <c r="A987" s="4">
        <v>46210.425081018519</v>
      </c>
      <c r="B987" t="s">
        <v>5800</v>
      </c>
    </row>
    <row r="988" spans="1:2">
      <c r="A988" s="4">
        <v>46210.429259259261</v>
      </c>
      <c r="B988" t="s">
        <v>5801</v>
      </c>
    </row>
    <row r="989" spans="1:2">
      <c r="A989" s="4">
        <v>46210.466967592591</v>
      </c>
      <c r="B989" t="s">
        <v>5802</v>
      </c>
    </row>
    <row r="990" spans="1:2">
      <c r="A990" s="4">
        <v>46210.466967592591</v>
      </c>
      <c r="B990" t="s">
        <v>5803</v>
      </c>
    </row>
    <row r="991" spans="1:2">
      <c r="A991" s="4">
        <v>46210.466967592591</v>
      </c>
      <c r="B991" t="s">
        <v>5804</v>
      </c>
    </row>
    <row r="992" spans="1:2">
      <c r="A992" s="4">
        <v>46210.546631944446</v>
      </c>
      <c r="B992" t="s">
        <v>5805</v>
      </c>
    </row>
    <row r="993" spans="1:2">
      <c r="A993" s="4">
        <v>46210.546631944446</v>
      </c>
      <c r="B993" t="s">
        <v>5806</v>
      </c>
    </row>
    <row r="994" spans="1:2">
      <c r="A994" s="4">
        <v>46210.563449074078</v>
      </c>
      <c r="B994" t="s">
        <v>5807</v>
      </c>
    </row>
    <row r="995" spans="1:2">
      <c r="A995" s="4">
        <v>46210.563449074078</v>
      </c>
      <c r="B995" t="s">
        <v>5808</v>
      </c>
    </row>
    <row r="996" spans="1:2">
      <c r="A996" s="4">
        <v>46210.563460648147</v>
      </c>
      <c r="B996" t="s">
        <v>5809</v>
      </c>
    </row>
    <row r="997" spans="1:2">
      <c r="A997" s="4">
        <v>46210.563449074078</v>
      </c>
      <c r="B997" t="s">
        <v>5810</v>
      </c>
    </row>
    <row r="998" spans="1:2">
      <c r="A998" s="4">
        <v>46210.605370370373</v>
      </c>
      <c r="B998" t="s">
        <v>5811</v>
      </c>
    </row>
    <row r="999" spans="1:2">
      <c r="A999" s="4">
        <v>46210.638923611114</v>
      </c>
      <c r="B999" t="s">
        <v>5812</v>
      </c>
    </row>
    <row r="1000" spans="1:2">
      <c r="A1000" s="4">
        <v>46210.680833333332</v>
      </c>
      <c r="B1000" t="s">
        <v>5813</v>
      </c>
    </row>
    <row r="1001" spans="1:2">
      <c r="A1001" s="4">
        <v>46210.680833333332</v>
      </c>
      <c r="B1001" t="s">
        <v>5814</v>
      </c>
    </row>
    <row r="1002" spans="1:2">
      <c r="A1002" s="4">
        <v>46210.710162037038</v>
      </c>
      <c r="B1002" t="s">
        <v>5815</v>
      </c>
    </row>
    <row r="1003" spans="1:2">
      <c r="A1003" s="4">
        <v>46210.71434027778</v>
      </c>
      <c r="B1003" t="s">
        <v>5816</v>
      </c>
    </row>
    <row r="1004" spans="1:2">
      <c r="A1004" s="4">
        <v>46210.71434027778</v>
      </c>
      <c r="B1004" t="s">
        <v>5817</v>
      </c>
    </row>
    <row r="1005" spans="1:2">
      <c r="A1005" s="4">
        <v>46210.71434027778</v>
      </c>
      <c r="B1005" t="s">
        <v>5818</v>
      </c>
    </row>
    <row r="1006" spans="1:2">
      <c r="A1006" s="4">
        <v>46210.71435185185</v>
      </c>
      <c r="B1006" t="s">
        <v>5819</v>
      </c>
    </row>
    <row r="1007" spans="1:2">
      <c r="A1007" s="4">
        <v>46210.71435185185</v>
      </c>
      <c r="B1007" t="s">
        <v>5820</v>
      </c>
    </row>
    <row r="1008" spans="1:2">
      <c r="A1008" s="4">
        <v>46210.71435185185</v>
      </c>
      <c r="B1008" t="s">
        <v>5821</v>
      </c>
    </row>
    <row r="1009" spans="1:2">
      <c r="A1009" s="4">
        <v>46210.718530092592</v>
      </c>
      <c r="B1009" t="s">
        <v>5822</v>
      </c>
    </row>
    <row r="1010" spans="1:2">
      <c r="A1010" s="4">
        <v>46210.718530092592</v>
      </c>
      <c r="B1010" t="s">
        <v>5823</v>
      </c>
    </row>
    <row r="1011" spans="1:2">
      <c r="A1011" s="4">
        <v>46211.32953703704</v>
      </c>
      <c r="B1011" t="s">
        <v>5824</v>
      </c>
    </row>
    <row r="1012" spans="1:2">
      <c r="A1012" s="4">
        <v>46211.333726851852</v>
      </c>
      <c r="B1012" t="s">
        <v>5825</v>
      </c>
    </row>
    <row r="1013" spans="1:2">
      <c r="A1013" s="4">
        <v>46211.333726851852</v>
      </c>
      <c r="B1013" t="s">
        <v>5826</v>
      </c>
    </row>
    <row r="1014" spans="1:2">
      <c r="A1014" s="4">
        <v>46211.333726851852</v>
      </c>
      <c r="B1014" t="s">
        <v>5827</v>
      </c>
    </row>
    <row r="1015" spans="1:2">
      <c r="A1015" s="4">
        <v>46211.346307870372</v>
      </c>
      <c r="B1015" t="s">
        <v>5828</v>
      </c>
    </row>
    <row r="1016" spans="1:2">
      <c r="A1016" s="4">
        <v>46211.42591435185</v>
      </c>
      <c r="B1016" t="s">
        <v>5829</v>
      </c>
    </row>
    <row r="1017" spans="1:2">
      <c r="A1017" s="4">
        <v>46211.42591435185</v>
      </c>
      <c r="B1017" t="s">
        <v>5830</v>
      </c>
    </row>
    <row r="1018" spans="1:2">
      <c r="A1018" s="4">
        <v>46211.42591435185</v>
      </c>
      <c r="B1018" t="s">
        <v>5831</v>
      </c>
    </row>
    <row r="1019" spans="1:2">
      <c r="A1019" s="4">
        <v>46211.430104166669</v>
      </c>
      <c r="B1019" t="s">
        <v>5832</v>
      </c>
    </row>
    <row r="1020" spans="1:2">
      <c r="A1020" s="4">
        <v>46211.438483796293</v>
      </c>
      <c r="B1020" t="s">
        <v>5833</v>
      </c>
    </row>
    <row r="1021" spans="1:2">
      <c r="A1021" s="4">
        <v>46211.451064814813</v>
      </c>
      <c r="B1021" t="s">
        <v>5834</v>
      </c>
    </row>
    <row r="1022" spans="1:2">
      <c r="A1022" s="4">
        <v>46211.463634259257</v>
      </c>
      <c r="B1022" t="s">
        <v>5835</v>
      </c>
    </row>
    <row r="1023" spans="1:2">
      <c r="A1023" s="4">
        <v>46211.547546296293</v>
      </c>
      <c r="B1023" t="s">
        <v>5836</v>
      </c>
    </row>
    <row r="1024" spans="1:2">
      <c r="A1024" s="4">
        <v>46211.547546296293</v>
      </c>
      <c r="B1024" t="s">
        <v>5837</v>
      </c>
    </row>
    <row r="1025" spans="1:2">
      <c r="A1025" s="4">
        <v>46211.568518518521</v>
      </c>
      <c r="B1025" t="s">
        <v>5838</v>
      </c>
    </row>
    <row r="1026" spans="1:2">
      <c r="A1026" s="4">
        <v>46211.568518518521</v>
      </c>
      <c r="B1026" t="s">
        <v>5839</v>
      </c>
    </row>
    <row r="1027" spans="1:2">
      <c r="A1027" s="4">
        <v>46211.568518518521</v>
      </c>
      <c r="B1027" t="s">
        <v>5840</v>
      </c>
    </row>
    <row r="1028" spans="1:2">
      <c r="A1028" s="4">
        <v>46211.568518518521</v>
      </c>
      <c r="B1028" t="s">
        <v>5841</v>
      </c>
    </row>
    <row r="1029" spans="1:2">
      <c r="A1029" s="4">
        <v>46211.581087962964</v>
      </c>
      <c r="B1029" t="s">
        <v>5842</v>
      </c>
    </row>
    <row r="1030" spans="1:2">
      <c r="A1030" s="4">
        <v>46211.593657407408</v>
      </c>
      <c r="B1030" t="s">
        <v>5843</v>
      </c>
    </row>
    <row r="1031" spans="1:2">
      <c r="A1031" s="4">
        <v>46211.593657407408</v>
      </c>
      <c r="B1031" t="s">
        <v>5844</v>
      </c>
    </row>
    <row r="1032" spans="1:2">
      <c r="A1032" s="4">
        <v>46211.602037037039</v>
      </c>
      <c r="B1032" t="s">
        <v>5845</v>
      </c>
    </row>
    <row r="1033" spans="1:2">
      <c r="A1033" s="4">
        <v>46211.61041666667</v>
      </c>
      <c r="B1033" t="s">
        <v>5846</v>
      </c>
    </row>
    <row r="1034" spans="1:2">
      <c r="A1034" s="4">
        <v>46211.61041666667</v>
      </c>
      <c r="B1034" t="s">
        <v>5847</v>
      </c>
    </row>
    <row r="1035" spans="1:2">
      <c r="A1035" s="4">
        <v>46211.61041666667</v>
      </c>
      <c r="B1035" t="s">
        <v>5848</v>
      </c>
    </row>
    <row r="1036" spans="1:2">
      <c r="A1036" s="4">
        <v>46211.61041666667</v>
      </c>
      <c r="B1036" t="s">
        <v>5849</v>
      </c>
    </row>
    <row r="1037" spans="1:2">
      <c r="A1037" s="4">
        <v>46211.613888888889</v>
      </c>
      <c r="B1037" t="s">
        <v>5850</v>
      </c>
    </row>
    <row r="1038" spans="1:2">
      <c r="A1038" s="4">
        <v>46211.614629629628</v>
      </c>
      <c r="B1038" t="s">
        <v>5851</v>
      </c>
    </row>
    <row r="1039" spans="1:2">
      <c r="A1039" s="4">
        <v>46211.67328703704</v>
      </c>
      <c r="B1039" t="s">
        <v>5852</v>
      </c>
    </row>
    <row r="1040" spans="1:2">
      <c r="A1040" s="4">
        <v>46211.67328703704</v>
      </c>
      <c r="B1040" t="s">
        <v>5853</v>
      </c>
    </row>
    <row r="1041" spans="1:2">
      <c r="A1041" s="4">
        <v>46211.67328703704</v>
      </c>
      <c r="B1041" t="s">
        <v>5854</v>
      </c>
    </row>
    <row r="1042" spans="1:2">
      <c r="A1042" s="4">
        <v>46211.67328703704</v>
      </c>
      <c r="B1042" t="s">
        <v>5855</v>
      </c>
    </row>
    <row r="1043" spans="1:2">
      <c r="A1043" s="4">
        <v>46211.715185185189</v>
      </c>
      <c r="B1043" t="s">
        <v>5856</v>
      </c>
    </row>
    <row r="1044" spans="1:2">
      <c r="A1044" s="4">
        <v>46211.715185185189</v>
      </c>
      <c r="B1044" t="s">
        <v>5857</v>
      </c>
    </row>
    <row r="1045" spans="1:2">
      <c r="A1045" s="4">
        <v>46211.719375000001</v>
      </c>
      <c r="B1045" t="s">
        <v>5858</v>
      </c>
    </row>
    <row r="1046" spans="1:2">
      <c r="A1046" s="4">
        <v>46211.719375000001</v>
      </c>
      <c r="B1046" t="s">
        <v>5859</v>
      </c>
    </row>
    <row r="1047" spans="1:2">
      <c r="A1047" s="4">
        <v>46211.852835648147</v>
      </c>
      <c r="B1047" t="s">
        <v>5860</v>
      </c>
    </row>
    <row r="1048" spans="1:2">
      <c r="A1048" s="4">
        <v>46212.317835648151</v>
      </c>
      <c r="B1048" t="s">
        <v>5861</v>
      </c>
    </row>
    <row r="1049" spans="1:2">
      <c r="A1049" s="4">
        <v>46212.334583333337</v>
      </c>
      <c r="B1049" t="s">
        <v>5862</v>
      </c>
    </row>
    <row r="1050" spans="1:2">
      <c r="A1050" s="4">
        <v>46212.334583333337</v>
      </c>
      <c r="B1050" t="s">
        <v>5863</v>
      </c>
    </row>
    <row r="1051" spans="1:2">
      <c r="A1051" s="4">
        <v>46212.334583333337</v>
      </c>
      <c r="B1051" t="s">
        <v>5864</v>
      </c>
    </row>
    <row r="1052" spans="1:2">
      <c r="A1052" s="4">
        <v>46212.363912037035</v>
      </c>
      <c r="B1052" t="s">
        <v>5865</v>
      </c>
    </row>
    <row r="1053" spans="1:2">
      <c r="A1053" s="4">
        <v>46212.363912037035</v>
      </c>
      <c r="B1053" t="s">
        <v>5866</v>
      </c>
    </row>
    <row r="1054" spans="1:2">
      <c r="A1054" s="4">
        <v>46212.363912037035</v>
      </c>
      <c r="B1054" t="s">
        <v>5867</v>
      </c>
    </row>
    <row r="1055" spans="1:2">
      <c r="A1055" s="4">
        <v>46212.401608796295</v>
      </c>
      <c r="B1055" t="s">
        <v>5868</v>
      </c>
    </row>
    <row r="1056" spans="1:2">
      <c r="A1056" s="4">
        <v>46212.401608796295</v>
      </c>
      <c r="B1056" t="s">
        <v>5869</v>
      </c>
    </row>
    <row r="1057" spans="1:2">
      <c r="A1057" s="4">
        <v>46212.405798611115</v>
      </c>
      <c r="B1057" t="s">
        <v>5870</v>
      </c>
    </row>
    <row r="1058" spans="1:2">
      <c r="A1058" s="4">
        <v>46212.418379629627</v>
      </c>
      <c r="B1058" t="s">
        <v>5871</v>
      </c>
    </row>
    <row r="1059" spans="1:2">
      <c r="A1059" s="4">
        <v>46212.435150462959</v>
      </c>
      <c r="B1059" t="s">
        <v>5872</v>
      </c>
    </row>
    <row r="1060" spans="1:2">
      <c r="A1060" s="4">
        <v>46212.464467592596</v>
      </c>
      <c r="B1060" t="s">
        <v>5873</v>
      </c>
    </row>
    <row r="1061" spans="1:2">
      <c r="A1061" s="4">
        <v>46212.468657407408</v>
      </c>
      <c r="B1061" t="s">
        <v>5874</v>
      </c>
    </row>
    <row r="1062" spans="1:2">
      <c r="A1062" s="4">
        <v>46212.468657407408</v>
      </c>
      <c r="B1062" t="s">
        <v>5875</v>
      </c>
    </row>
    <row r="1063" spans="1:2">
      <c r="A1063" s="4">
        <v>46212.468657407408</v>
      </c>
      <c r="B1063" t="s">
        <v>5876</v>
      </c>
    </row>
    <row r="1064" spans="1:2">
      <c r="A1064" s="4">
        <v>46212.468657407408</v>
      </c>
      <c r="B1064" t="s">
        <v>5877</v>
      </c>
    </row>
    <row r="1065" spans="1:2">
      <c r="A1065" s="4">
        <v>46212.47283564815</v>
      </c>
      <c r="B1065" t="s">
        <v>5878</v>
      </c>
    </row>
    <row r="1066" spans="1:2">
      <c r="A1066" s="4">
        <v>46212.47283564815</v>
      </c>
      <c r="B1066" t="s">
        <v>5879</v>
      </c>
    </row>
    <row r="1067" spans="1:2">
      <c r="A1067" s="4">
        <v>46212.47283564815</v>
      </c>
      <c r="B1067" t="s">
        <v>5880</v>
      </c>
    </row>
    <row r="1068" spans="1:2">
      <c r="A1068" s="4">
        <v>46212.485405092593</v>
      </c>
      <c r="B1068" t="s">
        <v>5881</v>
      </c>
    </row>
    <row r="1069" spans="1:2">
      <c r="A1069" s="4">
        <v>46212.489594907405</v>
      </c>
      <c r="B1069" t="s">
        <v>5882</v>
      </c>
    </row>
    <row r="1070" spans="1:2">
      <c r="A1070" s="4">
        <v>46212.489594907405</v>
      </c>
      <c r="B1070" t="s">
        <v>5883</v>
      </c>
    </row>
    <row r="1071" spans="1:2">
      <c r="A1071" s="4">
        <v>46212.489594907405</v>
      </c>
      <c r="B1071" t="s">
        <v>5884</v>
      </c>
    </row>
    <row r="1072" spans="1:2">
      <c r="A1072" s="4">
        <v>46212.598692129628</v>
      </c>
      <c r="B1072" t="s">
        <v>5885</v>
      </c>
    </row>
    <row r="1073" spans="1:2">
      <c r="A1073" s="4">
        <v>46212.611134259256</v>
      </c>
      <c r="B1073" t="s">
        <v>5886</v>
      </c>
    </row>
    <row r="1074" spans="1:2">
      <c r="A1074" s="4">
        <v>46212.611134259256</v>
      </c>
      <c r="B1074" t="s">
        <v>5887</v>
      </c>
    </row>
    <row r="1075" spans="1:2">
      <c r="A1075" s="4">
        <v>46212.615324074075</v>
      </c>
      <c r="B1075" t="s">
        <v>5888</v>
      </c>
    </row>
    <row r="1076" spans="1:2">
      <c r="A1076" s="4">
        <v>46212.615324074075</v>
      </c>
      <c r="B1076" t="s">
        <v>5889</v>
      </c>
    </row>
    <row r="1077" spans="1:2">
      <c r="A1077" s="4">
        <v>46212.615324074075</v>
      </c>
      <c r="B1077" t="s">
        <v>5890</v>
      </c>
    </row>
    <row r="1078" spans="1:2">
      <c r="A1078" s="4">
        <v>46212.615324074075</v>
      </c>
      <c r="B1078" t="s">
        <v>5891</v>
      </c>
    </row>
    <row r="1079" spans="1:2">
      <c r="A1079" s="4">
        <v>46212.615324074075</v>
      </c>
      <c r="B1079" t="s">
        <v>5892</v>
      </c>
    </row>
    <row r="1080" spans="1:2">
      <c r="A1080" s="4">
        <v>46212.615324074075</v>
      </c>
      <c r="B1080" t="s">
        <v>5893</v>
      </c>
    </row>
    <row r="1081" spans="1:2">
      <c r="A1081" s="4">
        <v>46212.619513888887</v>
      </c>
      <c r="B1081" t="s">
        <v>5894</v>
      </c>
    </row>
    <row r="1082" spans="1:2">
      <c r="A1082" s="4">
        <v>46212.623692129629</v>
      </c>
      <c r="B1082" t="s">
        <v>5895</v>
      </c>
    </row>
    <row r="1083" spans="1:2">
      <c r="A1083" s="4">
        <v>46212.661400462966</v>
      </c>
      <c r="B1083" t="s">
        <v>5896</v>
      </c>
    </row>
    <row r="1084" spans="1:2">
      <c r="A1084" s="4">
        <v>46212.661400462966</v>
      </c>
      <c r="B1084" t="s">
        <v>5897</v>
      </c>
    </row>
    <row r="1085" spans="1:2">
      <c r="A1085" s="4">
        <v>46212.661400462966</v>
      </c>
      <c r="B1085" t="s">
        <v>5898</v>
      </c>
    </row>
    <row r="1086" spans="1:2">
      <c r="A1086" s="4">
        <v>46212.678148148145</v>
      </c>
      <c r="B1086" t="s">
        <v>5899</v>
      </c>
    </row>
    <row r="1087" spans="1:2">
      <c r="A1087" s="4">
        <v>46212.678148148145</v>
      </c>
      <c r="B1087" t="s">
        <v>5900</v>
      </c>
    </row>
    <row r="1088" spans="1:2">
      <c r="A1088" s="4">
        <v>46212.678148148145</v>
      </c>
      <c r="B1088" t="s">
        <v>5901</v>
      </c>
    </row>
    <row r="1089" spans="1:2">
      <c r="A1089" s="4">
        <v>46212.682337962964</v>
      </c>
      <c r="B1089" t="s">
        <v>5902</v>
      </c>
    </row>
    <row r="1090" spans="1:2">
      <c r="A1090" s="4">
        <v>46212.682337962964</v>
      </c>
      <c r="B1090" t="s">
        <v>5903</v>
      </c>
    </row>
    <row r="1091" spans="1:2">
      <c r="A1091" s="4">
        <v>46212.686527777776</v>
      </c>
      <c r="B1091" t="s">
        <v>5904</v>
      </c>
    </row>
    <row r="1092" spans="1:2">
      <c r="A1092" s="4">
        <v>46212.690717592595</v>
      </c>
      <c r="B1092" t="s">
        <v>5905</v>
      </c>
    </row>
    <row r="1093" spans="1:2">
      <c r="A1093" s="4">
        <v>46212.694907407407</v>
      </c>
      <c r="B1093" t="s">
        <v>5906</v>
      </c>
    </row>
    <row r="1094" spans="1:2">
      <c r="A1094" s="4">
        <v>46212.699097222219</v>
      </c>
      <c r="B1094" t="s">
        <v>5907</v>
      </c>
    </row>
    <row r="1095" spans="1:2">
      <c r="A1095" s="4">
        <v>46212.699097222219</v>
      </c>
      <c r="B1095" t="s">
        <v>5908</v>
      </c>
    </row>
    <row r="1096" spans="1:2">
      <c r="A1096" s="4">
        <v>46212.715844907405</v>
      </c>
      <c r="B1096" t="s">
        <v>5909</v>
      </c>
    </row>
    <row r="1097" spans="1:2">
      <c r="A1097" s="4">
        <v>46212.715844907405</v>
      </c>
      <c r="B1097" t="s">
        <v>5910</v>
      </c>
    </row>
    <row r="1098" spans="1:2">
      <c r="A1098" s="4">
        <v>46213.327627314815</v>
      </c>
      <c r="B1098" t="s">
        <v>5911</v>
      </c>
    </row>
    <row r="1099" spans="1:2">
      <c r="A1099" s="4">
        <v>46213.327627314815</v>
      </c>
      <c r="B1099" t="s">
        <v>5912</v>
      </c>
    </row>
    <row r="1100" spans="1:2">
      <c r="A1100" s="4">
        <v>46213.407233796293</v>
      </c>
      <c r="B1100" t="s">
        <v>5913</v>
      </c>
    </row>
    <row r="1101" spans="1:2">
      <c r="A1101" s="4">
        <v>46213.407233796293</v>
      </c>
      <c r="B1101" t="s">
        <v>5914</v>
      </c>
    </row>
    <row r="1102" spans="1:2">
      <c r="A1102" s="4">
        <v>46213.436608796299</v>
      </c>
      <c r="B1102" t="s">
        <v>5915</v>
      </c>
    </row>
    <row r="1103" spans="1:2">
      <c r="A1103" s="4">
        <v>46213.436608796299</v>
      </c>
      <c r="B1103" t="s">
        <v>5916</v>
      </c>
    </row>
    <row r="1104" spans="1:2">
      <c r="A1104" s="4">
        <v>46213.436608796299</v>
      </c>
      <c r="B1104" t="s">
        <v>5917</v>
      </c>
    </row>
    <row r="1105" spans="1:2">
      <c r="A1105" s="4">
        <v>46213.436608796299</v>
      </c>
      <c r="B1105" t="s">
        <v>5918</v>
      </c>
    </row>
    <row r="1106" spans="1:2">
      <c r="A1106" s="4">
        <v>46213.440092592595</v>
      </c>
      <c r="B1106" t="s">
        <v>5919</v>
      </c>
    </row>
    <row r="1107" spans="1:2">
      <c r="A1107" s="4">
        <v>46213.465937499997</v>
      </c>
      <c r="B1107" t="s">
        <v>5920</v>
      </c>
    </row>
    <row r="1108" spans="1:2">
      <c r="A1108" s="4">
        <v>46213.474317129629</v>
      </c>
      <c r="B1108" t="s">
        <v>5921</v>
      </c>
    </row>
    <row r="1109" spans="1:2">
      <c r="A1109" s="4">
        <v>46213.570752314816</v>
      </c>
      <c r="B1109" t="s">
        <v>5922</v>
      </c>
    </row>
    <row r="1110" spans="1:2">
      <c r="A1110" s="4">
        <v>46213.570752314816</v>
      </c>
      <c r="B1110" t="s">
        <v>5923</v>
      </c>
    </row>
    <row r="1111" spans="1:2">
      <c r="A1111" s="4">
        <v>46213.59170138889</v>
      </c>
      <c r="B1111" t="s">
        <v>5924</v>
      </c>
    </row>
    <row r="1112" spans="1:2">
      <c r="A1112" s="4">
        <v>46213.59170138889</v>
      </c>
      <c r="B1112" t="s">
        <v>5925</v>
      </c>
    </row>
    <row r="1113" spans="1:2">
      <c r="A1113" s="4">
        <v>46213.59170138889</v>
      </c>
      <c r="B1113" t="s">
        <v>5926</v>
      </c>
    </row>
    <row r="1114" spans="1:2">
      <c r="A1114" s="4">
        <v>46213.59170138889</v>
      </c>
      <c r="B1114" t="s">
        <v>5927</v>
      </c>
    </row>
    <row r="1115" spans="1:2">
      <c r="A1115" s="4">
        <v>46213.595879629633</v>
      </c>
      <c r="B1115" t="s">
        <v>5928</v>
      </c>
    </row>
    <row r="1116" spans="1:2">
      <c r="A1116" s="4">
        <v>46213.600081018521</v>
      </c>
      <c r="B1116" t="s">
        <v>5929</v>
      </c>
    </row>
    <row r="1117" spans="1:2">
      <c r="A1117" s="4">
        <v>46213.600081018521</v>
      </c>
      <c r="B1117" t="s">
        <v>5930</v>
      </c>
    </row>
    <row r="1118" spans="1:2">
      <c r="A1118" s="4">
        <v>46213.621030092596</v>
      </c>
      <c r="B1118" t="s">
        <v>5931</v>
      </c>
    </row>
    <row r="1119" spans="1:2">
      <c r="A1119" s="4">
        <v>46213.621041666665</v>
      </c>
      <c r="B1119" t="s">
        <v>5932</v>
      </c>
    </row>
    <row r="1120" spans="1:2">
      <c r="A1120" s="4">
        <v>46213.646168981482</v>
      </c>
      <c r="B1120" t="s">
        <v>5933</v>
      </c>
    </row>
    <row r="1121" spans="1:2">
      <c r="A1121" s="4">
        <v>46213.709062499998</v>
      </c>
      <c r="B1121" t="s">
        <v>5777</v>
      </c>
    </row>
    <row r="1122" spans="1:2">
      <c r="A1122" s="4">
        <v>46213.713240740741</v>
      </c>
      <c r="B1122" t="s">
        <v>5934</v>
      </c>
    </row>
    <row r="1123" spans="1:2">
      <c r="A1123" s="4">
        <v>46213.713240740741</v>
      </c>
      <c r="B1123" t="s">
        <v>5935</v>
      </c>
    </row>
    <row r="1124" spans="1:2">
      <c r="A1124" s="4">
        <v>46213.717430555553</v>
      </c>
      <c r="B1124" t="s">
        <v>5936</v>
      </c>
    </row>
    <row r="1125" spans="1:2">
      <c r="A1125" s="4">
        <v>46214.311863425923</v>
      </c>
      <c r="B1125" t="s">
        <v>5937</v>
      </c>
    </row>
    <row r="1126" spans="1:2">
      <c r="A1126" s="4">
        <v>46214.332812499997</v>
      </c>
      <c r="B1126" t="s">
        <v>5938</v>
      </c>
    </row>
    <row r="1127" spans="1:2">
      <c r="A1127" s="4">
        <v>46214.437557870369</v>
      </c>
      <c r="B1127" t="s">
        <v>5939</v>
      </c>
    </row>
    <row r="1128" spans="1:2">
      <c r="A1128" s="4">
        <v>46214.437557870369</v>
      </c>
      <c r="B1128" t="s">
        <v>5940</v>
      </c>
    </row>
    <row r="1129" spans="1:2">
      <c r="A1129" s="4">
        <v>46214.437557870369</v>
      </c>
      <c r="B1129" t="s">
        <v>5941</v>
      </c>
    </row>
    <row r="1130" spans="1:2">
      <c r="A1130" s="4">
        <v>46214.437557870369</v>
      </c>
      <c r="B1130" t="s">
        <v>5942</v>
      </c>
    </row>
    <row r="1131" spans="1:2">
      <c r="A1131" s="4">
        <v>46214.458506944444</v>
      </c>
      <c r="B1131" t="s">
        <v>5943</v>
      </c>
    </row>
    <row r="1132" spans="1:2">
      <c r="A1132" s="4">
        <v>46214.483634259261</v>
      </c>
      <c r="B1132" t="s">
        <v>5944</v>
      </c>
    </row>
    <row r="1133" spans="1:2">
      <c r="A1133" s="4">
        <v>46214.546481481484</v>
      </c>
      <c r="B1133" t="s">
        <v>5945</v>
      </c>
    </row>
    <row r="1134" spans="1:2">
      <c r="A1134" s="4">
        <v>46214.550671296296</v>
      </c>
      <c r="B1134" t="s">
        <v>5946</v>
      </c>
    </row>
    <row r="1135" spans="1:2">
      <c r="A1135" s="4">
        <v>46214.550671296296</v>
      </c>
      <c r="B1135" t="s">
        <v>5947</v>
      </c>
    </row>
    <row r="1136" spans="1:2">
      <c r="A1136" s="4">
        <v>46216.364606481482</v>
      </c>
      <c r="B1136" t="s">
        <v>5948</v>
      </c>
    </row>
    <row r="1137" spans="1:2">
      <c r="A1137" s="4">
        <v>46216.41070601852</v>
      </c>
      <c r="B1137" t="s">
        <v>5949</v>
      </c>
    </row>
    <row r="1138" spans="1:2">
      <c r="A1138" s="4">
        <v>46216.41070601852</v>
      </c>
      <c r="B1138" t="s">
        <v>5950</v>
      </c>
    </row>
    <row r="1139" spans="1:2">
      <c r="A1139" s="4">
        <v>46216.41070601852</v>
      </c>
      <c r="B1139" t="s">
        <v>5951</v>
      </c>
    </row>
    <row r="1140" spans="1:2">
      <c r="A1140" s="4">
        <v>46216.414895833332</v>
      </c>
      <c r="B1140" t="s">
        <v>5869</v>
      </c>
    </row>
    <row r="1141" spans="1:2">
      <c r="A1141" s="4">
        <v>46216.414895833332</v>
      </c>
      <c r="B1141" t="s">
        <v>5952</v>
      </c>
    </row>
    <row r="1142" spans="1:2">
      <c r="A1142" s="4">
        <v>46216.414895833332</v>
      </c>
      <c r="B1142" t="s">
        <v>5953</v>
      </c>
    </row>
    <row r="1143" spans="1:2">
      <c r="A1143" s="4">
        <v>46216.452615740738</v>
      </c>
      <c r="B1143" t="s">
        <v>5954</v>
      </c>
    </row>
    <row r="1144" spans="1:2">
      <c r="A1144" s="4">
        <v>46216.553206018521</v>
      </c>
      <c r="B1144" t="s">
        <v>5955</v>
      </c>
    </row>
    <row r="1145" spans="1:2">
      <c r="A1145" s="4">
        <v>46216.553206018521</v>
      </c>
      <c r="B1145" t="s">
        <v>5956</v>
      </c>
    </row>
    <row r="1146" spans="1:2">
      <c r="A1146" s="4">
        <v>46216.553206018521</v>
      </c>
      <c r="B1146" t="s">
        <v>5957</v>
      </c>
    </row>
    <row r="1147" spans="1:2">
      <c r="A1147" s="4">
        <v>46216.553206018521</v>
      </c>
      <c r="B1147" t="s">
        <v>5958</v>
      </c>
    </row>
    <row r="1148" spans="1:2">
      <c r="A1148" s="4">
        <v>46216.565810185188</v>
      </c>
      <c r="B1148" t="s">
        <v>5959</v>
      </c>
    </row>
    <row r="1149" spans="1:2">
      <c r="A1149" s="4">
        <v>46216.582557870373</v>
      </c>
      <c r="B1149" t="s">
        <v>5960</v>
      </c>
    </row>
    <row r="1150" spans="1:2">
      <c r="A1150" s="4">
        <v>46216.582557870373</v>
      </c>
      <c r="B1150" t="s">
        <v>5961</v>
      </c>
    </row>
    <row r="1151" spans="1:2">
      <c r="A1151" s="4">
        <v>46216.590949074074</v>
      </c>
      <c r="B1151" t="s">
        <v>5962</v>
      </c>
    </row>
    <row r="1152" spans="1:2">
      <c r="A1152" s="4">
        <v>46216.628668981481</v>
      </c>
      <c r="B1152" t="s">
        <v>5963</v>
      </c>
    </row>
    <row r="1153" spans="1:2">
      <c r="A1153" s="4">
        <v>46216.662222222221</v>
      </c>
      <c r="B1153" t="s">
        <v>5964</v>
      </c>
    </row>
    <row r="1154" spans="1:2">
      <c r="A1154" s="4">
        <v>46216.662222222221</v>
      </c>
      <c r="B1154" t="s">
        <v>5965</v>
      </c>
    </row>
    <row r="1155" spans="1:2">
      <c r="A1155" s="4">
        <v>46216.683182870373</v>
      </c>
      <c r="B1155" t="s">
        <v>5966</v>
      </c>
    </row>
    <row r="1156" spans="1:2">
      <c r="A1156" s="4">
        <v>46216.712546296294</v>
      </c>
      <c r="B1156" t="s">
        <v>5967</v>
      </c>
    </row>
    <row r="1157" spans="1:2">
      <c r="A1157" s="4">
        <v>46216.712546296294</v>
      </c>
      <c r="B1157" t="s">
        <v>5968</v>
      </c>
    </row>
    <row r="1158" spans="1:2">
      <c r="A1158" s="4">
        <v>46216.712546296294</v>
      </c>
      <c r="B1158" t="s">
        <v>5969</v>
      </c>
    </row>
    <row r="1159" spans="1:2">
      <c r="A1159" s="4">
        <v>46217.332476851851</v>
      </c>
      <c r="B1159" t="s">
        <v>5970</v>
      </c>
    </row>
    <row r="1160" spans="1:2">
      <c r="A1160" s="4">
        <v>46217.332488425927</v>
      </c>
      <c r="B1160" t="s">
        <v>5971</v>
      </c>
    </row>
    <row r="1161" spans="1:2">
      <c r="A1161" s="4">
        <v>46217.403726851851</v>
      </c>
      <c r="B1161" t="s">
        <v>5972</v>
      </c>
    </row>
    <row r="1162" spans="1:2">
      <c r="A1162" s="4">
        <v>46217.46665509259</v>
      </c>
      <c r="B1162" t="s">
        <v>5973</v>
      </c>
    </row>
    <row r="1163" spans="1:2">
      <c r="A1163" s="4">
        <v>46217.46665509259</v>
      </c>
      <c r="B1163" t="s">
        <v>5974</v>
      </c>
    </row>
    <row r="1164" spans="1:2">
      <c r="A1164" s="4">
        <v>46217.475057870368</v>
      </c>
      <c r="B1164" t="s">
        <v>5975</v>
      </c>
    </row>
    <row r="1165" spans="1:2">
      <c r="A1165" s="4">
        <v>46217.475057870368</v>
      </c>
      <c r="B1165" t="s">
        <v>5976</v>
      </c>
    </row>
    <row r="1166" spans="1:2">
      <c r="A1166" s="4">
        <v>46217.475057870368</v>
      </c>
      <c r="B1166" t="s">
        <v>5977</v>
      </c>
    </row>
    <row r="1167" spans="1:2">
      <c r="A1167" s="4">
        <v>46217.483460648145</v>
      </c>
      <c r="B1167" t="s">
        <v>5978</v>
      </c>
    </row>
    <row r="1168" spans="1:2">
      <c r="A1168" s="4">
        <v>46217.483460648145</v>
      </c>
      <c r="B1168" t="s">
        <v>5979</v>
      </c>
    </row>
    <row r="1169" spans="1:2">
      <c r="A1169" s="4">
        <v>46217.546354166669</v>
      </c>
      <c r="B1169" t="s">
        <v>5980</v>
      </c>
    </row>
    <row r="1170" spans="1:2">
      <c r="A1170" s="4">
        <v>46217.600671296299</v>
      </c>
      <c r="B1170" t="s">
        <v>5981</v>
      </c>
    </row>
    <row r="1171" spans="1:2">
      <c r="A1171" s="4">
        <v>46217.600671296299</v>
      </c>
      <c r="B1171" t="s">
        <v>5982</v>
      </c>
    </row>
    <row r="1172" spans="1:2">
      <c r="A1172" s="4">
        <v>46217.600671296299</v>
      </c>
      <c r="B1172" t="s">
        <v>5983</v>
      </c>
    </row>
    <row r="1173" spans="1:2">
      <c r="A1173" s="4">
        <v>46217.600671296299</v>
      </c>
      <c r="B1173" t="s">
        <v>5984</v>
      </c>
    </row>
    <row r="1174" spans="1:2">
      <c r="A1174" s="4">
        <v>46217.604143518518</v>
      </c>
      <c r="B1174" t="s">
        <v>5985</v>
      </c>
    </row>
    <row r="1175" spans="1:2">
      <c r="A1175" s="4">
        <v>46217.604849537034</v>
      </c>
      <c r="B1175" t="s">
        <v>5986</v>
      </c>
    </row>
    <row r="1176" spans="1:2">
      <c r="A1176" s="4">
        <v>46217.604861111111</v>
      </c>
      <c r="B1176" t="s">
        <v>5987</v>
      </c>
    </row>
    <row r="1177" spans="1:2">
      <c r="A1177" s="4">
        <v>46217.604861111111</v>
      </c>
      <c r="B1177" t="s">
        <v>5988</v>
      </c>
    </row>
    <row r="1178" spans="1:2">
      <c r="A1178" s="4">
        <v>46217.613263888888</v>
      </c>
      <c r="B1178" t="s">
        <v>5989</v>
      </c>
    </row>
    <row r="1179" spans="1:2">
      <c r="A1179" s="4">
        <v>46217.6174537037</v>
      </c>
      <c r="B1179" t="s">
        <v>5990</v>
      </c>
    </row>
    <row r="1180" spans="1:2">
      <c r="A1180" s="4">
        <v>46217.638425925928</v>
      </c>
      <c r="B1180" t="s">
        <v>5991</v>
      </c>
    </row>
    <row r="1181" spans="1:2">
      <c r="A1181" s="4">
        <v>46217.676180555558</v>
      </c>
      <c r="B1181" t="s">
        <v>5992</v>
      </c>
    </row>
    <row r="1182" spans="1:2">
      <c r="A1182" s="4">
        <v>46217.676180555558</v>
      </c>
      <c r="B1182" t="s">
        <v>5993</v>
      </c>
    </row>
    <row r="1183" spans="1:2">
      <c r="A1183" s="4">
        <v>46217.676180555558</v>
      </c>
      <c r="B1183" t="s">
        <v>5994</v>
      </c>
    </row>
    <row r="1184" spans="1:2">
      <c r="A1184" s="4">
        <v>46217.705520833333</v>
      </c>
      <c r="B1184" t="s">
        <v>5995</v>
      </c>
    </row>
    <row r="1185" spans="1:2">
      <c r="A1185" s="4">
        <v>46217.70553240741</v>
      </c>
      <c r="B1185" t="s">
        <v>5996</v>
      </c>
    </row>
    <row r="1186" spans="1:2">
      <c r="A1186" s="4">
        <v>46217.722326388888</v>
      </c>
      <c r="B1186" t="s">
        <v>5997</v>
      </c>
    </row>
    <row r="1187" spans="1:2">
      <c r="A1187" s="4">
        <v>46217.814606481479</v>
      </c>
      <c r="B1187" t="s">
        <v>5998</v>
      </c>
    </row>
    <row r="1188" spans="1:2">
      <c r="A1188" s="4">
        <v>46218.338159722225</v>
      </c>
      <c r="B1188" t="s">
        <v>5999</v>
      </c>
    </row>
    <row r="1189" spans="1:2">
      <c r="A1189" s="4">
        <v>46218.338159722225</v>
      </c>
      <c r="B1189" t="s">
        <v>6000</v>
      </c>
    </row>
    <row r="1190" spans="1:2">
      <c r="A1190" s="4">
        <v>46218.342349537037</v>
      </c>
      <c r="B1190" t="s">
        <v>6001</v>
      </c>
    </row>
    <row r="1191" spans="1:2">
      <c r="A1191" s="4">
        <v>46218.359120370369</v>
      </c>
      <c r="B1191" t="s">
        <v>6002</v>
      </c>
    </row>
    <row r="1192" spans="1:2">
      <c r="A1192" s="4">
        <v>46218.363310185188</v>
      </c>
      <c r="B1192" t="s">
        <v>6003</v>
      </c>
    </row>
    <row r="1193" spans="1:2">
      <c r="A1193" s="4">
        <v>46218.371724537035</v>
      </c>
      <c r="B1193" t="s">
        <v>6004</v>
      </c>
    </row>
    <row r="1194" spans="1:2">
      <c r="A1194" s="4">
        <v>46218.371724537035</v>
      </c>
      <c r="B1194" t="s">
        <v>6005</v>
      </c>
    </row>
    <row r="1195" spans="1:2">
      <c r="A1195" s="4">
        <v>46218.375902777778</v>
      </c>
      <c r="B1195" t="s">
        <v>6006</v>
      </c>
    </row>
    <row r="1196" spans="1:2">
      <c r="A1196" s="4">
        <v>46218.405266203707</v>
      </c>
      <c r="B1196" t="s">
        <v>6007</v>
      </c>
    </row>
    <row r="1197" spans="1:2">
      <c r="A1197" s="4">
        <v>46218.451388888891</v>
      </c>
      <c r="B1197" t="s">
        <v>6008</v>
      </c>
    </row>
    <row r="1198" spans="1:2">
      <c r="A1198" s="4">
        <v>46218.493368055555</v>
      </c>
      <c r="B1198" t="s">
        <v>6009</v>
      </c>
    </row>
    <row r="1199" spans="1:2">
      <c r="A1199" s="4">
        <v>46218.493368055555</v>
      </c>
      <c r="B1199" t="s">
        <v>6010</v>
      </c>
    </row>
    <row r="1200" spans="1:2">
      <c r="A1200" s="4">
        <v>46218.606666666667</v>
      </c>
      <c r="B1200" t="s">
        <v>6011</v>
      </c>
    </row>
    <row r="1201" spans="1:2">
      <c r="A1201" s="4">
        <v>46218.606666666667</v>
      </c>
      <c r="B1201" t="s">
        <v>6012</v>
      </c>
    </row>
    <row r="1202" spans="1:2">
      <c r="A1202" s="4">
        <v>46218.606678240743</v>
      </c>
      <c r="B1202" t="s">
        <v>6013</v>
      </c>
    </row>
    <row r="1203" spans="1:2">
      <c r="A1203" s="4">
        <v>46218.669641203705</v>
      </c>
      <c r="B1203" t="s">
        <v>6014</v>
      </c>
    </row>
    <row r="1204" spans="1:2">
      <c r="A1204" s="4">
        <v>46218.673831018517</v>
      </c>
      <c r="B1204" t="s">
        <v>6015</v>
      </c>
    </row>
    <row r="1205" spans="1:2">
      <c r="A1205" s="4">
        <v>46218.678020833337</v>
      </c>
      <c r="B1205" t="s">
        <v>6016</v>
      </c>
    </row>
    <row r="1206" spans="1:2">
      <c r="A1206" s="4">
        <v>46218.678032407406</v>
      </c>
      <c r="B1206" t="s">
        <v>6017</v>
      </c>
    </row>
    <row r="1207" spans="1:2">
      <c r="A1207" s="4">
        <v>46218.678032407406</v>
      </c>
      <c r="B1207" t="s">
        <v>6018</v>
      </c>
    </row>
    <row r="1208" spans="1:2">
      <c r="A1208" s="4">
        <v>46218.678032407406</v>
      </c>
      <c r="B1208" t="s">
        <v>6019</v>
      </c>
    </row>
    <row r="1209" spans="1:2">
      <c r="A1209" s="4">
        <v>46218.681504629632</v>
      </c>
      <c r="B1209" t="s">
        <v>6020</v>
      </c>
    </row>
    <row r="1210" spans="1:2">
      <c r="A1210" s="4">
        <v>46218.682222222225</v>
      </c>
      <c r="B1210" t="s">
        <v>6021</v>
      </c>
    </row>
    <row r="1211" spans="1:2">
      <c r="A1211" s="4">
        <v>46218.686423611114</v>
      </c>
      <c r="B1211" t="s">
        <v>6022</v>
      </c>
    </row>
    <row r="1212" spans="1:2">
      <c r="A1212" s="4">
        <v>46218.686423611114</v>
      </c>
      <c r="B1212" t="s">
        <v>6023</v>
      </c>
    </row>
    <row r="1213" spans="1:2">
      <c r="A1213" s="4">
        <v>46218.686423611114</v>
      </c>
      <c r="B1213" t="s">
        <v>6024</v>
      </c>
    </row>
    <row r="1214" spans="1:2">
      <c r="A1214" s="4">
        <v>46218.686423611114</v>
      </c>
      <c r="B1214" t="s">
        <v>6025</v>
      </c>
    </row>
    <row r="1215" spans="1:2">
      <c r="A1215" s="4">
        <v>46218.686435185184</v>
      </c>
      <c r="B1215" t="s">
        <v>6026</v>
      </c>
    </row>
    <row r="1216" spans="1:2">
      <c r="A1216" s="4">
        <v>46218.689895833333</v>
      </c>
      <c r="B1216" t="s">
        <v>6027</v>
      </c>
    </row>
    <row r="1217" spans="1:2">
      <c r="A1217" s="4">
        <v>46218.689895833333</v>
      </c>
      <c r="B1217" t="s">
        <v>6028</v>
      </c>
    </row>
    <row r="1218" spans="1:2">
      <c r="A1218" s="4">
        <v>46218.68990740741</v>
      </c>
      <c r="B1218" t="s">
        <v>6029</v>
      </c>
    </row>
    <row r="1219" spans="1:2">
      <c r="A1219" s="4">
        <v>46218.68990740741</v>
      </c>
      <c r="B1219" t="s">
        <v>6030</v>
      </c>
    </row>
    <row r="1220" spans="1:2">
      <c r="A1220" s="4">
        <v>46218.690613425926</v>
      </c>
      <c r="B1220" t="s">
        <v>6031</v>
      </c>
    </row>
    <row r="1221" spans="1:2">
      <c r="A1221" s="4">
        <v>46218.690613425926</v>
      </c>
      <c r="B1221" t="s">
        <v>6032</v>
      </c>
    </row>
    <row r="1222" spans="1:2">
      <c r="A1222" s="4">
        <v>46218.707407407404</v>
      </c>
      <c r="B1222" t="s">
        <v>6033</v>
      </c>
    </row>
    <row r="1223" spans="1:2">
      <c r="A1223" s="4">
        <v>46218.711597222224</v>
      </c>
      <c r="B1223" t="s">
        <v>6034</v>
      </c>
    </row>
    <row r="1224" spans="1:2">
      <c r="A1224" s="4">
        <v>46218.711597222224</v>
      </c>
      <c r="B1224" t="s">
        <v>6035</v>
      </c>
    </row>
    <row r="1225" spans="1:2">
      <c r="A1225" s="4">
        <v>46218.715798611112</v>
      </c>
      <c r="B1225" t="s">
        <v>6036</v>
      </c>
    </row>
    <row r="1226" spans="1:2">
      <c r="A1226" s="4">
        <v>46218.715798611112</v>
      </c>
      <c r="B1226" t="s">
        <v>6037</v>
      </c>
    </row>
    <row r="1227" spans="1:2">
      <c r="A1227" s="4">
        <v>46219.336481481485</v>
      </c>
      <c r="B1227" t="s">
        <v>6038</v>
      </c>
    </row>
    <row r="1228" spans="1:2">
      <c r="A1228" s="4">
        <v>46219.45385416667</v>
      </c>
      <c r="B1228" t="s">
        <v>6039</v>
      </c>
    </row>
    <row r="1229" spans="1:2">
      <c r="A1229" s="4">
        <v>46219.453865740739</v>
      </c>
      <c r="B1229" t="s">
        <v>6040</v>
      </c>
    </row>
    <row r="1230" spans="1:2">
      <c r="A1230" s="4">
        <v>46219.453865740739</v>
      </c>
      <c r="B1230" t="s">
        <v>6041</v>
      </c>
    </row>
    <row r="1231" spans="1:2">
      <c r="A1231" s="4">
        <v>46219.453865740739</v>
      </c>
      <c r="B1231" t="s">
        <v>6042</v>
      </c>
    </row>
    <row r="1232" spans="1:2">
      <c r="A1232" s="4">
        <v>46219.458055555559</v>
      </c>
      <c r="B1232" t="s">
        <v>6043</v>
      </c>
    </row>
    <row r="1233" spans="1:2">
      <c r="A1233" s="4">
        <v>46219.458055555559</v>
      </c>
      <c r="B1233" t="s">
        <v>6044</v>
      </c>
    </row>
    <row r="1234" spans="1:2">
      <c r="A1234" s="4">
        <v>46219.56287037037</v>
      </c>
      <c r="B1234" t="s">
        <v>6045</v>
      </c>
    </row>
    <row r="1235" spans="1:2">
      <c r="A1235" s="4">
        <v>46219.567060185182</v>
      </c>
      <c r="B1235" t="s">
        <v>6046</v>
      </c>
    </row>
    <row r="1236" spans="1:2">
      <c r="A1236" s="4">
        <v>46219.571250000001</v>
      </c>
      <c r="B1236" t="s">
        <v>6047</v>
      </c>
    </row>
    <row r="1237" spans="1:2">
      <c r="A1237" s="4">
        <v>46219.57545138889</v>
      </c>
      <c r="B1237" t="s">
        <v>6048</v>
      </c>
    </row>
    <row r="1238" spans="1:2">
      <c r="A1238" s="4">
        <v>46219.57545138889</v>
      </c>
      <c r="B1238" t="s">
        <v>6049</v>
      </c>
    </row>
    <row r="1239" spans="1:2">
      <c r="A1239" s="4">
        <v>46219.579652777778</v>
      </c>
      <c r="B1239" t="s">
        <v>6050</v>
      </c>
    </row>
    <row r="1240" spans="1:2">
      <c r="A1240" s="4">
        <v>46219.58803240741</v>
      </c>
      <c r="B1240" t="s">
        <v>6051</v>
      </c>
    </row>
    <row r="1241" spans="1:2">
      <c r="A1241" s="4">
        <v>46219.58803240741</v>
      </c>
      <c r="B1241" t="s">
        <v>6052</v>
      </c>
    </row>
    <row r="1242" spans="1:2">
      <c r="A1242" s="4">
        <v>46219.58803240741</v>
      </c>
      <c r="B1242" t="s">
        <v>6053</v>
      </c>
    </row>
    <row r="1243" spans="1:2">
      <c r="A1243" s="4">
        <v>46219.592210648145</v>
      </c>
      <c r="B1243" t="s">
        <v>6054</v>
      </c>
    </row>
    <row r="1244" spans="1:2">
      <c r="A1244" s="4">
        <v>46219.592210648145</v>
      </c>
      <c r="B1244" t="s">
        <v>6055</v>
      </c>
    </row>
    <row r="1245" spans="1:2">
      <c r="A1245" s="4">
        <v>46219.617372685185</v>
      </c>
      <c r="B1245" t="s">
        <v>6056</v>
      </c>
    </row>
    <row r="1246" spans="1:2">
      <c r="A1246" s="4">
        <v>46219.663495370369</v>
      </c>
      <c r="B1246" t="s">
        <v>6057</v>
      </c>
    </row>
    <row r="1247" spans="1:2">
      <c r="A1247" s="4">
        <v>46219.663495370369</v>
      </c>
      <c r="B1247" t="s">
        <v>6058</v>
      </c>
    </row>
    <row r="1248" spans="1:2">
      <c r="A1248" s="4">
        <v>46219.663495370369</v>
      </c>
      <c r="B1248" t="s">
        <v>6059</v>
      </c>
    </row>
    <row r="1249" spans="1:2">
      <c r="A1249" s="4">
        <v>46219.667685185188</v>
      </c>
      <c r="B1249" t="s">
        <v>6060</v>
      </c>
    </row>
    <row r="1250" spans="1:2">
      <c r="A1250" s="4">
        <v>46219.671875</v>
      </c>
      <c r="B1250" t="s">
        <v>6061</v>
      </c>
    </row>
    <row r="1251" spans="1:2">
      <c r="A1251" s="4">
        <v>46220.326388888891</v>
      </c>
      <c r="B1251" t="s">
        <v>6062</v>
      </c>
    </row>
    <row r="1252" spans="1:2">
      <c r="A1252" s="4">
        <v>46220.326388888891</v>
      </c>
      <c r="B1252" t="s">
        <v>6063</v>
      </c>
    </row>
    <row r="1253" spans="1:2">
      <c r="A1253" s="4">
        <v>46220.326388888891</v>
      </c>
      <c r="B1253" t="s">
        <v>6064</v>
      </c>
    </row>
    <row r="1254" spans="1:2">
      <c r="A1254" s="4">
        <v>46220.397719907407</v>
      </c>
      <c r="B1254" t="s">
        <v>6065</v>
      </c>
    </row>
    <row r="1255" spans="1:2">
      <c r="A1255" s="4">
        <v>46220.431284722225</v>
      </c>
      <c r="B1255" t="s">
        <v>6066</v>
      </c>
    </row>
    <row r="1256" spans="1:2">
      <c r="A1256" s="4">
        <v>46220.431284722225</v>
      </c>
      <c r="B1256" t="s">
        <v>6067</v>
      </c>
    </row>
    <row r="1257" spans="1:2">
      <c r="A1257" s="4">
        <v>46220.448055555556</v>
      </c>
      <c r="B1257" t="s">
        <v>6068</v>
      </c>
    </row>
    <row r="1258" spans="1:2">
      <c r="A1258" s="4">
        <v>46220.452245370368</v>
      </c>
      <c r="B1258" t="s">
        <v>6069</v>
      </c>
    </row>
    <row r="1259" spans="1:2">
      <c r="A1259" s="4">
        <v>46220.452245370368</v>
      </c>
      <c r="B1259" t="s">
        <v>6070</v>
      </c>
    </row>
    <row r="1260" spans="1:2">
      <c r="A1260" s="4">
        <v>46220.452245370368</v>
      </c>
      <c r="B1260" t="s">
        <v>6071</v>
      </c>
    </row>
    <row r="1261" spans="1:2">
      <c r="A1261" s="4">
        <v>46220.452245370368</v>
      </c>
      <c r="B1261" t="s">
        <v>6072</v>
      </c>
    </row>
    <row r="1262" spans="1:2">
      <c r="A1262" s="4">
        <v>46220.481689814813</v>
      </c>
      <c r="B1262" t="s">
        <v>6073</v>
      </c>
    </row>
    <row r="1263" spans="1:2">
      <c r="A1263" s="4">
        <v>46220.494270833333</v>
      </c>
      <c r="B1263" t="s">
        <v>6074</v>
      </c>
    </row>
    <row r="1264" spans="1:2">
      <c r="A1264" s="4">
        <v>46220.498506944445</v>
      </c>
      <c r="B1264" t="s">
        <v>6075</v>
      </c>
    </row>
    <row r="1265" spans="1:2">
      <c r="A1265" s="4">
        <v>46220.557256944441</v>
      </c>
      <c r="B1265" t="s">
        <v>6076</v>
      </c>
    </row>
    <row r="1266" spans="1:2">
      <c r="A1266" s="4">
        <v>46220.561435185184</v>
      </c>
      <c r="B1266" t="s">
        <v>6077</v>
      </c>
    </row>
    <row r="1267" spans="1:2">
      <c r="A1267" s="4">
        <v>46220.561435185184</v>
      </c>
      <c r="B1267" t="s">
        <v>6078</v>
      </c>
    </row>
    <row r="1268" spans="1:2">
      <c r="A1268" s="4">
        <v>46220.565648148149</v>
      </c>
      <c r="B1268" t="s">
        <v>6079</v>
      </c>
    </row>
    <row r="1269" spans="1:2">
      <c r="A1269" s="4">
        <v>46220.565648148149</v>
      </c>
      <c r="B1269" t="s">
        <v>6080</v>
      </c>
    </row>
    <row r="1270" spans="1:2">
      <c r="A1270" s="4">
        <v>46220.60765046296</v>
      </c>
      <c r="B1270" t="s">
        <v>6081</v>
      </c>
    </row>
    <row r="1271" spans="1:2">
      <c r="A1271" s="4">
        <v>46220.60765046296</v>
      </c>
      <c r="B1271" t="s">
        <v>6082</v>
      </c>
    </row>
    <row r="1272" spans="1:2">
      <c r="A1272" s="4">
        <v>46220.60765046296</v>
      </c>
      <c r="B1272" t="s">
        <v>6083</v>
      </c>
    </row>
    <row r="1273" spans="1:2">
      <c r="A1273" s="4">
        <v>46220.60765046296</v>
      </c>
      <c r="B1273" t="s">
        <v>6084</v>
      </c>
    </row>
    <row r="1274" spans="1:2">
      <c r="A1274" s="4">
        <v>46220.6328125</v>
      </c>
      <c r="B1274" t="s">
        <v>6085</v>
      </c>
    </row>
    <row r="1275" spans="1:2">
      <c r="A1275" s="4">
        <v>46220.649641203701</v>
      </c>
      <c r="B1275" t="s">
        <v>6086</v>
      </c>
    </row>
    <row r="1276" spans="1:2">
      <c r="A1276" s="4">
        <v>46220.649629629632</v>
      </c>
      <c r="B1276" t="s">
        <v>6087</v>
      </c>
    </row>
    <row r="1277" spans="1:2">
      <c r="A1277" s="4">
        <v>46220.666412037041</v>
      </c>
      <c r="B1277" t="s">
        <v>6088</v>
      </c>
    </row>
    <row r="1278" spans="1:2">
      <c r="A1278" s="4">
        <v>46220.666412037041</v>
      </c>
      <c r="B1278" t="s">
        <v>6089</v>
      </c>
    </row>
    <row r="1279" spans="1:2">
      <c r="A1279" s="4">
        <v>46220.674791666665</v>
      </c>
      <c r="B1279" t="s">
        <v>6090</v>
      </c>
    </row>
    <row r="1280" spans="1:2">
      <c r="A1280" s="4">
        <v>46220.699953703705</v>
      </c>
      <c r="B1280" t="s">
        <v>6091</v>
      </c>
    </row>
    <row r="1281" spans="1:2">
      <c r="A1281" s="4">
        <v>46220.699965277781</v>
      </c>
      <c r="B1281" t="s">
        <v>6092</v>
      </c>
    </row>
    <row r="1282" spans="1:2">
      <c r="A1282" s="4">
        <v>46220.720972222225</v>
      </c>
      <c r="B1282" t="s">
        <v>6093</v>
      </c>
    </row>
    <row r="1283" spans="1:2">
      <c r="A1283" s="4">
        <v>46220.720972222225</v>
      </c>
      <c r="B1283" t="s">
        <v>6094</v>
      </c>
    </row>
    <row r="1284" spans="1:2">
      <c r="A1284" s="4">
        <v>46220.796458333331</v>
      </c>
      <c r="B1284" t="s">
        <v>5961</v>
      </c>
    </row>
    <row r="1285" spans="1:2">
      <c r="A1285" s="4">
        <v>46223.349189814813</v>
      </c>
      <c r="B1285" t="s">
        <v>6095</v>
      </c>
    </row>
    <row r="1286" spans="1:2">
      <c r="A1286" s="4">
        <v>46223.349189814813</v>
      </c>
      <c r="B1286" t="s">
        <v>6096</v>
      </c>
    </row>
    <row r="1287" spans="1:2">
      <c r="A1287" s="4">
        <v>46223.353379629632</v>
      </c>
      <c r="B1287" t="s">
        <v>6097</v>
      </c>
    </row>
    <row r="1288" spans="1:2">
      <c r="A1288" s="4">
        <v>46223.357569444444</v>
      </c>
      <c r="B1288" t="s">
        <v>6098</v>
      </c>
    </row>
    <row r="1289" spans="1:2">
      <c r="A1289" s="4">
        <v>46223.357569444444</v>
      </c>
      <c r="B1289" t="s">
        <v>6099</v>
      </c>
    </row>
    <row r="1290" spans="1:2">
      <c r="A1290" s="4">
        <v>46223.370162037034</v>
      </c>
      <c r="B1290" t="s">
        <v>6100</v>
      </c>
    </row>
    <row r="1291" spans="1:2">
      <c r="A1291" s="4">
        <v>46223.470775462964</v>
      </c>
      <c r="B1291" t="s">
        <v>6101</v>
      </c>
    </row>
    <row r="1292" spans="1:2">
      <c r="A1292" s="4">
        <v>46223.50849537037</v>
      </c>
      <c r="B1292" t="s">
        <v>6102</v>
      </c>
    </row>
    <row r="1293" spans="1:2">
      <c r="A1293" s="4">
        <v>46223.50854166667</v>
      </c>
      <c r="B1293" t="s">
        <v>6103</v>
      </c>
    </row>
    <row r="1294" spans="1:2">
      <c r="A1294" s="4">
        <v>46223.550393518519</v>
      </c>
      <c r="B1294" t="s">
        <v>6104</v>
      </c>
    </row>
    <row r="1295" spans="1:2">
      <c r="A1295" s="4">
        <v>46223.55878472222</v>
      </c>
      <c r="B1295" t="s">
        <v>6105</v>
      </c>
    </row>
    <row r="1296" spans="1:2">
      <c r="A1296" s="4">
        <v>46223.562974537039</v>
      </c>
      <c r="B1296" t="s">
        <v>6106</v>
      </c>
    </row>
    <row r="1297" spans="1:2">
      <c r="A1297" s="4">
        <v>46223.617511574077</v>
      </c>
      <c r="B1297" t="s">
        <v>6107</v>
      </c>
    </row>
    <row r="1298" spans="1:2">
      <c r="A1298" s="4">
        <v>46223.617511574077</v>
      </c>
      <c r="B1298" t="s">
        <v>6108</v>
      </c>
    </row>
    <row r="1299" spans="1:2">
      <c r="A1299" s="4">
        <v>46223.617511574077</v>
      </c>
      <c r="B1299" t="s">
        <v>6109</v>
      </c>
    </row>
    <row r="1300" spans="1:2">
      <c r="A1300" s="4">
        <v>46223.625937500001</v>
      </c>
      <c r="B1300" t="s">
        <v>6110</v>
      </c>
    </row>
    <row r="1301" spans="1:2">
      <c r="A1301" s="4">
        <v>46223.630127314813</v>
      </c>
      <c r="B1301" t="s">
        <v>6111</v>
      </c>
    </row>
    <row r="1302" spans="1:2">
      <c r="A1302" s="4">
        <v>46223.634317129632</v>
      </c>
      <c r="B1302" t="s">
        <v>6112</v>
      </c>
    </row>
    <row r="1303" spans="1:2">
      <c r="A1303" s="4">
        <v>46223.638518518521</v>
      </c>
      <c r="B1303" t="s">
        <v>6113</v>
      </c>
    </row>
    <row r="1304" spans="1:2">
      <c r="A1304" s="4">
        <v>46223.638518518521</v>
      </c>
      <c r="B1304" t="s">
        <v>6114</v>
      </c>
    </row>
    <row r="1305" spans="1:2">
      <c r="A1305" s="4">
        <v>46223.638518518521</v>
      </c>
      <c r="B1305" t="s">
        <v>6115</v>
      </c>
    </row>
    <row r="1306" spans="1:2">
      <c r="A1306" s="4">
        <v>46223.646898148145</v>
      </c>
      <c r="B1306" t="s">
        <v>6116</v>
      </c>
    </row>
    <row r="1307" spans="1:2">
      <c r="A1307" s="4">
        <v>46223.659467592595</v>
      </c>
      <c r="B1307" t="s">
        <v>6117</v>
      </c>
    </row>
    <row r="1308" spans="1:2">
      <c r="A1308" s="4">
        <v>46223.663657407407</v>
      </c>
      <c r="B1308" t="s">
        <v>6118</v>
      </c>
    </row>
    <row r="1309" spans="1:2">
      <c r="A1309" s="4">
        <v>46223.667858796296</v>
      </c>
      <c r="B1309" t="s">
        <v>6119</v>
      </c>
    </row>
    <row r="1310" spans="1:2">
      <c r="A1310" s="4">
        <v>46223.667858796296</v>
      </c>
      <c r="B1310" t="s">
        <v>6120</v>
      </c>
    </row>
    <row r="1311" spans="1:2">
      <c r="A1311" s="4">
        <v>46223.684629629628</v>
      </c>
      <c r="B1311" t="s">
        <v>6121</v>
      </c>
    </row>
    <row r="1312" spans="1:2">
      <c r="A1312" s="4">
        <v>46223.693020833336</v>
      </c>
      <c r="B1312" t="s">
        <v>6122</v>
      </c>
    </row>
    <row r="1313" spans="1:2">
      <c r="A1313" s="4">
        <v>46223.693020833336</v>
      </c>
      <c r="B1313" t="s">
        <v>6123</v>
      </c>
    </row>
    <row r="1314" spans="1:2">
      <c r="A1314" s="4">
        <v>46223.693020833336</v>
      </c>
      <c r="B1314" t="s">
        <v>6124</v>
      </c>
    </row>
    <row r="1315" spans="1:2">
      <c r="A1315" s="4">
        <v>46223.70140046296</v>
      </c>
      <c r="B1315" t="s">
        <v>6125</v>
      </c>
    </row>
    <row r="1316" spans="1:2">
      <c r="A1316" s="4">
        <v>46223.70140046296</v>
      </c>
      <c r="B1316" t="s">
        <v>6126</v>
      </c>
    </row>
    <row r="1317" spans="1:2">
      <c r="A1317" s="4">
        <v>46223.705590277779</v>
      </c>
      <c r="B1317" t="s">
        <v>6127</v>
      </c>
    </row>
    <row r="1318" spans="1:2">
      <c r="A1318" s="4">
        <v>46224.391643518517</v>
      </c>
      <c r="B1318" t="s">
        <v>6128</v>
      </c>
    </row>
    <row r="1319" spans="1:2">
      <c r="A1319" s="4">
        <v>46224.391643518517</v>
      </c>
      <c r="B1319" t="s">
        <v>6129</v>
      </c>
    </row>
    <row r="1320" spans="1:2">
      <c r="A1320" s="4">
        <v>46224.395844907405</v>
      </c>
      <c r="B1320" t="s">
        <v>6130</v>
      </c>
    </row>
    <row r="1321" spans="1:2">
      <c r="A1321" s="4">
        <v>46224.412627314814</v>
      </c>
      <c r="B1321" t="s">
        <v>6131</v>
      </c>
    </row>
    <row r="1322" spans="1:2">
      <c r="A1322" s="4">
        <v>46224.429386574076</v>
      </c>
      <c r="B1322" t="s">
        <v>6132</v>
      </c>
    </row>
    <row r="1323" spans="1:2">
      <c r="A1323" s="4">
        <v>46224.44195601852</v>
      </c>
      <c r="B1323" t="s">
        <v>6133</v>
      </c>
    </row>
    <row r="1324" spans="1:2">
      <c r="A1324" s="4">
        <v>46224.479675925926</v>
      </c>
      <c r="B1324" t="s">
        <v>6134</v>
      </c>
    </row>
    <row r="1325" spans="1:2">
      <c r="A1325" s="4">
        <v>46224.479675925926</v>
      </c>
      <c r="B1325" t="s">
        <v>6135</v>
      </c>
    </row>
    <row r="1326" spans="1:2">
      <c r="A1326" s="4">
        <v>46224.479675925926</v>
      </c>
      <c r="B1326" t="s">
        <v>6136</v>
      </c>
    </row>
    <row r="1327" spans="1:2">
      <c r="A1327" s="4">
        <v>46224.551064814812</v>
      </c>
      <c r="B1327" t="s">
        <v>6137</v>
      </c>
    </row>
    <row r="1328" spans="1:2">
      <c r="A1328" s="4">
        <v>46224.555254629631</v>
      </c>
      <c r="B1328" t="s">
        <v>6138</v>
      </c>
    </row>
    <row r="1329" spans="1:2">
      <c r="A1329" s="4">
        <v>46224.555254629631</v>
      </c>
      <c r="B1329" t="s">
        <v>6139</v>
      </c>
    </row>
    <row r="1330" spans="1:2">
      <c r="A1330" s="4">
        <v>46224.597199074073</v>
      </c>
      <c r="B1330" t="s">
        <v>6140</v>
      </c>
    </row>
    <row r="1331" spans="1:2">
      <c r="A1331" s="4">
        <v>46224.609780092593</v>
      </c>
      <c r="B1331" t="s">
        <v>6141</v>
      </c>
    </row>
    <row r="1332" spans="1:2">
      <c r="A1332" s="4">
        <v>46224.613958333335</v>
      </c>
      <c r="B1332" t="s">
        <v>6142</v>
      </c>
    </row>
    <row r="1333" spans="1:2">
      <c r="A1333" s="4">
        <v>46224.626527777778</v>
      </c>
      <c r="B1333" t="s">
        <v>6143</v>
      </c>
    </row>
    <row r="1334" spans="1:2">
      <c r="A1334" s="4">
        <v>46224.626527777778</v>
      </c>
      <c r="B1334" t="s">
        <v>6144</v>
      </c>
    </row>
    <row r="1335" spans="1:2">
      <c r="A1335" s="4">
        <v>46224.643287037034</v>
      </c>
      <c r="B1335" t="s">
        <v>6145</v>
      </c>
    </row>
    <row r="1336" spans="1:2">
      <c r="A1336" s="4">
        <v>46224.651666666665</v>
      </c>
      <c r="B1336" t="s">
        <v>6146</v>
      </c>
    </row>
    <row r="1337" spans="1:2">
      <c r="A1337" s="4">
        <v>46225.331018518518</v>
      </c>
      <c r="B1337" t="s">
        <v>6147</v>
      </c>
    </row>
    <row r="1338" spans="1:2">
      <c r="A1338" s="4">
        <v>46225.331018518518</v>
      </c>
      <c r="B1338" t="s">
        <v>6148</v>
      </c>
    </row>
    <row r="1339" spans="1:2">
      <c r="A1339" s="4">
        <v>46225.331018518518</v>
      </c>
      <c r="B1339" t="s">
        <v>6149</v>
      </c>
    </row>
    <row r="1340" spans="1:2">
      <c r="A1340" s="4">
        <v>46225.331018518518</v>
      </c>
      <c r="B1340" t="s">
        <v>6150</v>
      </c>
    </row>
    <row r="1341" spans="1:2">
      <c r="A1341" s="4">
        <v>46225.33520833333</v>
      </c>
      <c r="B1341" t="s">
        <v>6151</v>
      </c>
    </row>
    <row r="1342" spans="1:2">
      <c r="A1342" s="4">
        <v>46225.335219907407</v>
      </c>
      <c r="B1342" t="s">
        <v>6152</v>
      </c>
    </row>
    <row r="1343" spans="1:2">
      <c r="A1343" s="4">
        <v>46225.398136574076</v>
      </c>
      <c r="B1343" t="s">
        <v>6153</v>
      </c>
    </row>
    <row r="1344" spans="1:2">
      <c r="A1344" s="4">
        <v>46225.402349537035</v>
      </c>
      <c r="B1344" t="s">
        <v>6154</v>
      </c>
    </row>
    <row r="1345" spans="1:2">
      <c r="A1345" s="4">
        <v>46225.402349537035</v>
      </c>
      <c r="B1345" t="s">
        <v>6155</v>
      </c>
    </row>
    <row r="1346" spans="1:2">
      <c r="A1346" s="4">
        <v>46225.402349537035</v>
      </c>
      <c r="B1346" t="s">
        <v>6156</v>
      </c>
    </row>
    <row r="1347" spans="1:2">
      <c r="A1347" s="4">
        <v>46225.419120370374</v>
      </c>
      <c r="B1347" t="s">
        <v>6157</v>
      </c>
    </row>
    <row r="1348" spans="1:2">
      <c r="A1348" s="4">
        <v>46225.477870370371</v>
      </c>
      <c r="B1348" t="s">
        <v>6158</v>
      </c>
    </row>
    <row r="1349" spans="1:2">
      <c r="A1349" s="4">
        <v>46225.477870370371</v>
      </c>
      <c r="B1349" t="s">
        <v>6159</v>
      </c>
    </row>
    <row r="1350" spans="1:2">
      <c r="A1350" s="4">
        <v>46225.477870370371</v>
      </c>
      <c r="B1350" t="s">
        <v>6160</v>
      </c>
    </row>
    <row r="1351" spans="1:2">
      <c r="A1351" s="4">
        <v>46225.482060185182</v>
      </c>
      <c r="B1351" t="s">
        <v>6161</v>
      </c>
    </row>
    <row r="1352" spans="1:2">
      <c r="A1352" s="4">
        <v>46225.482060185182</v>
      </c>
      <c r="B1352" t="s">
        <v>6162</v>
      </c>
    </row>
    <row r="1353" spans="1:2">
      <c r="A1353" s="4">
        <v>46225.553356481483</v>
      </c>
      <c r="B1353" t="s">
        <v>6163</v>
      </c>
    </row>
    <row r="1354" spans="1:2">
      <c r="A1354" s="4">
        <v>46225.637187499997</v>
      </c>
      <c r="B1354" t="s">
        <v>6164</v>
      </c>
    </row>
    <row r="1355" spans="1:2">
      <c r="A1355" s="4">
        <v>46225.637199074074</v>
      </c>
      <c r="B1355" t="s">
        <v>6165</v>
      </c>
    </row>
    <row r="1356" spans="1:2">
      <c r="A1356" s="4">
        <v>46225.637187499997</v>
      </c>
      <c r="B1356" t="s">
        <v>6166</v>
      </c>
    </row>
    <row r="1357" spans="1:2">
      <c r="A1357" s="4">
        <v>46225.641388888886</v>
      </c>
      <c r="B1357" t="s">
        <v>6167</v>
      </c>
    </row>
    <row r="1358" spans="1:2">
      <c r="A1358" s="4">
        <v>46225.641388888886</v>
      </c>
      <c r="B1358" t="s">
        <v>6168</v>
      </c>
    </row>
    <row r="1359" spans="1:2">
      <c r="A1359" s="4">
        <v>46225.683321759258</v>
      </c>
      <c r="B1359" t="s">
        <v>6169</v>
      </c>
    </row>
    <row r="1360" spans="1:2">
      <c r="A1360" s="4">
        <v>46225.683321759258</v>
      </c>
      <c r="B1360" t="s">
        <v>6170</v>
      </c>
    </row>
    <row r="1361" spans="1:2">
      <c r="A1361" s="4">
        <v>46226.333425925928</v>
      </c>
      <c r="B1361" t="s">
        <v>6171</v>
      </c>
    </row>
    <row r="1362" spans="1:2">
      <c r="A1362" s="4">
        <v>46226.392118055555</v>
      </c>
      <c r="B1362" t="s">
        <v>6172</v>
      </c>
    </row>
    <row r="1363" spans="1:2">
      <c r="A1363" s="4">
        <v>46226.463437500002</v>
      </c>
      <c r="B1363" t="s">
        <v>6173</v>
      </c>
    </row>
    <row r="1364" spans="1:2">
      <c r="A1364" s="4">
        <v>46226.463437500002</v>
      </c>
      <c r="B1364" t="s">
        <v>6174</v>
      </c>
    </row>
    <row r="1365" spans="1:2">
      <c r="A1365" s="4">
        <v>46226.463437500002</v>
      </c>
      <c r="B1365" t="s">
        <v>6175</v>
      </c>
    </row>
    <row r="1366" spans="1:2">
      <c r="A1366" s="4">
        <v>46226.463449074072</v>
      </c>
      <c r="B1366" t="s">
        <v>6176</v>
      </c>
    </row>
    <row r="1367" spans="1:2">
      <c r="A1367" s="4">
        <v>46226.480208333334</v>
      </c>
      <c r="B1367" t="s">
        <v>6177</v>
      </c>
    </row>
    <row r="1368" spans="1:2">
      <c r="A1368" s="4">
        <v>46226.496990740743</v>
      </c>
      <c r="B1368" t="s">
        <v>6178</v>
      </c>
    </row>
    <row r="1369" spans="1:2">
      <c r="A1369" s="4">
        <v>46226.572638888887</v>
      </c>
      <c r="B1369" t="s">
        <v>6179</v>
      </c>
    </row>
    <row r="1370" spans="1:2">
      <c r="A1370" s="4">
        <v>46226.572662037041</v>
      </c>
      <c r="B1370" t="s">
        <v>6180</v>
      </c>
    </row>
    <row r="1371" spans="1:2">
      <c r="A1371" s="4">
        <v>46226.576828703706</v>
      </c>
      <c r="B1371" t="s">
        <v>6181</v>
      </c>
    </row>
    <row r="1372" spans="1:2">
      <c r="A1372" s="4">
        <v>46226.581018518518</v>
      </c>
      <c r="B1372" t="s">
        <v>6182</v>
      </c>
    </row>
    <row r="1373" spans="1:2">
      <c r="A1373" s="4">
        <v>46226.581018518518</v>
      </c>
      <c r="B1373" t="s">
        <v>6183</v>
      </c>
    </row>
    <row r="1374" spans="1:2">
      <c r="A1374" s="4">
        <v>46226.581018518518</v>
      </c>
      <c r="B1374" t="s">
        <v>6184</v>
      </c>
    </row>
    <row r="1375" spans="1:2">
      <c r="A1375" s="4">
        <v>46226.581018518518</v>
      </c>
      <c r="B1375" t="s">
        <v>6185</v>
      </c>
    </row>
    <row r="1376" spans="1:2">
      <c r="A1376" s="4">
        <v>46226.584502314814</v>
      </c>
      <c r="B1376" t="s">
        <v>6186</v>
      </c>
    </row>
    <row r="1377" spans="1:2">
      <c r="A1377" s="4">
        <v>46226.584502314814</v>
      </c>
      <c r="B1377" t="s">
        <v>6187</v>
      </c>
    </row>
    <row r="1378" spans="1:2">
      <c r="A1378" s="4">
        <v>46226.584502314814</v>
      </c>
      <c r="B1378" t="s">
        <v>6188</v>
      </c>
    </row>
    <row r="1379" spans="1:2">
      <c r="A1379" s="4">
        <v>46226.585231481484</v>
      </c>
      <c r="B1379" t="s">
        <v>6189</v>
      </c>
    </row>
    <row r="1380" spans="1:2">
      <c r="A1380" s="4">
        <v>46226.593634259261</v>
      </c>
      <c r="B1380" t="s">
        <v>6190</v>
      </c>
    </row>
    <row r="1381" spans="1:2">
      <c r="A1381" s="4">
        <v>46226.593634259261</v>
      </c>
      <c r="B1381" t="s">
        <v>6191</v>
      </c>
    </row>
    <row r="1382" spans="1:2">
      <c r="A1382" s="4">
        <v>46226.593634259261</v>
      </c>
      <c r="B1382" t="s">
        <v>6192</v>
      </c>
    </row>
    <row r="1383" spans="1:2">
      <c r="A1383" s="4">
        <v>46226.593634259261</v>
      </c>
      <c r="B1383" t="s">
        <v>6193</v>
      </c>
    </row>
    <row r="1384" spans="1:2">
      <c r="A1384" s="4">
        <v>46226.606226851851</v>
      </c>
      <c r="B1384" t="s">
        <v>6194</v>
      </c>
    </row>
    <row r="1385" spans="1:2">
      <c r="A1385" s="4">
        <v>46226.63140046296</v>
      </c>
      <c r="B1385" t="s">
        <v>6195</v>
      </c>
    </row>
    <row r="1386" spans="1:2">
      <c r="A1386" s="4">
        <v>46226.665023148147</v>
      </c>
      <c r="B1386" t="s">
        <v>6196</v>
      </c>
    </row>
    <row r="1387" spans="1:2">
      <c r="A1387" s="4">
        <v>46226.686041666668</v>
      </c>
      <c r="B1387" t="s">
        <v>6197</v>
      </c>
    </row>
    <row r="1388" spans="1:2">
      <c r="A1388" s="4">
        <v>46226.707060185188</v>
      </c>
      <c r="B1388" t="s">
        <v>6198</v>
      </c>
    </row>
    <row r="1389" spans="1:2">
      <c r="A1389" s="4">
        <v>46226.707060185188</v>
      </c>
      <c r="B1389" t="s">
        <v>6199</v>
      </c>
    </row>
    <row r="1390" spans="1:2">
      <c r="A1390" s="4">
        <v>46226.707060185188</v>
      </c>
      <c r="B1390" t="s">
        <v>6200</v>
      </c>
    </row>
    <row r="1391" spans="1:2">
      <c r="A1391" s="4">
        <v>46226.707060185188</v>
      </c>
      <c r="B1391" t="s">
        <v>6201</v>
      </c>
    </row>
    <row r="1392" spans="1:2">
      <c r="A1392" s="4">
        <v>46226.710532407407</v>
      </c>
      <c r="B1392" t="s">
        <v>6202</v>
      </c>
    </row>
    <row r="1393" spans="1:2">
      <c r="A1393" s="4">
        <v>46226.71125</v>
      </c>
      <c r="B1393" t="s">
        <v>6203</v>
      </c>
    </row>
    <row r="1394" spans="1:2">
      <c r="A1394" s="4">
        <v>46226.715462962966</v>
      </c>
      <c r="B1394" t="s">
        <v>6204</v>
      </c>
    </row>
    <row r="1395" spans="1:2">
      <c r="A1395" s="4">
        <v>46226.786122685182</v>
      </c>
      <c r="B1395" t="s">
        <v>6205</v>
      </c>
    </row>
    <row r="1396" spans="1:2">
      <c r="A1396" s="4">
        <v>46227.327557870369</v>
      </c>
      <c r="B1396" t="s">
        <v>6206</v>
      </c>
    </row>
    <row r="1397" spans="1:2">
      <c r="A1397" s="4">
        <v>46227.331747685188</v>
      </c>
      <c r="B1397" t="s">
        <v>6207</v>
      </c>
    </row>
    <row r="1398" spans="1:2">
      <c r="A1398" s="4">
        <v>46227.390451388892</v>
      </c>
      <c r="B1398" t="s">
        <v>6208</v>
      </c>
    </row>
    <row r="1399" spans="1:2">
      <c r="A1399" s="4">
        <v>46227.398831018516</v>
      </c>
      <c r="B1399" t="s">
        <v>6209</v>
      </c>
    </row>
    <row r="1400" spans="1:2">
      <c r="A1400" s="4">
        <v>46227.44494212963</v>
      </c>
      <c r="B1400" t="s">
        <v>6210</v>
      </c>
    </row>
    <row r="1401" spans="1:2">
      <c r="A1401" s="4">
        <v>46227.45752314815</v>
      </c>
      <c r="B1401" t="s">
        <v>6211</v>
      </c>
    </row>
    <row r="1402" spans="1:2">
      <c r="A1402" s="4">
        <v>46227.45752314815</v>
      </c>
      <c r="B1402" t="s">
        <v>6212</v>
      </c>
    </row>
    <row r="1403" spans="1:2">
      <c r="A1403" s="4">
        <v>46227.45752314815</v>
      </c>
      <c r="B1403" t="s">
        <v>6213</v>
      </c>
    </row>
    <row r="1404" spans="1:2">
      <c r="A1404" s="4">
        <v>46227.45753472222</v>
      </c>
      <c r="B1404" t="s">
        <v>6214</v>
      </c>
    </row>
    <row r="1405" spans="1:2">
      <c r="A1405" s="4">
        <v>46227.45752314815</v>
      </c>
      <c r="B1405" t="s">
        <v>6215</v>
      </c>
    </row>
    <row r="1406" spans="1:2">
      <c r="A1406" s="4">
        <v>46227.461006944446</v>
      </c>
      <c r="B1406" t="s">
        <v>6216</v>
      </c>
    </row>
    <row r="1407" spans="1:2">
      <c r="A1407" s="4">
        <v>46227.465914351851</v>
      </c>
      <c r="B1407" t="s">
        <v>6217</v>
      </c>
    </row>
    <row r="1408" spans="1:2">
      <c r="A1408" s="4">
        <v>46227.465914351851</v>
      </c>
      <c r="B1408" t="s">
        <v>6218</v>
      </c>
    </row>
    <row r="1409" spans="1:2">
      <c r="A1409" s="4">
        <v>46227.465914351851</v>
      </c>
      <c r="B1409" t="s">
        <v>6219</v>
      </c>
    </row>
    <row r="1410" spans="1:2">
      <c r="A1410" s="4">
        <v>46227.470092592594</v>
      </c>
      <c r="B1410" t="s">
        <v>6220</v>
      </c>
    </row>
    <row r="1411" spans="1:2">
      <c r="A1411" s="4">
        <v>46227.541365740741</v>
      </c>
      <c r="B1411" t="s">
        <v>6221</v>
      </c>
    </row>
    <row r="1412" spans="1:2">
      <c r="A1412" s="4">
        <v>46227.558194444442</v>
      </c>
      <c r="B1412" t="s">
        <v>6222</v>
      </c>
    </row>
    <row r="1413" spans="1:2">
      <c r="A1413" s="4">
        <v>46227.558194444442</v>
      </c>
      <c r="B1413" t="s">
        <v>6223</v>
      </c>
    </row>
    <row r="1414" spans="1:2">
      <c r="A1414" s="4">
        <v>46227.574965277781</v>
      </c>
      <c r="B1414" t="s">
        <v>6224</v>
      </c>
    </row>
    <row r="1415" spans="1:2">
      <c r="A1415" s="4">
        <v>46227.579143518517</v>
      </c>
      <c r="B1415" t="s">
        <v>6225</v>
      </c>
    </row>
    <row r="1416" spans="1:2">
      <c r="A1416" s="4">
        <v>46227.579143518517</v>
      </c>
      <c r="B1416" t="s">
        <v>6226</v>
      </c>
    </row>
    <row r="1417" spans="1:2">
      <c r="A1417" s="4">
        <v>46227.579143518517</v>
      </c>
      <c r="B1417" t="s">
        <v>6227</v>
      </c>
    </row>
    <row r="1418" spans="1:2">
      <c r="A1418" s="4">
        <v>46227.621099537035</v>
      </c>
      <c r="B1418" t="s">
        <v>6228</v>
      </c>
    </row>
    <row r="1419" spans="1:2">
      <c r="A1419" s="4">
        <v>46227.625289351854</v>
      </c>
      <c r="B1419" t="s">
        <v>6229</v>
      </c>
    </row>
    <row r="1420" spans="1:2">
      <c r="A1420" s="4">
        <v>46227.662986111114</v>
      </c>
      <c r="B1420" t="s">
        <v>6230</v>
      </c>
    </row>
    <row r="1421" spans="1:2">
      <c r="A1421" s="4">
        <v>46227.662986111114</v>
      </c>
      <c r="B1421" t="s">
        <v>6231</v>
      </c>
    </row>
    <row r="1422" spans="1:2">
      <c r="A1422" s="4">
        <v>46227.662997685184</v>
      </c>
      <c r="B1422" t="s">
        <v>6232</v>
      </c>
    </row>
    <row r="1423" spans="1:2">
      <c r="A1423" s="4">
        <v>46227.667187500003</v>
      </c>
      <c r="B1423" t="s">
        <v>6233</v>
      </c>
    </row>
    <row r="1424" spans="1:2">
      <c r="A1424" s="4">
        <v>46227.696643518517</v>
      </c>
      <c r="B1424" t="s">
        <v>6234</v>
      </c>
    </row>
    <row r="1425" spans="1:2">
      <c r="A1425" s="4">
        <v>46227.713576388887</v>
      </c>
      <c r="B1425" t="s">
        <v>6235</v>
      </c>
    </row>
    <row r="1426" spans="1:2">
      <c r="A1426" s="4">
        <v>46230.332442129627</v>
      </c>
      <c r="B1426" t="s">
        <v>6236</v>
      </c>
    </row>
    <row r="1427" spans="1:2">
      <c r="A1427" s="4">
        <v>46230.332442129627</v>
      </c>
      <c r="B1427" t="s">
        <v>6237</v>
      </c>
    </row>
    <row r="1428" spans="1:2">
      <c r="A1428" s="4">
        <v>46230.424710648149</v>
      </c>
      <c r="B1428" t="s">
        <v>6238</v>
      </c>
    </row>
    <row r="1429" spans="1:2">
      <c r="A1429" s="4">
        <v>46230.441469907404</v>
      </c>
      <c r="B1429" t="s">
        <v>6239</v>
      </c>
    </row>
    <row r="1430" spans="1:2">
      <c r="A1430" s="4">
        <v>46230.441469907404</v>
      </c>
      <c r="B1430" t="s">
        <v>6240</v>
      </c>
    </row>
    <row r="1431" spans="1:2">
      <c r="A1431" s="4">
        <v>46230.441469907404</v>
      </c>
      <c r="B1431" t="s">
        <v>6241</v>
      </c>
    </row>
    <row r="1432" spans="1:2">
      <c r="A1432" s="4">
        <v>46230.441469907404</v>
      </c>
      <c r="B1432" t="s">
        <v>6242</v>
      </c>
    </row>
    <row r="1433" spans="1:2">
      <c r="A1433" s="4">
        <v>46230.441469907404</v>
      </c>
      <c r="B1433" t="s">
        <v>6243</v>
      </c>
    </row>
    <row r="1434" spans="1:2">
      <c r="A1434" s="4">
        <v>46230.441469907404</v>
      </c>
      <c r="B1434" t="s">
        <v>6244</v>
      </c>
    </row>
    <row r="1435" spans="1:2">
      <c r="A1435" s="4">
        <v>46230.441469907404</v>
      </c>
      <c r="B1435" t="s">
        <v>6245</v>
      </c>
    </row>
    <row r="1436" spans="1:2">
      <c r="A1436" s="4">
        <v>46230.44494212963</v>
      </c>
      <c r="B1436" t="s">
        <v>6246</v>
      </c>
    </row>
    <row r="1437" spans="1:2">
      <c r="A1437" s="4">
        <v>46230.458252314813</v>
      </c>
      <c r="B1437" t="s">
        <v>6247</v>
      </c>
    </row>
    <row r="1438" spans="1:2">
      <c r="A1438" s="4">
        <v>46230.462442129632</v>
      </c>
      <c r="B1438" t="s">
        <v>6248</v>
      </c>
    </row>
    <row r="1439" spans="1:2">
      <c r="A1439" s="4">
        <v>46230.462442129632</v>
      </c>
      <c r="B1439" t="s">
        <v>6249</v>
      </c>
    </row>
    <row r="1440" spans="1:2">
      <c r="A1440" s="4">
        <v>46230.462442129632</v>
      </c>
      <c r="B1440" t="s">
        <v>6250</v>
      </c>
    </row>
    <row r="1441" spans="1:2">
      <c r="A1441" s="4">
        <v>46230.462442129632</v>
      </c>
      <c r="B1441" t="s">
        <v>6251</v>
      </c>
    </row>
    <row r="1442" spans="1:2">
      <c r="A1442" s="4">
        <v>46230.465914351851</v>
      </c>
      <c r="B1442" t="s">
        <v>6252</v>
      </c>
    </row>
    <row r="1443" spans="1:2">
      <c r="A1443" s="4">
        <v>46230.466631944444</v>
      </c>
      <c r="B1443" t="s">
        <v>6253</v>
      </c>
    </row>
    <row r="1444" spans="1:2">
      <c r="A1444" s="4">
        <v>46230.550497685188</v>
      </c>
      <c r="B1444" t="s">
        <v>6254</v>
      </c>
    </row>
    <row r="1445" spans="1:2">
      <c r="A1445" s="4">
        <v>46230.563055555554</v>
      </c>
      <c r="B1445" t="s">
        <v>6255</v>
      </c>
    </row>
    <row r="1446" spans="1:2">
      <c r="A1446" s="4">
        <v>46230.563055555554</v>
      </c>
      <c r="B1446" t="s">
        <v>6256</v>
      </c>
    </row>
    <row r="1447" spans="1:2">
      <c r="A1447" s="4">
        <v>46230.579837962963</v>
      </c>
      <c r="B1447" t="s">
        <v>6257</v>
      </c>
    </row>
    <row r="1448" spans="1:2">
      <c r="A1448" s="4">
        <v>46230.579837962963</v>
      </c>
      <c r="B1448" t="s">
        <v>6258</v>
      </c>
    </row>
    <row r="1449" spans="1:2">
      <c r="A1449" s="4">
        <v>46230.592407407406</v>
      </c>
      <c r="B1449" t="s">
        <v>6259</v>
      </c>
    </row>
    <row r="1450" spans="1:2">
      <c r="A1450" s="4">
        <v>46230.592418981483</v>
      </c>
      <c r="B1450" t="s">
        <v>6260</v>
      </c>
    </row>
    <row r="1451" spans="1:2">
      <c r="A1451" s="4">
        <v>46230.592407407406</v>
      </c>
      <c r="B1451" t="s">
        <v>6261</v>
      </c>
    </row>
    <row r="1452" spans="1:2">
      <c r="A1452" s="4">
        <v>46230.592407407406</v>
      </c>
      <c r="B1452" t="s">
        <v>6262</v>
      </c>
    </row>
    <row r="1453" spans="1:2">
      <c r="A1453" s="4">
        <v>46230.609178240738</v>
      </c>
      <c r="B1453" t="s">
        <v>6263</v>
      </c>
    </row>
    <row r="1454" spans="1:2">
      <c r="A1454" s="4">
        <v>46230.609178240738</v>
      </c>
      <c r="B1454" t="s">
        <v>6264</v>
      </c>
    </row>
    <row r="1455" spans="1:2">
      <c r="A1455" s="4">
        <v>46230.609178240738</v>
      </c>
      <c r="B1455" t="s">
        <v>6265</v>
      </c>
    </row>
    <row r="1456" spans="1:2">
      <c r="A1456" s="4">
        <v>46230.609178240738</v>
      </c>
      <c r="B1456" t="s">
        <v>6266</v>
      </c>
    </row>
    <row r="1457" spans="1:2">
      <c r="A1457" s="4">
        <v>46230.625972222224</v>
      </c>
      <c r="B1457" t="s">
        <v>6267</v>
      </c>
    </row>
    <row r="1458" spans="1:2">
      <c r="A1458" s="4">
        <v>46230.659502314818</v>
      </c>
      <c r="B1458" t="s">
        <v>6268</v>
      </c>
    </row>
    <row r="1459" spans="1:2">
      <c r="A1459" s="4">
        <v>46230.659502314818</v>
      </c>
      <c r="B1459" t="s">
        <v>6269</v>
      </c>
    </row>
    <row r="1460" spans="1:2">
      <c r="A1460" s="4">
        <v>46230.676307870373</v>
      </c>
      <c r="B1460" t="s">
        <v>6270</v>
      </c>
    </row>
    <row r="1461" spans="1:2">
      <c r="A1461" s="4">
        <v>46230.676307870373</v>
      </c>
      <c r="B1461" t="s">
        <v>6271</v>
      </c>
    </row>
    <row r="1462" spans="1:2">
      <c r="A1462" s="4">
        <v>46230.705659722225</v>
      </c>
      <c r="B1462" t="s">
        <v>6272</v>
      </c>
    </row>
    <row r="1463" spans="1:2">
      <c r="A1463" s="4">
        <v>46230.705659722225</v>
      </c>
      <c r="B1463" t="s">
        <v>6273</v>
      </c>
    </row>
    <row r="1464" spans="1:2">
      <c r="A1464" s="4">
        <v>46231.326342592591</v>
      </c>
      <c r="B1464" t="s">
        <v>6274</v>
      </c>
    </row>
    <row r="1465" spans="1:2">
      <c r="A1465" s="4">
        <v>46231.326354166667</v>
      </c>
      <c r="B1465" t="s">
        <v>6275</v>
      </c>
    </row>
    <row r="1466" spans="1:2">
      <c r="A1466" s="4">
        <v>46231.326354166667</v>
      </c>
      <c r="B1466" t="s">
        <v>6276</v>
      </c>
    </row>
    <row r="1467" spans="1:2">
      <c r="A1467" s="4">
        <v>46231.389340277776</v>
      </c>
      <c r="B1467" t="s">
        <v>6277</v>
      </c>
    </row>
    <row r="1468" spans="1:2">
      <c r="A1468" s="4">
        <v>46231.414525462962</v>
      </c>
      <c r="B1468" t="s">
        <v>6278</v>
      </c>
    </row>
    <row r="1469" spans="1:2">
      <c r="A1469" s="4">
        <v>46231.414525462962</v>
      </c>
      <c r="B1469" t="s">
        <v>6279</v>
      </c>
    </row>
    <row r="1470" spans="1:2">
      <c r="A1470" s="4">
        <v>46231.414513888885</v>
      </c>
      <c r="B1470" t="s">
        <v>6280</v>
      </c>
    </row>
    <row r="1471" spans="1:2">
      <c r="A1471" s="4">
        <v>46231.414525462962</v>
      </c>
      <c r="B1471" t="s">
        <v>6281</v>
      </c>
    </row>
    <row r="1472" spans="1:2">
      <c r="A1472" s="4">
        <v>46231.414525462962</v>
      </c>
      <c r="B1472" t="s">
        <v>6282</v>
      </c>
    </row>
    <row r="1473" spans="1:2">
      <c r="A1473" s="4">
        <v>46231.44394675926</v>
      </c>
      <c r="B1473" t="s">
        <v>6283</v>
      </c>
    </row>
    <row r="1474" spans="1:2">
      <c r="A1474" s="4">
        <v>46231.44394675926</v>
      </c>
      <c r="B1474" t="s">
        <v>6284</v>
      </c>
    </row>
    <row r="1475" spans="1:2">
      <c r="A1475" s="4">
        <v>46231.448136574072</v>
      </c>
      <c r="B1475" t="s">
        <v>6285</v>
      </c>
    </row>
    <row r="1476" spans="1:2">
      <c r="A1476" s="4">
        <v>46231.452326388891</v>
      </c>
      <c r="B1476" t="s">
        <v>6286</v>
      </c>
    </row>
    <row r="1477" spans="1:2">
      <c r="A1477" s="4">
        <v>46231.452326388891</v>
      </c>
      <c r="B1477" t="s">
        <v>6287</v>
      </c>
    </row>
    <row r="1478" spans="1:2">
      <c r="A1478" s="4">
        <v>46231.452326388891</v>
      </c>
      <c r="B1478" t="s">
        <v>6288</v>
      </c>
    </row>
    <row r="1479" spans="1:2">
      <c r="A1479" s="4">
        <v>46231.452326388891</v>
      </c>
      <c r="B1479" t="s">
        <v>6289</v>
      </c>
    </row>
    <row r="1480" spans="1:2">
      <c r="A1480" s="4">
        <v>46231.455810185187</v>
      </c>
      <c r="B1480" t="s">
        <v>6290</v>
      </c>
    </row>
    <row r="1481" spans="1:2">
      <c r="A1481" s="4">
        <v>46231.464907407404</v>
      </c>
      <c r="B1481" t="s">
        <v>6291</v>
      </c>
    </row>
    <row r="1482" spans="1:2">
      <c r="A1482" s="4">
        <v>46231.557199074072</v>
      </c>
      <c r="B1482" t="s">
        <v>6292</v>
      </c>
    </row>
    <row r="1483" spans="1:2">
      <c r="A1483" s="4">
        <v>46231.557199074072</v>
      </c>
      <c r="B1483" t="s">
        <v>6293</v>
      </c>
    </row>
    <row r="1484" spans="1:2">
      <c r="A1484" s="4">
        <v>46231.557199074072</v>
      </c>
      <c r="B1484" t="s">
        <v>6294</v>
      </c>
    </row>
    <row r="1485" spans="1:2">
      <c r="A1485" s="4">
        <v>46231.557199074072</v>
      </c>
      <c r="B1485" t="s">
        <v>6295</v>
      </c>
    </row>
    <row r="1486" spans="1:2">
      <c r="A1486" s="4">
        <v>46231.560671296298</v>
      </c>
      <c r="B1486" t="s">
        <v>6296</v>
      </c>
    </row>
    <row r="1487" spans="1:2">
      <c r="A1487" s="4">
        <v>46231.569768518515</v>
      </c>
      <c r="B1487" t="s">
        <v>6297</v>
      </c>
    </row>
    <row r="1488" spans="1:2">
      <c r="A1488" s="4">
        <v>46231.569756944446</v>
      </c>
      <c r="B1488" t="s">
        <v>6298</v>
      </c>
    </row>
    <row r="1489" spans="1:2">
      <c r="A1489" s="4">
        <v>46231.582395833335</v>
      </c>
      <c r="B1489" t="s">
        <v>6299</v>
      </c>
    </row>
    <row r="1490" spans="1:2">
      <c r="A1490" s="4">
        <v>46231.582407407404</v>
      </c>
      <c r="B1490" t="s">
        <v>6300</v>
      </c>
    </row>
    <row r="1491" spans="1:2">
      <c r="A1491" s="4">
        <v>46231.616030092591</v>
      </c>
      <c r="B1491" t="s">
        <v>6301</v>
      </c>
    </row>
    <row r="1492" spans="1:2">
      <c r="A1492" s="4">
        <v>46231.628553240742</v>
      </c>
      <c r="B1492" t="s">
        <v>6302</v>
      </c>
    </row>
    <row r="1493" spans="1:2">
      <c r="A1493" s="4">
        <v>46231.645335648151</v>
      </c>
      <c r="B1493" t="s">
        <v>6303</v>
      </c>
    </row>
    <row r="1494" spans="1:2">
      <c r="A1494" s="4">
        <v>46231.645335648151</v>
      </c>
      <c r="B1494" t="s">
        <v>6304</v>
      </c>
    </row>
    <row r="1495" spans="1:2">
      <c r="A1495" s="4">
        <v>46231.645335648151</v>
      </c>
      <c r="B1495" t="s">
        <v>6305</v>
      </c>
    </row>
    <row r="1496" spans="1:2">
      <c r="A1496" s="4">
        <v>46231.649525462963</v>
      </c>
      <c r="B1496" t="s">
        <v>6306</v>
      </c>
    </row>
    <row r="1497" spans="1:2">
      <c r="A1497" s="4">
        <v>46231.649525462963</v>
      </c>
      <c r="B1497" t="s">
        <v>6307</v>
      </c>
    </row>
    <row r="1498" spans="1:2">
      <c r="A1498" s="4">
        <v>46231.649525462963</v>
      </c>
      <c r="B1498" t="s">
        <v>6308</v>
      </c>
    </row>
    <row r="1499" spans="1:2">
      <c r="A1499" s="4">
        <v>46231.678900462961</v>
      </c>
      <c r="B1499" t="s">
        <v>6309</v>
      </c>
    </row>
    <row r="1500" spans="1:2">
      <c r="A1500" s="4">
        <v>46231.68310185185</v>
      </c>
      <c r="B1500" t="s">
        <v>6310</v>
      </c>
    </row>
    <row r="1501" spans="1:2">
      <c r="A1501" s="4">
        <v>46231.68310185185</v>
      </c>
      <c r="B1501" t="s">
        <v>6311</v>
      </c>
    </row>
    <row r="1502" spans="1:2">
      <c r="A1502" s="4">
        <v>46231.712500000001</v>
      </c>
      <c r="B1502" t="s">
        <v>6312</v>
      </c>
    </row>
    <row r="1503" spans="1:2">
      <c r="A1503" s="4">
        <v>46232.337800925925</v>
      </c>
      <c r="B1503" t="s">
        <v>6313</v>
      </c>
    </row>
    <row r="1504" spans="1:2">
      <c r="A1504" s="4">
        <v>46232.337789351855</v>
      </c>
      <c r="B1504" t="s">
        <v>6314</v>
      </c>
    </row>
    <row r="1505" spans="1:2">
      <c r="A1505" s="4">
        <v>46232.400613425925</v>
      </c>
      <c r="B1505" t="s">
        <v>6315</v>
      </c>
    </row>
    <row r="1506" spans="1:2">
      <c r="A1506" s="4">
        <v>46232.40898148148</v>
      </c>
      <c r="B1506" t="s">
        <v>6316</v>
      </c>
    </row>
    <row r="1507" spans="1:2">
      <c r="A1507" s="4">
        <v>46232.417372685188</v>
      </c>
      <c r="B1507" t="s">
        <v>6317</v>
      </c>
    </row>
    <row r="1508" spans="1:2">
      <c r="A1508" s="4">
        <v>46232.463541666664</v>
      </c>
      <c r="B1508" t="s">
        <v>6318</v>
      </c>
    </row>
    <row r="1509" spans="1:2">
      <c r="A1509" s="4">
        <v>46232.463553240741</v>
      </c>
      <c r="B1509" t="s">
        <v>6319</v>
      </c>
    </row>
    <row r="1510" spans="1:2">
      <c r="A1510" s="4">
        <v>46232.463553240741</v>
      </c>
      <c r="B1510" t="s">
        <v>6320</v>
      </c>
    </row>
    <row r="1511" spans="1:2">
      <c r="A1511" s="4">
        <v>46232.476122685184</v>
      </c>
      <c r="B1511" t="s">
        <v>6321</v>
      </c>
    </row>
    <row r="1512" spans="1:2">
      <c r="A1512" s="4">
        <v>46232.484548611108</v>
      </c>
      <c r="B1512" t="s">
        <v>6322</v>
      </c>
    </row>
    <row r="1513" spans="1:2">
      <c r="A1513" s="4">
        <v>46232.484548611108</v>
      </c>
      <c r="B1513" t="s">
        <v>6323</v>
      </c>
    </row>
    <row r="1514" spans="1:2">
      <c r="A1514" s="4">
        <v>46232.484548611108</v>
      </c>
      <c r="B1514" t="s">
        <v>6324</v>
      </c>
    </row>
    <row r="1515" spans="1:2">
      <c r="A1515" s="4">
        <v>46232.501435185186</v>
      </c>
      <c r="B1515" t="s">
        <v>6325</v>
      </c>
    </row>
    <row r="1516" spans="1:2">
      <c r="A1516" s="4">
        <v>46232.501435185186</v>
      </c>
      <c r="B1516" t="s">
        <v>6326</v>
      </c>
    </row>
    <row r="1517" spans="1:2">
      <c r="A1517" s="4">
        <v>46232.514004629629</v>
      </c>
      <c r="B1517" t="s">
        <v>6327</v>
      </c>
    </row>
    <row r="1518" spans="1:2">
      <c r="A1518" s="4">
        <v>46232.514004629629</v>
      </c>
      <c r="B1518" t="s">
        <v>6328</v>
      </c>
    </row>
    <row r="1519" spans="1:2">
      <c r="A1519" s="4">
        <v>46232.514004629629</v>
      </c>
      <c r="B1519" t="s">
        <v>6329</v>
      </c>
    </row>
    <row r="1520" spans="1:2">
      <c r="A1520" s="4">
        <v>46232.514004629629</v>
      </c>
      <c r="B1520" t="s">
        <v>6330</v>
      </c>
    </row>
    <row r="1521" spans="1:2">
      <c r="A1521" s="4">
        <v>46232.610474537039</v>
      </c>
      <c r="B1521" t="s">
        <v>6331</v>
      </c>
    </row>
    <row r="1522" spans="1:2">
      <c r="A1522" s="4">
        <v>46232.610462962963</v>
      </c>
      <c r="B1522" t="s">
        <v>6332</v>
      </c>
    </row>
    <row r="1523" spans="1:2">
      <c r="A1523" s="4">
        <v>46232.610462962963</v>
      </c>
      <c r="B1523" t="s">
        <v>6333</v>
      </c>
    </row>
    <row r="1524" spans="1:2">
      <c r="A1524" s="4">
        <v>46232.610474537039</v>
      </c>
      <c r="B1524" t="s">
        <v>6334</v>
      </c>
    </row>
    <row r="1525" spans="1:2">
      <c r="A1525" s="4">
        <v>46232.618877314817</v>
      </c>
      <c r="B1525" t="s">
        <v>6335</v>
      </c>
    </row>
    <row r="1526" spans="1:2">
      <c r="A1526" s="4">
        <v>46232.618877314817</v>
      </c>
      <c r="B1526" t="s">
        <v>6336</v>
      </c>
    </row>
    <row r="1527" spans="1:2">
      <c r="A1527" s="4">
        <v>46232.618888888886</v>
      </c>
      <c r="B1527" t="s">
        <v>6337</v>
      </c>
    </row>
    <row r="1528" spans="1:2">
      <c r="A1528" s="4">
        <v>46232.61891203704</v>
      </c>
      <c r="B1528" t="s">
        <v>6338</v>
      </c>
    </row>
    <row r="1529" spans="1:2">
      <c r="A1529" s="4">
        <v>46232.644050925926</v>
      </c>
      <c r="B1529" t="s">
        <v>6339</v>
      </c>
    </row>
    <row r="1530" spans="1:2">
      <c r="A1530" s="4">
        <v>46232.648229166669</v>
      </c>
      <c r="B1530" t="s">
        <v>6340</v>
      </c>
    </row>
    <row r="1531" spans="1:2">
      <c r="A1531" s="4">
        <v>46232.681967592594</v>
      </c>
      <c r="B1531" t="s">
        <v>6341</v>
      </c>
    </row>
    <row r="1532" spans="1:2">
      <c r="A1532" s="4">
        <v>46232.681967592594</v>
      </c>
      <c r="B1532" t="s">
        <v>6342</v>
      </c>
    </row>
    <row r="1533" spans="1:2">
      <c r="A1533" s="4">
        <v>46232.686145833337</v>
      </c>
      <c r="B1533" t="s">
        <v>6343</v>
      </c>
    </row>
    <row r="1534" spans="1:2">
      <c r="A1534" s="4">
        <v>46232.69804398148</v>
      </c>
      <c r="B1534" t="s">
        <v>6344</v>
      </c>
    </row>
    <row r="1535" spans="1:2">
      <c r="A1535" s="4">
        <v>46232.702233796299</v>
      </c>
      <c r="B1535" t="s">
        <v>6345</v>
      </c>
    </row>
    <row r="1536" spans="1:2">
      <c r="A1536" s="4">
        <v>46232.702245370368</v>
      </c>
      <c r="B1536" t="s">
        <v>6346</v>
      </c>
    </row>
    <row r="1537" spans="1:2">
      <c r="A1537" s="4">
        <v>46232.706435185188</v>
      </c>
      <c r="B1537" t="s">
        <v>6347</v>
      </c>
    </row>
    <row r="1538" spans="1:2">
      <c r="A1538" s="4">
        <v>46232.706435185188</v>
      </c>
      <c r="B1538" t="s">
        <v>6348</v>
      </c>
    </row>
    <row r="1539" spans="1:2">
      <c r="A1539" s="4">
        <v>46232.706435185188</v>
      </c>
      <c r="B1539" t="s">
        <v>6349</v>
      </c>
    </row>
    <row r="1540" spans="1:2">
      <c r="A1540" s="4">
        <v>46232.706435185188</v>
      </c>
      <c r="B1540" t="s">
        <v>6350</v>
      </c>
    </row>
    <row r="1541" spans="1:2">
      <c r="A1541" s="4">
        <v>46232.706435185188</v>
      </c>
      <c r="B1541" t="s">
        <v>6351</v>
      </c>
    </row>
    <row r="1542" spans="1:2">
      <c r="A1542" s="4">
        <v>46233.327453703707</v>
      </c>
      <c r="B1542" t="s">
        <v>6352</v>
      </c>
    </row>
    <row r="1543" spans="1:2">
      <c r="A1543" s="4">
        <v>46233.327453703707</v>
      </c>
      <c r="B1543" t="s">
        <v>6353</v>
      </c>
    </row>
    <row r="1544" spans="1:2">
      <c r="A1544" s="4">
        <v>46233.327453703707</v>
      </c>
      <c r="B1544" t="s">
        <v>6354</v>
      </c>
    </row>
    <row r="1545" spans="1:2">
      <c r="A1545" s="4">
        <v>46233.327453703707</v>
      </c>
      <c r="B1545" t="s">
        <v>6355</v>
      </c>
    </row>
    <row r="1546" spans="1:2">
      <c r="A1546" s="4">
        <v>46233.331643518519</v>
      </c>
      <c r="B1546" t="s">
        <v>6356</v>
      </c>
    </row>
    <row r="1547" spans="1:2">
      <c r="A1547" s="4">
        <v>46233.331643518519</v>
      </c>
      <c r="B1547" t="s">
        <v>6357</v>
      </c>
    </row>
    <row r="1548" spans="1:2">
      <c r="A1548" s="4">
        <v>46233.331643518519</v>
      </c>
      <c r="B1548" t="s">
        <v>6358</v>
      </c>
    </row>
    <row r="1549" spans="1:2">
      <c r="A1549" s="4">
        <v>46233.331666666665</v>
      </c>
      <c r="B1549" t="s">
        <v>6359</v>
      </c>
    </row>
    <row r="1550" spans="1:2">
      <c r="A1550" s="4">
        <v>46233.331643518519</v>
      </c>
      <c r="B1550" t="s">
        <v>6360</v>
      </c>
    </row>
    <row r="1551" spans="1:2">
      <c r="A1551" s="4">
        <v>46233.335115740738</v>
      </c>
      <c r="B1551" t="s">
        <v>6361</v>
      </c>
    </row>
    <row r="1552" spans="1:2">
      <c r="A1552" s="4">
        <v>46233.35260416667</v>
      </c>
      <c r="B1552" t="s">
        <v>6362</v>
      </c>
    </row>
    <row r="1553" spans="1:2">
      <c r="A1553" s="4">
        <v>46233.428067129629</v>
      </c>
      <c r="B1553" t="s">
        <v>6363</v>
      </c>
    </row>
    <row r="1554" spans="1:2">
      <c r="A1554" s="4">
        <v>46233.428067129629</v>
      </c>
      <c r="B1554" t="s">
        <v>6364</v>
      </c>
    </row>
    <row r="1555" spans="1:2">
      <c r="A1555" s="4">
        <v>46233.428078703706</v>
      </c>
      <c r="B1555" t="s">
        <v>6365</v>
      </c>
    </row>
    <row r="1556" spans="1:2">
      <c r="A1556" s="4">
        <v>46233.444849537038</v>
      </c>
      <c r="B1556" t="s">
        <v>6366</v>
      </c>
    </row>
    <row r="1557" spans="1:2">
      <c r="A1557" s="4">
        <v>46233.545543981483</v>
      </c>
      <c r="B1557" t="s">
        <v>6367</v>
      </c>
    </row>
    <row r="1558" spans="1:2">
      <c r="A1558" s="4">
        <v>46233.545543981483</v>
      </c>
      <c r="B1558" t="s">
        <v>6368</v>
      </c>
    </row>
    <row r="1559" spans="1:2">
      <c r="A1559" s="4">
        <v>46233.558113425926</v>
      </c>
      <c r="B1559" t="s">
        <v>6369</v>
      </c>
    </row>
    <row r="1560" spans="1:2">
      <c r="A1560" s="4">
        <v>46233.600115740737</v>
      </c>
      <c r="B1560" t="s">
        <v>6370</v>
      </c>
    </row>
    <row r="1561" spans="1:2">
      <c r="A1561" s="4">
        <v>46233.60429398148</v>
      </c>
      <c r="B1561" t="s">
        <v>6371</v>
      </c>
    </row>
    <row r="1562" spans="1:2">
      <c r="A1562" s="4">
        <v>46233.60429398148</v>
      </c>
      <c r="B1562" t="s">
        <v>6372</v>
      </c>
    </row>
    <row r="1563" spans="1:2">
      <c r="A1563" s="4">
        <v>46233.60429398148</v>
      </c>
      <c r="B1563" t="s">
        <v>6373</v>
      </c>
    </row>
    <row r="1564" spans="1:2">
      <c r="A1564" s="4">
        <v>46233.616875</v>
      </c>
      <c r="B1564" t="s">
        <v>6374</v>
      </c>
    </row>
    <row r="1565" spans="1:2">
      <c r="A1565" s="4">
        <v>46233.616875</v>
      </c>
      <c r="B1565" t="s">
        <v>6375</v>
      </c>
    </row>
    <row r="1566" spans="1:2">
      <c r="A1566" s="4">
        <v>46233.616875</v>
      </c>
      <c r="B1566" t="s">
        <v>6376</v>
      </c>
    </row>
    <row r="1567" spans="1:2">
      <c r="A1567" s="4">
        <v>46233.616875</v>
      </c>
      <c r="B1567" t="s">
        <v>6377</v>
      </c>
    </row>
    <row r="1568" spans="1:2">
      <c r="A1568" s="4">
        <v>46233.620347222219</v>
      </c>
      <c r="B1568" t="s">
        <v>6378</v>
      </c>
    </row>
    <row r="1569" spans="1:2">
      <c r="A1569" s="4">
        <v>46233.620347222219</v>
      </c>
      <c r="B1569" t="s">
        <v>6379</v>
      </c>
    </row>
    <row r="1570" spans="1:2">
      <c r="A1570" s="4">
        <v>46233.6253125</v>
      </c>
      <c r="B1570" t="s">
        <v>6380</v>
      </c>
    </row>
    <row r="1571" spans="1:2">
      <c r="A1571" s="4">
        <v>46233.637870370374</v>
      </c>
      <c r="B1571" t="s">
        <v>6381</v>
      </c>
    </row>
    <row r="1572" spans="1:2">
      <c r="A1572" s="4">
        <v>46233.675625000003</v>
      </c>
      <c r="B1572" t="s">
        <v>6382</v>
      </c>
    </row>
    <row r="1573" spans="1:2">
      <c r="A1573" s="4">
        <v>46233.684016203704</v>
      </c>
      <c r="B1573" t="s">
        <v>6383</v>
      </c>
    </row>
    <row r="1574" spans="1:2">
      <c r="A1574" s="4">
        <v>46233.684016203704</v>
      </c>
      <c r="B1574" t="s">
        <v>6384</v>
      </c>
    </row>
    <row r="1575" spans="1:2">
      <c r="A1575" s="4">
        <v>46233.68822916667</v>
      </c>
      <c r="B1575" t="s">
        <v>6385</v>
      </c>
    </row>
    <row r="1576" spans="1:2">
      <c r="A1576" s="4">
        <v>46233.692418981482</v>
      </c>
      <c r="B1576" t="s">
        <v>6386</v>
      </c>
    </row>
    <row r="1577" spans="1:2">
      <c r="A1577" s="4">
        <v>46233.700798611113</v>
      </c>
      <c r="B1577" t="s">
        <v>6387</v>
      </c>
    </row>
    <row r="1578" spans="1:2">
      <c r="A1578" s="4">
        <v>46233.700798611113</v>
      </c>
      <c r="B1578" t="s">
        <v>6388</v>
      </c>
    </row>
    <row r="1579" spans="1:2">
      <c r="A1579" s="4">
        <v>46233.704988425925</v>
      </c>
      <c r="B1579" t="s">
        <v>6389</v>
      </c>
    </row>
    <row r="1580" spans="1:2">
      <c r="A1580" s="4">
        <v>46233.704988425925</v>
      </c>
      <c r="B1580" t="s">
        <v>6390</v>
      </c>
    </row>
    <row r="1581" spans="1:2">
      <c r="A1581" s="4">
        <v>46233.704988425925</v>
      </c>
      <c r="B1581" t="s">
        <v>6391</v>
      </c>
    </row>
    <row r="1582" spans="1:2">
      <c r="A1582" s="4">
        <v>46233.704988425925</v>
      </c>
      <c r="B1582" t="s">
        <v>6392</v>
      </c>
    </row>
    <row r="1583" spans="1:2">
      <c r="A1583" s="4">
        <v>46233.705000000002</v>
      </c>
      <c r="B1583" t="s">
        <v>6393</v>
      </c>
    </row>
    <row r="1584" spans="1:2">
      <c r="A1584" s="4">
        <v>46233.721770833334</v>
      </c>
      <c r="B1584" t="s">
        <v>6394</v>
      </c>
    </row>
    <row r="1585" spans="1:2">
      <c r="A1585" s="4">
        <v>46233.721770833334</v>
      </c>
      <c r="B1585" t="s">
        <v>6395</v>
      </c>
    </row>
    <row r="1586" spans="1:2">
      <c r="A1586" s="4">
        <v>46233.721770833334</v>
      </c>
      <c r="B1586" t="s">
        <v>6396</v>
      </c>
    </row>
    <row r="1587" spans="1:2">
      <c r="A1587" s="4">
        <v>46234.325243055559</v>
      </c>
      <c r="B1587" t="s">
        <v>6397</v>
      </c>
    </row>
    <row r="1588" spans="1:2">
      <c r="A1588" s="4">
        <v>46234.329432870371</v>
      </c>
      <c r="B1588" t="s">
        <v>6398</v>
      </c>
    </row>
    <row r="1589" spans="1:2">
      <c r="A1589" s="4">
        <v>46234.346203703702</v>
      </c>
      <c r="B1589" t="s">
        <v>6399</v>
      </c>
    </row>
    <row r="1590" spans="1:2">
      <c r="A1590" s="4">
        <v>46234.346203703702</v>
      </c>
      <c r="B1590" t="s">
        <v>6400</v>
      </c>
    </row>
    <row r="1591" spans="1:2">
      <c r="A1591" s="4">
        <v>46234.350393518522</v>
      </c>
      <c r="B1591" t="s">
        <v>6401</v>
      </c>
    </row>
    <row r="1592" spans="1:2">
      <c r="A1592" s="4">
        <v>46234.350393518522</v>
      </c>
      <c r="B1592" t="s">
        <v>6402</v>
      </c>
    </row>
    <row r="1593" spans="1:2">
      <c r="A1593" s="4">
        <v>46234.350393518522</v>
      </c>
      <c r="B1593" t="s">
        <v>6403</v>
      </c>
    </row>
    <row r="1594" spans="1:2">
      <c r="A1594" s="4">
        <v>46234.375590277778</v>
      </c>
      <c r="B1594" t="s">
        <v>6404</v>
      </c>
    </row>
    <row r="1595" spans="1:2">
      <c r="A1595" s="4">
        <v>46234.379780092589</v>
      </c>
      <c r="B1595" t="s">
        <v>6405</v>
      </c>
    </row>
    <row r="1596" spans="1:2">
      <c r="A1596" s="4">
        <v>46234.430115740739</v>
      </c>
      <c r="B1596" t="s">
        <v>6406</v>
      </c>
    </row>
    <row r="1597" spans="1:2">
      <c r="A1597" s="4">
        <v>46234.46366898148</v>
      </c>
      <c r="B1597" t="s">
        <v>6407</v>
      </c>
    </row>
    <row r="1598" spans="1:2">
      <c r="A1598" s="4">
        <v>46234.480451388888</v>
      </c>
      <c r="B1598" t="s">
        <v>6408</v>
      </c>
    </row>
    <row r="1599" spans="1:2">
      <c r="A1599" s="4">
        <v>46234.480451388888</v>
      </c>
      <c r="B1599" t="s">
        <v>6409</v>
      </c>
    </row>
    <row r="1600" spans="1:2">
      <c r="A1600" s="4">
        <v>46234.55605324074</v>
      </c>
      <c r="B1600" t="s">
        <v>6410</v>
      </c>
    </row>
    <row r="1601" spans="1:2">
      <c r="A1601" s="4">
        <v>46234.55605324074</v>
      </c>
      <c r="B1601" t="s">
        <v>6411</v>
      </c>
    </row>
    <row r="1602" spans="1:2">
      <c r="A1602" s="4">
        <v>46234.560243055559</v>
      </c>
      <c r="B1602" t="s">
        <v>6412</v>
      </c>
    </row>
    <row r="1603" spans="1:2">
      <c r="A1603" s="4">
        <v>46234.560243055559</v>
      </c>
      <c r="B1603" t="s">
        <v>6413</v>
      </c>
    </row>
    <row r="1604" spans="1:2">
      <c r="A1604" s="4">
        <v>46234.560243055559</v>
      </c>
      <c r="B1604" t="s">
        <v>6414</v>
      </c>
    </row>
    <row r="1605" spans="1:2">
      <c r="A1605" s="4">
        <v>46234.58121527778</v>
      </c>
      <c r="B1605" t="s">
        <v>6415</v>
      </c>
    </row>
    <row r="1606" spans="1:2">
      <c r="A1606" s="4">
        <v>46234.58121527778</v>
      </c>
      <c r="B1606" t="s">
        <v>6416</v>
      </c>
    </row>
    <row r="1607" spans="1:2">
      <c r="A1607" s="4">
        <v>46234.5937962963</v>
      </c>
      <c r="B1607" t="s">
        <v>6417</v>
      </c>
    </row>
    <row r="1608" spans="1:2">
      <c r="A1608" s="4">
        <v>46234.623229166667</v>
      </c>
      <c r="B1608" t="s">
        <v>6418</v>
      </c>
    </row>
    <row r="1609" spans="1:2">
      <c r="A1609" s="4">
        <v>46234.665289351855</v>
      </c>
      <c r="B1609" t="s">
        <v>6419</v>
      </c>
    </row>
    <row r="1610" spans="1:2">
      <c r="A1610" s="4">
        <v>46234.665289351855</v>
      </c>
      <c r="B1610" t="s">
        <v>6420</v>
      </c>
    </row>
    <row r="1611" spans="1:2">
      <c r="A1611" s="4">
        <v>46234.66946759259</v>
      </c>
      <c r="B1611" t="s">
        <v>6421</v>
      </c>
    </row>
    <row r="1612" spans="1:2">
      <c r="A1612" s="4">
        <v>46234.686249999999</v>
      </c>
      <c r="B1612" t="s">
        <v>6422</v>
      </c>
    </row>
    <row r="1613" spans="1:2">
      <c r="A1613" s="4">
        <v>46234.703020833331</v>
      </c>
      <c r="B1613" t="s">
        <v>6423</v>
      </c>
    </row>
    <row r="1614" spans="1:2">
      <c r="A1614" s="4">
        <v>46234.715636574074</v>
      </c>
      <c r="B1614" t="s">
        <v>6424</v>
      </c>
    </row>
    <row r="1615" spans="1:2">
      <c r="A1615" s="4">
        <v>46234.715636574074</v>
      </c>
      <c r="B1615" t="s">
        <v>6425</v>
      </c>
    </row>
    <row r="1616" spans="1:2">
      <c r="A1616" s="4">
        <v>46234.715636574074</v>
      </c>
      <c r="B1616" t="s">
        <v>6426</v>
      </c>
    </row>
    <row r="1617" spans="1:2">
      <c r="A1617" s="4">
        <v>46234.715671296297</v>
      </c>
      <c r="B1617" t="s">
        <v>6427</v>
      </c>
    </row>
    <row r="1618" spans="1:2">
      <c r="A1618" s="4">
        <v>46234.719837962963</v>
      </c>
      <c r="B1618" t="s">
        <v>6428</v>
      </c>
    </row>
    <row r="1619" spans="1:2">
      <c r="A1619" s="4">
        <v>46237.315532407411</v>
      </c>
      <c r="B1619" t="s">
        <v>6429</v>
      </c>
    </row>
    <row r="1620" spans="1:2">
      <c r="A1620" s="4">
        <v>46237.315532407411</v>
      </c>
      <c r="B1620" t="s">
        <v>6430</v>
      </c>
    </row>
    <row r="1621" spans="1:2">
      <c r="A1621" s="4">
        <v>46237.328125</v>
      </c>
      <c r="B1621" t="s">
        <v>6431</v>
      </c>
    </row>
    <row r="1622" spans="1:2">
      <c r="A1622" s="4">
        <v>46237.332326388889</v>
      </c>
      <c r="B1622" t="s">
        <v>6432</v>
      </c>
    </row>
    <row r="1623" spans="1:2">
      <c r="A1623" s="4">
        <v>46237.336516203701</v>
      </c>
      <c r="B1623" t="s">
        <v>6433</v>
      </c>
    </row>
    <row r="1624" spans="1:2">
      <c r="A1624" s="4">
        <v>46237.403634259259</v>
      </c>
      <c r="B1624" t="s">
        <v>6434</v>
      </c>
    </row>
    <row r="1625" spans="1:2">
      <c r="A1625" s="4">
        <v>46237.407812500001</v>
      </c>
      <c r="B1625" t="s">
        <v>6435</v>
      </c>
    </row>
    <row r="1626" spans="1:2">
      <c r="A1626" s="4">
        <v>46237.407812500001</v>
      </c>
      <c r="B1626" t="s">
        <v>6436</v>
      </c>
    </row>
    <row r="1627" spans="1:2">
      <c r="A1627" s="4">
        <v>46237.407812500001</v>
      </c>
      <c r="B1627" t="s">
        <v>6437</v>
      </c>
    </row>
    <row r="1628" spans="1:2">
      <c r="A1628" s="4">
        <v>46237.407812500001</v>
      </c>
      <c r="B1628" t="s">
        <v>6438</v>
      </c>
    </row>
    <row r="1629" spans="1:2">
      <c r="A1629" s="4">
        <v>46237.445601851854</v>
      </c>
      <c r="B1629" t="s">
        <v>6439</v>
      </c>
    </row>
    <row r="1630" spans="1:2">
      <c r="A1630" s="4">
        <v>46237.445601851854</v>
      </c>
      <c r="B1630" t="s">
        <v>6440</v>
      </c>
    </row>
    <row r="1631" spans="1:2">
      <c r="A1631" s="4">
        <v>46237.445601851854</v>
      </c>
      <c r="B1631" t="s">
        <v>6441</v>
      </c>
    </row>
    <row r="1632" spans="1:2">
      <c r="A1632" s="4">
        <v>46237.445601851854</v>
      </c>
      <c r="B1632" t="s">
        <v>6442</v>
      </c>
    </row>
    <row r="1633" spans="1:2">
      <c r="A1633" s="4">
        <v>46237.445613425924</v>
      </c>
      <c r="B1633" t="s">
        <v>6443</v>
      </c>
    </row>
    <row r="1634" spans="1:2">
      <c r="A1634" s="4">
        <v>46237.449074074073</v>
      </c>
      <c r="B1634" t="s">
        <v>6444</v>
      </c>
    </row>
    <row r="1635" spans="1:2">
      <c r="A1635" s="4">
        <v>46237.449074074073</v>
      </c>
      <c r="B1635" t="s">
        <v>6445</v>
      </c>
    </row>
    <row r="1636" spans="1:2">
      <c r="A1636" s="4">
        <v>46237.449074074073</v>
      </c>
      <c r="B1636" t="s">
        <v>6446</v>
      </c>
    </row>
    <row r="1637" spans="1:2">
      <c r="A1637" s="4">
        <v>46237.462372685186</v>
      </c>
      <c r="B1637" t="s">
        <v>6447</v>
      </c>
    </row>
    <row r="1638" spans="1:2">
      <c r="A1638" s="4">
        <v>46237.462372685186</v>
      </c>
      <c r="B1638" t="s">
        <v>6448</v>
      </c>
    </row>
    <row r="1639" spans="1:2">
      <c r="A1639" s="4">
        <v>46237.462372685186</v>
      </c>
      <c r="B1639" t="s">
        <v>6449</v>
      </c>
    </row>
    <row r="1640" spans="1:2">
      <c r="A1640" s="4">
        <v>46237.462372685186</v>
      </c>
      <c r="B1640" t="s">
        <v>6450</v>
      </c>
    </row>
    <row r="1641" spans="1:2">
      <c r="A1641" s="4">
        <v>46237.465844907405</v>
      </c>
      <c r="B1641" t="s">
        <v>6451</v>
      </c>
    </row>
    <row r="1642" spans="1:2">
      <c r="A1642" s="4">
        <v>46237.465856481482</v>
      </c>
      <c r="B1642" t="s">
        <v>6452</v>
      </c>
    </row>
    <row r="1643" spans="1:2">
      <c r="A1643" s="4">
        <v>46237.465856481482</v>
      </c>
      <c r="B1643" t="s">
        <v>6453</v>
      </c>
    </row>
    <row r="1644" spans="1:2">
      <c r="A1644" s="4">
        <v>46237.465856481482</v>
      </c>
      <c r="B1644" t="s">
        <v>6454</v>
      </c>
    </row>
    <row r="1645" spans="1:2">
      <c r="A1645" s="4">
        <v>46237.466585648152</v>
      </c>
      <c r="B1645" t="s">
        <v>6455</v>
      </c>
    </row>
    <row r="1646" spans="1:2">
      <c r="A1646" s="4">
        <v>46237.466585648152</v>
      </c>
      <c r="B1646" t="s">
        <v>6456</v>
      </c>
    </row>
    <row r="1647" spans="1:2">
      <c r="A1647" s="4">
        <v>46237.466585648152</v>
      </c>
      <c r="B1647" t="s">
        <v>6457</v>
      </c>
    </row>
    <row r="1648" spans="1:2">
      <c r="A1648" s="4">
        <v>46237.466597222221</v>
      </c>
      <c r="B1648" t="s">
        <v>6458</v>
      </c>
    </row>
    <row r="1649" spans="1:2">
      <c r="A1649" s="4">
        <v>46237.605138888888</v>
      </c>
      <c r="B1649" t="s">
        <v>6459</v>
      </c>
    </row>
    <row r="1650" spans="1:2">
      <c r="A1650" s="4">
        <v>46237.605138888888</v>
      </c>
      <c r="B1650" t="s">
        <v>6460</v>
      </c>
    </row>
    <row r="1651" spans="1:2">
      <c r="A1651" s="4">
        <v>46237.609317129631</v>
      </c>
      <c r="B1651" t="s">
        <v>6461</v>
      </c>
    </row>
    <row r="1652" spans="1:2">
      <c r="A1652" s="4">
        <v>46237.630277777775</v>
      </c>
      <c r="B1652" t="s">
        <v>6462</v>
      </c>
    </row>
    <row r="1653" spans="1:2">
      <c r="A1653" s="4">
        <v>46237.630277777775</v>
      </c>
      <c r="B1653" t="s">
        <v>6463</v>
      </c>
    </row>
    <row r="1654" spans="1:2">
      <c r="A1654" s="4">
        <v>46237.630289351851</v>
      </c>
      <c r="B1654" t="s">
        <v>6464</v>
      </c>
    </row>
    <row r="1655" spans="1:2">
      <c r="A1655" s="4">
        <v>46237.630289351851</v>
      </c>
      <c r="B1655" t="s">
        <v>6465</v>
      </c>
    </row>
    <row r="1656" spans="1:2">
      <c r="A1656" s="4">
        <v>46237.634479166663</v>
      </c>
      <c r="B1656" t="s">
        <v>6466</v>
      </c>
    </row>
    <row r="1657" spans="1:2">
      <c r="A1657" s="4">
        <v>46237.634479166663</v>
      </c>
      <c r="B1657" t="s">
        <v>6467</v>
      </c>
    </row>
    <row r="1658" spans="1:2">
      <c r="A1658" s="4">
        <v>46237.634479166663</v>
      </c>
      <c r="B1658" t="s">
        <v>6468</v>
      </c>
    </row>
    <row r="1659" spans="1:2">
      <c r="A1659" s="4">
        <v>46237.634479166663</v>
      </c>
      <c r="B1659" t="s">
        <v>6469</v>
      </c>
    </row>
    <row r="1660" spans="1:2">
      <c r="A1660" s="4">
        <v>46237.638668981483</v>
      </c>
      <c r="B1660" t="s">
        <v>6470</v>
      </c>
    </row>
    <row r="1661" spans="1:2">
      <c r="A1661" s="4">
        <v>46237.651342592595</v>
      </c>
      <c r="B1661" t="s">
        <v>6471</v>
      </c>
    </row>
    <row r="1662" spans="1:2">
      <c r="A1662" s="4">
        <v>46237.663923611108</v>
      </c>
      <c r="B1662" t="s">
        <v>6472</v>
      </c>
    </row>
    <row r="1663" spans="1:2">
      <c r="A1663" s="4">
        <v>46237.68922453704</v>
      </c>
      <c r="B1663" t="s">
        <v>6473</v>
      </c>
    </row>
    <row r="1664" spans="1:2">
      <c r="A1664" s="4">
        <v>46237.68922453704</v>
      </c>
      <c r="B1664" t="s">
        <v>6474</v>
      </c>
    </row>
    <row r="1665" spans="1:2">
      <c r="A1665" s="4">
        <v>46237.701805555553</v>
      </c>
      <c r="B1665" t="s">
        <v>6475</v>
      </c>
    </row>
    <row r="1666" spans="1:2">
      <c r="A1666" s="4">
        <v>46237.701805555553</v>
      </c>
      <c r="B1666" t="s">
        <v>6476</v>
      </c>
    </row>
    <row r="1667" spans="1:2">
      <c r="A1667" s="4">
        <v>46237.705995370372</v>
      </c>
      <c r="B1667" t="s">
        <v>6477</v>
      </c>
    </row>
    <row r="1668" spans="1:2">
      <c r="A1668" s="4">
        <v>46237.718599537038</v>
      </c>
      <c r="B1668" t="s">
        <v>6478</v>
      </c>
    </row>
    <row r="1669" spans="1:2">
      <c r="A1669" s="4">
        <v>46237.722800925927</v>
      </c>
      <c r="B1669" t="s">
        <v>6479</v>
      </c>
    </row>
    <row r="1670" spans="1:2">
      <c r="A1670" s="4">
        <v>46238.372824074075</v>
      </c>
      <c r="B1670" t="s">
        <v>6480</v>
      </c>
    </row>
    <row r="1671" spans="1:2">
      <c r="A1671" s="4">
        <v>46238.372824074075</v>
      </c>
      <c r="B1671" t="s">
        <v>6481</v>
      </c>
    </row>
    <row r="1672" spans="1:2">
      <c r="A1672" s="4">
        <v>46238.393784722219</v>
      </c>
      <c r="B1672" t="s">
        <v>6482</v>
      </c>
    </row>
    <row r="1673" spans="1:2">
      <c r="A1673" s="4">
        <v>46238.422881944447</v>
      </c>
      <c r="B1673" t="s">
        <v>6483</v>
      </c>
    </row>
    <row r="1674" spans="1:2">
      <c r="A1674" s="4">
        <v>46238.422881944447</v>
      </c>
      <c r="B1674" t="s">
        <v>6484</v>
      </c>
    </row>
    <row r="1675" spans="1:2">
      <c r="A1675" s="4">
        <v>46238.422881944447</v>
      </c>
      <c r="B1675" t="s">
        <v>6485</v>
      </c>
    </row>
    <row r="1676" spans="1:2">
      <c r="A1676" s="4">
        <v>46238.427418981482</v>
      </c>
      <c r="B1676" t="s">
        <v>6486</v>
      </c>
    </row>
    <row r="1677" spans="1:2">
      <c r="A1677" s="4">
        <v>46238.427430555559</v>
      </c>
      <c r="B1677" t="s">
        <v>6487</v>
      </c>
    </row>
    <row r="1678" spans="1:2">
      <c r="A1678" s="4">
        <v>46238.456793981481</v>
      </c>
      <c r="B1678" t="s">
        <v>6488</v>
      </c>
    </row>
    <row r="1679" spans="1:2">
      <c r="A1679" s="4">
        <v>46238.477777777778</v>
      </c>
      <c r="B1679" t="s">
        <v>6489</v>
      </c>
    </row>
    <row r="1680" spans="1:2">
      <c r="A1680" s="4">
        <v>46238.477789351855</v>
      </c>
      <c r="B1680" t="s">
        <v>6490</v>
      </c>
    </row>
    <row r="1681" spans="1:2">
      <c r="A1681" s="4">
        <v>46238.557534722226</v>
      </c>
      <c r="B1681" t="s">
        <v>6491</v>
      </c>
    </row>
    <row r="1682" spans="1:2">
      <c r="A1682" s="4">
        <v>46238.561736111114</v>
      </c>
      <c r="B1682" t="s">
        <v>6492</v>
      </c>
    </row>
    <row r="1683" spans="1:2">
      <c r="A1683" s="4">
        <v>46238.578518518516</v>
      </c>
      <c r="B1683" t="s">
        <v>6493</v>
      </c>
    </row>
    <row r="1684" spans="1:2">
      <c r="A1684" s="4">
        <v>46238.628888888888</v>
      </c>
      <c r="B1684" t="s">
        <v>6494</v>
      </c>
    </row>
    <row r="1685" spans="1:2">
      <c r="A1685" s="4">
        <v>46238.628888888888</v>
      </c>
      <c r="B1685" t="s">
        <v>6495</v>
      </c>
    </row>
    <row r="1686" spans="1:2">
      <c r="A1686" s="4">
        <v>46238.633055555554</v>
      </c>
      <c r="B1686" t="s">
        <v>6496</v>
      </c>
    </row>
    <row r="1687" spans="1:2">
      <c r="A1687" s="4">
        <v>46238.637256944443</v>
      </c>
      <c r="B1687" t="s">
        <v>6497</v>
      </c>
    </row>
    <row r="1688" spans="1:2">
      <c r="A1688" s="4">
        <v>46238.658148148148</v>
      </c>
      <c r="B1688" t="s">
        <v>6498</v>
      </c>
    </row>
    <row r="1689" spans="1:2">
      <c r="A1689" s="4">
        <v>46238.658148148148</v>
      </c>
      <c r="B1689" t="s">
        <v>6499</v>
      </c>
    </row>
    <row r="1690" spans="1:2">
      <c r="A1690" s="4">
        <v>46238.658148148148</v>
      </c>
      <c r="B1690" t="s">
        <v>6500</v>
      </c>
    </row>
    <row r="1691" spans="1:2">
      <c r="A1691" s="4">
        <v>46238.66233796296</v>
      </c>
      <c r="B1691" t="s">
        <v>6501</v>
      </c>
    </row>
    <row r="1692" spans="1:2">
      <c r="A1692" s="4">
        <v>46238.684374999997</v>
      </c>
      <c r="B1692" t="s">
        <v>6502</v>
      </c>
    </row>
    <row r="1693" spans="1:2">
      <c r="A1693" s="4">
        <v>46238.684374999997</v>
      </c>
      <c r="B1693" t="s">
        <v>6503</v>
      </c>
    </row>
    <row r="1694" spans="1:2">
      <c r="A1694" s="4">
        <v>46238.684374999997</v>
      </c>
      <c r="B1694" t="s">
        <v>6504</v>
      </c>
    </row>
    <row r="1695" spans="1:2">
      <c r="A1695" s="4">
        <v>46238.701145833336</v>
      </c>
      <c r="B1695" t="s">
        <v>6505</v>
      </c>
    </row>
    <row r="1696" spans="1:2">
      <c r="A1696" s="4">
        <v>46238.701145833336</v>
      </c>
      <c r="B1696" t="s">
        <v>6506</v>
      </c>
    </row>
    <row r="1697" spans="1:2">
      <c r="A1697" s="4">
        <v>46238.701145833336</v>
      </c>
      <c r="B1697" t="s">
        <v>6507</v>
      </c>
    </row>
    <row r="1698" spans="1:2">
      <c r="A1698" s="4">
        <v>46238.709548611114</v>
      </c>
      <c r="B1698" t="s">
        <v>6508</v>
      </c>
    </row>
    <row r="1699" spans="1:2">
      <c r="A1699" s="4">
        <v>46238.713738425926</v>
      </c>
      <c r="B1699" t="s">
        <v>6509</v>
      </c>
    </row>
    <row r="1700" spans="1:2">
      <c r="A1700" s="4">
        <v>46238.713784722226</v>
      </c>
      <c r="B1700" t="s">
        <v>6510</v>
      </c>
    </row>
    <row r="1701" spans="1:2">
      <c r="A1701" s="4">
        <v>46238.726331018515</v>
      </c>
      <c r="B1701" t="s">
        <v>6511</v>
      </c>
    </row>
    <row r="1702" spans="1:2">
      <c r="A1702" s="4">
        <v>46239.325636574074</v>
      </c>
      <c r="B1702" t="s">
        <v>6512</v>
      </c>
    </row>
    <row r="1703" spans="1:2">
      <c r="A1703" s="4">
        <v>46239.354398148149</v>
      </c>
      <c r="B1703" t="s">
        <v>6513</v>
      </c>
    </row>
    <row r="1704" spans="1:2">
      <c r="A1704" s="4">
        <v>46239.362754629627</v>
      </c>
      <c r="B1704" t="s">
        <v>6514</v>
      </c>
    </row>
    <row r="1705" spans="1:2">
      <c r="A1705" s="4">
        <v>46239.362754629627</v>
      </c>
      <c r="B1705" t="s">
        <v>6515</v>
      </c>
    </row>
    <row r="1706" spans="1:2">
      <c r="A1706" s="4">
        <v>46239.40896990741</v>
      </c>
      <c r="B1706" t="s">
        <v>6516</v>
      </c>
    </row>
    <row r="1707" spans="1:2">
      <c r="A1707" s="4">
        <v>46239.425740740742</v>
      </c>
      <c r="B1707" t="s">
        <v>6517</v>
      </c>
    </row>
    <row r="1708" spans="1:2">
      <c r="A1708" s="4">
        <v>46239.598796296297</v>
      </c>
      <c r="B1708" t="s">
        <v>6518</v>
      </c>
    </row>
    <row r="1709" spans="1:2">
      <c r="A1709" s="4">
        <v>46239.598796296297</v>
      </c>
      <c r="B1709" t="s">
        <v>6519</v>
      </c>
    </row>
    <row r="1710" spans="1:2">
      <c r="A1710" s="4">
        <v>46239.598796296297</v>
      </c>
      <c r="B1710" t="s">
        <v>6520</v>
      </c>
    </row>
    <row r="1711" spans="1:2">
      <c r="A1711" s="4">
        <v>46239.598796296297</v>
      </c>
      <c r="B1711" t="s">
        <v>6521</v>
      </c>
    </row>
    <row r="1712" spans="1:2">
      <c r="A1712" s="4">
        <v>46239.598796296297</v>
      </c>
      <c r="B1712" t="s">
        <v>6522</v>
      </c>
    </row>
    <row r="1713" spans="1:2">
      <c r="A1713" s="4">
        <v>46239.598807870374</v>
      </c>
      <c r="B1713" t="s">
        <v>6523</v>
      </c>
    </row>
    <row r="1714" spans="1:2">
      <c r="A1714" s="4">
        <v>46239.602268518516</v>
      </c>
      <c r="B1714" t="s">
        <v>6524</v>
      </c>
    </row>
    <row r="1715" spans="1:2">
      <c r="A1715" s="4">
        <v>46239.602268518516</v>
      </c>
      <c r="B1715" t="s">
        <v>6525</v>
      </c>
    </row>
    <row r="1716" spans="1:2">
      <c r="A1716" s="4">
        <v>46239.602268518516</v>
      </c>
      <c r="B1716" t="s">
        <v>6526</v>
      </c>
    </row>
    <row r="1717" spans="1:2">
      <c r="A1717" s="4">
        <v>46239.602268518516</v>
      </c>
      <c r="B1717" t="s">
        <v>6527</v>
      </c>
    </row>
    <row r="1718" spans="1:2">
      <c r="A1718" s="4">
        <v>46239.636562500003</v>
      </c>
      <c r="B1718" t="s">
        <v>6528</v>
      </c>
    </row>
    <row r="1719" spans="1:2">
      <c r="A1719" s="4">
        <v>46239.653344907405</v>
      </c>
      <c r="B1719" t="s">
        <v>6529</v>
      </c>
    </row>
    <row r="1720" spans="1:2">
      <c r="A1720" s="4">
        <v>46239.653344907405</v>
      </c>
      <c r="B1720" t="s">
        <v>6530</v>
      </c>
    </row>
    <row r="1721" spans="1:2">
      <c r="A1721" s="4">
        <v>46239.653344907405</v>
      </c>
      <c r="B1721" t="s">
        <v>6531</v>
      </c>
    </row>
    <row r="1722" spans="1:2">
      <c r="A1722" s="4">
        <v>46239.682719907411</v>
      </c>
      <c r="B1722" t="s">
        <v>6532</v>
      </c>
    </row>
    <row r="1723" spans="1:2">
      <c r="A1723" s="4">
        <v>46239.682719907411</v>
      </c>
      <c r="B1723" t="s">
        <v>6533</v>
      </c>
    </row>
    <row r="1724" spans="1:2">
      <c r="A1724" s="4">
        <v>46239.682719907411</v>
      </c>
      <c r="B1724" t="s">
        <v>6534</v>
      </c>
    </row>
    <row r="1725" spans="1:2">
      <c r="A1725" s="4">
        <v>46239.686909722222</v>
      </c>
      <c r="B1725" t="s">
        <v>6535</v>
      </c>
    </row>
    <row r="1726" spans="1:2">
      <c r="A1726" s="4">
        <v>46239.703692129631</v>
      </c>
      <c r="B1726" t="s">
        <v>6536</v>
      </c>
    </row>
    <row r="1727" spans="1:2">
      <c r="A1727" s="4">
        <v>46239.703692129631</v>
      </c>
      <c r="B1727" t="s">
        <v>6537</v>
      </c>
    </row>
    <row r="1728" spans="1:2">
      <c r="A1728" s="4">
        <v>46239.703692129631</v>
      </c>
      <c r="B1728" t="s">
        <v>6538</v>
      </c>
    </row>
    <row r="1729" spans="1:2">
      <c r="A1729" s="4">
        <v>46239.703692129631</v>
      </c>
      <c r="B1729" t="s">
        <v>6539</v>
      </c>
    </row>
    <row r="1730" spans="1:2">
      <c r="A1730" s="4">
        <v>46239.707881944443</v>
      </c>
      <c r="B1730" t="s">
        <v>6540</v>
      </c>
    </row>
    <row r="1731" spans="1:2">
      <c r="A1731" s="4">
        <v>46239.707881944443</v>
      </c>
      <c r="B1731" t="s">
        <v>6541</v>
      </c>
    </row>
    <row r="1732" spans="1:2">
      <c r="A1732" s="4">
        <v>46239.707881944443</v>
      </c>
      <c r="B1732" t="s">
        <v>6542</v>
      </c>
    </row>
    <row r="1733" spans="1:2">
      <c r="A1733" s="4">
        <v>46239.712071759262</v>
      </c>
      <c r="B1733" t="s">
        <v>6543</v>
      </c>
    </row>
    <row r="1734" spans="1:2">
      <c r="A1734" s="4">
        <v>46239.712083333332</v>
      </c>
      <c r="B1734" t="s">
        <v>6544</v>
      </c>
    </row>
    <row r="1735" spans="1:2">
      <c r="A1735" s="4">
        <v>46239.716273148151</v>
      </c>
      <c r="B1735" t="s">
        <v>6545</v>
      </c>
    </row>
    <row r="1736" spans="1:2">
      <c r="A1736" s="4">
        <v>46239.72047453704</v>
      </c>
      <c r="B1736" t="s">
        <v>6546</v>
      </c>
    </row>
    <row r="1737" spans="1:2">
      <c r="A1737" s="4">
        <v>46240.332766203705</v>
      </c>
      <c r="B1737" t="s">
        <v>6547</v>
      </c>
    </row>
    <row r="1738" spans="1:2">
      <c r="A1738" s="4">
        <v>46240.336956018517</v>
      </c>
      <c r="B1738" t="s">
        <v>6548</v>
      </c>
    </row>
    <row r="1739" spans="1:2">
      <c r="A1739" s="4">
        <v>46240.378923611112</v>
      </c>
      <c r="B1739" t="s">
        <v>6549</v>
      </c>
    </row>
    <row r="1740" spans="1:2">
      <c r="A1740" s="4">
        <v>46240.378935185188</v>
      </c>
      <c r="B1740" t="s">
        <v>6550</v>
      </c>
    </row>
    <row r="1741" spans="1:2">
      <c r="A1741" s="4">
        <v>46240.450324074074</v>
      </c>
      <c r="B1741" t="s">
        <v>6551</v>
      </c>
    </row>
    <row r="1742" spans="1:2">
      <c r="A1742" s="4">
        <v>46240.454525462963</v>
      </c>
      <c r="B1742" t="s">
        <v>6552</v>
      </c>
    </row>
    <row r="1743" spans="1:2">
      <c r="A1743" s="4">
        <v>46240.492372685185</v>
      </c>
      <c r="B1743" t="s">
        <v>6553</v>
      </c>
    </row>
    <row r="1744" spans="1:2">
      <c r="A1744" s="4">
        <v>46240.492372685185</v>
      </c>
      <c r="B1744" t="s">
        <v>6554</v>
      </c>
    </row>
    <row r="1745" spans="1:2">
      <c r="A1745" s="4">
        <v>46240.509247685186</v>
      </c>
      <c r="B1745" t="s">
        <v>6555</v>
      </c>
    </row>
    <row r="1746" spans="1:2">
      <c r="A1746" s="4">
        <v>46240.509247685186</v>
      </c>
      <c r="B1746" t="s">
        <v>6556</v>
      </c>
    </row>
    <row r="1747" spans="1:2">
      <c r="A1747" s="4">
        <v>46240.509247685186</v>
      </c>
      <c r="B1747" t="s">
        <v>6557</v>
      </c>
    </row>
    <row r="1748" spans="1:2">
      <c r="A1748" s="4">
        <v>46240.509247685186</v>
      </c>
      <c r="B1748" t="s">
        <v>6558</v>
      </c>
    </row>
    <row r="1749" spans="1:2">
      <c r="A1749" s="4">
        <v>46240.509247685186</v>
      </c>
      <c r="B1749" t="s">
        <v>6559</v>
      </c>
    </row>
    <row r="1750" spans="1:2">
      <c r="A1750" s="4">
        <v>46240.512719907405</v>
      </c>
      <c r="B1750" t="s">
        <v>6560</v>
      </c>
    </row>
    <row r="1751" spans="1:2">
      <c r="A1751" s="4">
        <v>46240.517650462964</v>
      </c>
      <c r="B1751" t="s">
        <v>6561</v>
      </c>
    </row>
    <row r="1752" spans="1:2">
      <c r="A1752" s="4">
        <v>46240.551342592589</v>
      </c>
      <c r="B1752" t="s">
        <v>6562</v>
      </c>
    </row>
    <row r="1753" spans="1:2">
      <c r="A1753" s="4">
        <v>46240.568159722221</v>
      </c>
      <c r="B1753" t="s">
        <v>6563</v>
      </c>
    </row>
    <row r="1754" spans="1:2">
      <c r="A1754" s="4">
        <v>46240.572337962964</v>
      </c>
      <c r="B1754" t="s">
        <v>6564</v>
      </c>
    </row>
    <row r="1755" spans="1:2">
      <c r="A1755" s="4">
        <v>46240.572337962964</v>
      </c>
      <c r="B1755" t="s">
        <v>6565</v>
      </c>
    </row>
    <row r="1756" spans="1:2">
      <c r="A1756" s="4">
        <v>46240.57234953704</v>
      </c>
      <c r="B1756" t="s">
        <v>6566</v>
      </c>
    </row>
    <row r="1757" spans="1:2">
      <c r="A1757" s="4">
        <v>46240.572337962964</v>
      </c>
      <c r="B1757" t="s">
        <v>6567</v>
      </c>
    </row>
    <row r="1758" spans="1:2">
      <c r="A1758" s="4">
        <v>46240.57236111111</v>
      </c>
      <c r="B1758" t="s">
        <v>6568</v>
      </c>
    </row>
    <row r="1759" spans="1:2">
      <c r="A1759" s="4">
        <v>46240.601747685185</v>
      </c>
      <c r="B1759" t="s">
        <v>6569</v>
      </c>
    </row>
    <row r="1760" spans="1:2">
      <c r="A1760" s="4">
        <v>46240.601736111108</v>
      </c>
      <c r="B1760" t="s">
        <v>6570</v>
      </c>
    </row>
    <row r="1761" spans="1:2">
      <c r="A1761" s="4">
        <v>46240.601736111108</v>
      </c>
      <c r="B1761" t="s">
        <v>6571</v>
      </c>
    </row>
    <row r="1762" spans="1:2">
      <c r="A1762" s="4">
        <v>46240.601736111108</v>
      </c>
      <c r="B1762" t="s">
        <v>6572</v>
      </c>
    </row>
    <row r="1763" spans="1:2">
      <c r="A1763" s="4">
        <v>46240.614340277774</v>
      </c>
      <c r="B1763" t="s">
        <v>6573</v>
      </c>
    </row>
    <row r="1764" spans="1:2">
      <c r="A1764" s="4">
        <v>46240.618541666663</v>
      </c>
      <c r="B1764" t="s">
        <v>6574</v>
      </c>
    </row>
    <row r="1765" spans="1:2">
      <c r="A1765" s="4">
        <v>46240.618541666663</v>
      </c>
      <c r="B1765" t="s">
        <v>6575</v>
      </c>
    </row>
    <row r="1766" spans="1:2">
      <c r="A1766" s="4">
        <v>46240.626956018517</v>
      </c>
      <c r="B1766" t="s">
        <v>6576</v>
      </c>
    </row>
    <row r="1767" spans="1:2">
      <c r="A1767" s="4">
        <v>46240.631145833337</v>
      </c>
      <c r="B1767" t="s">
        <v>6577</v>
      </c>
    </row>
    <row r="1768" spans="1:2">
      <c r="A1768" s="4">
        <v>46240.643750000003</v>
      </c>
      <c r="B1768" t="s">
        <v>6578</v>
      </c>
    </row>
    <row r="1769" spans="1:2">
      <c r="A1769" s="4">
        <v>46240.647939814815</v>
      </c>
      <c r="B1769" t="s">
        <v>6579</v>
      </c>
    </row>
    <row r="1770" spans="1:2">
      <c r="A1770" s="4">
        <v>46240.647962962961</v>
      </c>
      <c r="B1770" t="s">
        <v>6580</v>
      </c>
    </row>
    <row r="1771" spans="1:2">
      <c r="A1771" s="4">
        <v>46240.652129629627</v>
      </c>
      <c r="B1771" t="s">
        <v>6581</v>
      </c>
    </row>
    <row r="1772" spans="1:2">
      <c r="A1772" s="4">
        <v>46240.660532407404</v>
      </c>
      <c r="B1772" t="s">
        <v>6582</v>
      </c>
    </row>
    <row r="1773" spans="1:2">
      <c r="A1773" s="4">
        <v>46240.664733796293</v>
      </c>
      <c r="B1773" t="s">
        <v>6583</v>
      </c>
    </row>
    <row r="1774" spans="1:2">
      <c r="A1774" s="4">
        <v>46240.698437500003</v>
      </c>
      <c r="B1774" t="s">
        <v>6584</v>
      </c>
    </row>
    <row r="1775" spans="1:2">
      <c r="A1775" s="4">
        <v>46240.698437500003</v>
      </c>
      <c r="B1775" t="s">
        <v>6585</v>
      </c>
    </row>
    <row r="1776" spans="1:2">
      <c r="A1776" s="4">
        <v>46240.711053240739</v>
      </c>
      <c r="B1776" t="s">
        <v>6586</v>
      </c>
    </row>
    <row r="1777" spans="1:2">
      <c r="A1777" s="4">
        <v>46240.723657407405</v>
      </c>
      <c r="B1777" t="s">
        <v>6587</v>
      </c>
    </row>
    <row r="1778" spans="1:2">
      <c r="A1778" s="4">
        <v>46241.340624999997</v>
      </c>
      <c r="B1778" t="s">
        <v>6588</v>
      </c>
    </row>
    <row r="1779" spans="1:2">
      <c r="A1779" s="4">
        <v>46241.433032407411</v>
      </c>
      <c r="B1779" t="s">
        <v>6589</v>
      </c>
    </row>
    <row r="1780" spans="1:2">
      <c r="A1780" s="4">
        <v>46241.466597222221</v>
      </c>
      <c r="B1780" t="s">
        <v>6590</v>
      </c>
    </row>
    <row r="1781" spans="1:2">
      <c r="A1781" s="4">
        <v>46241.466597222221</v>
      </c>
      <c r="B1781" t="s">
        <v>6591</v>
      </c>
    </row>
    <row r="1782" spans="1:2">
      <c r="A1782" s="4">
        <v>46241.475046296298</v>
      </c>
      <c r="B1782" t="s">
        <v>6592</v>
      </c>
    </row>
    <row r="1783" spans="1:2">
      <c r="A1783" s="4">
        <v>46241.475046296298</v>
      </c>
      <c r="B1783" t="s">
        <v>6593</v>
      </c>
    </row>
    <row r="1784" spans="1:2">
      <c r="A1784" s="4">
        <v>46241.475057870368</v>
      </c>
      <c r="B1784" t="s">
        <v>6594</v>
      </c>
    </row>
    <row r="1785" spans="1:2">
      <c r="A1785" s="4">
        <v>46241.475046296298</v>
      </c>
      <c r="B1785" t="s">
        <v>6595</v>
      </c>
    </row>
    <row r="1786" spans="1:2">
      <c r="A1786" s="4">
        <v>46241.475046296298</v>
      </c>
      <c r="B1786" t="s">
        <v>6596</v>
      </c>
    </row>
    <row r="1787" spans="1:2">
      <c r="A1787" s="4">
        <v>46241.475046296298</v>
      </c>
      <c r="B1787" t="s">
        <v>6597</v>
      </c>
    </row>
    <row r="1788" spans="1:2">
      <c r="A1788" s="4">
        <v>46241.478518518517</v>
      </c>
      <c r="B1788" t="s">
        <v>6598</v>
      </c>
    </row>
    <row r="1789" spans="1:2">
      <c r="A1789" s="4">
        <v>46241.504421296297</v>
      </c>
      <c r="B1789" t="s">
        <v>6599</v>
      </c>
    </row>
    <row r="1790" spans="1:2">
      <c r="A1790" s="4">
        <v>46241.504421296297</v>
      </c>
      <c r="B1790" t="s">
        <v>6600</v>
      </c>
    </row>
    <row r="1791" spans="1:2">
      <c r="A1791" s="4">
        <v>46241.563171296293</v>
      </c>
      <c r="B1791" t="s">
        <v>6601</v>
      </c>
    </row>
    <row r="1792" spans="1:2">
      <c r="A1792" s="4">
        <v>46241.571562500001</v>
      </c>
      <c r="B1792" t="s">
        <v>6602</v>
      </c>
    </row>
    <row r="1793" spans="1:2">
      <c r="A1793" s="4">
        <v>46241.600949074076</v>
      </c>
      <c r="B1793" t="s">
        <v>6603</v>
      </c>
    </row>
    <row r="1794" spans="1:2">
      <c r="A1794" s="4">
        <v>46241.647118055553</v>
      </c>
      <c r="B1794" t="s">
        <v>6604</v>
      </c>
    </row>
    <row r="1795" spans="1:2">
      <c r="A1795" s="4">
        <v>46241.647118055553</v>
      </c>
      <c r="B1795" t="s">
        <v>6605</v>
      </c>
    </row>
    <row r="1796" spans="1:2">
      <c r="A1796" s="4">
        <v>46241.647129629629</v>
      </c>
      <c r="B1796" t="s">
        <v>6606</v>
      </c>
    </row>
    <row r="1797" spans="1:2">
      <c r="A1797" s="4">
        <v>46241.647164351853</v>
      </c>
      <c r="B1797" t="s">
        <v>6607</v>
      </c>
    </row>
    <row r="1798" spans="1:2">
      <c r="A1798" s="4">
        <v>46241.659710648149</v>
      </c>
      <c r="B1798" t="s">
        <v>6608</v>
      </c>
    </row>
    <row r="1799" spans="1:2">
      <c r="A1799" s="4">
        <v>46241.663912037038</v>
      </c>
      <c r="B1799" t="s">
        <v>6609</v>
      </c>
    </row>
    <row r="1800" spans="1:2">
      <c r="A1800" s="4">
        <v>46241.672303240739</v>
      </c>
      <c r="B1800" t="s">
        <v>6610</v>
      </c>
    </row>
    <row r="1801" spans="1:2">
      <c r="A1801" s="4">
        <v>46241.672303240739</v>
      </c>
      <c r="B1801" t="s">
        <v>6611</v>
      </c>
    </row>
    <row r="1802" spans="1:2">
      <c r="A1802" s="4">
        <v>46241.697500000002</v>
      </c>
      <c r="B1802" t="s">
        <v>6612</v>
      </c>
    </row>
    <row r="1803" spans="1:2">
      <c r="A1803" s="4">
        <v>46241.705879629626</v>
      </c>
      <c r="B1803" t="s">
        <v>6613</v>
      </c>
    </row>
    <row r="1804" spans="1:2">
      <c r="A1804" s="4">
        <v>46241.705891203703</v>
      </c>
      <c r="B1804" t="s">
        <v>6614</v>
      </c>
    </row>
    <row r="1805" spans="1:2">
      <c r="A1805" s="4">
        <v>46241.710081018522</v>
      </c>
      <c r="B1805" t="s">
        <v>6615</v>
      </c>
    </row>
    <row r="1806" spans="1:2">
      <c r="A1806" s="4">
        <v>46244.339942129627</v>
      </c>
      <c r="B1806" t="s">
        <v>6616</v>
      </c>
    </row>
    <row r="1807" spans="1:2">
      <c r="A1807" s="4">
        <v>46244.339942129627</v>
      </c>
      <c r="B1807" t="s">
        <v>6617</v>
      </c>
    </row>
    <row r="1808" spans="1:2">
      <c r="A1808" s="4">
        <v>46244.390428240738</v>
      </c>
      <c r="B1808" t="s">
        <v>6618</v>
      </c>
    </row>
    <row r="1809" spans="1:2">
      <c r="A1809" s="4">
        <v>46244.394606481481</v>
      </c>
      <c r="B1809" t="s">
        <v>6619</v>
      </c>
    </row>
    <row r="1810" spans="1:2">
      <c r="A1810" s="4">
        <v>46244.407199074078</v>
      </c>
      <c r="B1810" t="s">
        <v>6620</v>
      </c>
    </row>
    <row r="1811" spans="1:2">
      <c r="A1811" s="4">
        <v>46244.415601851855</v>
      </c>
      <c r="B1811" t="s">
        <v>6621</v>
      </c>
    </row>
    <row r="1812" spans="1:2">
      <c r="A1812" s="4">
        <v>46244.431712962964</v>
      </c>
      <c r="B1812" t="s">
        <v>6622</v>
      </c>
    </row>
    <row r="1813" spans="1:2">
      <c r="A1813" s="4">
        <v>46244.43172453704</v>
      </c>
      <c r="B1813" t="s">
        <v>6623</v>
      </c>
    </row>
    <row r="1814" spans="1:2">
      <c r="A1814" s="4">
        <v>46244.43172453704</v>
      </c>
      <c r="B1814" t="s">
        <v>6624</v>
      </c>
    </row>
    <row r="1815" spans="1:2">
      <c r="A1815" s="4">
        <v>46244.43172453704</v>
      </c>
      <c r="B1815" t="s">
        <v>6625</v>
      </c>
    </row>
    <row r="1816" spans="1:2">
      <c r="A1816" s="4">
        <v>46244.444305555553</v>
      </c>
      <c r="B1816" t="s">
        <v>6626</v>
      </c>
    </row>
    <row r="1817" spans="1:2">
      <c r="A1817" s="4">
        <v>46244.469560185185</v>
      </c>
      <c r="B1817" t="s">
        <v>6627</v>
      </c>
    </row>
    <row r="1818" spans="1:2">
      <c r="A1818" s="4">
        <v>46244.469560185185</v>
      </c>
      <c r="B1818" t="s">
        <v>6628</v>
      </c>
    </row>
    <row r="1819" spans="1:2">
      <c r="A1819" s="4">
        <v>46244.477939814817</v>
      </c>
      <c r="B1819" t="s">
        <v>6629</v>
      </c>
    </row>
    <row r="1820" spans="1:2">
      <c r="A1820" s="4">
        <v>46244.482129629629</v>
      </c>
      <c r="B1820" t="s">
        <v>6630</v>
      </c>
    </row>
    <row r="1821" spans="1:2">
      <c r="A1821" s="4">
        <v>46244.566145833334</v>
      </c>
      <c r="B1821" t="s">
        <v>6631</v>
      </c>
    </row>
    <row r="1822" spans="1:2">
      <c r="A1822" s="4">
        <v>46244.570347222223</v>
      </c>
      <c r="B1822" t="s">
        <v>6632</v>
      </c>
    </row>
    <row r="1823" spans="1:2">
      <c r="A1823" s="4">
        <v>46244.582986111112</v>
      </c>
      <c r="B1823" t="s">
        <v>6633</v>
      </c>
    </row>
    <row r="1824" spans="1:2">
      <c r="A1824" s="4">
        <v>46244.608159722222</v>
      </c>
      <c r="B1824" t="s">
        <v>6634</v>
      </c>
    </row>
    <row r="1825" spans="1:2">
      <c r="A1825" s="4">
        <v>46244.624942129631</v>
      </c>
      <c r="B1825" t="s">
        <v>6635</v>
      </c>
    </row>
    <row r="1826" spans="1:2">
      <c r="A1826" s="4">
        <v>46244.633321759262</v>
      </c>
      <c r="B1826" t="s">
        <v>6636</v>
      </c>
    </row>
    <row r="1827" spans="1:2">
      <c r="A1827" s="4">
        <v>46244.637523148151</v>
      </c>
      <c r="B1827" t="s">
        <v>6637</v>
      </c>
    </row>
    <row r="1828" spans="1:2">
      <c r="A1828" s="4">
        <v>46244.66269675926</v>
      </c>
      <c r="B1828" t="s">
        <v>6638</v>
      </c>
    </row>
    <row r="1829" spans="1:2">
      <c r="A1829" s="4">
        <v>46244.671087962961</v>
      </c>
      <c r="B1829" t="s">
        <v>6639</v>
      </c>
    </row>
    <row r="1830" spans="1:2">
      <c r="A1830" s="4">
        <v>46244.675300925926</v>
      </c>
      <c r="B1830" t="s">
        <v>6640</v>
      </c>
    </row>
    <row r="1831" spans="1:2">
      <c r="A1831" s="4">
        <v>46244.683715277781</v>
      </c>
      <c r="B1831" t="s">
        <v>6641</v>
      </c>
    </row>
    <row r="1832" spans="1:2">
      <c r="A1832" s="4">
        <v>46244.704710648148</v>
      </c>
      <c r="B1832" t="s">
        <v>6642</v>
      </c>
    </row>
    <row r="1833" spans="1:2">
      <c r="A1833" s="4">
        <v>46245.406006944446</v>
      </c>
      <c r="B1833" t="s">
        <v>6643</v>
      </c>
    </row>
    <row r="1834" spans="1:2">
      <c r="A1834" s="4">
        <v>46245.431180555555</v>
      </c>
      <c r="B1834" t="s">
        <v>6644</v>
      </c>
    </row>
    <row r="1835" spans="1:2">
      <c r="A1835" s="4">
        <v>46245.431180555555</v>
      </c>
      <c r="B1835" t="s">
        <v>6645</v>
      </c>
    </row>
    <row r="1836" spans="1:2">
      <c r="A1836" s="4">
        <v>46245.431180555555</v>
      </c>
      <c r="B1836" t="s">
        <v>6646</v>
      </c>
    </row>
    <row r="1837" spans="1:2">
      <c r="A1837" s="4">
        <v>46245.431180555555</v>
      </c>
      <c r="B1837" t="s">
        <v>6647</v>
      </c>
    </row>
    <row r="1838" spans="1:2">
      <c r="A1838" s="4">
        <v>46245.431203703702</v>
      </c>
      <c r="B1838" t="s">
        <v>6648</v>
      </c>
    </row>
    <row r="1839" spans="1:2">
      <c r="A1839" s="4">
        <v>46245.431192129632</v>
      </c>
      <c r="B1839" t="s">
        <v>6649</v>
      </c>
    </row>
    <row r="1840" spans="1:2">
      <c r="A1840" s="4">
        <v>46245.435381944444</v>
      </c>
      <c r="B1840" t="s">
        <v>6650</v>
      </c>
    </row>
    <row r="1841" spans="1:2">
      <c r="A1841" s="4">
        <v>46245.435381944444</v>
      </c>
      <c r="B1841" t="s">
        <v>6651</v>
      </c>
    </row>
    <row r="1842" spans="1:2">
      <c r="A1842" s="4">
        <v>46245.511018518519</v>
      </c>
      <c r="B1842" t="s">
        <v>6652</v>
      </c>
    </row>
    <row r="1843" spans="1:2">
      <c r="A1843" s="4">
        <v>46245.511006944442</v>
      </c>
      <c r="B1843" t="s">
        <v>6653</v>
      </c>
    </row>
    <row r="1844" spans="1:2">
      <c r="A1844" s="4">
        <v>46245.511006944442</v>
      </c>
      <c r="B1844" t="s">
        <v>6654</v>
      </c>
    </row>
    <row r="1845" spans="1:2">
      <c r="A1845" s="4">
        <v>46245.511030092595</v>
      </c>
      <c r="B1845" t="s">
        <v>6655</v>
      </c>
    </row>
    <row r="1846" spans="1:2">
      <c r="A1846" s="4">
        <v>46245.514490740738</v>
      </c>
      <c r="B1846" t="s">
        <v>6656</v>
      </c>
    </row>
    <row r="1847" spans="1:2">
      <c r="A1847" s="4">
        <v>46245.514502314814</v>
      </c>
      <c r="B1847" t="s">
        <v>6657</v>
      </c>
    </row>
    <row r="1848" spans="1:2">
      <c r="A1848" s="4">
        <v>46245.514502314814</v>
      </c>
      <c r="B1848" t="s">
        <v>6658</v>
      </c>
    </row>
    <row r="1849" spans="1:2">
      <c r="A1849" s="4">
        <v>46245.544618055559</v>
      </c>
      <c r="B1849" t="s">
        <v>6659</v>
      </c>
    </row>
    <row r="1850" spans="1:2">
      <c r="A1850" s="4">
        <v>46245.544618055559</v>
      </c>
      <c r="B1850" t="s">
        <v>6660</v>
      </c>
    </row>
    <row r="1851" spans="1:2">
      <c r="A1851" s="4">
        <v>46245.561400462961</v>
      </c>
      <c r="B1851" t="s">
        <v>6661</v>
      </c>
    </row>
    <row r="1852" spans="1:2">
      <c r="A1852" s="4">
        <v>46245.599189814813</v>
      </c>
      <c r="B1852" t="s">
        <v>6662</v>
      </c>
    </row>
    <row r="1853" spans="1:2">
      <c r="A1853" s="4">
        <v>46245.603391203702</v>
      </c>
      <c r="B1853" t="s">
        <v>6663</v>
      </c>
    </row>
    <row r="1854" spans="1:2">
      <c r="A1854" s="4">
        <v>46245.603391203702</v>
      </c>
      <c r="B1854" t="s">
        <v>6664</v>
      </c>
    </row>
    <row r="1855" spans="1:2">
      <c r="A1855" s="4">
        <v>46245.628842592596</v>
      </c>
      <c r="B1855" t="s">
        <v>6665</v>
      </c>
    </row>
    <row r="1856" spans="1:2">
      <c r="A1856" s="4">
        <v>46245.632905092592</v>
      </c>
      <c r="B1856" t="s">
        <v>6666</v>
      </c>
    </row>
    <row r="1857" spans="1:2">
      <c r="A1857" s="4">
        <v>46245.67496527778</v>
      </c>
      <c r="B1857" t="s">
        <v>6667</v>
      </c>
    </row>
    <row r="1858" spans="1:2">
      <c r="A1858" s="4">
        <v>46245.683391203704</v>
      </c>
      <c r="B1858" t="s">
        <v>6668</v>
      </c>
    </row>
    <row r="1859" spans="1:2">
      <c r="A1859" s="4">
        <v>46245.712824074071</v>
      </c>
      <c r="B1859" t="s">
        <v>6629</v>
      </c>
    </row>
    <row r="1860" spans="1:2">
      <c r="A1860" s="4">
        <v>46245.712835648148</v>
      </c>
      <c r="B1860" t="s">
        <v>6669</v>
      </c>
    </row>
    <row r="1861" spans="1:2">
      <c r="A1861" s="4">
        <v>46246.326273148145</v>
      </c>
      <c r="B1861" t="s">
        <v>6670</v>
      </c>
    </row>
    <row r="1862" spans="1:2">
      <c r="A1862" s="4">
        <v>46246.35565972222</v>
      </c>
      <c r="B1862" t="s">
        <v>6671</v>
      </c>
    </row>
    <row r="1863" spans="1:2">
      <c r="A1863" s="4">
        <v>46246.35565972222</v>
      </c>
      <c r="B1863" t="s">
        <v>6672</v>
      </c>
    </row>
    <row r="1864" spans="1:2">
      <c r="A1864" s="4">
        <v>46246.355671296296</v>
      </c>
      <c r="B1864" t="s">
        <v>6673</v>
      </c>
    </row>
    <row r="1865" spans="1:2">
      <c r="A1865" s="4">
        <v>46246.359849537039</v>
      </c>
      <c r="B1865" t="s">
        <v>6674</v>
      </c>
    </row>
    <row r="1866" spans="1:2">
      <c r="A1866" s="4">
        <v>46246.460694444446</v>
      </c>
      <c r="B1866" t="s">
        <v>6675</v>
      </c>
    </row>
    <row r="1867" spans="1:2">
      <c r="A1867" s="4">
        <v>46246.469074074077</v>
      </c>
      <c r="B1867" t="s">
        <v>6676</v>
      </c>
    </row>
    <row r="1868" spans="1:2">
      <c r="A1868" s="4">
        <v>46246.469074074077</v>
      </c>
      <c r="B1868" t="s">
        <v>6677</v>
      </c>
    </row>
    <row r="1869" spans="1:2">
      <c r="A1869" s="4">
        <v>46246.477465277778</v>
      </c>
      <c r="B1869" t="s">
        <v>6678</v>
      </c>
    </row>
    <row r="1870" spans="1:2">
      <c r="A1870" s="4">
        <v>46246.477476851855</v>
      </c>
      <c r="B1870" t="s">
        <v>6679</v>
      </c>
    </row>
    <row r="1871" spans="1:2">
      <c r="A1871" s="4">
        <v>46246.477476851855</v>
      </c>
      <c r="B1871" t="s">
        <v>6680</v>
      </c>
    </row>
    <row r="1872" spans="1:2">
      <c r="A1872" s="4">
        <v>46246.477476851855</v>
      </c>
      <c r="B1872" t="s">
        <v>6681</v>
      </c>
    </row>
    <row r="1873" spans="1:2">
      <c r="A1873" s="4">
        <v>46246.477476851855</v>
      </c>
      <c r="B1873" t="s">
        <v>6682</v>
      </c>
    </row>
    <row r="1874" spans="1:2">
      <c r="A1874" s="4">
        <v>46246.565740740742</v>
      </c>
      <c r="B1874" t="s">
        <v>6683</v>
      </c>
    </row>
    <row r="1875" spans="1:2">
      <c r="A1875" s="4">
        <v>46246.565740740742</v>
      </c>
      <c r="B1875" t="s">
        <v>6684</v>
      </c>
    </row>
    <row r="1876" spans="1:2">
      <c r="A1876" s="4">
        <v>46246.565752314818</v>
      </c>
      <c r="B1876" t="s">
        <v>6685</v>
      </c>
    </row>
    <row r="1877" spans="1:2">
      <c r="A1877" s="4">
        <v>46246.603530092594</v>
      </c>
      <c r="B1877" t="s">
        <v>6686</v>
      </c>
    </row>
    <row r="1878" spans="1:2">
      <c r="A1878" s="4">
        <v>46246.64130787037</v>
      </c>
      <c r="B1878" t="s">
        <v>6687</v>
      </c>
    </row>
    <row r="1879" spans="1:2">
      <c r="A1879" s="4">
        <v>46246.64130787037</v>
      </c>
      <c r="B1879" t="s">
        <v>6688</v>
      </c>
    </row>
    <row r="1880" spans="1:2">
      <c r="A1880" s="4">
        <v>46246.64130787037</v>
      </c>
      <c r="B1880" t="s">
        <v>6689</v>
      </c>
    </row>
    <row r="1881" spans="1:2">
      <c r="A1881" s="4">
        <v>46246.64130787037</v>
      </c>
      <c r="B1881" t="s">
        <v>6690</v>
      </c>
    </row>
    <row r="1882" spans="1:2">
      <c r="A1882" s="4">
        <v>46246.64130787037</v>
      </c>
      <c r="B1882" t="s">
        <v>6691</v>
      </c>
    </row>
    <row r="1883" spans="1:2">
      <c r="A1883" s="4">
        <v>46246.64130787037</v>
      </c>
      <c r="B1883" t="s">
        <v>6692</v>
      </c>
    </row>
    <row r="1884" spans="1:2">
      <c r="A1884" s="4">
        <v>46246.670706018522</v>
      </c>
      <c r="B1884" t="s">
        <v>6693</v>
      </c>
    </row>
    <row r="1885" spans="1:2">
      <c r="A1885" s="4">
        <v>46246.805092592593</v>
      </c>
      <c r="B1885" t="s">
        <v>6694</v>
      </c>
    </row>
    <row r="1886" spans="1:2">
      <c r="A1886" s="4">
        <v>46246.805092592593</v>
      </c>
      <c r="B1886" t="s">
        <v>6695</v>
      </c>
    </row>
    <row r="1887" spans="1:2">
      <c r="A1887" s="4">
        <v>46247.329074074078</v>
      </c>
      <c r="B1887" t="s">
        <v>6696</v>
      </c>
    </row>
    <row r="1888" spans="1:2">
      <c r="A1888" s="4">
        <v>46247.329074074078</v>
      </c>
      <c r="B1888" t="s">
        <v>6697</v>
      </c>
    </row>
    <row r="1889" spans="1:2">
      <c r="A1889" s="4">
        <v>46247.333252314813</v>
      </c>
      <c r="B1889" t="s">
        <v>6698</v>
      </c>
    </row>
    <row r="1890" spans="1:2">
      <c r="A1890" s="4">
        <v>46247.34165509259</v>
      </c>
      <c r="B1890" t="s">
        <v>6699</v>
      </c>
    </row>
    <row r="1891" spans="1:2">
      <c r="A1891" s="4">
        <v>46247.34165509259</v>
      </c>
      <c r="B1891" t="s">
        <v>6700</v>
      </c>
    </row>
    <row r="1892" spans="1:2">
      <c r="A1892" s="4">
        <v>46247.34584490741</v>
      </c>
      <c r="B1892" t="s">
        <v>6701</v>
      </c>
    </row>
    <row r="1893" spans="1:2">
      <c r="A1893" s="4">
        <v>46247.371041666665</v>
      </c>
      <c r="B1893" t="s">
        <v>6702</v>
      </c>
    </row>
    <row r="1894" spans="1:2">
      <c r="A1894" s="4">
        <v>46247.371053240742</v>
      </c>
      <c r="B1894" t="s">
        <v>6703</v>
      </c>
    </row>
    <row r="1895" spans="1:2">
      <c r="A1895" s="4">
        <v>46247.38784722222</v>
      </c>
      <c r="B1895" t="s">
        <v>6704</v>
      </c>
    </row>
    <row r="1896" spans="1:2">
      <c r="A1896" s="4">
        <v>46247.387858796297</v>
      </c>
      <c r="B1896" t="s">
        <v>6705</v>
      </c>
    </row>
    <row r="1897" spans="1:2">
      <c r="A1897" s="4">
        <v>46247.450925925928</v>
      </c>
      <c r="B1897" t="s">
        <v>6706</v>
      </c>
    </row>
    <row r="1898" spans="1:2">
      <c r="A1898" s="4">
        <v>46247.450925925928</v>
      </c>
      <c r="B1898" t="s">
        <v>6707</v>
      </c>
    </row>
    <row r="1899" spans="1:2">
      <c r="A1899" s="4">
        <v>46247.450925925928</v>
      </c>
      <c r="B1899" t="s">
        <v>6708</v>
      </c>
    </row>
    <row r="1900" spans="1:2">
      <c r="A1900" s="4">
        <v>46247.450937499998</v>
      </c>
      <c r="B1900" t="s">
        <v>6709</v>
      </c>
    </row>
    <row r="1901" spans="1:2">
      <c r="A1901" s="4">
        <v>46247.476134259261</v>
      </c>
      <c r="B1901" t="s">
        <v>6710</v>
      </c>
    </row>
    <row r="1902" spans="1:2">
      <c r="A1902" s="4">
        <v>46247.476157407407</v>
      </c>
      <c r="B1902" t="s">
        <v>6711</v>
      </c>
    </row>
    <row r="1903" spans="1:2">
      <c r="A1903" s="4">
        <v>46247.484537037039</v>
      </c>
      <c r="B1903" t="s">
        <v>6712</v>
      </c>
    </row>
    <row r="1904" spans="1:2">
      <c r="A1904" s="4">
        <v>46247.555972222224</v>
      </c>
      <c r="B1904" t="s">
        <v>6713</v>
      </c>
    </row>
    <row r="1905" spans="1:2">
      <c r="A1905" s="4">
        <v>46247.555972222224</v>
      </c>
      <c r="B1905" t="s">
        <v>6714</v>
      </c>
    </row>
    <row r="1906" spans="1:2">
      <c r="A1906" s="4">
        <v>46247.593865740739</v>
      </c>
      <c r="B1906" t="s">
        <v>6715</v>
      </c>
    </row>
    <row r="1907" spans="1:2">
      <c r="A1907" s="4">
        <v>46247.631689814814</v>
      </c>
      <c r="B1907" t="s">
        <v>6716</v>
      </c>
    </row>
    <row r="1908" spans="1:2">
      <c r="A1908" s="4">
        <v>46247.665254629632</v>
      </c>
      <c r="B1908" t="s">
        <v>6717</v>
      </c>
    </row>
    <row r="1909" spans="1:2">
      <c r="A1909" s="4">
        <v>46247.665254629632</v>
      </c>
      <c r="B1909" t="s">
        <v>6718</v>
      </c>
    </row>
    <row r="1910" spans="1:2">
      <c r="A1910" s="4">
        <v>46247.682071759256</v>
      </c>
      <c r="B1910" t="s">
        <v>6719</v>
      </c>
    </row>
    <row r="1911" spans="1:2">
      <c r="A1911" s="4">
        <v>46247.682071759256</v>
      </c>
      <c r="B1911" t="s">
        <v>6720</v>
      </c>
    </row>
    <row r="1912" spans="1:2">
      <c r="A1912" s="4">
        <v>46247.690509259257</v>
      </c>
      <c r="B1912" t="s">
        <v>6721</v>
      </c>
    </row>
    <row r="1913" spans="1:2">
      <c r="A1913" s="4">
        <v>46247.690509259257</v>
      </c>
      <c r="B1913" t="s">
        <v>6722</v>
      </c>
    </row>
    <row r="1914" spans="1:2">
      <c r="A1914" s="4">
        <v>46247.690509259257</v>
      </c>
      <c r="B1914" t="s">
        <v>6723</v>
      </c>
    </row>
    <row r="1915" spans="1:2">
      <c r="A1915" s="4">
        <v>46247.707314814812</v>
      </c>
      <c r="B1915" t="s">
        <v>6724</v>
      </c>
    </row>
    <row r="1916" spans="1:2">
      <c r="A1916" s="4">
        <v>46247.711493055554</v>
      </c>
      <c r="B1916" t="s">
        <v>6725</v>
      </c>
    </row>
    <row r="1917" spans="1:2">
      <c r="A1917" s="4">
        <v>46247.711562500001</v>
      </c>
      <c r="B1917" t="s">
        <v>6726</v>
      </c>
    </row>
    <row r="1918" spans="1:2">
      <c r="A1918" s="4">
        <v>46247.715717592589</v>
      </c>
      <c r="B1918" t="s">
        <v>6727</v>
      </c>
    </row>
    <row r="1919" spans="1:2">
      <c r="A1919" s="4">
        <v>46247.724108796298</v>
      </c>
      <c r="B1919" t="s">
        <v>6728</v>
      </c>
    </row>
    <row r="1920" spans="1:2">
      <c r="A1920" s="4">
        <v>46247.724120370367</v>
      </c>
      <c r="B1920" t="s">
        <v>6729</v>
      </c>
    </row>
    <row r="1921" spans="1:2">
      <c r="A1921" s="4">
        <v>46247.791342592594</v>
      </c>
      <c r="B1921" t="s">
        <v>6730</v>
      </c>
    </row>
    <row r="1922" spans="1:2">
      <c r="A1922" s="4">
        <v>46248.320706018516</v>
      </c>
      <c r="B1922" t="s">
        <v>6731</v>
      </c>
    </row>
    <row r="1923" spans="1:2">
      <c r="A1923" s="4">
        <v>46248.320706018516</v>
      </c>
      <c r="B1923" t="s">
        <v>6732</v>
      </c>
    </row>
    <row r="1924" spans="1:2">
      <c r="A1924" s="4">
        <v>46248.333287037036</v>
      </c>
      <c r="B1924" t="s">
        <v>6733</v>
      </c>
    </row>
    <row r="1925" spans="1:2">
      <c r="A1925" s="4">
        <v>46248.413113425922</v>
      </c>
      <c r="B1925" t="s">
        <v>6734</v>
      </c>
    </row>
    <row r="1926" spans="1:2">
      <c r="A1926" s="4">
        <v>46248.413113425922</v>
      </c>
      <c r="B1926" t="s">
        <v>6735</v>
      </c>
    </row>
    <row r="1927" spans="1:2">
      <c r="A1927" s="4">
        <v>46248.413113425922</v>
      </c>
      <c r="B1927" t="s">
        <v>6736</v>
      </c>
    </row>
    <row r="1928" spans="1:2">
      <c r="A1928" s="4">
        <v>46248.413113425922</v>
      </c>
      <c r="B1928" t="s">
        <v>6737</v>
      </c>
    </row>
    <row r="1929" spans="1:2">
      <c r="A1929" s="4">
        <v>46248.413124999999</v>
      </c>
      <c r="B1929" t="s">
        <v>6738</v>
      </c>
    </row>
    <row r="1930" spans="1:2">
      <c r="A1930" s="4">
        <v>46248.42150462963</v>
      </c>
      <c r="B1930" t="s">
        <v>6739</v>
      </c>
    </row>
    <row r="1931" spans="1:2">
      <c r="A1931" s="4">
        <v>46248.442523148151</v>
      </c>
      <c r="B1931" t="s">
        <v>6740</v>
      </c>
    </row>
    <row r="1932" spans="1:2">
      <c r="A1932" s="4">
        <v>46248.459340277775</v>
      </c>
      <c r="B1932" t="s">
        <v>6741</v>
      </c>
    </row>
    <row r="1933" spans="1:2">
      <c r="A1933" s="4">
        <v>46248.51390046296</v>
      </c>
      <c r="B1933" t="s">
        <v>6742</v>
      </c>
    </row>
    <row r="1934" spans="1:2">
      <c r="A1934" s="4">
        <v>46248.513912037037</v>
      </c>
      <c r="B1934" t="s">
        <v>6743</v>
      </c>
    </row>
    <row r="1935" spans="1:2">
      <c r="A1935" s="4">
        <v>46248.51390046296</v>
      </c>
      <c r="B1935" t="s">
        <v>6744</v>
      </c>
    </row>
    <row r="1936" spans="1:2">
      <c r="A1936" s="4">
        <v>46248.51390046296</v>
      </c>
      <c r="B1936" t="s">
        <v>6745</v>
      </c>
    </row>
    <row r="1937" spans="1:2">
      <c r="A1937" s="4">
        <v>46248.51390046296</v>
      </c>
      <c r="B1937" t="s">
        <v>6746</v>
      </c>
    </row>
    <row r="1938" spans="1:2">
      <c r="A1938" s="4">
        <v>46248.51390046296</v>
      </c>
      <c r="B1938" t="s">
        <v>6747</v>
      </c>
    </row>
    <row r="1939" spans="1:2">
      <c r="A1939" s="4">
        <v>46248.51390046296</v>
      </c>
      <c r="B1939" t="s">
        <v>6748</v>
      </c>
    </row>
    <row r="1940" spans="1:2">
      <c r="A1940" s="4">
        <v>46248.572685185187</v>
      </c>
      <c r="B1940" t="s">
        <v>6749</v>
      </c>
    </row>
    <row r="1941" spans="1:2">
      <c r="A1941" s="4">
        <v>46248.572685185187</v>
      </c>
      <c r="B1941" t="s">
        <v>6750</v>
      </c>
    </row>
    <row r="1942" spans="1:2">
      <c r="A1942" s="4">
        <v>46248.589467592596</v>
      </c>
      <c r="B1942" t="s">
        <v>6751</v>
      </c>
    </row>
    <row r="1943" spans="1:2">
      <c r="A1943" s="4">
        <v>46248.597870370373</v>
      </c>
      <c r="B1943" t="s">
        <v>6752</v>
      </c>
    </row>
    <row r="1944" spans="1:2">
      <c r="A1944" s="4">
        <v>46248.597870370373</v>
      </c>
      <c r="B1944" t="s">
        <v>6753</v>
      </c>
    </row>
    <row r="1945" spans="1:2">
      <c r="A1945" s="4">
        <v>46248.614675925928</v>
      </c>
      <c r="B1945" t="s">
        <v>6754</v>
      </c>
    </row>
    <row r="1946" spans="1:2">
      <c r="A1946" s="4">
        <v>46248.614699074074</v>
      </c>
      <c r="B1946" t="s">
        <v>6755</v>
      </c>
    </row>
    <row r="1947" spans="1:2">
      <c r="A1947" s="4">
        <v>46248.631469907406</v>
      </c>
      <c r="B1947" t="s">
        <v>6756</v>
      </c>
    </row>
    <row r="1948" spans="1:2">
      <c r="A1948" s="4">
        <v>46248.631469907406</v>
      </c>
      <c r="B1948" t="s">
        <v>6757</v>
      </c>
    </row>
    <row r="1949" spans="1:2">
      <c r="A1949" s="4">
        <v>46248.631469907406</v>
      </c>
      <c r="B1949" t="s">
        <v>6758</v>
      </c>
    </row>
    <row r="1950" spans="1:2">
      <c r="A1950" s="4">
        <v>46248.635659722226</v>
      </c>
      <c r="B1950" t="s">
        <v>6759</v>
      </c>
    </row>
    <row r="1951" spans="1:2">
      <c r="A1951" s="4">
        <v>46248.677627314813</v>
      </c>
      <c r="B1951" t="s">
        <v>6760</v>
      </c>
    </row>
    <row r="1952" spans="1:2">
      <c r="A1952" s="4">
        <v>46248.677627314813</v>
      </c>
      <c r="B1952" t="s">
        <v>6761</v>
      </c>
    </row>
    <row r="1953" spans="1:2">
      <c r="A1953" s="4">
        <v>46248.681817129633</v>
      </c>
      <c r="B1953" t="s">
        <v>6762</v>
      </c>
    </row>
    <row r="1954" spans="1:2">
      <c r="A1954" s="4">
        <v>46248.681828703702</v>
      </c>
      <c r="B1954" t="s">
        <v>6763</v>
      </c>
    </row>
    <row r="1955" spans="1:2">
      <c r="A1955" s="4">
        <v>46248.681828703702</v>
      </c>
      <c r="B1955" t="s">
        <v>6764</v>
      </c>
    </row>
    <row r="1956" spans="1:2">
      <c r="A1956" s="4">
        <v>46248.681840277779</v>
      </c>
      <c r="B1956" t="s">
        <v>6765</v>
      </c>
    </row>
    <row r="1957" spans="1:2">
      <c r="A1957" s="4">
        <v>46248.690254629626</v>
      </c>
      <c r="B1957" t="s">
        <v>6766</v>
      </c>
    </row>
    <row r="1958" spans="1:2">
      <c r="A1958" s="4">
        <v>46248.690254629626</v>
      </c>
      <c r="B1958" t="s">
        <v>6767</v>
      </c>
    </row>
    <row r="1959" spans="1:2">
      <c r="A1959" s="4">
        <v>46248.698680555557</v>
      </c>
      <c r="B1959" t="s">
        <v>6768</v>
      </c>
    </row>
    <row r="1960" spans="1:2">
      <c r="A1960" s="4">
        <v>46248.702893518515</v>
      </c>
      <c r="B1960" t="s">
        <v>6769</v>
      </c>
    </row>
    <row r="1961" spans="1:2">
      <c r="A1961" s="4">
        <v>46248.711319444446</v>
      </c>
      <c r="B1961" t="s">
        <v>6770</v>
      </c>
    </row>
    <row r="1962" spans="1:2">
      <c r="A1962" s="4">
        <v>46248.711319444446</v>
      </c>
      <c r="B1962" t="s">
        <v>6771</v>
      </c>
    </row>
    <row r="1963" spans="1:2">
      <c r="A1963" s="4">
        <v>46248.711319444446</v>
      </c>
      <c r="B1963" t="s">
        <v>6772</v>
      </c>
    </row>
    <row r="1964" spans="1:2">
      <c r="A1964" s="4">
        <v>46248.715509259258</v>
      </c>
      <c r="B1964" t="s">
        <v>6773</v>
      </c>
    </row>
    <row r="1965" spans="1:2">
      <c r="A1965" s="4">
        <v>46248.723900462966</v>
      </c>
      <c r="B1965" t="s">
        <v>6774</v>
      </c>
    </row>
    <row r="1966" spans="1:2">
      <c r="A1966" s="4">
        <v>46249.344722222224</v>
      </c>
      <c r="B1966" t="s">
        <v>6775</v>
      </c>
    </row>
    <row r="1967" spans="1:2">
      <c r="A1967" s="4">
        <v>46249.47079861111</v>
      </c>
      <c r="B1967" t="s">
        <v>6776</v>
      </c>
    </row>
    <row r="1968" spans="1:2">
      <c r="A1968" s="4">
        <v>46249.474976851852</v>
      </c>
      <c r="B1968" t="s">
        <v>6777</v>
      </c>
    </row>
    <row r="1969" spans="1:2">
      <c r="A1969" s="4">
        <v>46249.474988425929</v>
      </c>
      <c r="B1969" t="s">
        <v>6778</v>
      </c>
    </row>
    <row r="1970" spans="1:2">
      <c r="A1970" s="4">
        <v>46249.546423611115</v>
      </c>
      <c r="B1970" t="s">
        <v>6779</v>
      </c>
    </row>
    <row r="1971" spans="1:2">
      <c r="A1971" s="4">
        <v>46249.546412037038</v>
      </c>
      <c r="B1971" t="s">
        <v>6780</v>
      </c>
    </row>
    <row r="1972" spans="1:2">
      <c r="A1972" s="4">
        <v>46249.546412037038</v>
      </c>
      <c r="B1972" t="s">
        <v>6781</v>
      </c>
    </row>
    <row r="1973" spans="1:2">
      <c r="A1973" s="4">
        <v>46249.571689814817</v>
      </c>
      <c r="B1973" t="s">
        <v>6782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6C51-39B5-4A53-AAED-803525C93F6D}">
  <dimension ref="A1:K815"/>
  <sheetViews>
    <sheetView workbookViewId="0">
      <selection activeCell="A2" sqref="A2:K818"/>
    </sheetView>
  </sheetViews>
  <sheetFormatPr defaultRowHeight="15"/>
  <cols>
    <col min="1" max="1" width="35.7109375" customWidth="1"/>
    <col min="2" max="2" width="86.7109375" bestFit="1" customWidth="1"/>
    <col min="3" max="3" width="21.85546875" customWidth="1"/>
    <col min="4" max="4" width="19" style="20" customWidth="1"/>
    <col min="5" max="5" width="19" customWidth="1"/>
    <col min="6" max="6" width="53.7109375" bestFit="1" customWidth="1"/>
    <col min="7" max="7" width="90.85546875" bestFit="1" customWidth="1"/>
    <col min="8" max="8" width="31.42578125" style="10" bestFit="1" customWidth="1"/>
    <col min="9" max="9" width="31.42578125" style="23" customWidth="1"/>
    <col min="10" max="10" width="27.85546875" style="10" customWidth="1"/>
    <col min="11" max="11" width="36.85546875" customWidth="1"/>
  </cols>
  <sheetData>
    <row r="1" spans="1:11" ht="16.5">
      <c r="A1" s="1" t="s">
        <v>6783</v>
      </c>
      <c r="B1" s="1" t="s">
        <v>6784</v>
      </c>
      <c r="C1" s="1" t="s">
        <v>4</v>
      </c>
      <c r="D1" s="19" t="s">
        <v>6785</v>
      </c>
      <c r="E1" s="1" t="s">
        <v>6786</v>
      </c>
      <c r="F1" s="1" t="s">
        <v>0</v>
      </c>
      <c r="G1" s="1" t="s">
        <v>5</v>
      </c>
      <c r="H1" s="1" t="s">
        <v>6787</v>
      </c>
      <c r="I1" s="22" t="s">
        <v>6788</v>
      </c>
      <c r="J1" s="1" t="s">
        <v>6789</v>
      </c>
      <c r="K1" s="24" t="s">
        <v>6790</v>
      </c>
    </row>
    <row r="2" spans="1:11" ht="17.25" customHeight="1">
      <c r="A2" s="1" t="s">
        <v>6791</v>
      </c>
      <c r="B2" s="1" t="s">
        <v>6792</v>
      </c>
      <c r="C2" s="1" t="str">
        <f t="shared" ref="C2:C3" si="0">IFERROR(IF(ISNUMBER(VALUE(_xlfn.TEXTBEFORE(B2,"-"))),"",_xlfn.TEXTBEFORE(B2,"-")),"")</f>
        <v/>
      </c>
      <c r="D2" s="19" t="str">
        <f t="shared" ref="D2:D3" si="1">IFERROR(IF(ISNUMBER(VALUE(_xlfn.TEXTBEFORE(B2,"-"))),_xlfn.TEXTBEFORE(B2,"-"),_xlfn.TEXTBEFORE(_xlfn.TEXTAFTER(B2,"-"),"-")),"")</f>
        <v>953</v>
      </c>
      <c r="E2" s="1" t="str">
        <f t="shared" ref="E2:E3" si="2">IFERROR(IF(ISNUMBER(VALUE(_xlfn.TEXTBEFORE(B2,"-"))),_xlfn.TEXTBEFORE(_xlfn.TEXTAFTER(B2,"-"),"-"),_xlfn.TEXTBEFORE(_xlfn.TEXTAFTER(B2,"-",2),"-")),"")</f>
        <v>300275195</v>
      </c>
      <c r="F2" s="1" t="str">
        <f t="shared" ref="F2:F3" si="3">IFERROR(IF(ISNUMBER(VALUE(_xlfn.TEXTBEFORE(B2,"-"))),_xlfn.TEXTBEFORE(_xlfn.TEXTAFTER(B2,"-",2)," - "),_xlfn.TEXTBEFORE(_xlfn.TEXTAFTER(B2,"-",3)," - ")),"")</f>
        <v xml:space="preserve">FREIRE SILVA CONFECCOES LTDA </v>
      </c>
      <c r="G2" s="1" t="str">
        <f t="shared" ref="G2:G3" si="4">IFERROR(_xlfn.TEXTAFTER(B2," - ",-1),"")</f>
        <v>Etiqueta de Composição</v>
      </c>
      <c r="H2" s="13" t="s">
        <v>6793</v>
      </c>
      <c r="I2" s="21">
        <f t="shared" ref="I2:I3" si="5">DATE(LEFT(H2,4),MID(H2,6,2),MID(H2,9,2))+TIME(MID(H2,12,2),MID(H2,15,2),MID(H2,18,2))</f>
        <v>46211.95722222222</v>
      </c>
      <c r="J2" s="25" t="s">
        <v>6794</v>
      </c>
      <c r="K2" s="1" t="s">
        <v>6795</v>
      </c>
    </row>
    <row r="3" spans="1:11" ht="197.25" hidden="1">
      <c r="A3" s="1" t="s">
        <v>6796</v>
      </c>
      <c r="B3" s="1" t="s">
        <v>6797</v>
      </c>
      <c r="C3" s="1" t="str">
        <f t="shared" si="0"/>
        <v>MALHA</v>
      </c>
      <c r="D3" s="19" t="str">
        <f t="shared" si="1"/>
        <v xml:space="preserve"> 1385</v>
      </c>
      <c r="E3" s="1" t="str">
        <f t="shared" si="2"/>
        <v>300280223</v>
      </c>
      <c r="F3" s="1" t="str">
        <f t="shared" si="3"/>
        <v xml:space="preserve">F &amp; L AZEVEDO CONFECCAO LTDA FILIAL </v>
      </c>
      <c r="G3" s="1" t="str">
        <f t="shared" si="4"/>
        <v>Etiqueta de Composição</v>
      </c>
      <c r="H3" s="13" t="s">
        <v>6798</v>
      </c>
      <c r="I3" s="21">
        <f t="shared" si="5"/>
        <v>46225.72928240741</v>
      </c>
      <c r="J3" s="25" t="s">
        <v>6799</v>
      </c>
      <c r="K3" s="1" t="s">
        <v>6795</v>
      </c>
    </row>
    <row r="4" spans="1:11" ht="246.75" hidden="1">
      <c r="A4" s="1" t="e" cm="1">
        <f t="array" aca="1" ref="A4" ca="1">-trtUhf04km_ltGnupYZ_WQAFcpW</f>
        <v>#NAME?</v>
      </c>
      <c r="B4" s="1" t="s">
        <v>6800</v>
      </c>
      <c r="C4" s="1" t="str">
        <f t="shared" ref="C4:C5" si="6">IFERROR(IF(ISNUMBER(VALUE(_xlfn.TEXTBEFORE(B4,"-"))),"",_xlfn.TEXTBEFORE(B4,"-")),"")</f>
        <v>POLO</v>
      </c>
      <c r="D4" s="19" t="str">
        <f t="shared" ref="D4:D5" si="7">IFERROR(IF(ISNUMBER(VALUE(_xlfn.TEXTBEFORE(B4,"-"))),_xlfn.TEXTBEFORE(B4,"-"),_xlfn.TEXTBEFORE(_xlfn.TEXTAFTER(B4,"-"),"-")),"")</f>
        <v xml:space="preserve"> 1383</v>
      </c>
      <c r="E4" s="1" t="str">
        <f t="shared" ref="E4:E5" si="8">IFERROR(IF(ISNUMBER(VALUE(_xlfn.TEXTBEFORE(B4,"-"))),_xlfn.TEXTBEFORE(_xlfn.TEXTAFTER(B4,"-"),"-"),_xlfn.TEXTBEFORE(_xlfn.TEXTAFTER(B4,"-",2),"-")),"")</f>
        <v>300281371</v>
      </c>
      <c r="F4" s="1" t="str">
        <f t="shared" ref="F4:F5" si="9">IFERROR(IF(ISNUMBER(VALUE(_xlfn.TEXTBEFORE(B4,"-"))),_xlfn.TEXTBEFORE(_xlfn.TEXTAFTER(B4,"-",2)," - "),_xlfn.TEXTBEFORE(_xlfn.TEXTAFTER(B4,"-",3)," - ")),"")</f>
        <v xml:space="preserve">POTENGI TEXTIL LTDA </v>
      </c>
      <c r="G4" s="1" t="str">
        <f t="shared" ref="G4:G5" si="10">IFERROR(_xlfn.TEXTAFTER(B4," - ",-1),"")</f>
        <v>Etiqueta de Composição</v>
      </c>
      <c r="H4" s="13" t="s">
        <v>6801</v>
      </c>
      <c r="I4" s="21">
        <f t="shared" ref="I4:I5" si="11">DATE(LEFT(H4,4),MID(H4,6,2),MID(H4,9,2))+TIME(MID(H4,12,2),MID(H4,15,2),MID(H4,18,2))</f>
        <v>46225.71770833333</v>
      </c>
      <c r="J4" s="25" t="s">
        <v>6802</v>
      </c>
      <c r="K4" s="1" t="s">
        <v>6795</v>
      </c>
    </row>
    <row r="5" spans="1:11" ht="213.75" hidden="1">
      <c r="A5" s="1" t="s">
        <v>6803</v>
      </c>
      <c r="B5" s="1" t="s">
        <v>6804</v>
      </c>
      <c r="C5" s="1" t="str">
        <f t="shared" si="6"/>
        <v/>
      </c>
      <c r="D5" s="19" t="str">
        <f t="shared" si="7"/>
        <v>952</v>
      </c>
      <c r="E5" s="1" t="str">
        <f t="shared" si="8"/>
        <v>300275195</v>
      </c>
      <c r="F5" s="1" t="str">
        <f t="shared" si="9"/>
        <v xml:space="preserve">FREIRE SILVA CONFECCOES LTDA </v>
      </c>
      <c r="G5" s="1" t="str">
        <f t="shared" si="10"/>
        <v>Traseiro</v>
      </c>
      <c r="H5" s="13" t="s">
        <v>6805</v>
      </c>
      <c r="I5" s="21">
        <f t="shared" si="11"/>
        <v>46211.955474537041</v>
      </c>
      <c r="J5" s="25" t="s">
        <v>6806</v>
      </c>
      <c r="K5" s="1" t="s">
        <v>6795</v>
      </c>
    </row>
    <row r="6" spans="1:11" ht="230.25" hidden="1">
      <c r="A6" s="1" t="s">
        <v>6807</v>
      </c>
      <c r="B6" s="1" t="s">
        <v>6808</v>
      </c>
      <c r="C6" s="1" t="str">
        <f t="shared" ref="C6:C7" si="12">IFERROR(IF(ISNUMBER(VALUE(_xlfn.TEXTBEFORE(B6,"-"))),"",_xlfn.TEXTBEFORE(B6,"-")),"")</f>
        <v/>
      </c>
      <c r="D6" s="19" t="str">
        <f t="shared" ref="D6:D7" si="13">IFERROR(IF(ISNUMBER(VALUE(_xlfn.TEXTBEFORE(B6,"-"))),_xlfn.TEXTBEFORE(B6,"-"),_xlfn.TEXTBEFORE(_xlfn.TEXTAFTER(B6,"-"),"-")),"")</f>
        <v>951</v>
      </c>
      <c r="E6" s="1" t="str">
        <f t="shared" ref="E6:E7" si="14">IFERROR(IF(ISNUMBER(VALUE(_xlfn.TEXTBEFORE(B6,"-"))),_xlfn.TEXTBEFORE(_xlfn.TEXTAFTER(B6,"-"),"-"),_xlfn.TEXTBEFORE(_xlfn.TEXTAFTER(B6,"-",2),"-")),"")</f>
        <v>300275195</v>
      </c>
      <c r="F6" s="1" t="str">
        <f t="shared" ref="F6:F7" si="15">IFERROR(IF(ISNUMBER(VALUE(_xlfn.TEXTBEFORE(B6,"-"))),_xlfn.TEXTBEFORE(_xlfn.TEXTAFTER(B6,"-",2)," - "),_xlfn.TEXTBEFORE(_xlfn.TEXTAFTER(B6,"-",3)," - ")),"")</f>
        <v xml:space="preserve">FREIRE SILVA CONFECCOES LTDA </v>
      </c>
      <c r="G6" s="1" t="str">
        <f t="shared" ref="G6:G7" si="16">IFERROR(_xlfn.TEXTAFTER(B6," - ",-1),"")</f>
        <v>Frente</v>
      </c>
      <c r="H6" s="13" t="s">
        <v>6809</v>
      </c>
      <c r="I6" s="21">
        <f t="shared" ref="I6:I7" si="17">DATE(LEFT(H6,4),MID(H6,6,2),MID(H6,9,2))+TIME(MID(H6,12,2),MID(H6,15,2),MID(H6,18,2))</f>
        <v>46211.952685185184</v>
      </c>
      <c r="J6" s="25" t="s">
        <v>6810</v>
      </c>
      <c r="K6" s="1" t="s">
        <v>6795</v>
      </c>
    </row>
    <row r="7" spans="1:11" ht="197.25" hidden="1">
      <c r="A7" s="1" t="s">
        <v>6811</v>
      </c>
      <c r="B7" s="1" t="s">
        <v>6812</v>
      </c>
      <c r="C7" s="1" t="str">
        <f t="shared" si="12"/>
        <v>MALHA</v>
      </c>
      <c r="D7" s="19" t="str">
        <f t="shared" si="13"/>
        <v xml:space="preserve"> 1376</v>
      </c>
      <c r="E7" s="1" t="str">
        <f t="shared" si="14"/>
        <v>300281893</v>
      </c>
      <c r="F7" s="1" t="str">
        <f t="shared" si="15"/>
        <v xml:space="preserve">F &amp; L AZEVEDO CONFECCAO LTDA FILIAL </v>
      </c>
      <c r="G7" s="1" t="str">
        <f t="shared" si="16"/>
        <v>Manga</v>
      </c>
      <c r="H7" s="13" t="s">
        <v>6813</v>
      </c>
      <c r="I7" s="21">
        <f t="shared" si="17"/>
        <v>46225.559282407405</v>
      </c>
      <c r="J7" s="25" t="s">
        <v>6814</v>
      </c>
      <c r="K7" s="1" t="s">
        <v>6795</v>
      </c>
    </row>
    <row r="8" spans="1:11" ht="197.25" hidden="1">
      <c r="A8" s="1" t="s">
        <v>6815</v>
      </c>
      <c r="B8" s="1" t="s">
        <v>6816</v>
      </c>
      <c r="C8" s="1" t="str">
        <f t="shared" ref="C8:C9" si="18">IFERROR(IF(ISNUMBER(VALUE(_xlfn.TEXTBEFORE(B8,"-"))),"",_xlfn.TEXTBEFORE(B8,"-")),"")</f>
        <v/>
      </c>
      <c r="D8" s="19" t="str">
        <f t="shared" ref="D8:D9" si="19">IFERROR(IF(ISNUMBER(VALUE(_xlfn.TEXTBEFORE(B8,"-"))),_xlfn.TEXTBEFORE(B8,"-"),_xlfn.TEXTBEFORE(_xlfn.TEXTAFTER(B8,"-"),"-")),"")</f>
        <v>927</v>
      </c>
      <c r="E8" s="1" t="str">
        <f t="shared" ref="E8:E9" si="20">IFERROR(IF(ISNUMBER(VALUE(_xlfn.TEXTBEFORE(B8,"-"))),_xlfn.TEXTBEFORE(_xlfn.TEXTAFTER(B8,"-"),"-"),_xlfn.TEXTBEFORE(_xlfn.TEXTAFTER(B8,"-",2),"-")),"")</f>
        <v>300276889</v>
      </c>
      <c r="F8" s="1" t="str">
        <f t="shared" ref="F8:F9" si="21">IFERROR(IF(ISNUMBER(VALUE(_xlfn.TEXTBEFORE(B8,"-"))),_xlfn.TEXTBEFORE(_xlfn.TEXTAFTER(B8,"-",2)," - "),_xlfn.TEXTBEFORE(_xlfn.TEXTAFTER(B8,"-",3)," - ")),"")</f>
        <v xml:space="preserve">F &amp; L AZEVEDO CONFECCAO LTDA FILIAL </v>
      </c>
      <c r="G8" s="1" t="str">
        <f t="shared" ref="G8:G9" si="22">IFERROR(_xlfn.TEXTAFTER(B8," - ",-1),"")</f>
        <v>Gola</v>
      </c>
      <c r="H8" s="13" t="s">
        <v>6817</v>
      </c>
      <c r="I8" s="21">
        <f t="shared" ref="I8:I9" si="23">DATE(LEFT(H8,4),MID(H8,6,2),MID(H8,9,2))+TIME(MID(H8,12,2),MID(H8,15,2),MID(H8,18,2))</f>
        <v>46211.686805555553</v>
      </c>
      <c r="J8" s="25" t="s">
        <v>6818</v>
      </c>
      <c r="K8" s="1" t="s">
        <v>6795</v>
      </c>
    </row>
    <row r="9" spans="1:11" ht="197.25" hidden="1">
      <c r="A9" s="1" t="s">
        <v>6819</v>
      </c>
      <c r="B9" s="1" t="s">
        <v>6820</v>
      </c>
      <c r="C9" s="1" t="str">
        <f t="shared" si="18"/>
        <v>MALHA</v>
      </c>
      <c r="D9" s="19" t="str">
        <f t="shared" si="19"/>
        <v xml:space="preserve"> 1375</v>
      </c>
      <c r="E9" s="1" t="str">
        <f t="shared" si="20"/>
        <v>300281893</v>
      </c>
      <c r="F9" s="1" t="str">
        <f t="shared" si="21"/>
        <v xml:space="preserve">F &amp; L AZEVEDO CONFECCAO LTDA FILIAL </v>
      </c>
      <c r="G9" s="1" t="str">
        <f t="shared" si="22"/>
        <v>Frente</v>
      </c>
      <c r="H9" s="13" t="s">
        <v>6821</v>
      </c>
      <c r="I9" s="21">
        <f t="shared" si="23"/>
        <v>46225.558298611111</v>
      </c>
      <c r="J9" s="25" t="s">
        <v>6822</v>
      </c>
      <c r="K9" s="1" t="s">
        <v>6795</v>
      </c>
    </row>
    <row r="10" spans="1:11" ht="197.25" hidden="1">
      <c r="A10" s="1" t="s">
        <v>6823</v>
      </c>
      <c r="B10" s="1" t="s">
        <v>6824</v>
      </c>
      <c r="C10" s="1" t="str">
        <f t="shared" ref="C10:C11" si="24">IFERROR(IF(ISNUMBER(VALUE(_xlfn.TEXTBEFORE(B10,"-"))),"",_xlfn.TEXTBEFORE(B10,"-")),"")</f>
        <v>MALHA</v>
      </c>
      <c r="D10" s="19" t="str">
        <f t="shared" ref="D10:D11" si="25">IFERROR(IF(ISNUMBER(VALUE(_xlfn.TEXTBEFORE(B10,"-"))),_xlfn.TEXTBEFORE(B10,"-"),_xlfn.TEXTBEFORE(_xlfn.TEXTAFTER(B10,"-"),"-")),"")</f>
        <v xml:space="preserve"> 1374</v>
      </c>
      <c r="E10" s="1" t="str">
        <f t="shared" ref="E10:E11" si="26">IFERROR(IF(ISNUMBER(VALUE(_xlfn.TEXTBEFORE(B10,"-"))),_xlfn.TEXTBEFORE(_xlfn.TEXTAFTER(B10,"-"),"-"),_xlfn.TEXTBEFORE(_xlfn.TEXTAFTER(B10,"-",2),"-")),"")</f>
        <v>300281893</v>
      </c>
      <c r="F10" s="1" t="str">
        <f t="shared" ref="F10:F11" si="27">IFERROR(IF(ISNUMBER(VALUE(_xlfn.TEXTBEFORE(B10,"-"))),_xlfn.TEXTBEFORE(_xlfn.TEXTAFTER(B10,"-",2)," - "),_xlfn.TEXTBEFORE(_xlfn.TEXTAFTER(B10,"-",3)," - ")),"")</f>
        <v xml:space="preserve">F &amp; L AZEVEDO CONFECCAO LTDA FILIAL </v>
      </c>
      <c r="G10" s="1" t="str">
        <f t="shared" ref="G10:G11" si="28">IFERROR(_xlfn.TEXTAFTER(B10," - ",-1),"")</f>
        <v>Traseiro</v>
      </c>
      <c r="H10" s="13" t="s">
        <v>6825</v>
      </c>
      <c r="I10" s="21">
        <f t="shared" ref="I10:I11" si="29">DATE(LEFT(H10,4),MID(H10,6,2),MID(H10,9,2))+TIME(MID(H10,12,2),MID(H10,15,2),MID(H10,18,2))</f>
        <v>46225.557523148149</v>
      </c>
      <c r="J10" s="25" t="s">
        <v>6826</v>
      </c>
      <c r="K10" s="1" t="s">
        <v>6795</v>
      </c>
    </row>
    <row r="11" spans="1:11" ht="246.75" hidden="1">
      <c r="A11" s="1" t="s">
        <v>6827</v>
      </c>
      <c r="B11" s="1" t="s">
        <v>6828</v>
      </c>
      <c r="C11" s="1" t="str">
        <f t="shared" si="24"/>
        <v/>
      </c>
      <c r="D11" s="19" t="str">
        <f t="shared" si="25"/>
        <v>926</v>
      </c>
      <c r="E11" s="1" t="str">
        <f t="shared" si="26"/>
        <v>300276345</v>
      </c>
      <c r="F11" s="1" t="str">
        <f t="shared" si="27"/>
        <v xml:space="preserve">TENDENCIA CONFECCOES LTDA </v>
      </c>
      <c r="G11" s="1" t="str">
        <f t="shared" si="28"/>
        <v>Etiqueta de Composição</v>
      </c>
      <c r="H11" s="13" t="s">
        <v>6829</v>
      </c>
      <c r="I11" s="21">
        <f t="shared" si="29"/>
        <v>46211.672731481478</v>
      </c>
      <c r="J11" s="25" t="s">
        <v>6830</v>
      </c>
      <c r="K11" s="1" t="s">
        <v>6795</v>
      </c>
    </row>
    <row r="12" spans="1:11" ht="197.25" hidden="1">
      <c r="A12" s="1" t="s">
        <v>6831</v>
      </c>
      <c r="B12" s="1" t="s">
        <v>6832</v>
      </c>
      <c r="C12" s="1" t="str">
        <f t="shared" ref="C12:C13" si="30">IFERROR(IF(ISNUMBER(VALUE(_xlfn.TEXTBEFORE(B12,"-"))),"",_xlfn.TEXTBEFORE(B12,"-")),"")</f>
        <v>MALHA</v>
      </c>
      <c r="D12" s="19" t="str">
        <f t="shared" ref="D12:D13" si="31">IFERROR(IF(ISNUMBER(VALUE(_xlfn.TEXTBEFORE(B12,"-"))),_xlfn.TEXTBEFORE(B12,"-"),_xlfn.TEXTBEFORE(_xlfn.TEXTAFTER(B12,"-"),"-")),"")</f>
        <v xml:space="preserve"> 1373</v>
      </c>
      <c r="E12" s="1" t="str">
        <f t="shared" ref="E12:E13" si="32">IFERROR(IF(ISNUMBER(VALUE(_xlfn.TEXTBEFORE(B12,"-"))),_xlfn.TEXTBEFORE(_xlfn.TEXTAFTER(B12,"-"),"-"),_xlfn.TEXTBEFORE(_xlfn.TEXTAFTER(B12,"-",2),"-")),"")</f>
        <v>300281187</v>
      </c>
      <c r="F12" s="1" t="str">
        <f t="shared" ref="F12:F13" si="33">IFERROR(IF(ISNUMBER(VALUE(_xlfn.TEXTBEFORE(B12,"-"))),_xlfn.TEXTBEFORE(_xlfn.TEXTAFTER(B12,"-",2)," - "),_xlfn.TEXTBEFORE(_xlfn.TEXTAFTER(B12,"-",3)," - ")),"")</f>
        <v xml:space="preserve">F &amp; L AZEVEDO CONFECCAO LTDA FILIAL </v>
      </c>
      <c r="G12" s="1" t="str">
        <f t="shared" ref="G12:G13" si="34">IFERROR(_xlfn.TEXTAFTER(B12," - ",-1),"")</f>
        <v>Traseiro</v>
      </c>
      <c r="H12" s="13" t="s">
        <v>6833</v>
      </c>
      <c r="I12" s="21">
        <f t="shared" ref="I12:I13" si="35">DATE(LEFT(H12,4),MID(H12,6,2),MID(H12,9,2))+TIME(MID(H12,12,2),MID(H12,15,2),MID(H12,18,2))</f>
        <v>46225.556469907409</v>
      </c>
      <c r="J12" s="25" t="s">
        <v>6834</v>
      </c>
      <c r="K12" s="1" t="s">
        <v>6795</v>
      </c>
    </row>
    <row r="13" spans="1:11" ht="213.75" hidden="1">
      <c r="A13" s="1" t="s">
        <v>6835</v>
      </c>
      <c r="B13" s="1" t="s">
        <v>6836</v>
      </c>
      <c r="C13" s="1" t="str">
        <f t="shared" si="30"/>
        <v/>
      </c>
      <c r="D13" s="19" t="str">
        <f t="shared" si="31"/>
        <v>920</v>
      </c>
      <c r="E13" s="1" t="str">
        <f t="shared" si="32"/>
        <v>300277999</v>
      </c>
      <c r="F13" s="1" t="str">
        <f t="shared" si="33"/>
        <v xml:space="preserve">LC TEXTIL LTDA </v>
      </c>
      <c r="G13" s="1" t="str">
        <f t="shared" si="34"/>
        <v>Etiqueta de Composição</v>
      </c>
      <c r="H13" s="13" t="s">
        <v>6837</v>
      </c>
      <c r="I13" s="21">
        <f t="shared" si="35"/>
        <v>46211.580370370371</v>
      </c>
      <c r="J13" s="25" t="s">
        <v>6838</v>
      </c>
      <c r="K13" s="1" t="s">
        <v>6795</v>
      </c>
    </row>
    <row r="14" spans="1:11" ht="180.75" hidden="1">
      <c r="A14" s="1" t="s">
        <v>6839</v>
      </c>
      <c r="B14" s="1" t="s">
        <v>6840</v>
      </c>
      <c r="C14" s="1" t="str">
        <f t="shared" ref="C14:C15" si="36">IFERROR(IF(ISNUMBER(VALUE(_xlfn.TEXTBEFORE(B14,"-"))),"",_xlfn.TEXTBEFORE(B14,"-")),"")</f>
        <v>MALHA</v>
      </c>
      <c r="D14" s="19" t="str">
        <f t="shared" ref="D14:D15" si="37">IFERROR(IF(ISNUMBER(VALUE(_xlfn.TEXTBEFORE(B14,"-"))),_xlfn.TEXTBEFORE(B14,"-"),_xlfn.TEXTBEFORE(_xlfn.TEXTAFTER(B14,"-"),"-")),"")</f>
        <v xml:space="preserve"> 1372</v>
      </c>
      <c r="E14" s="1" t="str">
        <f t="shared" ref="E14:E15" si="38">IFERROR(IF(ISNUMBER(VALUE(_xlfn.TEXTBEFORE(B14,"-"))),_xlfn.TEXTBEFORE(_xlfn.TEXTAFTER(B14,"-"),"-"),_xlfn.TEXTBEFORE(_xlfn.TEXTAFTER(B14,"-",2),"-")),"")</f>
        <v>300281187</v>
      </c>
      <c r="F14" s="1" t="str">
        <f t="shared" ref="F14:F15" si="39">IFERROR(IF(ISNUMBER(VALUE(_xlfn.TEXTBEFORE(B14,"-"))),_xlfn.TEXTBEFORE(_xlfn.TEXTAFTER(B14,"-",2)," - "),_xlfn.TEXTBEFORE(_xlfn.TEXTAFTER(B14,"-",3)," - ")),"")</f>
        <v xml:space="preserve">F &amp; L AZEVEDO CONFECCAO LTDA FILIAL </v>
      </c>
      <c r="G14" s="1" t="str">
        <f t="shared" ref="G14:G15" si="40">IFERROR(_xlfn.TEXTAFTER(B14," - ",-1),"")</f>
        <v>Frente</v>
      </c>
      <c r="H14" s="13" t="s">
        <v>6841</v>
      </c>
      <c r="I14" s="21">
        <f t="shared" ref="I14:I15" si="41">DATE(LEFT(H14,4),MID(H14,6,2),MID(H14,9,2))+TIME(MID(H14,12,2),MID(H14,15,2),MID(H14,18,2))</f>
        <v>46225.555520833332</v>
      </c>
      <c r="J14" s="25" t="s">
        <v>6842</v>
      </c>
      <c r="K14" s="1" t="s">
        <v>6795</v>
      </c>
    </row>
    <row r="15" spans="1:11" ht="213.75" hidden="1">
      <c r="A15" s="1" t="s">
        <v>6843</v>
      </c>
      <c r="B15" s="1" t="s">
        <v>6844</v>
      </c>
      <c r="C15" s="1" t="str">
        <f t="shared" si="36"/>
        <v/>
      </c>
      <c r="D15" s="19" t="str">
        <f t="shared" si="37"/>
        <v>919</v>
      </c>
      <c r="E15" s="1" t="str">
        <f t="shared" si="38"/>
        <v>300277699</v>
      </c>
      <c r="F15" s="1" t="str">
        <f t="shared" si="39"/>
        <v xml:space="preserve">LC TEXTIL LTDA </v>
      </c>
      <c r="G15" s="1" t="str">
        <f t="shared" si="40"/>
        <v>Etiqueta de Composição</v>
      </c>
      <c r="H15" s="13" t="s">
        <v>6845</v>
      </c>
      <c r="I15" s="21">
        <f t="shared" si="41"/>
        <v>46211.579525462963</v>
      </c>
      <c r="J15" s="25" t="s">
        <v>6846</v>
      </c>
      <c r="K15" s="1" t="s">
        <v>6795</v>
      </c>
    </row>
    <row r="16" spans="1:11" ht="213.75" hidden="1">
      <c r="A16" s="1" t="s">
        <v>6847</v>
      </c>
      <c r="B16" s="1" t="s">
        <v>6848</v>
      </c>
      <c r="C16" s="1" t="str">
        <f t="shared" ref="C16:C17" si="42">IFERROR(IF(ISNUMBER(VALUE(_xlfn.TEXTBEFORE(B16,"-"))),"",_xlfn.TEXTBEFORE(B16,"-")),"")</f>
        <v/>
      </c>
      <c r="D16" s="19" t="str">
        <f t="shared" ref="D16:D17" si="43">IFERROR(IF(ISNUMBER(VALUE(_xlfn.TEXTBEFORE(B16,"-"))),_xlfn.TEXTBEFORE(B16,"-"),_xlfn.TEXTBEFORE(_xlfn.TEXTAFTER(B16,"-"),"-")),"")</f>
        <v>909</v>
      </c>
      <c r="E16" s="1" t="str">
        <f t="shared" ref="E16:E17" si="44">IFERROR(IF(ISNUMBER(VALUE(_xlfn.TEXTBEFORE(B16,"-"))),_xlfn.TEXTBEFORE(_xlfn.TEXTAFTER(B16,"-"),"-"),_xlfn.TEXTBEFORE(_xlfn.TEXTAFTER(B16,"-",2),"-")),"")</f>
        <v>300278801</v>
      </c>
      <c r="F16" s="1" t="str">
        <f t="shared" ref="F16:F17" si="45">IFERROR(IF(ISNUMBER(VALUE(_xlfn.TEXTBEFORE(B16,"-"))),_xlfn.TEXTBEFORE(_xlfn.TEXTAFTER(B16,"-",2)," - "),_xlfn.TEXTBEFORE(_xlfn.TEXTAFTER(B16,"-",3)," - ")),"")</f>
        <v xml:space="preserve">LEANDRO MATIAS DA SILVA </v>
      </c>
      <c r="G16" s="1" t="str">
        <f t="shared" ref="G16:G17" si="46">IFERROR(_xlfn.TEXTAFTER(B16," - ",-1),"")</f>
        <v>Etiqueta de Composição</v>
      </c>
      <c r="H16" s="13" t="s">
        <v>6849</v>
      </c>
      <c r="I16" s="21">
        <f t="shared" ref="I16:I17" si="47">DATE(LEFT(H16,4),MID(H16,6,2),MID(H16,9,2))+TIME(MID(H16,12,2),MID(H16,15,2),MID(H16,18,2))</f>
        <v>46211.555787037039</v>
      </c>
      <c r="J16" s="25" t="s">
        <v>6850</v>
      </c>
      <c r="K16" s="1" t="s">
        <v>6795</v>
      </c>
    </row>
    <row r="17" spans="1:11" ht="263.25" hidden="1">
      <c r="A17" s="1" t="s">
        <v>6851</v>
      </c>
      <c r="B17" s="1" t="s">
        <v>6852</v>
      </c>
      <c r="C17" s="1" t="str">
        <f t="shared" si="42"/>
        <v>JEANS</v>
      </c>
      <c r="D17" s="19" t="str">
        <f t="shared" si="43"/>
        <v xml:space="preserve"> 1364</v>
      </c>
      <c r="E17" s="1" t="str">
        <f t="shared" si="44"/>
        <v>300280214</v>
      </c>
      <c r="F17" s="1" t="str">
        <f t="shared" si="45"/>
        <v xml:space="preserve">F A N CONFECCOES LTDA </v>
      </c>
      <c r="G17" s="1" t="str">
        <f t="shared" si="46"/>
        <v>Cós</v>
      </c>
      <c r="H17" s="13" t="s">
        <v>6853</v>
      </c>
      <c r="I17" s="21">
        <f t="shared" si="47"/>
        <v>46225.465995370374</v>
      </c>
      <c r="J17" s="25" t="s">
        <v>6854</v>
      </c>
      <c r="K17" s="1" t="s">
        <v>6795</v>
      </c>
    </row>
    <row r="18" spans="1:11" ht="312.75" hidden="1">
      <c r="A18" s="1" t="s">
        <v>6855</v>
      </c>
      <c r="B18" s="1" t="s">
        <v>6856</v>
      </c>
      <c r="C18" s="1" t="str">
        <f>IFERROR(IF(ISNUMBER(VALUE(_xlfn.TEXTBEFORE(B18,"-"))),"",_xlfn.TEXTBEFORE(B18,"-")),"")</f>
        <v>JEANS</v>
      </c>
      <c r="D18" s="19" t="str">
        <f>IFERROR(IF(ISNUMBER(VALUE(_xlfn.TEXTBEFORE(B18,"-"))),_xlfn.TEXTBEFORE(B18,"-"),_xlfn.TEXTBEFORE(_xlfn.TEXTAFTER(B18,"-"),"-")),"")</f>
        <v xml:space="preserve"> 1358</v>
      </c>
      <c r="E18" s="1" t="str">
        <f>IFERROR(IF(ISNUMBER(VALUE(_xlfn.TEXTBEFORE(B18,"-"))),_xlfn.TEXTBEFORE(_xlfn.TEXTAFTER(B18,"-"),"-"),_xlfn.TEXTBEFORE(_xlfn.TEXTAFTER(B18,"-",2),"-")),"")</f>
        <v>300283153</v>
      </c>
      <c r="F18" s="1" t="str">
        <f>IFERROR(IF(ISNUMBER(VALUE(_xlfn.TEXTBEFORE(B18,"-"))),_xlfn.TEXTBEFORE(_xlfn.TEXTAFTER(B18,"-",2)," - "),_xlfn.TEXTBEFORE(_xlfn.TEXTAFTER(B18,"-",3)," - ")),"")</f>
        <v xml:space="preserve">CONFECCAO G. B. DA SILVA JUNIOR &amp; CIA LTDA </v>
      </c>
      <c r="G18" s="1" t="str">
        <f>IFERROR(_xlfn.TEXTAFTER(B18," - ",-1),"")</f>
        <v>Etiqueta de Composição</v>
      </c>
      <c r="H18" s="13" t="s">
        <v>6857</v>
      </c>
      <c r="I18" s="21">
        <f>DATE(LEFT(H18,4),MID(H18,6,2),MID(H18,9,2))+TIME(MID(H18,12,2),MID(H18,15,2),MID(H18,18,2))</f>
        <v>46224.874710648146</v>
      </c>
      <c r="J18" s="25" t="s">
        <v>6858</v>
      </c>
      <c r="K18" s="1" t="s">
        <v>6795</v>
      </c>
    </row>
    <row r="19" spans="1:11" ht="213.75" hidden="1">
      <c r="A19" s="1" t="s">
        <v>6859</v>
      </c>
      <c r="B19" s="1" t="s">
        <v>6860</v>
      </c>
      <c r="C19" s="1" t="str">
        <f>IFERROR(IF(ISNUMBER(VALUE(_xlfn.TEXTBEFORE(B19,"-"))),"",_xlfn.TEXTBEFORE(B19,"-")),"")</f>
        <v/>
      </c>
      <c r="D19" s="19" t="str">
        <f>IFERROR(IF(ISNUMBER(VALUE(_xlfn.TEXTBEFORE(B19,"-"))),_xlfn.TEXTBEFORE(B19,"-"),_xlfn.TEXTBEFORE(_xlfn.TEXTAFTER(B19,"-"),"-")),"")</f>
        <v>899</v>
      </c>
      <c r="E19" s="1" t="str">
        <f>IFERROR(IF(ISNUMBER(VALUE(_xlfn.TEXTBEFORE(B19,"-"))),_xlfn.TEXTBEFORE(_xlfn.TEXTAFTER(B19,"-"),"-"),_xlfn.TEXTBEFORE(_xlfn.TEXTAFTER(B19,"-",2),"-")),"")</f>
        <v>300278648</v>
      </c>
      <c r="F19" s="1" t="str">
        <f>IFERROR(IF(ISNUMBER(VALUE(_xlfn.TEXTBEFORE(B19,"-"))),_xlfn.TEXTBEFORE(_xlfn.TEXTAFTER(B19,"-",2)," - "),_xlfn.TEXTBEFORE(_xlfn.TEXTAFTER(B19,"-",3)," - ")),"")</f>
        <v xml:space="preserve">JOSENI MARIA DE MEDEIROS </v>
      </c>
      <c r="G19" s="1" t="str">
        <f>IFERROR(_xlfn.TEXTAFTER(B19," - ",-1),"")</f>
        <v>Etiqueta de Composição</v>
      </c>
      <c r="H19" s="13" t="s">
        <v>6861</v>
      </c>
      <c r="I19" s="21">
        <f>DATE(LEFT(H19,4),MID(H19,6,2),MID(H19,9,2))+TIME(MID(H19,12,2),MID(H19,15,2),MID(H19,18,2))</f>
        <v>46211.452048611114</v>
      </c>
      <c r="J19" s="25" t="s">
        <v>6862</v>
      </c>
      <c r="K19" s="1" t="s">
        <v>6795</v>
      </c>
    </row>
    <row r="20" spans="1:11" ht="329.25" hidden="1">
      <c r="A20" s="1" t="s">
        <v>6863</v>
      </c>
      <c r="B20" s="1" t="s">
        <v>6864</v>
      </c>
      <c r="C20" s="1" t="str">
        <f t="shared" ref="C20:C21" si="48">IFERROR(IF(ISNUMBER(VALUE(_xlfn.TEXTBEFORE(B20,"-"))),"",_xlfn.TEXTBEFORE(B20,"-")),"")</f>
        <v>MALHA</v>
      </c>
      <c r="D20" s="19" t="str">
        <f t="shared" ref="D20:D21" si="49">IFERROR(IF(ISNUMBER(VALUE(_xlfn.TEXTBEFORE(B20,"-"))),_xlfn.TEXTBEFORE(B20,"-"),_xlfn.TEXTBEFORE(_xlfn.TEXTAFTER(B20,"-"),"-")),"")</f>
        <v xml:space="preserve"> 1357</v>
      </c>
      <c r="E20" s="1" t="str">
        <f t="shared" ref="E20:E21" si="50">IFERROR(IF(ISNUMBER(VALUE(_xlfn.TEXTBEFORE(B20,"-"))),_xlfn.TEXTBEFORE(_xlfn.TEXTAFTER(B20,"-"),"-"),_xlfn.TEXTBEFORE(_xlfn.TEXTAFTER(B20,"-",2),"-")),"")</f>
        <v>300277976</v>
      </c>
      <c r="F20" s="1" t="str">
        <f t="shared" ref="F20:F21" si="51">IFERROR(IF(ISNUMBER(VALUE(_xlfn.TEXTBEFORE(B20,"-"))),_xlfn.TEXTBEFORE(_xlfn.TEXTAFTER(B20,"-",2)," - "),_xlfn.TEXTBEFORE(_xlfn.TEXTAFTER(B20,"-",3)," - ")),"")</f>
        <v xml:space="preserve">CONFECCAO G. B. DA SILVA JUNIOR &amp; CIA LTDA </v>
      </c>
      <c r="G20" s="1" t="str">
        <f t="shared" ref="G20:G21" si="52">IFERROR(_xlfn.TEXTAFTER(B20," - ",-1),"")</f>
        <v>Etiqueta de Composição</v>
      </c>
      <c r="H20" s="13" t="s">
        <v>6865</v>
      </c>
      <c r="I20" s="21">
        <f t="shared" ref="I20:I21" si="53">DATE(LEFT(H20,4),MID(H20,6,2),MID(H20,9,2))+TIME(MID(H20,12,2),MID(H20,15,2),MID(H20,18,2))</f>
        <v>46224.873252314814</v>
      </c>
      <c r="J20" s="25" t="s">
        <v>6866</v>
      </c>
      <c r="K20" s="1" t="s">
        <v>6795</v>
      </c>
    </row>
    <row r="21" spans="1:11" ht="345.75" hidden="1">
      <c r="A21" s="1" t="s">
        <v>6867</v>
      </c>
      <c r="B21" s="1" t="s">
        <v>6868</v>
      </c>
      <c r="C21" s="1" t="str">
        <f t="shared" si="48"/>
        <v/>
      </c>
      <c r="D21" s="19" t="str">
        <f t="shared" si="49"/>
        <v>893</v>
      </c>
      <c r="E21" s="1" t="str">
        <f t="shared" si="50"/>
        <v>300276734</v>
      </c>
      <c r="F21" s="1" t="str">
        <f t="shared" si="51"/>
        <v xml:space="preserve">CONFECCAO G. B. DA SILVA JUNIOR &amp; CIA LTDA </v>
      </c>
      <c r="G21" s="1" t="str">
        <f t="shared" si="52"/>
        <v>Etiqueta de Composição</v>
      </c>
      <c r="H21" s="13" t="s">
        <v>6869</v>
      </c>
      <c r="I21" s="21">
        <f t="shared" si="53"/>
        <v>46210.842245370368</v>
      </c>
      <c r="J21" s="25" t="s">
        <v>6870</v>
      </c>
      <c r="K21" s="1" t="s">
        <v>6795</v>
      </c>
    </row>
    <row r="22" spans="1:11" ht="230.25" hidden="1">
      <c r="A22" s="1" t="s">
        <v>6871</v>
      </c>
      <c r="B22" s="1" t="s">
        <v>6872</v>
      </c>
      <c r="C22" s="1" t="str">
        <f>IFERROR(IF(ISNUMBER(VALUE(_xlfn.TEXTBEFORE(B22,"-"))),"",_xlfn.TEXTBEFORE(B22,"-")),"")</f>
        <v/>
      </c>
      <c r="D22" s="19" t="str">
        <f>IFERROR(IF(ISNUMBER(VALUE(_xlfn.TEXTBEFORE(B22,"-"))),_xlfn.TEXTBEFORE(B22,"-"),_xlfn.TEXTBEFORE(_xlfn.TEXTAFTER(B22,"-"),"-")),"")</f>
        <v>889</v>
      </c>
      <c r="E22" s="1" t="str">
        <f>IFERROR(IF(ISNUMBER(VALUE(_xlfn.TEXTBEFORE(B22,"-"))),_xlfn.TEXTBEFORE(_xlfn.TEXTAFTER(B22,"-"),"-"),_xlfn.TEXTBEFORE(_xlfn.TEXTAFTER(B22,"-",2),"-")),"")</f>
        <v>300278650</v>
      </c>
      <c r="F22" s="1" t="str">
        <f>IFERROR(IF(ISNUMBER(VALUE(_xlfn.TEXTBEFORE(B22,"-"))),_xlfn.TEXTBEFORE(_xlfn.TEXTAFTER(B22,"-",2)," - "),_xlfn.TEXTBEFORE(_xlfn.TEXTAFTER(B22,"-",3)," - ")),"")</f>
        <v xml:space="preserve">JOSENI MARIA DE MEDEIROS </v>
      </c>
      <c r="G22" s="1" t="str">
        <f>IFERROR(_xlfn.TEXTAFTER(B22," - ",-1),"")</f>
        <v>Etiqueta de Composição</v>
      </c>
      <c r="H22" s="13" t="s">
        <v>6873</v>
      </c>
      <c r="I22" s="21">
        <f>DATE(LEFT(H22,4),MID(H22,6,2),MID(H22,9,2))+TIME(MID(H22,12,2),MID(H22,15,2),MID(H22,18,2))</f>
        <v>46210.79346064815</v>
      </c>
      <c r="J22" s="25" t="s">
        <v>6874</v>
      </c>
      <c r="K22" s="1" t="s">
        <v>6795</v>
      </c>
    </row>
    <row r="23" spans="1:11" ht="213.75" hidden="1">
      <c r="A23" s="1" t="s">
        <v>6875</v>
      </c>
      <c r="B23" s="1" t="s">
        <v>6876</v>
      </c>
      <c r="C23" s="1" t="str">
        <f t="shared" ref="C23:C24" si="54">IFERROR(IF(ISNUMBER(VALUE(_xlfn.TEXTBEFORE(B23,"-"))),"",_xlfn.TEXTBEFORE(B23,"-")),"")</f>
        <v>JEANS</v>
      </c>
      <c r="D23" s="19" t="str">
        <f t="shared" ref="D23:D24" si="55">IFERROR(IF(ISNUMBER(VALUE(_xlfn.TEXTBEFORE(B23,"-"))),_xlfn.TEXTBEFORE(B23,"-"),_xlfn.TEXTBEFORE(_xlfn.TEXTAFTER(B23,"-"),"-")),"")</f>
        <v xml:space="preserve"> 1353</v>
      </c>
      <c r="E23" s="1" t="str">
        <f t="shared" ref="E23:E24" si="56">IFERROR(IF(ISNUMBER(VALUE(_xlfn.TEXTBEFORE(B23,"-"))),_xlfn.TEXTBEFORE(_xlfn.TEXTAFTER(B23,"-"),"-"),_xlfn.TEXTBEFORE(_xlfn.TEXTAFTER(B23,"-",2),"-")),"")</f>
        <v>300279716</v>
      </c>
      <c r="F23" s="1" t="str">
        <f t="shared" ref="F23:F24" si="57">IFERROR(IF(ISNUMBER(VALUE(_xlfn.TEXTBEFORE(B23,"-"))),_xlfn.TEXTBEFORE(_xlfn.TEXTAFTER(B23,"-",2)," - "),_xlfn.TEXTBEFORE(_xlfn.TEXTAFTER(B23,"-",3)," - ")),"")</f>
        <v xml:space="preserve">M K DE AZEVEDO MEDEIROS INDUSTRIA TEXTIL </v>
      </c>
      <c r="G23" s="1" t="str">
        <f t="shared" ref="G23:G24" si="58">IFERROR(_xlfn.TEXTAFTER(B23," - ",-1),"")</f>
        <v>Elástico</v>
      </c>
      <c r="H23" s="13" t="s">
        <v>6877</v>
      </c>
      <c r="I23" s="21">
        <f t="shared" ref="I23:I24" si="59">DATE(LEFT(H23,4),MID(H23,6,2),MID(H23,9,2))+TIME(MID(H23,12,2),MID(H23,15,2),MID(H23,18,2))</f>
        <v>46224.84579861111</v>
      </c>
      <c r="J23" s="25" t="s">
        <v>6878</v>
      </c>
      <c r="K23" s="1" t="s">
        <v>6795</v>
      </c>
    </row>
    <row r="24" spans="1:11" ht="246.75" hidden="1">
      <c r="A24" s="1" t="s">
        <v>6879</v>
      </c>
      <c r="B24" s="1" t="s">
        <v>6880</v>
      </c>
      <c r="C24" s="1" t="str">
        <f t="shared" si="54"/>
        <v/>
      </c>
      <c r="D24" s="19" t="str">
        <f t="shared" si="55"/>
        <v>695</v>
      </c>
      <c r="E24" s="1" t="str">
        <f t="shared" si="56"/>
        <v>300269147</v>
      </c>
      <c r="F24" s="1" t="str">
        <f t="shared" si="57"/>
        <v xml:space="preserve">TENDENCIA CONFECCOES LTDA </v>
      </c>
      <c r="G24" s="1" t="str">
        <f t="shared" si="58"/>
        <v>ETIQUETA DE COMPOSIÇÃO</v>
      </c>
      <c r="H24" s="13" t="s">
        <v>6881</v>
      </c>
      <c r="I24" s="21">
        <f t="shared" si="59"/>
        <v>46204.727627314816</v>
      </c>
      <c r="J24" s="25" t="s">
        <v>6882</v>
      </c>
      <c r="K24" s="1" t="s">
        <v>6795</v>
      </c>
    </row>
    <row r="25" spans="1:11" ht="213.75" hidden="1">
      <c r="A25" s="1" t="s">
        <v>6883</v>
      </c>
      <c r="B25" s="1" t="s">
        <v>6884</v>
      </c>
      <c r="C25" s="1" t="str">
        <f>IFERROR(IF(ISNUMBER(VALUE(_xlfn.TEXTBEFORE(B25,"-"))),"",_xlfn.TEXTBEFORE(B25,"-")),"")</f>
        <v/>
      </c>
      <c r="D25" s="19" t="str">
        <f>IFERROR(IF(ISNUMBER(VALUE(_xlfn.TEXTBEFORE(B25,"-"))),_xlfn.TEXTBEFORE(B25,"-"),_xlfn.TEXTBEFORE(_xlfn.TEXTAFTER(B25,"-"),"-")),"")</f>
        <v>871</v>
      </c>
      <c r="E25" s="1" t="str">
        <f>IFERROR(IF(ISNUMBER(VALUE(_xlfn.TEXTBEFORE(B25,"-"))),_xlfn.TEXTBEFORE(_xlfn.TEXTAFTER(B25,"-"),"-"),_xlfn.TEXTBEFORE(_xlfn.TEXTAFTER(B25,"-",2),"-")),"")</f>
        <v>300272960</v>
      </c>
      <c r="F25" s="1" t="str">
        <f>IFERROR(IF(ISNUMBER(VALUE(_xlfn.TEXTBEFORE(B25,"-"))),_xlfn.TEXTBEFORE(_xlfn.TEXTAFTER(B25,"-",2)," - "),_xlfn.TEXTBEFORE(_xlfn.TEXTAFTER(B25,"-",3)," - ")),"")</f>
        <v xml:space="preserve">DI3 CONFECCOES LTDA </v>
      </c>
      <c r="G25" s="1" t="str">
        <f>IFERROR(_xlfn.TEXTAFTER(B25," - ",-1),"")</f>
        <v>Traseiro</v>
      </c>
      <c r="H25" s="13" t="s">
        <v>6885</v>
      </c>
      <c r="I25" s="21">
        <f>DATE(LEFT(H25,4),MID(H25,6,2),MID(H25,9,2))+TIME(MID(H25,12,2),MID(H25,15,2),MID(H25,18,2))</f>
        <v>46210.6253125</v>
      </c>
      <c r="J25" s="25" t="s">
        <v>6886</v>
      </c>
      <c r="K25" s="1" t="s">
        <v>6795</v>
      </c>
    </row>
    <row r="26" spans="1:11" ht="197.25" hidden="1">
      <c r="A26" s="1" t="s">
        <v>6887</v>
      </c>
      <c r="B26" s="1" t="s">
        <v>6888</v>
      </c>
      <c r="C26" s="1" t="str">
        <f t="shared" ref="C26:C27" si="60">IFERROR(IF(ISNUMBER(VALUE(_xlfn.TEXTBEFORE(B26,"-"))),"",_xlfn.TEXTBEFORE(B26,"-")),"")</f>
        <v/>
      </c>
      <c r="D26" s="19" t="str">
        <f t="shared" ref="D26:D27" si="61">IFERROR(IF(ISNUMBER(VALUE(_xlfn.TEXTBEFORE(B26,"-"))),_xlfn.TEXTBEFORE(B26,"-"),_xlfn.TEXTBEFORE(_xlfn.TEXTAFTER(B26,"-"),"-")),"")</f>
        <v>870</v>
      </c>
      <c r="E26" s="1" t="str">
        <f t="shared" ref="E26:E27" si="62">IFERROR(IF(ISNUMBER(VALUE(_xlfn.TEXTBEFORE(B26,"-"))),_xlfn.TEXTBEFORE(_xlfn.TEXTAFTER(B26,"-"),"-"),_xlfn.TEXTBEFORE(_xlfn.TEXTAFTER(B26,"-",2),"-")),"")</f>
        <v>300272960</v>
      </c>
      <c r="F26" s="1" t="str">
        <f t="shared" ref="F26:F27" si="63">IFERROR(IF(ISNUMBER(VALUE(_xlfn.TEXTBEFORE(B26,"-"))),_xlfn.TEXTBEFORE(_xlfn.TEXTAFTER(B26,"-",2)," - "),_xlfn.TEXTBEFORE(_xlfn.TEXTAFTER(B26,"-",3)," - ")),"")</f>
        <v xml:space="preserve">DI3 CONFECCOES LTDA </v>
      </c>
      <c r="G26" s="1" t="str">
        <f t="shared" ref="G26:G27" si="64">IFERROR(_xlfn.TEXTAFTER(B26," - ",-1),"")</f>
        <v>Frente</v>
      </c>
      <c r="H26" s="13" t="s">
        <v>6889</v>
      </c>
      <c r="I26" s="21">
        <f t="shared" ref="I26:I27" si="65">DATE(LEFT(H26,4),MID(H26,6,2),MID(H26,9,2))+TIME(MID(H26,12,2),MID(H26,15,2),MID(H26,18,2))</f>
        <v>46210.624571759261</v>
      </c>
      <c r="J26" s="25" t="s">
        <v>6890</v>
      </c>
      <c r="K26" s="1" t="s">
        <v>6795</v>
      </c>
    </row>
    <row r="27" spans="1:11" ht="197.25" hidden="1">
      <c r="A27" s="1" t="s">
        <v>6891</v>
      </c>
      <c r="B27" s="1" t="s">
        <v>6892</v>
      </c>
      <c r="C27" s="1" t="str">
        <f t="shared" si="60"/>
        <v>JEANS</v>
      </c>
      <c r="D27" s="19" t="str">
        <f t="shared" si="61"/>
        <v xml:space="preserve"> 1346</v>
      </c>
      <c r="E27" s="1" t="str">
        <f t="shared" si="62"/>
        <v>300283156</v>
      </c>
      <c r="F27" s="1" t="str">
        <f t="shared" si="63"/>
        <v xml:space="preserve">M K INDUSTRIA TEXTIL LTDA </v>
      </c>
      <c r="G27" s="1" t="str">
        <f t="shared" si="64"/>
        <v>Passante</v>
      </c>
      <c r="H27" s="13" t="s">
        <v>6893</v>
      </c>
      <c r="I27" s="21">
        <f t="shared" si="65"/>
        <v>46224.721087962964</v>
      </c>
      <c r="J27" s="25" t="s">
        <v>6894</v>
      </c>
      <c r="K27" s="1" t="s">
        <v>6795</v>
      </c>
    </row>
    <row r="28" spans="1:11" ht="246.75" hidden="1">
      <c r="A28" s="1" t="s">
        <v>6895</v>
      </c>
      <c r="B28" s="1" t="s">
        <v>6896</v>
      </c>
      <c r="C28" s="1" t="str">
        <f t="shared" ref="C28:C29" si="66">IFERROR(IF(ISNUMBER(VALUE(_xlfn.TEXTBEFORE(B28,"-"))),"",_xlfn.TEXTBEFORE(B28,"-")),"")</f>
        <v/>
      </c>
      <c r="D28" s="19" t="str">
        <f t="shared" ref="D28:D29" si="67">IFERROR(IF(ISNUMBER(VALUE(_xlfn.TEXTBEFORE(B28,"-"))),_xlfn.TEXTBEFORE(B28,"-"),_xlfn.TEXTBEFORE(_xlfn.TEXTAFTER(B28,"-"),"-")),"")</f>
        <v>868</v>
      </c>
      <c r="E28" s="1" t="str">
        <f t="shared" ref="E28:E29" si="68">IFERROR(IF(ISNUMBER(VALUE(_xlfn.TEXTBEFORE(B28,"-"))),_xlfn.TEXTBEFORE(_xlfn.TEXTAFTER(B28,"-"),"-"),_xlfn.TEXTBEFORE(_xlfn.TEXTAFTER(B28,"-",2),"-")),"")</f>
        <v>300271748</v>
      </c>
      <c r="F28" s="1" t="str">
        <f t="shared" ref="F28:F29" si="69">IFERROR(IF(ISNUMBER(VALUE(_xlfn.TEXTBEFORE(B28,"-"))),_xlfn.TEXTBEFORE(_xlfn.TEXTAFTER(B28,"-",2)," - "),_xlfn.TEXTBEFORE(_xlfn.TEXTAFTER(B28,"-",3)," - ")),"")</f>
        <v xml:space="preserve">JANUNCIO NOBREGA DE AZEVEDO </v>
      </c>
      <c r="G28" s="1" t="str">
        <f t="shared" ref="G28:G29" si="70">IFERROR(_xlfn.TEXTAFTER(B28," - ",-1),"")</f>
        <v>Etiqueta de Composição</v>
      </c>
      <c r="H28" s="13" t="s">
        <v>6897</v>
      </c>
      <c r="I28" s="21">
        <f t="shared" ref="I28:I29" si="71">DATE(LEFT(H28,4),MID(H28,6,2),MID(H28,9,2))+TIME(MID(H28,12,2),MID(H28,15,2),MID(H28,18,2))</f>
        <v>46210.577662037038</v>
      </c>
      <c r="J28" s="25" t="s">
        <v>6898</v>
      </c>
      <c r="K28" s="1" t="s">
        <v>6795</v>
      </c>
    </row>
    <row r="29" spans="1:11" ht="230.25" hidden="1">
      <c r="A29" s="1" t="s">
        <v>6899</v>
      </c>
      <c r="B29" s="1" t="s">
        <v>6900</v>
      </c>
      <c r="C29" s="1" t="str">
        <f t="shared" si="66"/>
        <v/>
      </c>
      <c r="D29" s="19" t="str">
        <f t="shared" si="67"/>
        <v>686</v>
      </c>
      <c r="E29" s="1" t="str">
        <f t="shared" si="68"/>
        <v>300272601</v>
      </c>
      <c r="F29" s="1" t="str">
        <f t="shared" si="69"/>
        <v xml:space="preserve">FACCAO ELLO LTDA </v>
      </c>
      <c r="G29" s="1" t="str">
        <f t="shared" si="70"/>
        <v>FRENTE</v>
      </c>
      <c r="H29" s="13" t="s">
        <v>6901</v>
      </c>
      <c r="I29" s="21">
        <f t="shared" si="71"/>
        <v>46204.679525462961</v>
      </c>
      <c r="J29" s="25" t="s">
        <v>6902</v>
      </c>
      <c r="K29" s="1" t="s">
        <v>6795</v>
      </c>
    </row>
    <row r="30" spans="1:11" ht="213.75" hidden="1">
      <c r="A30" s="1" t="s">
        <v>6903</v>
      </c>
      <c r="B30" s="1" t="s">
        <v>6904</v>
      </c>
      <c r="C30" s="1" t="str">
        <f>IFERROR(IF(ISNUMBER(VALUE(_xlfn.TEXTBEFORE(B30,"-"))),"",_xlfn.TEXTBEFORE(B30,"-")),"")</f>
        <v>TEAR</v>
      </c>
      <c r="D30" s="19" t="str">
        <f>IFERROR(IF(ISNUMBER(VALUE(_xlfn.TEXTBEFORE(B30,"-"))),_xlfn.TEXTBEFORE(B30,"-"),_xlfn.TEXTBEFORE(_xlfn.TEXTAFTER(B30,"-"),"-")),"")</f>
        <v xml:space="preserve"> 1345</v>
      </c>
      <c r="E30" s="1" t="str">
        <f>IFERROR(IF(ISNUMBER(VALUE(_xlfn.TEXTBEFORE(B30,"-"))),_xlfn.TEXTBEFORE(_xlfn.TEXTAFTER(B30,"-"),"-"),_xlfn.TEXTBEFORE(_xlfn.TEXTAFTER(B30,"-",2),"-")),"")</f>
        <v>300282856</v>
      </c>
      <c r="F30" s="1" t="str">
        <f>IFERROR(IF(ISNUMBER(VALUE(_xlfn.TEXTBEFORE(B30,"-"))),_xlfn.TEXTBEFORE(_xlfn.TEXTAFTER(B30,"-",2)," - "),_xlfn.TEXTBEFORE(_xlfn.TEXTAFTER(B30,"-",3)," - ")),"")</f>
        <v xml:space="preserve">CONFECCOES GENESIS LTDA </v>
      </c>
      <c r="G30" s="1" t="str">
        <f>IFERROR(_xlfn.TEXTAFTER(B30," - ",-1),"")</f>
        <v>Frente</v>
      </c>
      <c r="H30" s="13" t="s">
        <v>6905</v>
      </c>
      <c r="I30" s="21">
        <f>DATE(LEFT(H30,4),MID(H30,6,2),MID(H30,9,2))+TIME(MID(H30,12,2),MID(H30,15,2),MID(H30,18,2))</f>
        <v>46224.696932870371</v>
      </c>
      <c r="J30" s="25" t="s">
        <v>6906</v>
      </c>
      <c r="K30" s="1" t="s">
        <v>6795</v>
      </c>
    </row>
    <row r="31" spans="1:11" ht="197.25" hidden="1">
      <c r="A31" s="1" t="s">
        <v>6907</v>
      </c>
      <c r="B31" s="1" t="s">
        <v>6908</v>
      </c>
      <c r="C31" s="1" t="str">
        <f>IFERROR(IF(ISNUMBER(VALUE(_xlfn.TEXTBEFORE(B31,"-"))),"",_xlfn.TEXTBEFORE(B31,"-")),"")</f>
        <v/>
      </c>
      <c r="D31" s="19" t="str">
        <f>IFERROR(IF(ISNUMBER(VALUE(_xlfn.TEXTBEFORE(B31,"-"))),_xlfn.TEXTBEFORE(B31,"-"),_xlfn.TEXTBEFORE(_xlfn.TEXTAFTER(B31,"-"),"-")),"")</f>
        <v>864</v>
      </c>
      <c r="E31" s="1" t="str">
        <f>IFERROR(IF(ISNUMBER(VALUE(_xlfn.TEXTBEFORE(B31,"-"))),_xlfn.TEXTBEFORE(_xlfn.TEXTAFTER(B31,"-"),"-"),_xlfn.TEXTBEFORE(_xlfn.TEXTAFTER(B31,"-",2),"-")),"")</f>
        <v>300276898</v>
      </c>
      <c r="F31" s="1" t="str">
        <f>IFERROR(IF(ISNUMBER(VALUE(_xlfn.TEXTBEFORE(B31,"-"))),_xlfn.TEXTBEFORE(_xlfn.TEXTAFTER(B31,"-",2)," - "),_xlfn.TEXTBEFORE(_xlfn.TEXTAFTER(B31,"-",3)," - ")),"")</f>
        <v xml:space="preserve">F &amp; L AZEVEDO CONFECCAO LTDA FILIAL </v>
      </c>
      <c r="G31" s="1" t="str">
        <f>IFERROR(_xlfn.TEXTAFTER(B31," - ",-1),"")</f>
        <v>Etiqueta de Composição</v>
      </c>
      <c r="H31" s="13" t="s">
        <v>6909</v>
      </c>
      <c r="I31" s="21">
        <f>DATE(LEFT(H31,4),MID(H31,6,2),MID(H31,9,2))+TIME(MID(H31,12,2),MID(H31,15,2),MID(H31,18,2))</f>
        <v>46210.546574074076</v>
      </c>
      <c r="J31" s="25" t="s">
        <v>6910</v>
      </c>
      <c r="K31" s="1" t="s">
        <v>6795</v>
      </c>
    </row>
    <row r="32" spans="1:11" ht="230.25" hidden="1">
      <c r="A32" s="1" t="s">
        <v>6911</v>
      </c>
      <c r="B32" s="1" t="s">
        <v>6912</v>
      </c>
      <c r="C32" s="1" t="str">
        <f t="shared" ref="C32:C34" si="72">IFERROR(IF(ISNUMBER(VALUE(_xlfn.TEXTBEFORE(B32,"-"))),"",_xlfn.TEXTBEFORE(B32,"-")),"")</f>
        <v/>
      </c>
      <c r="D32" s="19" t="str">
        <f t="shared" ref="D32:D34" si="73">IFERROR(IF(ISNUMBER(VALUE(_xlfn.TEXTBEFORE(B32,"-"))),_xlfn.TEXTBEFORE(B32,"-"),_xlfn.TEXTBEFORE(_xlfn.TEXTAFTER(B32,"-"),"-")),"")</f>
        <v>684</v>
      </c>
      <c r="E32" s="1" t="str">
        <f t="shared" ref="E32:E34" si="74">IFERROR(IF(ISNUMBER(VALUE(_xlfn.TEXTBEFORE(B32,"-"))),_xlfn.TEXTBEFORE(_xlfn.TEXTAFTER(B32,"-"),"-"),_xlfn.TEXTBEFORE(_xlfn.TEXTAFTER(B32,"-",2),"-")),"")</f>
        <v>300272601</v>
      </c>
      <c r="F32" s="1" t="str">
        <f t="shared" ref="F32:F34" si="75">IFERROR(IF(ISNUMBER(VALUE(_xlfn.TEXTBEFORE(B32,"-"))),_xlfn.TEXTBEFORE(_xlfn.TEXTAFTER(B32,"-",2)," - "),_xlfn.TEXTBEFORE(_xlfn.TEXTAFTER(B32,"-",3)," - ")),"")</f>
        <v xml:space="preserve">FACCAO ELLO LTDA </v>
      </c>
      <c r="G32" s="1" t="str">
        <f t="shared" ref="G32:G34" si="76">IFERROR(_xlfn.TEXTAFTER(B32," - ",-1),"")</f>
        <v>FRENTE</v>
      </c>
      <c r="H32" s="13" t="s">
        <v>6913</v>
      </c>
      <c r="I32" s="21">
        <f t="shared" ref="I32:I34" si="77">DATE(LEFT(H32,4),MID(H32,6,2),MID(H32,9,2))+TIME(MID(H32,12,2),MID(H32,15,2),MID(H32,18,2))</f>
        <v>46204.67591435185</v>
      </c>
      <c r="J32" s="25" t="s">
        <v>6914</v>
      </c>
      <c r="K32" s="1" t="s">
        <v>6795</v>
      </c>
    </row>
    <row r="33" spans="1:11" ht="230.25" hidden="1">
      <c r="A33" s="1" t="s">
        <v>6915</v>
      </c>
      <c r="B33" s="1" t="s">
        <v>6916</v>
      </c>
      <c r="C33" s="1" t="str">
        <f t="shared" si="72"/>
        <v>JEANS</v>
      </c>
      <c r="D33" s="19" t="str">
        <f t="shared" si="73"/>
        <v xml:space="preserve"> 1342</v>
      </c>
      <c r="E33" s="1" t="str">
        <f t="shared" si="74"/>
        <v>300277070</v>
      </c>
      <c r="F33" s="1" t="str">
        <f t="shared" si="75"/>
        <v xml:space="preserve">F &amp; L AZEVEDO CONFECCAO LTDA MATRIZ </v>
      </c>
      <c r="G33" s="1" t="str">
        <f t="shared" si="76"/>
        <v>Etiqueta de Composição</v>
      </c>
      <c r="H33" s="13" t="s">
        <v>6917</v>
      </c>
      <c r="I33" s="21">
        <f t="shared" si="77"/>
        <v>46224.671759259261</v>
      </c>
      <c r="J33" s="25" t="s">
        <v>6918</v>
      </c>
      <c r="K33" s="1" t="s">
        <v>6795</v>
      </c>
    </row>
    <row r="34" spans="1:11" ht="296.25" hidden="1">
      <c r="A34" s="1" t="s">
        <v>6919</v>
      </c>
      <c r="B34" s="1" t="s">
        <v>6920</v>
      </c>
      <c r="C34" s="1" t="str">
        <f t="shared" si="72"/>
        <v/>
      </c>
      <c r="D34" s="19" t="str">
        <f t="shared" si="73"/>
        <v>854</v>
      </c>
      <c r="E34" s="1" t="str">
        <f t="shared" si="74"/>
        <v>300273718</v>
      </c>
      <c r="F34" s="1" t="str">
        <f t="shared" si="75"/>
        <v xml:space="preserve">ARAUJO CAMARA LTDA </v>
      </c>
      <c r="G34" s="1" t="str">
        <f t="shared" si="76"/>
        <v>Etiqueta de Composição</v>
      </c>
      <c r="H34" s="13" t="s">
        <v>6921</v>
      </c>
      <c r="I34" s="21">
        <f t="shared" si="77"/>
        <v>46209.875868055555</v>
      </c>
      <c r="J34" s="25" t="s">
        <v>6922</v>
      </c>
      <c r="K34" s="1" t="s">
        <v>6795</v>
      </c>
    </row>
    <row r="35" spans="1:11" ht="230.25" hidden="1">
      <c r="A35" s="1" t="s">
        <v>6923</v>
      </c>
      <c r="B35" s="1" t="s">
        <v>6924</v>
      </c>
      <c r="C35" s="1" t="str">
        <f>IFERROR(IF(ISNUMBER(VALUE(_xlfn.TEXTBEFORE(B35,"-"))),"",_xlfn.TEXTBEFORE(B35,"-")),"")</f>
        <v/>
      </c>
      <c r="D35" s="19" t="str">
        <f>IFERROR(IF(ISNUMBER(VALUE(_xlfn.TEXTBEFORE(B35,"-"))),_xlfn.TEXTBEFORE(B35,"-"),_xlfn.TEXTBEFORE(_xlfn.TEXTAFTER(B35,"-"),"-")),"")</f>
        <v>850</v>
      </c>
      <c r="E35" s="1" t="str">
        <f>IFERROR(IF(ISNUMBER(VALUE(_xlfn.TEXTBEFORE(B35,"-"))),_xlfn.TEXTBEFORE(_xlfn.TEXTAFTER(B35,"-"),"-"),_xlfn.TEXTBEFORE(_xlfn.TEXTAFTER(B35,"-",2),"-")),"")</f>
        <v>300277992</v>
      </c>
      <c r="F35" s="1" t="str">
        <f>IFERROR(IF(ISNUMBER(VALUE(_xlfn.TEXTBEFORE(B35,"-"))),_xlfn.TEXTBEFORE(_xlfn.TEXTAFTER(B35,"-",2)," - "),_xlfn.TEXTBEFORE(_xlfn.TEXTAFTER(B35,"-",3)," - ")),"")</f>
        <v xml:space="preserve">CONFECCOES GENESIS LTDA </v>
      </c>
      <c r="G35" s="1" t="str">
        <f>IFERROR(_xlfn.TEXTAFTER(B35," - ",-1),"")</f>
        <v>Etiqueta de Composição</v>
      </c>
      <c r="H35" s="13" t="s">
        <v>6925</v>
      </c>
      <c r="I35" s="21">
        <f>DATE(LEFT(H35,4),MID(H35,6,2),MID(H35,9,2))+TIME(MID(H35,12,2),MID(H35,15,2),MID(H35,18,2))</f>
        <v>46209.806215277778</v>
      </c>
      <c r="J35" s="25" t="s">
        <v>6926</v>
      </c>
      <c r="K35" s="1" t="s">
        <v>6795</v>
      </c>
    </row>
    <row r="36" spans="1:11" ht="213.75" hidden="1">
      <c r="A36" s="1" t="s">
        <v>6927</v>
      </c>
      <c r="B36" s="1" t="s">
        <v>6928</v>
      </c>
      <c r="C36" s="1" t="str">
        <f t="shared" ref="C36:C37" si="78">IFERROR(IF(ISNUMBER(VALUE(_xlfn.TEXTBEFORE(B36,"-"))),"",_xlfn.TEXTBEFORE(B36,"-")),"")</f>
        <v/>
      </c>
      <c r="D36" s="19" t="str">
        <f t="shared" ref="D36:D37" si="79">IFERROR(IF(ISNUMBER(VALUE(_xlfn.TEXTBEFORE(B36,"-"))),_xlfn.TEXTBEFORE(B36,"-"),_xlfn.TEXTBEFORE(_xlfn.TEXTAFTER(B36,"-"),"-")),"")</f>
        <v>681</v>
      </c>
      <c r="E36" s="1" t="str">
        <f t="shared" ref="E36:E37" si="80">IFERROR(IF(ISNUMBER(VALUE(_xlfn.TEXTBEFORE(B36,"-"))),_xlfn.TEXTBEFORE(_xlfn.TEXTAFTER(B36,"-"),"-"),_xlfn.TEXTBEFORE(_xlfn.TEXTAFTER(B36,"-",2),"-")),"")</f>
        <v>300271127</v>
      </c>
      <c r="F36" s="1" t="str">
        <f t="shared" ref="F36:F37" si="81">IFERROR(IF(ISNUMBER(VALUE(_xlfn.TEXTBEFORE(B36,"-"))),_xlfn.TEXTBEFORE(_xlfn.TEXTAFTER(B36,"-",2)," - "),_xlfn.TEXTBEFORE(_xlfn.TEXTAFTER(B36,"-",3)," - ")),"")</f>
        <v xml:space="preserve">JOSE MEDEIROS DE ARAUJO </v>
      </c>
      <c r="G36" s="1" t="str">
        <f t="shared" ref="G36:G37" si="82">IFERROR(_xlfn.TEXTAFTER(B36," - ",-1),"")</f>
        <v>ETIQUETA DE COMPOSIÇÃO</v>
      </c>
      <c r="H36" s="13" t="s">
        <v>6929</v>
      </c>
      <c r="I36" s="21">
        <f t="shared" ref="I36:I37" si="83">DATE(LEFT(H36,4),MID(H36,6,2),MID(H36,9,2))+TIME(MID(H36,12,2),MID(H36,15,2),MID(H36,18,2))</f>
        <v>46204.661597222221</v>
      </c>
      <c r="J36" s="25" t="s">
        <v>6930</v>
      </c>
      <c r="K36" s="1" t="s">
        <v>6795</v>
      </c>
    </row>
    <row r="37" spans="1:11" ht="213.75" hidden="1">
      <c r="A37" s="1" t="s">
        <v>6931</v>
      </c>
      <c r="B37" s="1" t="s">
        <v>6932</v>
      </c>
      <c r="C37" s="1" t="str">
        <f t="shared" si="78"/>
        <v>POLO</v>
      </c>
      <c r="D37" s="19" t="str">
        <f t="shared" si="79"/>
        <v xml:space="preserve"> 1338</v>
      </c>
      <c r="E37" s="1" t="str">
        <f t="shared" si="80"/>
        <v>300282838</v>
      </c>
      <c r="F37" s="1" t="str">
        <f t="shared" si="81"/>
        <v xml:space="preserve">POTENGI TEXTIL LTDA </v>
      </c>
      <c r="G37" s="1" t="str">
        <f t="shared" si="82"/>
        <v>Traseiro</v>
      </c>
      <c r="H37" s="13" t="s">
        <v>6933</v>
      </c>
      <c r="I37" s="21">
        <f t="shared" si="83"/>
        <v>46224.570752314816</v>
      </c>
      <c r="J37" s="25" t="s">
        <v>6934</v>
      </c>
      <c r="K37" s="1" t="s">
        <v>6795</v>
      </c>
    </row>
    <row r="38" spans="1:11" ht="246.75" hidden="1">
      <c r="A38" s="1" t="s">
        <v>6935</v>
      </c>
      <c r="B38" s="1" t="s">
        <v>6936</v>
      </c>
      <c r="C38" s="1" t="str">
        <f>IFERROR(IF(ISNUMBER(VALUE(_xlfn.TEXTBEFORE(B38,"-"))),"",_xlfn.TEXTBEFORE(B38,"-")),"")</f>
        <v/>
      </c>
      <c r="D38" s="19" t="str">
        <f>IFERROR(IF(ISNUMBER(VALUE(_xlfn.TEXTBEFORE(B38,"-"))),_xlfn.TEXTBEFORE(B38,"-"),_xlfn.TEXTBEFORE(_xlfn.TEXTAFTER(B38,"-"),"-")),"")</f>
        <v>846</v>
      </c>
      <c r="E38" s="1" t="str">
        <f>IFERROR(IF(ISNUMBER(VALUE(_xlfn.TEXTBEFORE(B38,"-"))),_xlfn.TEXTBEFORE(_xlfn.TEXTAFTER(B38,"-"),"-"),_xlfn.TEXTBEFORE(_xlfn.TEXTAFTER(B38,"-",2),"-")),"")</f>
        <v>300276278</v>
      </c>
      <c r="F38" s="1" t="str">
        <f>IFERROR(IF(ISNUMBER(VALUE(_xlfn.TEXTBEFORE(B38,"-"))),_xlfn.TEXTBEFORE(_xlfn.TEXTAFTER(B38,"-",2)," - "),_xlfn.TEXTBEFORE(_xlfn.TEXTAFTER(B38,"-",3)," - ")),"")</f>
        <v xml:space="preserve">A S CONFECCOES LTDA </v>
      </c>
      <c r="G38" s="1" t="str">
        <f>IFERROR(_xlfn.TEXTAFTER(B38," - ",-1),"")</f>
        <v>Etiqueta de Composição</v>
      </c>
      <c r="H38" s="13" t="s">
        <v>6937</v>
      </c>
      <c r="I38" s="21">
        <f>DATE(LEFT(H38,4),MID(H38,6,2),MID(H38,9,2))+TIME(MID(H38,12,2),MID(H38,15,2),MID(H38,18,2))</f>
        <v>46209.762800925928</v>
      </c>
      <c r="J38" s="25" t="s">
        <v>6938</v>
      </c>
      <c r="K38" s="1" t="s">
        <v>6795</v>
      </c>
    </row>
    <row r="39" spans="1:11" ht="230.25" hidden="1">
      <c r="A39" s="1" t="s">
        <v>6939</v>
      </c>
      <c r="B39" s="1" t="s">
        <v>6940</v>
      </c>
      <c r="C39" s="1" t="str">
        <f>IFERROR(IF(ISNUMBER(VALUE(_xlfn.TEXTBEFORE(B39,"-"))),"",_xlfn.TEXTBEFORE(B39,"-")),"")</f>
        <v>POLO</v>
      </c>
      <c r="D39" s="19" t="str">
        <f>IFERROR(IF(ISNUMBER(VALUE(_xlfn.TEXTBEFORE(B39,"-"))),_xlfn.TEXTBEFORE(B39,"-"),_xlfn.TEXTBEFORE(_xlfn.TEXTAFTER(B39,"-"),"-")),"")</f>
        <v xml:space="preserve"> 1337</v>
      </c>
      <c r="E39" s="1" t="str">
        <f>IFERROR(IF(ISNUMBER(VALUE(_xlfn.TEXTBEFORE(B39,"-"))),_xlfn.TEXTBEFORE(_xlfn.TEXTAFTER(B39,"-"),"-"),_xlfn.TEXTBEFORE(_xlfn.TEXTAFTER(B39,"-",2),"-")),"")</f>
        <v>300282838</v>
      </c>
      <c r="F39" s="1" t="str">
        <f>IFERROR(IF(ISNUMBER(VALUE(_xlfn.TEXTBEFORE(B39,"-"))),_xlfn.TEXTBEFORE(_xlfn.TEXTAFTER(B39,"-",2)," - "),_xlfn.TEXTBEFORE(_xlfn.TEXTAFTER(B39,"-",3)," - ")),"")</f>
        <v xml:space="preserve">POTENGI TEXTIL LTDA </v>
      </c>
      <c r="G39" s="1" t="str">
        <f>IFERROR(_xlfn.TEXTAFTER(B39," - ",-1),"")</f>
        <v>Manga</v>
      </c>
      <c r="H39" s="13" t="s">
        <v>6941</v>
      </c>
      <c r="I39" s="21">
        <f>DATE(LEFT(H39,4),MID(H39,6,2),MID(H39,9,2))+TIME(MID(H39,12,2),MID(H39,15,2),MID(H39,18,2))</f>
        <v>46224.569756944446</v>
      </c>
      <c r="J39" s="25" t="s">
        <v>6942</v>
      </c>
      <c r="K39" s="1" t="s">
        <v>6795</v>
      </c>
    </row>
    <row r="40" spans="1:11" ht="230.25" hidden="1">
      <c r="A40" s="1" t="s">
        <v>6943</v>
      </c>
      <c r="B40" s="1" t="s">
        <v>6944</v>
      </c>
      <c r="C40" s="1" t="str">
        <f>IFERROR(IF(ISNUMBER(VALUE(_xlfn.TEXTBEFORE(B40,"-"))),"",_xlfn.TEXTBEFORE(B40,"-")),"")</f>
        <v/>
      </c>
      <c r="D40" s="19" t="str">
        <f>IFERROR(IF(ISNUMBER(VALUE(_xlfn.TEXTBEFORE(B40,"-"))),_xlfn.TEXTBEFORE(B40,"-"),_xlfn.TEXTBEFORE(_xlfn.TEXTAFTER(B40,"-"),"-")),"")</f>
        <v>680</v>
      </c>
      <c r="E40" s="1" t="str">
        <f>IFERROR(IF(ISNUMBER(VALUE(_xlfn.TEXTBEFORE(B40,"-"))),_xlfn.TEXTBEFORE(_xlfn.TEXTAFTER(B40,"-"),"-"),_xlfn.TEXTBEFORE(_xlfn.TEXTAFTER(B40,"-",2),"-")),"")</f>
        <v>300275413</v>
      </c>
      <c r="F40" s="1" t="str">
        <f>IFERROR(IF(ISNUMBER(VALUE(_xlfn.TEXTBEFORE(B40,"-"))),_xlfn.TEXTBEFORE(_xlfn.TEXTAFTER(B40,"-",2)," - "),_xlfn.TEXTBEFORE(_xlfn.TEXTAFTER(B40,"-",3)," - ")),"")</f>
        <v xml:space="preserve">IDEAL CONFECCOES LTDA </v>
      </c>
      <c r="G40" s="1" t="str">
        <f>IFERROR(_xlfn.TEXTAFTER(B40," - ",-1),"")</f>
        <v>CÓS</v>
      </c>
      <c r="H40" s="13" t="s">
        <v>6945</v>
      </c>
      <c r="I40" s="21">
        <f>DATE(LEFT(H40,4),MID(H40,6,2),MID(H40,9,2))+TIME(MID(H40,12,2),MID(H40,15,2),MID(H40,18,2))</f>
        <v>46204.645856481482</v>
      </c>
      <c r="J40" s="25" t="s">
        <v>6946</v>
      </c>
      <c r="K40" s="1" t="s">
        <v>6795</v>
      </c>
    </row>
    <row r="41" spans="1:11" ht="296.25" hidden="1">
      <c r="A41" s="1" t="s">
        <v>6947</v>
      </c>
      <c r="B41" s="1" t="s">
        <v>6948</v>
      </c>
      <c r="C41" s="1" t="str">
        <f t="shared" ref="C41:C43" si="84">IFERROR(IF(ISNUMBER(VALUE(_xlfn.TEXTBEFORE(B41,"-"))),"",_xlfn.TEXTBEFORE(B41,"-")),"")</f>
        <v/>
      </c>
      <c r="D41" s="19" t="str">
        <f t="shared" ref="D41:D43" si="85">IFERROR(IF(ISNUMBER(VALUE(_xlfn.TEXTBEFORE(B41,"-"))),_xlfn.TEXTBEFORE(B41,"-"),_xlfn.TEXTBEFORE(_xlfn.TEXTAFTER(B41,"-"),"-")),"")</f>
        <v>818</v>
      </c>
      <c r="E41" s="1" t="str">
        <f t="shared" ref="E41:E43" si="86">IFERROR(IF(ISNUMBER(VALUE(_xlfn.TEXTBEFORE(B41,"-"))),_xlfn.TEXTBEFORE(_xlfn.TEXTAFTER(B41,"-"),"-"),_xlfn.TEXTBEFORE(_xlfn.TEXTAFTER(B41,"-",2),"-")),"")</f>
        <v>300272964</v>
      </c>
      <c r="F41" s="1" t="str">
        <f t="shared" ref="F41:F43" si="87">IFERROR(IF(ISNUMBER(VALUE(_xlfn.TEXTBEFORE(B41,"-"))),_xlfn.TEXTBEFORE(_xlfn.TEXTAFTER(B41,"-",2)," - "),_xlfn.TEXTBEFORE(_xlfn.TEXTAFTER(B41,"-",3)," - ")),"")</f>
        <v xml:space="preserve">ARAUJO E M CONFECCOES LTDA </v>
      </c>
      <c r="G41" s="1" t="str">
        <f t="shared" ref="G41:G43" si="88">IFERROR(_xlfn.TEXTAFTER(B41," - ",-1),"")</f>
        <v>Cós</v>
      </c>
      <c r="H41" s="13" t="s">
        <v>6949</v>
      </c>
      <c r="I41" s="21">
        <f t="shared" ref="I41:I43" si="89">DATE(LEFT(H41,4),MID(H41,6,2),MID(H41,9,2))+TIME(MID(H41,12,2),MID(H41,15,2),MID(H41,18,2))</f>
        <v>46209.433657407404</v>
      </c>
      <c r="J41" s="25" t="s">
        <v>6950</v>
      </c>
      <c r="K41" s="1" t="s">
        <v>6795</v>
      </c>
    </row>
    <row r="42" spans="1:11" ht="246.75" hidden="1">
      <c r="A42" s="1" t="s">
        <v>6951</v>
      </c>
      <c r="B42" s="1" t="s">
        <v>6952</v>
      </c>
      <c r="C42" s="1" t="str">
        <f t="shared" si="84"/>
        <v>POLO</v>
      </c>
      <c r="D42" s="19" t="str">
        <f t="shared" si="85"/>
        <v xml:space="preserve"> 1336</v>
      </c>
      <c r="E42" s="1" t="str">
        <f t="shared" si="86"/>
        <v>300282838</v>
      </c>
      <c r="F42" s="1" t="str">
        <f t="shared" si="87"/>
        <v xml:space="preserve">POTENGI TEXTIL LTDA </v>
      </c>
      <c r="G42" s="1" t="str">
        <f t="shared" si="88"/>
        <v>Frente</v>
      </c>
      <c r="H42" s="13" t="s">
        <v>6953</v>
      </c>
      <c r="I42" s="21">
        <f t="shared" si="89"/>
        <v>46224.568958333337</v>
      </c>
      <c r="J42" s="25" t="s">
        <v>6954</v>
      </c>
      <c r="K42" s="1" t="s">
        <v>6795</v>
      </c>
    </row>
    <row r="43" spans="1:11" ht="409.6" hidden="1">
      <c r="A43" s="1" t="s">
        <v>6955</v>
      </c>
      <c r="B43" s="1" t="s">
        <v>6956</v>
      </c>
      <c r="C43" s="1" t="str">
        <f t="shared" si="84"/>
        <v/>
      </c>
      <c r="D43" s="19" t="str">
        <f t="shared" si="85"/>
        <v>842</v>
      </c>
      <c r="E43" s="1" t="str">
        <f t="shared" si="86"/>
        <v>300276748</v>
      </c>
      <c r="F43" s="1" t="str">
        <f t="shared" si="87"/>
        <v xml:space="preserve">IVANILDO JOSE DE SOUZA </v>
      </c>
      <c r="G43" s="1" t="str">
        <f t="shared" si="88"/>
        <v>Etiqueta de Composição</v>
      </c>
      <c r="H43" s="13" t="s">
        <v>6957</v>
      </c>
      <c r="I43" s="21">
        <f t="shared" si="89"/>
        <v>46209.725127314814</v>
      </c>
      <c r="J43" s="25" t="s">
        <v>6958</v>
      </c>
      <c r="K43" s="1" t="s">
        <v>6795</v>
      </c>
    </row>
    <row r="44" spans="1:11" ht="230.25" hidden="1">
      <c r="A44" s="1" t="s">
        <v>6959</v>
      </c>
      <c r="B44" s="1" t="s">
        <v>6960</v>
      </c>
      <c r="C44" s="1" t="str">
        <f t="shared" ref="C44:C46" si="90">IFERROR(IF(ISNUMBER(VALUE(_xlfn.TEXTBEFORE(B44,"-"))),"",_xlfn.TEXTBEFORE(B44,"-")),"")</f>
        <v/>
      </c>
      <c r="D44" s="19" t="str">
        <f t="shared" ref="D44:D46" si="91">IFERROR(IF(ISNUMBER(VALUE(_xlfn.TEXTBEFORE(B44,"-"))),_xlfn.TEXTBEFORE(B44,"-"),_xlfn.TEXTBEFORE(_xlfn.TEXTAFTER(B44,"-"),"-")),"")</f>
        <v>841</v>
      </c>
      <c r="E44" s="1" t="str">
        <f t="shared" ref="E44:E46" si="92">IFERROR(IF(ISNUMBER(VALUE(_xlfn.TEXTBEFORE(B44,"-"))),_xlfn.TEXTBEFORE(_xlfn.TEXTAFTER(B44,"-"),"-"),_xlfn.TEXTBEFORE(_xlfn.TEXTAFTER(B44,"-",2),"-")),"")</f>
        <v>300275052</v>
      </c>
      <c r="F44" s="1" t="str">
        <f t="shared" ref="F44:F46" si="93">IFERROR(IF(ISNUMBER(VALUE(_xlfn.TEXTBEFORE(B44,"-"))),_xlfn.TEXTBEFORE(_xlfn.TEXTAFTER(B44,"-",2)," - "),_xlfn.TEXTBEFORE(_xlfn.TEXTAFTER(B44,"-",3)," - ")),"")</f>
        <v xml:space="preserve">ACARI TÊXTIL LTDA </v>
      </c>
      <c r="G44" s="1" t="str">
        <f t="shared" ref="G44:G46" si="94">IFERROR(_xlfn.TEXTAFTER(B44," - ",-1),"")</f>
        <v>Cós</v>
      </c>
      <c r="H44" s="13" t="s">
        <v>6961</v>
      </c>
      <c r="I44" s="21">
        <f t="shared" ref="I44:I46" si="95">DATE(LEFT(H44,4),MID(H44,6,2),MID(H44,9,2))+TIME(MID(H44,12,2),MID(H44,15,2),MID(H44,18,2))</f>
        <v>46209.711365740739</v>
      </c>
      <c r="J44" s="25" t="s">
        <v>6962</v>
      </c>
      <c r="K44" s="1" t="s">
        <v>6795</v>
      </c>
    </row>
    <row r="45" spans="1:11" ht="296.25" hidden="1">
      <c r="A45" s="1" t="s">
        <v>6963</v>
      </c>
      <c r="B45" s="1" t="s">
        <v>6964</v>
      </c>
      <c r="C45" s="1" t="str">
        <f t="shared" si="90"/>
        <v/>
      </c>
      <c r="D45" s="19" t="str">
        <f t="shared" si="91"/>
        <v>817</v>
      </c>
      <c r="E45" s="1" t="str">
        <f t="shared" si="92"/>
        <v>300272966</v>
      </c>
      <c r="F45" s="1" t="str">
        <f t="shared" si="93"/>
        <v xml:space="preserve">ARAUJO E M CONFECCOES LTDA </v>
      </c>
      <c r="G45" s="1" t="str">
        <f t="shared" si="94"/>
        <v>Cós</v>
      </c>
      <c r="H45" s="13" t="s">
        <v>6965</v>
      </c>
      <c r="I45" s="21">
        <f t="shared" si="95"/>
        <v>46209.430972222224</v>
      </c>
      <c r="J45" s="25" t="s">
        <v>6966</v>
      </c>
      <c r="K45" s="1" t="s">
        <v>6795</v>
      </c>
    </row>
    <row r="46" spans="1:11" ht="230.25" hidden="1">
      <c r="A46" s="1" t="s">
        <v>6967</v>
      </c>
      <c r="B46" s="1" t="s">
        <v>6968</v>
      </c>
      <c r="C46" s="1" t="str">
        <f t="shared" si="90"/>
        <v>POLO</v>
      </c>
      <c r="D46" s="19" t="str">
        <f t="shared" si="91"/>
        <v xml:space="preserve"> 1335</v>
      </c>
      <c r="E46" s="1" t="str">
        <f t="shared" si="92"/>
        <v>300281371</v>
      </c>
      <c r="F46" s="1" t="str">
        <f t="shared" si="93"/>
        <v xml:space="preserve">POTENGI TEXTIL LTDA </v>
      </c>
      <c r="G46" s="1" t="str">
        <f t="shared" si="94"/>
        <v>Etiqueta de Composição</v>
      </c>
      <c r="H46" s="13" t="s">
        <v>6969</v>
      </c>
      <c r="I46" s="21">
        <f t="shared" si="95"/>
        <v>46224.567881944444</v>
      </c>
      <c r="J46" s="25" t="s">
        <v>6970</v>
      </c>
      <c r="K46" s="1" t="s">
        <v>6795</v>
      </c>
    </row>
    <row r="47" spans="1:11" ht="213.75" hidden="1">
      <c r="A47" s="1" t="s">
        <v>6971</v>
      </c>
      <c r="B47" s="1" t="s">
        <v>6972</v>
      </c>
      <c r="C47" s="1" t="str">
        <f t="shared" ref="C47:C48" si="96">IFERROR(IF(ISNUMBER(VALUE(_xlfn.TEXTBEFORE(B47,"-"))),"",_xlfn.TEXTBEFORE(B47,"-")),"")</f>
        <v/>
      </c>
      <c r="D47" s="19" t="str">
        <f t="shared" ref="D47:D48" si="97">IFERROR(IF(ISNUMBER(VALUE(_xlfn.TEXTBEFORE(B47,"-"))),_xlfn.TEXTBEFORE(B47,"-"),_xlfn.TEXTBEFORE(_xlfn.TEXTAFTER(B47,"-"),"-")),"")</f>
        <v>674</v>
      </c>
      <c r="E47" s="1" t="str">
        <f t="shared" ref="E47:E48" si="98">IFERROR(IF(ISNUMBER(VALUE(_xlfn.TEXTBEFORE(B47,"-"))),_xlfn.TEXTBEFORE(_xlfn.TEXTAFTER(B47,"-"),"-"),_xlfn.TEXTBEFORE(_xlfn.TEXTAFTER(B47,"-",2),"-")),"")</f>
        <v>300271532</v>
      </c>
      <c r="F47" s="1" t="str">
        <f t="shared" ref="F47:F48" si="99">IFERROR(IF(ISNUMBER(VALUE(_xlfn.TEXTBEFORE(B47,"-"))),_xlfn.TEXTBEFORE(_xlfn.TEXTAFTER(B47,"-",2)," - "),_xlfn.TEXTBEFORE(_xlfn.TEXTAFTER(B47,"-",3)," - ")),"")</f>
        <v xml:space="preserve">LAJEDO JEANS CONFECCOES LTDA </v>
      </c>
      <c r="G47" s="1" t="str">
        <f t="shared" ref="G47:G48" si="100">IFERROR(_xlfn.TEXTAFTER(B47," - ",-1),"")</f>
        <v>CÓS</v>
      </c>
      <c r="H47" s="13" t="s">
        <v>6973</v>
      </c>
      <c r="I47" s="21">
        <f t="shared" ref="I47:I48" si="101">DATE(LEFT(H47,4),MID(H47,6,2),MID(H47,9,2))+TIME(MID(H47,12,2),MID(H47,15,2),MID(H47,18,2))</f>
        <v>46204.568692129629</v>
      </c>
      <c r="J47" s="25" t="s">
        <v>6974</v>
      </c>
      <c r="K47" s="1" t="s">
        <v>6795</v>
      </c>
    </row>
    <row r="48" spans="1:11" ht="213.75" hidden="1">
      <c r="A48" s="1" t="s">
        <v>6975</v>
      </c>
      <c r="B48" s="1" t="s">
        <v>6976</v>
      </c>
      <c r="C48" s="1" t="str">
        <f t="shared" si="96"/>
        <v>JEANS</v>
      </c>
      <c r="D48" s="19" t="str">
        <f t="shared" si="97"/>
        <v xml:space="preserve"> 1325</v>
      </c>
      <c r="E48" s="1" t="str">
        <f t="shared" si="98"/>
        <v>300281065</v>
      </c>
      <c r="F48" s="1" t="str">
        <f t="shared" si="99"/>
        <v xml:space="preserve">JOSENI MARIA DE MEDEIROS </v>
      </c>
      <c r="G48" s="1" t="str">
        <f t="shared" si="100"/>
        <v>Etiqueta de Composição</v>
      </c>
      <c r="H48" s="13" t="s">
        <v>6977</v>
      </c>
      <c r="I48" s="21">
        <f t="shared" si="101"/>
        <v>46224.465810185182</v>
      </c>
      <c r="J48" s="25" t="s">
        <v>6978</v>
      </c>
      <c r="K48" s="1" t="s">
        <v>6795</v>
      </c>
    </row>
    <row r="49" spans="1:11" ht="213.75" hidden="1">
      <c r="A49" s="1" t="s">
        <v>6979</v>
      </c>
      <c r="B49" s="1" t="s">
        <v>6980</v>
      </c>
      <c r="C49" s="1" t="str">
        <f>IFERROR(IF(ISNUMBER(VALUE(_xlfn.TEXTBEFORE(B49,"-"))),"",_xlfn.TEXTBEFORE(B49,"-")),"")</f>
        <v/>
      </c>
      <c r="D49" s="19" t="str">
        <f>IFERROR(IF(ISNUMBER(VALUE(_xlfn.TEXTBEFORE(B49,"-"))),_xlfn.TEXTBEFORE(B49,"-"),_xlfn.TEXTBEFORE(_xlfn.TEXTAFTER(B49,"-"),"-")),"")</f>
        <v>812</v>
      </c>
      <c r="E49" s="1" t="str">
        <f>IFERROR(IF(ISNUMBER(VALUE(_xlfn.TEXTBEFORE(B49,"-"))),_xlfn.TEXTBEFORE(_xlfn.TEXTAFTER(B49,"-"),"-"),_xlfn.TEXTBEFORE(_xlfn.TEXTAFTER(B49,"-",2),"-")),"")</f>
        <v>300273026</v>
      </c>
      <c r="F49" s="1" t="str">
        <f>IFERROR(IF(ISNUMBER(VALUE(_xlfn.TEXTBEFORE(B49,"-"))),_xlfn.TEXTBEFORE(_xlfn.TEXTAFTER(B49,"-",2)," - "),_xlfn.TEXTBEFORE(_xlfn.TEXTAFTER(B49,"-",3)," - ")),"")</f>
        <v xml:space="preserve">JOSENI MARIA DE MEDEIROS </v>
      </c>
      <c r="G49" s="1" t="str">
        <f>IFERROR(_xlfn.TEXTAFTER(B49," - ",-1),"")</f>
        <v>Etiqueta de Composição</v>
      </c>
      <c r="H49" s="13" t="s">
        <v>6981</v>
      </c>
      <c r="I49" s="21">
        <f>DATE(LEFT(H49,4),MID(H49,6,2),MID(H49,9,2))+TIME(MID(H49,12,2),MID(H49,15,2),MID(H49,18,2))</f>
        <v>46206.847916666666</v>
      </c>
      <c r="J49" s="25" t="s">
        <v>6982</v>
      </c>
      <c r="K49" s="1" t="s">
        <v>6795</v>
      </c>
    </row>
    <row r="50" spans="1:11" ht="246.75" hidden="1">
      <c r="A50" s="1" t="s">
        <v>6983</v>
      </c>
      <c r="B50" s="1" t="s">
        <v>6984</v>
      </c>
      <c r="C50" s="1" t="str">
        <f t="shared" ref="C50:C51" si="102">IFERROR(IF(ISNUMBER(VALUE(_xlfn.TEXTBEFORE(B50,"-"))),"",_xlfn.TEXTBEFORE(B50,"-")),"")</f>
        <v/>
      </c>
      <c r="D50" s="19" t="str">
        <f t="shared" ref="D50:D51" si="103">IFERROR(IF(ISNUMBER(VALUE(_xlfn.TEXTBEFORE(B50,"-"))),_xlfn.TEXTBEFORE(B50,"-"),_xlfn.TEXTBEFORE(_xlfn.TEXTAFTER(B50,"-"),"-")),"")</f>
        <v>840</v>
      </c>
      <c r="E50" s="1" t="str">
        <f t="shared" ref="E50:E51" si="104">IFERROR(IF(ISNUMBER(VALUE(_xlfn.TEXTBEFORE(B50,"-"))),_xlfn.TEXTBEFORE(_xlfn.TEXTAFTER(B50,"-"),"-"),_xlfn.TEXTBEFORE(_xlfn.TEXTAFTER(B50,"-",2),"-")),"")</f>
        <v>300275052</v>
      </c>
      <c r="F50" s="1" t="str">
        <f t="shared" ref="F50:F51" si="105">IFERROR(IF(ISNUMBER(VALUE(_xlfn.TEXTBEFORE(B50,"-"))),_xlfn.TEXTBEFORE(_xlfn.TEXTAFTER(B50,"-",2)," - "),_xlfn.TEXTBEFORE(_xlfn.TEXTAFTER(B50,"-",3)," - ")),"")</f>
        <v xml:space="preserve">ACARI TÊXTIL LTDA </v>
      </c>
      <c r="G50" s="1" t="str">
        <f t="shared" ref="G50:G51" si="106">IFERROR(_xlfn.TEXTAFTER(B50," - ",-1),"")</f>
        <v>Vivo</v>
      </c>
      <c r="H50" s="13" t="s">
        <v>6985</v>
      </c>
      <c r="I50" s="21">
        <f t="shared" ref="I50:I51" si="107">DATE(LEFT(H50,4),MID(H50,6,2),MID(H50,9,2))+TIME(MID(H50,12,2),MID(H50,15,2),MID(H50,18,2))</f>
        <v>46209.710104166668</v>
      </c>
      <c r="J50" s="25" t="s">
        <v>6986</v>
      </c>
      <c r="K50" s="1" t="s">
        <v>6795</v>
      </c>
    </row>
    <row r="51" spans="1:11" ht="345.75" hidden="1">
      <c r="A51" s="1" t="s">
        <v>6987</v>
      </c>
      <c r="B51" s="1" t="s">
        <v>6988</v>
      </c>
      <c r="C51" s="1" t="str">
        <f t="shared" si="102"/>
        <v/>
      </c>
      <c r="D51" s="19" t="str">
        <f t="shared" si="103"/>
        <v>672</v>
      </c>
      <c r="E51" s="1" t="str">
        <f t="shared" si="104"/>
        <v>300271121</v>
      </c>
      <c r="F51" s="1" t="str">
        <f t="shared" si="105"/>
        <v xml:space="preserve">CONFECCAO G. B. DA SILVA JUNIOR &amp; CIA LTDA </v>
      </c>
      <c r="G51" s="1" t="str">
        <f t="shared" si="106"/>
        <v>ETIQUETA DE COMPOSIÇÃO</v>
      </c>
      <c r="H51" s="13" t="s">
        <v>6989</v>
      </c>
      <c r="I51" s="21">
        <f t="shared" si="107"/>
        <v>46204.483078703706</v>
      </c>
      <c r="J51" s="25" t="s">
        <v>6990</v>
      </c>
      <c r="K51" s="1" t="s">
        <v>6795</v>
      </c>
    </row>
    <row r="52" spans="1:11" ht="279.75" hidden="1">
      <c r="A52" s="1" t="s">
        <v>6991</v>
      </c>
      <c r="B52" s="1" t="s">
        <v>6992</v>
      </c>
      <c r="C52" s="1" t="str">
        <f>IFERROR(IF(ISNUMBER(VALUE(_xlfn.TEXTBEFORE(B52,"-"))),"",_xlfn.TEXTBEFORE(B52,"-")),"")</f>
        <v>JEANS</v>
      </c>
      <c r="D52" s="19" t="str">
        <f>IFERROR(IF(ISNUMBER(VALUE(_xlfn.TEXTBEFORE(B52,"-"))),_xlfn.TEXTBEFORE(B52,"-"),_xlfn.TEXTBEFORE(_xlfn.TEXTAFTER(B52,"-"),"-")),"")</f>
        <v xml:space="preserve"> 1324</v>
      </c>
      <c r="E52" s="1" t="str">
        <f>IFERROR(IF(ISNUMBER(VALUE(_xlfn.TEXTBEFORE(B52,"-"))),_xlfn.TEXTBEFORE(_xlfn.TEXTAFTER(B52,"-"),"-"),_xlfn.TEXTBEFORE(_xlfn.TEXTAFTER(B52,"-",2),"-")),"")</f>
        <v>300277493</v>
      </c>
      <c r="F52" s="1" t="str">
        <f>IFERROR(IF(ISNUMBER(VALUE(_xlfn.TEXTBEFORE(B52,"-"))),_xlfn.TEXTBEFORE(_xlfn.TEXTAFTER(B52,"-",2)," - "),_xlfn.TEXTBEFORE(_xlfn.TEXTAFTER(B52,"-",3)," - ")),"")</f>
        <v xml:space="preserve">B &amp; N SILVA CONFECCOES LTDA </v>
      </c>
      <c r="G52" s="1" t="str">
        <f>IFERROR(_xlfn.TEXTAFTER(B52," - ",-1),"")</f>
        <v>Etiqueta de Composição</v>
      </c>
      <c r="H52" s="13" t="s">
        <v>6993</v>
      </c>
      <c r="I52" s="21">
        <f>DATE(LEFT(H52,4),MID(H52,6,2),MID(H52,9,2))+TIME(MID(H52,12,2),MID(H52,15,2),MID(H52,18,2))</f>
        <v>46224.465682870374</v>
      </c>
      <c r="J52" s="25" t="s">
        <v>6994</v>
      </c>
      <c r="K52" s="1" t="s">
        <v>6795</v>
      </c>
    </row>
    <row r="53" spans="1:11" ht="213.75" hidden="1">
      <c r="A53" s="1" t="s">
        <v>6995</v>
      </c>
      <c r="B53" s="1" t="s">
        <v>6996</v>
      </c>
      <c r="C53" s="1" t="str">
        <f t="shared" ref="C53:C54" si="108">IFERROR(IF(ISNUMBER(VALUE(_xlfn.TEXTBEFORE(B53,"-"))),"",_xlfn.TEXTBEFORE(B53,"-")),"")</f>
        <v/>
      </c>
      <c r="D53" s="19" t="str">
        <f t="shared" ref="D53:D54" si="109">IFERROR(IF(ISNUMBER(VALUE(_xlfn.TEXTBEFORE(B53,"-"))),_xlfn.TEXTBEFORE(B53,"-"),_xlfn.TEXTBEFORE(_xlfn.TEXTAFTER(B53,"-"),"-")),"")</f>
        <v>810</v>
      </c>
      <c r="E53" s="1" t="str">
        <f t="shared" ref="E53:E54" si="110">IFERROR(IF(ISNUMBER(VALUE(_xlfn.TEXTBEFORE(B53,"-"))),_xlfn.TEXTBEFORE(_xlfn.TEXTAFTER(B53,"-"),"-"),_xlfn.TEXTBEFORE(_xlfn.TEXTAFTER(B53,"-",2),"-")),"")</f>
        <v>300271213</v>
      </c>
      <c r="F53" s="1" t="str">
        <f t="shared" ref="F53:F54" si="111">IFERROR(IF(ISNUMBER(VALUE(_xlfn.TEXTBEFORE(B53,"-"))),_xlfn.TEXTBEFORE(_xlfn.TEXTAFTER(B53,"-",2)," - "),_xlfn.TEXTBEFORE(_xlfn.TEXTAFTER(B53,"-",3)," - ")),"")</f>
        <v xml:space="preserve">FLAVIA GEORGIA BRAGA SILVA CONFECCOES LTDA </v>
      </c>
      <c r="G53" s="1" t="str">
        <f t="shared" ref="G53:G54" si="112">IFERROR(_xlfn.TEXTAFTER(B53," - ",-1),"")</f>
        <v>Frente</v>
      </c>
      <c r="H53" s="13" t="s">
        <v>6997</v>
      </c>
      <c r="I53" s="21">
        <f t="shared" ref="I53:I54" si="113">DATE(LEFT(H53,4),MID(H53,6,2),MID(H53,9,2))+TIME(MID(H53,12,2),MID(H53,15,2),MID(H53,18,2))</f>
        <v>46206.835486111115</v>
      </c>
      <c r="J53" s="25" t="s">
        <v>6998</v>
      </c>
      <c r="K53" s="1" t="s">
        <v>6795</v>
      </c>
    </row>
    <row r="54" spans="1:11" ht="230.25" hidden="1">
      <c r="A54" s="1" t="s">
        <v>6999</v>
      </c>
      <c r="B54" s="1" t="s">
        <v>7000</v>
      </c>
      <c r="C54" s="1" t="str">
        <f t="shared" si="108"/>
        <v/>
      </c>
      <c r="D54" s="19" t="str">
        <f t="shared" si="109"/>
        <v>837</v>
      </c>
      <c r="E54" s="1" t="str">
        <f t="shared" si="110"/>
        <v>300277359</v>
      </c>
      <c r="F54" s="1" t="str">
        <f t="shared" si="111"/>
        <v xml:space="preserve">POTENGI TEXTIL LTDA </v>
      </c>
      <c r="G54" s="1" t="str">
        <f t="shared" si="112"/>
        <v>Etiqueta de Composição</v>
      </c>
      <c r="H54" s="13" t="s">
        <v>7001</v>
      </c>
      <c r="I54" s="21">
        <f t="shared" si="113"/>
        <v>46209.665034722224</v>
      </c>
      <c r="J54" s="25" t="s">
        <v>7002</v>
      </c>
      <c r="K54" s="1" t="s">
        <v>6795</v>
      </c>
    </row>
    <row r="55" spans="1:11" ht="246.75" hidden="1">
      <c r="A55" s="1" t="s">
        <v>7003</v>
      </c>
      <c r="B55" s="1" t="s">
        <v>7004</v>
      </c>
      <c r="C55" s="1" t="str">
        <f t="shared" ref="C55:C56" si="114">IFERROR(IF(ISNUMBER(VALUE(_xlfn.TEXTBEFORE(B55,"-"))),"",_xlfn.TEXTBEFORE(B55,"-")),"")</f>
        <v/>
      </c>
      <c r="D55" s="19" t="str">
        <f t="shared" ref="D55:D56" si="115">IFERROR(IF(ISNUMBER(VALUE(_xlfn.TEXTBEFORE(B55,"-"))),_xlfn.TEXTBEFORE(B55,"-"),_xlfn.TEXTBEFORE(_xlfn.TEXTAFTER(B55,"-"),"-")),"")</f>
        <v>671</v>
      </c>
      <c r="E55" s="1" t="str">
        <f t="shared" ref="E55:E56" si="116">IFERROR(IF(ISNUMBER(VALUE(_xlfn.TEXTBEFORE(B55,"-"))),_xlfn.TEXTBEFORE(_xlfn.TEXTAFTER(B55,"-"),"-"),_xlfn.TEXTBEFORE(_xlfn.TEXTAFTER(B55,"-",2),"-")),"")</f>
        <v>300273865</v>
      </c>
      <c r="F55" s="1" t="str">
        <f t="shared" ref="F55:F56" si="117">IFERROR(IF(ISNUMBER(VALUE(_xlfn.TEXTBEFORE(B55,"-"))),_xlfn.TEXTBEFORE(_xlfn.TEXTAFTER(B55,"-",2)," - "),_xlfn.TEXTBEFORE(_xlfn.TEXTAFTER(B55,"-",3)," - ")),"")</f>
        <v xml:space="preserve">DANJAN CONFECCOES LTDA </v>
      </c>
      <c r="G55" s="1" t="str">
        <f t="shared" ref="G55:G56" si="118">IFERROR(_xlfn.TEXTAFTER(B55," - ",-1),"")</f>
        <v>MANGA material   está   [0]</v>
      </c>
      <c r="H55" s="13" t="s">
        <v>7005</v>
      </c>
      <c r="I55" s="21">
        <f t="shared" ref="I55:I56" si="119">DATE(LEFT(H55,4),MID(H55,6,2),MID(H55,9,2))+TIME(MID(H55,12,2),MID(H55,15,2),MID(H55,18,2))</f>
        <v>46204.461655092593</v>
      </c>
      <c r="J55" s="25" t="s">
        <v>7006</v>
      </c>
      <c r="K55" s="1" t="s">
        <v>6795</v>
      </c>
    </row>
    <row r="56" spans="1:11" ht="246.75" hidden="1">
      <c r="A56" s="1" t="s">
        <v>7007</v>
      </c>
      <c r="B56" s="1" t="s">
        <v>7008</v>
      </c>
      <c r="C56" s="1" t="str">
        <f t="shared" si="114"/>
        <v>JEANS</v>
      </c>
      <c r="D56" s="19" t="str">
        <f t="shared" si="115"/>
        <v xml:space="preserve"> 1322</v>
      </c>
      <c r="E56" s="1" t="str">
        <f t="shared" si="116"/>
        <v>300280446</v>
      </c>
      <c r="F56" s="1" t="str">
        <f t="shared" si="117"/>
        <v xml:space="preserve">FLAVIA GEORGIA BRAGA SILVA CONFECCOES LTDA </v>
      </c>
      <c r="G56" s="1" t="str">
        <f t="shared" si="118"/>
        <v>Etiqueta de Composição</v>
      </c>
      <c r="H56" s="13" t="s">
        <v>7009</v>
      </c>
      <c r="I56" s="21">
        <f t="shared" si="119"/>
        <v>46224.447974537034</v>
      </c>
      <c r="J56" s="25" t="s">
        <v>7010</v>
      </c>
      <c r="K56" s="1" t="s">
        <v>6795</v>
      </c>
    </row>
    <row r="57" spans="1:11" ht="279.75" hidden="1">
      <c r="A57" s="1" t="s">
        <v>7011</v>
      </c>
      <c r="B57" s="1" t="s">
        <v>7012</v>
      </c>
      <c r="C57" s="1" t="str">
        <f t="shared" ref="C57:C58" si="120">IFERROR(IF(ISNUMBER(VALUE(_xlfn.TEXTBEFORE(B57,"-"))),"",_xlfn.TEXTBEFORE(B57,"-")),"")</f>
        <v/>
      </c>
      <c r="D57" s="19" t="str">
        <f t="shared" ref="D57:D58" si="121">IFERROR(IF(ISNUMBER(VALUE(_xlfn.TEXTBEFORE(B57,"-"))),_xlfn.TEXTBEFORE(B57,"-"),_xlfn.TEXTBEFORE(_xlfn.TEXTAFTER(B57,"-"),"-")),"")</f>
        <v>833</v>
      </c>
      <c r="E57" s="1" t="str">
        <f t="shared" ref="E57:E58" si="122">IFERROR(IF(ISNUMBER(VALUE(_xlfn.TEXTBEFORE(B57,"-"))),_xlfn.TEXTBEFORE(_xlfn.TEXTAFTER(B57,"-"),"-"),_xlfn.TEXTBEFORE(_xlfn.TEXTAFTER(B57,"-",2),"-")),"")</f>
        <v>300273637</v>
      </c>
      <c r="F57" s="1" t="str">
        <f t="shared" ref="F57:F58" si="123">IFERROR(IF(ISNUMBER(VALUE(_xlfn.TEXTBEFORE(B57,"-"))),_xlfn.TEXTBEFORE(_xlfn.TEXTAFTER(B57,"-",2)," - "),_xlfn.TEXTBEFORE(_xlfn.TEXTAFTER(B57,"-",3)," - ")),"")</f>
        <v xml:space="preserve">NOEL PEREIRA DE AZEVEDO CONFECCAO </v>
      </c>
      <c r="G57" s="1" t="str">
        <f t="shared" ref="G57:G58" si="124">IFERROR(_xlfn.TEXTAFTER(B57," - ",-1),"")</f>
        <v>Agulha</v>
      </c>
      <c r="H57" s="13" t="s">
        <v>7013</v>
      </c>
      <c r="I57" s="21">
        <f t="shared" ref="I57:I58" si="125">DATE(LEFT(H57,4),MID(H57,6,2),MID(H57,9,2))+TIME(MID(H57,12,2),MID(H57,15,2),MID(H57,18,2))</f>
        <v>46209.578020833331</v>
      </c>
      <c r="J57" s="25" t="s">
        <v>7014</v>
      </c>
      <c r="K57" s="1" t="s">
        <v>6795</v>
      </c>
    </row>
    <row r="58" spans="1:11" ht="197.25" hidden="1">
      <c r="A58" s="1" t="s">
        <v>7015</v>
      </c>
      <c r="B58" s="1" t="s">
        <v>7016</v>
      </c>
      <c r="C58" s="1" t="str">
        <f t="shared" si="120"/>
        <v/>
      </c>
      <c r="D58" s="19" t="str">
        <f t="shared" si="121"/>
        <v>808</v>
      </c>
      <c r="E58" s="1" t="str">
        <f t="shared" si="122"/>
        <v>300276897</v>
      </c>
      <c r="F58" s="1" t="str">
        <f t="shared" si="123"/>
        <v xml:space="preserve">F &amp; L AZEVEDO CONFECCAO LTDA FILIAL </v>
      </c>
      <c r="G58" s="1" t="str">
        <f t="shared" si="124"/>
        <v>Traseiro</v>
      </c>
      <c r="H58" s="13" t="s">
        <v>7017</v>
      </c>
      <c r="I58" s="21">
        <f t="shared" si="125"/>
        <v>46206.800208333334</v>
      </c>
      <c r="J58" s="25" t="s">
        <v>7018</v>
      </c>
      <c r="K58" s="1" t="s">
        <v>6795</v>
      </c>
    </row>
    <row r="59" spans="1:11" ht="246.75" hidden="1">
      <c r="A59" s="1" t="s">
        <v>7019</v>
      </c>
      <c r="B59" s="1" t="s">
        <v>7020</v>
      </c>
      <c r="C59" s="1" t="str">
        <f>IFERROR(IF(ISNUMBER(VALUE(_xlfn.TEXTBEFORE(B59,"-"))),"",_xlfn.TEXTBEFORE(B59,"-")),"")</f>
        <v>JEANS</v>
      </c>
      <c r="D59" s="19" t="str">
        <f>IFERROR(IF(ISNUMBER(VALUE(_xlfn.TEXTBEFORE(B59,"-"))),_xlfn.TEXTBEFORE(B59,"-"),_xlfn.TEXTBEFORE(_xlfn.TEXTAFTER(B59,"-"),"-")),"")</f>
        <v xml:space="preserve"> 1321</v>
      </c>
      <c r="E59" s="1" t="str">
        <f>IFERROR(IF(ISNUMBER(VALUE(_xlfn.TEXTBEFORE(B59,"-"))),_xlfn.TEXTBEFORE(_xlfn.TEXTAFTER(B59,"-"),"-"),_xlfn.TEXTBEFORE(_xlfn.TEXTAFTER(B59,"-",2),"-")),"")</f>
        <v>300280444</v>
      </c>
      <c r="F59" s="1" t="str">
        <f>IFERROR(IF(ISNUMBER(VALUE(_xlfn.TEXTBEFORE(B59,"-"))),_xlfn.TEXTBEFORE(_xlfn.TEXTAFTER(B59,"-",2)," - "),_xlfn.TEXTBEFORE(_xlfn.TEXTAFTER(B59,"-",3)," - ")),"")</f>
        <v xml:space="preserve">FLAVIA GEORGIA BRAGA SILVA CONFECCOES LTDA </v>
      </c>
      <c r="G59" s="1" t="str">
        <f>IFERROR(_xlfn.TEXTAFTER(B59," - ",-1),"")</f>
        <v>Etiqueta de Composição</v>
      </c>
      <c r="H59" s="13" t="s">
        <v>7021</v>
      </c>
      <c r="I59" s="21">
        <f>DATE(LEFT(H59,4),MID(H59,6,2),MID(H59,9,2))+TIME(MID(H59,12,2),MID(H59,15,2),MID(H59,18,2))</f>
        <v>46224.444606481484</v>
      </c>
      <c r="J59" s="25" t="s">
        <v>7022</v>
      </c>
      <c r="K59" s="1" t="s">
        <v>6795</v>
      </c>
    </row>
    <row r="60" spans="1:11" ht="213.75" hidden="1">
      <c r="A60" s="1" t="s">
        <v>7023</v>
      </c>
      <c r="B60" s="1" t="s">
        <v>7024</v>
      </c>
      <c r="C60" s="1" t="str">
        <f t="shared" ref="C60:C61" si="126">IFERROR(IF(ISNUMBER(VALUE(_xlfn.TEXTBEFORE(B60,"-"))),"",_xlfn.TEXTBEFORE(B60,"-")),"")</f>
        <v/>
      </c>
      <c r="D60" s="19" t="str">
        <f t="shared" ref="D60:D61" si="127">IFERROR(IF(ISNUMBER(VALUE(_xlfn.TEXTBEFORE(B60,"-"))),_xlfn.TEXTBEFORE(B60,"-"),_xlfn.TEXTBEFORE(_xlfn.TEXTAFTER(B60,"-"),"-")),"")</f>
        <v>668</v>
      </c>
      <c r="E60" s="1" t="str">
        <f t="shared" ref="E60:E61" si="128">IFERROR(IF(ISNUMBER(VALUE(_xlfn.TEXTBEFORE(B60,"-"))),_xlfn.TEXTBEFORE(_xlfn.TEXTAFTER(B60,"-"),"-"),_xlfn.TEXTBEFORE(_xlfn.TEXTAFTER(B60,"-",2),"-")),"")</f>
        <v>300275654</v>
      </c>
      <c r="F60" s="1" t="str">
        <f t="shared" ref="F60:F61" si="129">IFERROR(IF(ISNUMBER(VALUE(_xlfn.TEXTBEFORE(B60,"-"))),_xlfn.TEXTBEFORE(_xlfn.TEXTAFTER(B60,"-",2)," - "),_xlfn.TEXTBEFORE(_xlfn.TEXTAFTER(B60,"-",3)," - ")),"")</f>
        <v xml:space="preserve">CONFECCOES GENESIS LTDA </v>
      </c>
      <c r="G60" s="1" t="str">
        <f t="shared" ref="G60:G61" si="130">IFERROR(_xlfn.TEXTAFTER(B60," - ",-1),"")</f>
        <v>ETIQUETA DE COMPOSIÇÃO</v>
      </c>
      <c r="H60" s="13" t="s">
        <v>7025</v>
      </c>
      <c r="I60" s="21">
        <f t="shared" ref="I60:I61" si="131">DATE(LEFT(H60,4),MID(H60,6,2),MID(H60,9,2))+TIME(MID(H60,12,2),MID(H60,15,2),MID(H60,18,2))</f>
        <v>46204.445787037039</v>
      </c>
      <c r="J60" s="25" t="s">
        <v>7026</v>
      </c>
      <c r="K60" s="1" t="s">
        <v>6795</v>
      </c>
    </row>
    <row r="61" spans="1:11" ht="213.75" hidden="1">
      <c r="A61" s="1" t="s">
        <v>7027</v>
      </c>
      <c r="B61" s="1" t="s">
        <v>7028</v>
      </c>
      <c r="C61" s="1" t="str">
        <f t="shared" si="126"/>
        <v/>
      </c>
      <c r="D61" s="19" t="str">
        <f t="shared" si="127"/>
        <v>832</v>
      </c>
      <c r="E61" s="1" t="str">
        <f t="shared" si="128"/>
        <v>300274191</v>
      </c>
      <c r="F61" s="1" t="str">
        <f t="shared" si="129"/>
        <v xml:space="preserve">FLAVIA GEORGIA BRAGA SILVA CONFECCOES LTDA </v>
      </c>
      <c r="G61" s="1" t="str">
        <f t="shared" si="130"/>
        <v>Etiqueta de Composição</v>
      </c>
      <c r="H61" s="13" t="s">
        <v>7029</v>
      </c>
      <c r="I61" s="21">
        <f t="shared" si="131"/>
        <v>46209.555439814816</v>
      </c>
      <c r="J61" s="25" t="s">
        <v>7030</v>
      </c>
      <c r="K61" s="1" t="s">
        <v>6795</v>
      </c>
    </row>
    <row r="62" spans="1:11" ht="197.25" hidden="1">
      <c r="A62" s="1" t="s">
        <v>7031</v>
      </c>
      <c r="B62" s="1" t="s">
        <v>7032</v>
      </c>
      <c r="C62" s="1" t="str">
        <f t="shared" ref="C62:C63" si="132">IFERROR(IF(ISNUMBER(VALUE(_xlfn.TEXTBEFORE(B62,"-"))),"",_xlfn.TEXTBEFORE(B62,"-")),"")</f>
        <v/>
      </c>
      <c r="D62" s="19" t="str">
        <f t="shared" ref="D62:D63" si="133">IFERROR(IF(ISNUMBER(VALUE(_xlfn.TEXTBEFORE(B62,"-"))),_xlfn.TEXTBEFORE(B62,"-"),_xlfn.TEXTBEFORE(_xlfn.TEXTAFTER(B62,"-"),"-")),"")</f>
        <v>807</v>
      </c>
      <c r="E62" s="1" t="str">
        <f t="shared" ref="E62:E63" si="134">IFERROR(IF(ISNUMBER(VALUE(_xlfn.TEXTBEFORE(B62,"-"))),_xlfn.TEXTBEFORE(_xlfn.TEXTAFTER(B62,"-"),"-"),_xlfn.TEXTBEFORE(_xlfn.TEXTAFTER(B62,"-",2),"-")),"")</f>
        <v>300276897</v>
      </c>
      <c r="F62" s="1" t="str">
        <f t="shared" ref="F62:F63" si="135">IFERROR(IF(ISNUMBER(VALUE(_xlfn.TEXTBEFORE(B62,"-"))),_xlfn.TEXTBEFORE(_xlfn.TEXTAFTER(B62,"-",2)," - "),_xlfn.TEXTBEFORE(_xlfn.TEXTAFTER(B62,"-",3)," - ")),"")</f>
        <v xml:space="preserve">F &amp; L AZEVEDO CONFECCAO LTDA FILIAL </v>
      </c>
      <c r="G62" s="1" t="str">
        <f t="shared" ref="G62:G63" si="136">IFERROR(_xlfn.TEXTAFTER(B62," - ",-1),"")</f>
        <v>Frente</v>
      </c>
      <c r="H62" s="13" t="s">
        <v>7033</v>
      </c>
      <c r="I62" s="21">
        <f t="shared" ref="I62:I63" si="137">DATE(LEFT(H62,4),MID(H62,6,2),MID(H62,9,2))+TIME(MID(H62,12,2),MID(H62,15,2),MID(H62,18,2))</f>
        <v>46206.799351851849</v>
      </c>
      <c r="J62" s="25" t="s">
        <v>7034</v>
      </c>
      <c r="K62" s="1" t="s">
        <v>6795</v>
      </c>
    </row>
    <row r="63" spans="1:11" ht="246.75" hidden="1">
      <c r="A63" s="1" t="s">
        <v>7035</v>
      </c>
      <c r="B63" s="1" t="s">
        <v>7036</v>
      </c>
      <c r="C63" s="1" t="str">
        <f t="shared" si="132"/>
        <v>JEANS</v>
      </c>
      <c r="D63" s="19" t="str">
        <f t="shared" si="133"/>
        <v xml:space="preserve"> 1319</v>
      </c>
      <c r="E63" s="1" t="str">
        <f t="shared" si="134"/>
        <v>300277546</v>
      </c>
      <c r="F63" s="1" t="str">
        <f t="shared" si="135"/>
        <v xml:space="preserve">ASA CONFECCOES LTDA </v>
      </c>
      <c r="G63" s="1" t="str">
        <f t="shared" si="136"/>
        <v>Etiqueta de Composição</v>
      </c>
      <c r="H63" s="13" t="s">
        <v>7037</v>
      </c>
      <c r="I63" s="21">
        <f t="shared" si="137"/>
        <v>46223.930428240739</v>
      </c>
      <c r="J63" s="25" t="s">
        <v>7038</v>
      </c>
      <c r="K63" s="1" t="s">
        <v>6795</v>
      </c>
    </row>
    <row r="64" spans="1:11" ht="246.75" hidden="1">
      <c r="A64" s="1" t="s">
        <v>7039</v>
      </c>
      <c r="B64" s="1" t="s">
        <v>7040</v>
      </c>
      <c r="C64" s="1" t="str">
        <f>IFERROR(IF(ISNUMBER(VALUE(_xlfn.TEXTBEFORE(B64,"-"))),"",_xlfn.TEXTBEFORE(B64,"-")),"")</f>
        <v/>
      </c>
      <c r="D64" s="19" t="str">
        <f>IFERROR(IF(ISNUMBER(VALUE(_xlfn.TEXTBEFORE(B64,"-"))),_xlfn.TEXTBEFORE(B64,"-"),_xlfn.TEXTBEFORE(_xlfn.TEXTAFTER(B64,"-"),"-")),"")</f>
        <v>830</v>
      </c>
      <c r="E64" s="1" t="str">
        <f>IFERROR(IF(ISNUMBER(VALUE(_xlfn.TEXTBEFORE(B64,"-"))),_xlfn.TEXTBEFORE(_xlfn.TEXTAFTER(B64,"-"),"-"),_xlfn.TEXTBEFORE(_xlfn.TEXTAFTER(B64,"-",2),"-")),"")</f>
        <v>300268926</v>
      </c>
      <c r="F64" s="1" t="str">
        <f>IFERROR(IF(ISNUMBER(VALUE(_xlfn.TEXTBEFORE(B64,"-"))),_xlfn.TEXTBEFORE(_xlfn.TEXTAFTER(B64,"-",2)," - "),_xlfn.TEXTBEFORE(_xlfn.TEXTAFTER(B64,"-",3)," - ")),"")</f>
        <v xml:space="preserve">A S CONFECCOES LTDA </v>
      </c>
      <c r="G64" s="1" t="str">
        <f>IFERROR(_xlfn.TEXTAFTER(B64," - ",-1),"")</f>
        <v>Etiqueta de Composição</v>
      </c>
      <c r="H64" s="13" t="s">
        <v>7041</v>
      </c>
      <c r="I64" s="21">
        <f>DATE(LEFT(H64,4),MID(H64,6,2),MID(H64,9,2))+TIME(MID(H64,12,2),MID(H64,15,2),MID(H64,18,2))</f>
        <v>46209.529988425929</v>
      </c>
      <c r="J64" s="25" t="s">
        <v>7042</v>
      </c>
      <c r="K64" s="1" t="s">
        <v>6795</v>
      </c>
    </row>
    <row r="65" spans="1:11" ht="197.25" hidden="1">
      <c r="A65" s="1" t="s">
        <v>7043</v>
      </c>
      <c r="B65" s="1" t="s">
        <v>7044</v>
      </c>
      <c r="C65" s="1" t="str">
        <f t="shared" ref="C65:C66" si="138">IFERROR(IF(ISNUMBER(VALUE(_xlfn.TEXTBEFORE(B65,"-"))),"",_xlfn.TEXTBEFORE(B65,"-")),"")</f>
        <v/>
      </c>
      <c r="D65" s="19" t="str">
        <f t="shared" ref="D65:D66" si="139">IFERROR(IF(ISNUMBER(VALUE(_xlfn.TEXTBEFORE(B65,"-"))),_xlfn.TEXTBEFORE(B65,"-"),_xlfn.TEXTBEFORE(_xlfn.TEXTAFTER(B65,"-"),"-")),"")</f>
        <v>666</v>
      </c>
      <c r="E65" s="1" t="str">
        <f t="shared" ref="E65:E66" si="140">IFERROR(IF(ISNUMBER(VALUE(_xlfn.TEXTBEFORE(B65,"-"))),_xlfn.TEXTBEFORE(_xlfn.TEXTAFTER(B65,"-"),"-"),_xlfn.TEXTBEFORE(_xlfn.TEXTAFTER(B65,"-",2),"-")),"")</f>
        <v>300276286</v>
      </c>
      <c r="F65" s="1" t="str">
        <f t="shared" ref="F65:F66" si="141">IFERROR(IF(ISNUMBER(VALUE(_xlfn.TEXTBEFORE(B65,"-"))),_xlfn.TEXTBEFORE(_xlfn.TEXTAFTER(B65,"-",2)," - "),_xlfn.TEXTBEFORE(_xlfn.TEXTAFTER(B65,"-",3)," - ")),"")</f>
        <v xml:space="preserve">ACARI TÊXTIL LTDA </v>
      </c>
      <c r="G65" s="1" t="str">
        <f t="shared" ref="G65:G66" si="142">IFERROR(_xlfn.TEXTAFTER(B65," - ",-1),"")</f>
        <v>ETIQUETA DE COMPOSIÇÃO</v>
      </c>
      <c r="H65" s="13" t="s">
        <v>7045</v>
      </c>
      <c r="I65" s="21">
        <f t="shared" ref="I65:I66" si="143">DATE(LEFT(H65,4),MID(H65,6,2),MID(H65,9,2))+TIME(MID(H65,12,2),MID(H65,15,2),MID(H65,18,2))</f>
        <v>46204.44127314815</v>
      </c>
      <c r="J65" s="25" t="s">
        <v>7046</v>
      </c>
      <c r="K65" s="1" t="s">
        <v>6795</v>
      </c>
    </row>
    <row r="66" spans="1:11" ht="213.75" hidden="1">
      <c r="A66" s="1" t="s">
        <v>7047</v>
      </c>
      <c r="B66" s="1" t="s">
        <v>7048</v>
      </c>
      <c r="C66" s="1" t="str">
        <f t="shared" si="138"/>
        <v>JEANS</v>
      </c>
      <c r="D66" s="19" t="str">
        <f t="shared" si="139"/>
        <v xml:space="preserve"> 1318</v>
      </c>
      <c r="E66" s="1" t="str">
        <f t="shared" si="140"/>
        <v>300279289</v>
      </c>
      <c r="F66" s="1" t="str">
        <f t="shared" si="141"/>
        <v xml:space="preserve">POTENGI TEXTIL LTDA </v>
      </c>
      <c r="G66" s="1" t="str">
        <f t="shared" si="142"/>
        <v>Etiqueta de Composição</v>
      </c>
      <c r="H66" s="13" t="s">
        <v>7049</v>
      </c>
      <c r="I66" s="21">
        <f t="shared" si="143"/>
        <v>46223.825937499998</v>
      </c>
      <c r="J66" s="25" t="s">
        <v>7050</v>
      </c>
      <c r="K66" s="1" t="s">
        <v>6795</v>
      </c>
    </row>
    <row r="67" spans="1:11" ht="197.25" hidden="1">
      <c r="A67" s="1" t="s">
        <v>7051</v>
      </c>
      <c r="B67" s="1" t="s">
        <v>7052</v>
      </c>
      <c r="C67" s="1" t="str">
        <f t="shared" ref="C67:C68" si="144">IFERROR(IF(ISNUMBER(VALUE(_xlfn.TEXTBEFORE(B67,"-"))),"",_xlfn.TEXTBEFORE(B67,"-")),"")</f>
        <v/>
      </c>
      <c r="D67" s="19" t="str">
        <f t="shared" ref="D67:D68" si="145">IFERROR(IF(ISNUMBER(VALUE(_xlfn.TEXTBEFORE(B67,"-"))),_xlfn.TEXTBEFORE(B67,"-"),_xlfn.TEXTBEFORE(_xlfn.TEXTAFTER(B67,"-"),"-")),"")</f>
        <v>826</v>
      </c>
      <c r="E67" s="1" t="str">
        <f t="shared" ref="E67:E68" si="146">IFERROR(IF(ISNUMBER(VALUE(_xlfn.TEXTBEFORE(B67,"-"))),_xlfn.TEXTBEFORE(_xlfn.TEXTAFTER(B67,"-"),"-"),_xlfn.TEXTBEFORE(_xlfn.TEXTAFTER(B67,"-",2),"-")),"")</f>
        <v>300271213</v>
      </c>
      <c r="F67" s="1" t="str">
        <f t="shared" ref="F67:F68" si="147">IFERROR(IF(ISNUMBER(VALUE(_xlfn.TEXTBEFORE(B67,"-"))),_xlfn.TEXTBEFORE(_xlfn.TEXTAFTER(B67,"-",2)," - "),_xlfn.TEXTBEFORE(_xlfn.TEXTAFTER(B67,"-",3)," - ")),"")</f>
        <v xml:space="preserve">FLAVIA GEORGIA BRAGA SILVA CONFECCOES LTDA </v>
      </c>
      <c r="G67" s="1" t="str">
        <f t="shared" ref="G67:G68" si="148">IFERROR(_xlfn.TEXTAFTER(B67," - ",-1),"")</f>
        <v>Manga</v>
      </c>
      <c r="H67" s="13" t="s">
        <v>7053</v>
      </c>
      <c r="I67" s="21">
        <f t="shared" ref="I67:I68" si="149">DATE(LEFT(H67,4),MID(H67,6,2),MID(H67,9,2))+TIME(MID(H67,12,2),MID(H67,15,2),MID(H67,18,2))</f>
        <v>46209.505879629629</v>
      </c>
      <c r="J67" s="25" t="s">
        <v>7054</v>
      </c>
      <c r="K67" s="1" t="s">
        <v>6795</v>
      </c>
    </row>
    <row r="68" spans="1:11" ht="395.25" hidden="1">
      <c r="A68" s="1" t="s">
        <v>7055</v>
      </c>
      <c r="B68" s="1" t="s">
        <v>7056</v>
      </c>
      <c r="C68" s="1" t="str">
        <f t="shared" si="144"/>
        <v>JEANS</v>
      </c>
      <c r="D68" s="19" t="str">
        <f t="shared" si="145"/>
        <v xml:space="preserve"> 1317</v>
      </c>
      <c r="E68" s="1" t="str">
        <f t="shared" si="146"/>
        <v>300275423</v>
      </c>
      <c r="F68" s="1" t="str">
        <f t="shared" si="147"/>
        <v xml:space="preserve">IVANILDO JOSE DE SOUZA </v>
      </c>
      <c r="G68" s="1" t="str">
        <f t="shared" si="148"/>
        <v>Etiqueta de Composição</v>
      </c>
      <c r="H68" s="13" t="s">
        <v>7057</v>
      </c>
      <c r="I68" s="21">
        <f t="shared" si="149"/>
        <v>46223.819872685184</v>
      </c>
      <c r="J68" s="25" t="s">
        <v>7058</v>
      </c>
      <c r="K68" s="1" t="s">
        <v>6795</v>
      </c>
    </row>
    <row r="69" spans="1:11" ht="213.75" hidden="1">
      <c r="A69" s="1" t="s">
        <v>7059</v>
      </c>
      <c r="B69" s="1" t="s">
        <v>7060</v>
      </c>
      <c r="C69" s="1" t="str">
        <f>IFERROR(IF(ISNUMBER(VALUE(_xlfn.TEXTBEFORE(B69,"-"))),"",_xlfn.TEXTBEFORE(B69,"-")),"")</f>
        <v/>
      </c>
      <c r="D69" s="19" t="str">
        <f>IFERROR(IF(ISNUMBER(VALUE(_xlfn.TEXTBEFORE(B69,"-"))),_xlfn.TEXTBEFORE(B69,"-"),_xlfn.TEXTBEFORE(_xlfn.TEXTAFTER(B69,"-"),"-")),"")</f>
        <v>806</v>
      </c>
      <c r="E69" s="1" t="str">
        <f>IFERROR(IF(ISNUMBER(VALUE(_xlfn.TEXTBEFORE(B69,"-"))),_xlfn.TEXTBEFORE(_xlfn.TEXTAFTER(B69,"-"),"-"),_xlfn.TEXTBEFORE(_xlfn.TEXTAFTER(B69,"-",2),"-")),"")</f>
        <v>300272294</v>
      </c>
      <c r="F69" s="1" t="str">
        <f>IFERROR(IF(ISNUMBER(VALUE(_xlfn.TEXTBEFORE(B69,"-"))),_xlfn.TEXTBEFORE(_xlfn.TEXTAFTER(B69,"-",2)," - "),_xlfn.TEXTBEFORE(_xlfn.TEXTAFTER(B69,"-",3)," - ")),"")</f>
        <v xml:space="preserve">CONFECCOES GENESIS LTDA </v>
      </c>
      <c r="G69" s="1" t="str">
        <f>IFERROR(_xlfn.TEXTAFTER(B69," - ",-1),"")</f>
        <v>Etiqueta de Composição</v>
      </c>
      <c r="H69" s="13" t="s">
        <v>7061</v>
      </c>
      <c r="I69" s="21">
        <f>DATE(LEFT(H69,4),MID(H69,6,2),MID(H69,9,2))+TIME(MID(H69,12,2),MID(H69,15,2),MID(H69,18,2))</f>
        <v>46206.790023148147</v>
      </c>
      <c r="J69" s="25" t="s">
        <v>7062</v>
      </c>
      <c r="K69" s="1" t="s">
        <v>6795</v>
      </c>
    </row>
    <row r="70" spans="1:11" ht="263.25" hidden="1">
      <c r="A70" s="1" t="s">
        <v>7063</v>
      </c>
      <c r="B70" s="1" t="s">
        <v>7064</v>
      </c>
      <c r="C70" s="1" t="str">
        <f t="shared" ref="C70:C72" si="150">IFERROR(IF(ISNUMBER(VALUE(_xlfn.TEXTBEFORE(B70,"-"))),"",_xlfn.TEXTBEFORE(B70,"-")),"")</f>
        <v/>
      </c>
      <c r="D70" s="19" t="str">
        <f t="shared" ref="D70:D72" si="151">IFERROR(IF(ISNUMBER(VALUE(_xlfn.TEXTBEFORE(B70,"-"))),_xlfn.TEXTBEFORE(B70,"-"),_xlfn.TEXTBEFORE(_xlfn.TEXTAFTER(B70,"-"),"-")),"")</f>
        <v>821</v>
      </c>
      <c r="E70" s="1" t="str">
        <f t="shared" ref="E70:E72" si="152">IFERROR(IF(ISNUMBER(VALUE(_xlfn.TEXTBEFORE(B70,"-"))),_xlfn.TEXTBEFORE(_xlfn.TEXTAFTER(B70,"-"),"-"),_xlfn.TEXTBEFORE(_xlfn.TEXTAFTER(B70,"-",2),"-")),"")</f>
        <v>300275220</v>
      </c>
      <c r="F70" s="1" t="str">
        <f t="shared" ref="F70:F72" si="153">IFERROR(IF(ISNUMBER(VALUE(_xlfn.TEXTBEFORE(B70,"-"))),_xlfn.TEXTBEFORE(_xlfn.TEXTAFTER(B70,"-",2)," - "),_xlfn.TEXTBEFORE(_xlfn.TEXTAFTER(B70,"-",3)," - ")),"")</f>
        <v xml:space="preserve">FREIRE SILVA CONFECCOES LTDA </v>
      </c>
      <c r="G70" s="1" t="str">
        <f t="shared" ref="G70:G72" si="154">IFERROR(_xlfn.TEXTAFTER(B70," - ",-1),"")</f>
        <v>Etiqueta de Composição</v>
      </c>
      <c r="H70" s="13" t="s">
        <v>7065</v>
      </c>
      <c r="I70" s="21">
        <f t="shared" ref="I70:I72" si="155">DATE(LEFT(H70,4),MID(H70,6,2),MID(H70,9,2))+TIME(MID(H70,12,2),MID(H70,15,2),MID(H70,18,2))</f>
        <v>46209.442210648151</v>
      </c>
      <c r="J70" s="25" t="s">
        <v>7066</v>
      </c>
      <c r="K70" s="1" t="s">
        <v>6795</v>
      </c>
    </row>
    <row r="71" spans="1:11" ht="263.25" hidden="1">
      <c r="A71" s="1" t="s">
        <v>7067</v>
      </c>
      <c r="B71" s="1" t="s">
        <v>7068</v>
      </c>
      <c r="C71" s="1" t="str">
        <f t="shared" si="150"/>
        <v/>
      </c>
      <c r="D71" s="19" t="str">
        <f t="shared" si="151"/>
        <v>664</v>
      </c>
      <c r="E71" s="1" t="str">
        <f t="shared" si="152"/>
        <v>300275978</v>
      </c>
      <c r="F71" s="1" t="str">
        <f t="shared" si="153"/>
        <v xml:space="preserve">ALINE RODRIGUES DE LIMA ARAUJO </v>
      </c>
      <c r="G71" s="1" t="str">
        <f t="shared" si="154"/>
        <v>ETIQUETA DE COMPOSIÇÃO</v>
      </c>
      <c r="H71" s="13" t="s">
        <v>7069</v>
      </c>
      <c r="I71" s="21">
        <f t="shared" si="155"/>
        <v>46203.876597222225</v>
      </c>
      <c r="J71" s="25" t="s">
        <v>7070</v>
      </c>
      <c r="K71" s="1" t="s">
        <v>6795</v>
      </c>
    </row>
    <row r="72" spans="1:11" ht="246.75" hidden="1">
      <c r="A72" s="1" t="s">
        <v>7071</v>
      </c>
      <c r="B72" s="1" t="s">
        <v>7072</v>
      </c>
      <c r="C72" s="1" t="str">
        <f t="shared" si="150"/>
        <v>JEANS</v>
      </c>
      <c r="D72" s="19" t="str">
        <f t="shared" si="151"/>
        <v xml:space="preserve"> 1313</v>
      </c>
      <c r="E72" s="1" t="str">
        <f t="shared" si="152"/>
        <v>300280185</v>
      </c>
      <c r="F72" s="1" t="str">
        <f t="shared" si="153"/>
        <v xml:space="preserve">TENDENCIA CONFECCOES LTDA </v>
      </c>
      <c r="G72" s="1" t="str">
        <f t="shared" si="154"/>
        <v>Etiqueta de Composição</v>
      </c>
      <c r="H72" s="13" t="s">
        <v>7073</v>
      </c>
      <c r="I72" s="21">
        <f t="shared" si="155"/>
        <v>46223.779849537037</v>
      </c>
      <c r="J72" s="25" t="s">
        <v>7074</v>
      </c>
      <c r="K72" s="1" t="s">
        <v>6795</v>
      </c>
    </row>
    <row r="73" spans="1:11" ht="213.75" hidden="1">
      <c r="A73" s="1" t="s">
        <v>7075</v>
      </c>
      <c r="B73" s="1" t="s">
        <v>7076</v>
      </c>
      <c r="C73" s="1" t="str">
        <f>IFERROR(IF(ISNUMBER(VALUE(_xlfn.TEXTBEFORE(B73,"-"))),"",_xlfn.TEXTBEFORE(B73,"-")),"")</f>
        <v/>
      </c>
      <c r="D73" s="19" t="str">
        <f>IFERROR(IF(ISNUMBER(VALUE(_xlfn.TEXTBEFORE(B73,"-"))),_xlfn.TEXTBEFORE(B73,"-"),_xlfn.TEXTBEFORE(_xlfn.TEXTAFTER(B73,"-"),"-")),"")</f>
        <v>805</v>
      </c>
      <c r="E73" s="1" t="str">
        <f>IFERROR(IF(ISNUMBER(VALUE(_xlfn.TEXTBEFORE(B73,"-"))),_xlfn.TEXTBEFORE(_xlfn.TEXTAFTER(B73,"-"),"-"),_xlfn.TEXTBEFORE(_xlfn.TEXTAFTER(B73,"-",2),"-")),"")</f>
        <v>300276274</v>
      </c>
      <c r="F73" s="1" t="str">
        <f>IFERROR(IF(ISNUMBER(VALUE(_xlfn.TEXTBEFORE(B73,"-"))),_xlfn.TEXTBEFORE(_xlfn.TEXTAFTER(B73,"-",2)," - "),_xlfn.TEXTBEFORE(_xlfn.TEXTAFTER(B73,"-",3)," - ")),"")</f>
        <v xml:space="preserve">JOSENI MARIA DE MEDEIROS </v>
      </c>
      <c r="G73" s="1" t="str">
        <f>IFERROR(_xlfn.TEXTAFTER(B73," - ",-1),"")</f>
        <v>Etiqueta de Composição</v>
      </c>
      <c r="H73" s="13" t="s">
        <v>7077</v>
      </c>
      <c r="I73" s="21">
        <f>DATE(LEFT(H73,4),MID(H73,6,2),MID(H73,9,2))+TIME(MID(H73,12,2),MID(H73,15,2),MID(H73,18,2))</f>
        <v>46206.781909722224</v>
      </c>
      <c r="J73" s="25" t="s">
        <v>7078</v>
      </c>
      <c r="K73" s="1" t="s">
        <v>6795</v>
      </c>
    </row>
    <row r="74" spans="1:11" ht="296.25" hidden="1">
      <c r="A74" s="1" t="s">
        <v>6947</v>
      </c>
      <c r="B74" s="1" t="s">
        <v>6948</v>
      </c>
      <c r="C74" s="1" t="str">
        <f t="shared" ref="C74:C75" si="156">IFERROR(IF(ISNUMBER(VALUE(_xlfn.TEXTBEFORE(B74,"-"))),"",_xlfn.TEXTBEFORE(B74,"-")),"")</f>
        <v/>
      </c>
      <c r="D74" s="19" t="str">
        <f t="shared" ref="D74:D75" si="157">IFERROR(IF(ISNUMBER(VALUE(_xlfn.TEXTBEFORE(B74,"-"))),_xlfn.TEXTBEFORE(B74,"-"),_xlfn.TEXTBEFORE(_xlfn.TEXTAFTER(B74,"-"),"-")),"")</f>
        <v>818</v>
      </c>
      <c r="E74" s="1" t="str">
        <f t="shared" ref="E74:E75" si="158">IFERROR(IF(ISNUMBER(VALUE(_xlfn.TEXTBEFORE(B74,"-"))),_xlfn.TEXTBEFORE(_xlfn.TEXTAFTER(B74,"-"),"-"),_xlfn.TEXTBEFORE(_xlfn.TEXTAFTER(B74,"-",2),"-")),"")</f>
        <v>300272964</v>
      </c>
      <c r="F74" s="1" t="str">
        <f t="shared" ref="F74:F75" si="159">IFERROR(IF(ISNUMBER(VALUE(_xlfn.TEXTBEFORE(B74,"-"))),_xlfn.TEXTBEFORE(_xlfn.TEXTAFTER(B74,"-",2)," - "),_xlfn.TEXTBEFORE(_xlfn.TEXTAFTER(B74,"-",3)," - ")),"")</f>
        <v xml:space="preserve">ARAUJO E M CONFECCOES LTDA </v>
      </c>
      <c r="G74" s="1" t="str">
        <f t="shared" ref="G74:G75" si="160">IFERROR(_xlfn.TEXTAFTER(B74," - ",-1),"")</f>
        <v>Cós</v>
      </c>
      <c r="H74" s="13" t="s">
        <v>6949</v>
      </c>
      <c r="I74" s="21">
        <f t="shared" ref="I74:I75" si="161">DATE(LEFT(H74,4),MID(H74,6,2),MID(H74,9,2))+TIME(MID(H74,12,2),MID(H74,15,2),MID(H74,18,2))</f>
        <v>46209.433657407404</v>
      </c>
      <c r="J74" s="25" t="s">
        <v>6950</v>
      </c>
      <c r="K74" s="1" t="s">
        <v>6795</v>
      </c>
    </row>
    <row r="75" spans="1:11" ht="296.25" hidden="1">
      <c r="A75" s="1" t="s">
        <v>7079</v>
      </c>
      <c r="B75" s="1" t="s">
        <v>7080</v>
      </c>
      <c r="C75" s="1" t="str">
        <f t="shared" si="156"/>
        <v/>
      </c>
      <c r="D75" s="19" t="str">
        <f t="shared" si="157"/>
        <v>804</v>
      </c>
      <c r="E75" s="1" t="str">
        <f t="shared" si="158"/>
        <v>300275878</v>
      </c>
      <c r="F75" s="1" t="str">
        <f t="shared" si="159"/>
        <v xml:space="preserve">F J DE AZEVEDO </v>
      </c>
      <c r="G75" s="1" t="str">
        <f t="shared" si="160"/>
        <v>Etiqueta de Composição</v>
      </c>
      <c r="H75" s="13" t="s">
        <v>7081</v>
      </c>
      <c r="I75" s="21">
        <f t="shared" si="161"/>
        <v>46206.779282407406</v>
      </c>
      <c r="J75" s="25" t="s">
        <v>7082</v>
      </c>
      <c r="K75" s="1" t="s">
        <v>6795</v>
      </c>
    </row>
    <row r="76" spans="1:11" ht="213.75" hidden="1">
      <c r="A76" s="1" t="s">
        <v>7083</v>
      </c>
      <c r="B76" s="1" t="s">
        <v>7084</v>
      </c>
      <c r="C76" s="1" t="str">
        <f t="shared" ref="C76:C78" si="162">IFERROR(IF(ISNUMBER(VALUE(_xlfn.TEXTBEFORE(B76,"-"))),"",_xlfn.TEXTBEFORE(B76,"-")),"")</f>
        <v/>
      </c>
      <c r="D76" s="19" t="str">
        <f t="shared" ref="D76:D78" si="163">IFERROR(IF(ISNUMBER(VALUE(_xlfn.TEXTBEFORE(B76,"-"))),_xlfn.TEXTBEFORE(B76,"-"),_xlfn.TEXTBEFORE(_xlfn.TEXTAFTER(B76,"-"),"-")),"")</f>
        <v>802</v>
      </c>
      <c r="E76" s="1" t="str">
        <f t="shared" ref="E76:E78" si="164">IFERROR(IF(ISNUMBER(VALUE(_xlfn.TEXTBEFORE(B76,"-"))),_xlfn.TEXTBEFORE(_xlfn.TEXTAFTER(B76,"-"),"-"),_xlfn.TEXTBEFORE(_xlfn.TEXTAFTER(B76,"-",2),"-")),"")</f>
        <v>300276270</v>
      </c>
      <c r="F76" s="1" t="str">
        <f t="shared" ref="F76:F78" si="165">IFERROR(IF(ISNUMBER(VALUE(_xlfn.TEXTBEFORE(B76,"-"))),_xlfn.TEXTBEFORE(_xlfn.TEXTAFTER(B76,"-",2)," - "),_xlfn.TEXTBEFORE(_xlfn.TEXTAFTER(B76,"-",3)," - ")),"")</f>
        <v xml:space="preserve">JOSENI MARIA DE MEDEIROS </v>
      </c>
      <c r="G76" s="1" t="str">
        <f t="shared" ref="G76:G78" si="166">IFERROR(_xlfn.TEXTAFTER(B76," - ",-1),"")</f>
        <v>Etiqueta de Composição</v>
      </c>
      <c r="H76" s="13" t="s">
        <v>7085</v>
      </c>
      <c r="I76" s="21">
        <f t="shared" ref="I76:I78" si="167">DATE(LEFT(H76,4),MID(H76,6,2),MID(H76,9,2))+TIME(MID(H76,12,2),MID(H76,15,2),MID(H76,18,2))</f>
        <v>46206.774826388886</v>
      </c>
      <c r="J76" s="25" t="s">
        <v>7086</v>
      </c>
      <c r="K76" s="1" t="s">
        <v>6795</v>
      </c>
    </row>
    <row r="77" spans="1:11" ht="296.25" hidden="1">
      <c r="A77" s="1" t="s">
        <v>6963</v>
      </c>
      <c r="B77" s="1" t="s">
        <v>6964</v>
      </c>
      <c r="C77" s="1" t="str">
        <f t="shared" si="162"/>
        <v/>
      </c>
      <c r="D77" s="19" t="str">
        <f t="shared" si="163"/>
        <v>817</v>
      </c>
      <c r="E77" s="1" t="str">
        <f t="shared" si="164"/>
        <v>300272966</v>
      </c>
      <c r="F77" s="1" t="str">
        <f t="shared" si="165"/>
        <v xml:space="preserve">ARAUJO E M CONFECCOES LTDA </v>
      </c>
      <c r="G77" s="1" t="str">
        <f t="shared" si="166"/>
        <v>Cós</v>
      </c>
      <c r="H77" s="13" t="s">
        <v>6965</v>
      </c>
      <c r="I77" s="21">
        <f t="shared" si="167"/>
        <v>46209.430972222224</v>
      </c>
      <c r="J77" s="25" t="s">
        <v>6966</v>
      </c>
      <c r="K77" s="1" t="s">
        <v>6795</v>
      </c>
    </row>
    <row r="78" spans="1:11" ht="230.25" hidden="1">
      <c r="A78" s="1" t="s">
        <v>7087</v>
      </c>
      <c r="B78" s="1" t="s">
        <v>7088</v>
      </c>
      <c r="C78" s="1" t="str">
        <f t="shared" si="162"/>
        <v/>
      </c>
      <c r="D78" s="19" t="str">
        <f t="shared" si="163"/>
        <v>659</v>
      </c>
      <c r="E78" s="1" t="str">
        <f t="shared" si="164"/>
        <v>300270295</v>
      </c>
      <c r="F78" s="1" t="str">
        <f t="shared" si="165"/>
        <v xml:space="preserve">F &amp; L AZEVEDO CONFECCAO LTDA MATRIZ </v>
      </c>
      <c r="G78" s="1" t="str">
        <f t="shared" si="166"/>
        <v>FRENTE</v>
      </c>
      <c r="H78" s="13" t="s">
        <v>7089</v>
      </c>
      <c r="I78" s="21">
        <f t="shared" si="167"/>
        <v>46203.801631944443</v>
      </c>
      <c r="J78" s="25" t="s">
        <v>7090</v>
      </c>
      <c r="K78" s="1" t="s">
        <v>6795</v>
      </c>
    </row>
    <row r="79" spans="1:11" ht="197.25" hidden="1">
      <c r="A79" s="1" t="s">
        <v>7091</v>
      </c>
      <c r="B79" s="1" t="s">
        <v>7092</v>
      </c>
      <c r="C79" s="1" t="str">
        <f t="shared" ref="C79:C80" si="168">IFERROR(IF(ISNUMBER(VALUE(_xlfn.TEXTBEFORE(B79,"-"))),"",_xlfn.TEXTBEFORE(B79,"-")),"")</f>
        <v>MALHA</v>
      </c>
      <c r="D79" s="19" t="str">
        <f t="shared" ref="D79:D80" si="169">IFERROR(IF(ISNUMBER(VALUE(_xlfn.TEXTBEFORE(B79,"-"))),_xlfn.TEXTBEFORE(B79,"-"),_xlfn.TEXTBEFORE(_xlfn.TEXTAFTER(B79,"-"),"-")),"")</f>
        <v xml:space="preserve"> 1311</v>
      </c>
      <c r="E79" s="1" t="str">
        <f t="shared" ref="E79:E80" si="170">IFERROR(IF(ISNUMBER(VALUE(_xlfn.TEXTBEFORE(B79,"-"))),_xlfn.TEXTBEFORE(_xlfn.TEXTAFTER(B79,"-"),"-"),_xlfn.TEXTBEFORE(_xlfn.TEXTAFTER(B79,"-",2),"-")),"")</f>
        <v>300281896</v>
      </c>
      <c r="F79" s="1" t="str">
        <f t="shared" ref="F79:F80" si="171">IFERROR(IF(ISNUMBER(VALUE(_xlfn.TEXTBEFORE(B79,"-"))),_xlfn.TEXTBEFORE(_xlfn.TEXTAFTER(B79,"-",2)," - "),_xlfn.TEXTBEFORE(_xlfn.TEXTAFTER(B79,"-",3)," - ")),"")</f>
        <v xml:space="preserve">LC TEXTIL LTDA </v>
      </c>
      <c r="G79" s="1" t="str">
        <f t="shared" ref="G79:G80" si="172">IFERROR(_xlfn.TEXTAFTER(B79," - ",-1),"")</f>
        <v>Gola</v>
      </c>
      <c r="H79" s="13" t="s">
        <v>7093</v>
      </c>
      <c r="I79" s="21">
        <f t="shared" ref="I79:I80" si="173">DATE(LEFT(H79,4),MID(H79,6,2),MID(H79,9,2))+TIME(MID(H79,12,2),MID(H79,15,2),MID(H79,18,2))</f>
        <v>46223.777812499997</v>
      </c>
      <c r="J79" s="25" t="s">
        <v>7094</v>
      </c>
      <c r="K79" s="1" t="s">
        <v>6795</v>
      </c>
    </row>
    <row r="80" spans="1:11" ht="213.75" hidden="1">
      <c r="A80" s="1" t="s">
        <v>7095</v>
      </c>
      <c r="B80" s="1" t="s">
        <v>7096</v>
      </c>
      <c r="C80" s="1" t="str">
        <f t="shared" si="168"/>
        <v/>
      </c>
      <c r="D80" s="19" t="str">
        <f t="shared" si="169"/>
        <v>799</v>
      </c>
      <c r="E80" s="1" t="str">
        <f t="shared" si="170"/>
        <v>300272940</v>
      </c>
      <c r="F80" s="1" t="str">
        <f t="shared" si="171"/>
        <v xml:space="preserve">M &amp; F EMPREENDIMENTOS LTDA </v>
      </c>
      <c r="G80" s="1" t="str">
        <f t="shared" si="172"/>
        <v>Cós</v>
      </c>
      <c r="H80" s="13" t="s">
        <v>7097</v>
      </c>
      <c r="I80" s="21">
        <f t="shared" si="173"/>
        <v>46206.731076388889</v>
      </c>
      <c r="J80" s="25" t="s">
        <v>7098</v>
      </c>
      <c r="K80" s="1" t="s">
        <v>6795</v>
      </c>
    </row>
    <row r="81" spans="1:11" ht="312.75" hidden="1">
      <c r="A81" s="1" t="s">
        <v>7099</v>
      </c>
      <c r="B81" s="1" t="s">
        <v>7100</v>
      </c>
      <c r="C81" s="1" t="str">
        <f>IFERROR(IF(ISNUMBER(VALUE(_xlfn.TEXTBEFORE(B81,"-"))),"",_xlfn.TEXTBEFORE(B81,"-")),"")</f>
        <v/>
      </c>
      <c r="D81" s="19" t="str">
        <f>IFERROR(IF(ISNUMBER(VALUE(_xlfn.TEXTBEFORE(B81,"-"))),_xlfn.TEXTBEFORE(B81,"-"),_xlfn.TEXTBEFORE(_xlfn.TEXTAFTER(B81,"-"),"-")),"")</f>
        <v>798</v>
      </c>
      <c r="E81" s="1" t="str">
        <f>IFERROR(IF(ISNUMBER(VALUE(_xlfn.TEXTBEFORE(B81,"-"))),_xlfn.TEXTBEFORE(_xlfn.TEXTAFTER(B81,"-"),"-"),_xlfn.TEXTBEFORE(_xlfn.TEXTAFTER(B81,"-",2),"-")),"")</f>
        <v>300275485</v>
      </c>
      <c r="F81" s="1" t="str">
        <f>IFERROR(IF(ISNUMBER(VALUE(_xlfn.TEXTBEFORE(B81,"-"))),_xlfn.TEXTBEFORE(_xlfn.TEXTAFTER(B81,"-",2)," - "),_xlfn.TEXTBEFORE(_xlfn.TEXTAFTER(B81,"-",3)," - ")),"")</f>
        <v xml:space="preserve">M C CONFECCOES LTDA </v>
      </c>
      <c r="G81" s="1" t="str">
        <f>IFERROR(_xlfn.TEXTAFTER(B81," - ",-1),"")</f>
        <v>Etiqueta de Composição</v>
      </c>
      <c r="H81" s="13" t="s">
        <v>7101</v>
      </c>
      <c r="I81" s="21">
        <f>DATE(LEFT(H81,4),MID(H81,6,2),MID(H81,9,2))+TIME(MID(H81,12,2),MID(H81,15,2),MID(H81,18,2))</f>
        <v>46206.730312500003</v>
      </c>
      <c r="J81" s="25" t="s">
        <v>7102</v>
      </c>
      <c r="K81" s="1" t="s">
        <v>6795</v>
      </c>
    </row>
    <row r="82" spans="1:11" ht="213.75" hidden="1">
      <c r="A82" s="1" t="s">
        <v>6979</v>
      </c>
      <c r="B82" s="1" t="s">
        <v>6980</v>
      </c>
      <c r="C82" s="1" t="str">
        <f t="shared" ref="C82:C83" si="174">IFERROR(IF(ISNUMBER(VALUE(_xlfn.TEXTBEFORE(B82,"-"))),"",_xlfn.TEXTBEFORE(B82,"-")),"")</f>
        <v/>
      </c>
      <c r="D82" s="19" t="str">
        <f t="shared" ref="D82:D83" si="175">IFERROR(IF(ISNUMBER(VALUE(_xlfn.TEXTBEFORE(B82,"-"))),_xlfn.TEXTBEFORE(B82,"-"),_xlfn.TEXTBEFORE(_xlfn.TEXTAFTER(B82,"-"),"-")),"")</f>
        <v>812</v>
      </c>
      <c r="E82" s="1" t="str">
        <f t="shared" ref="E82:E83" si="176">IFERROR(IF(ISNUMBER(VALUE(_xlfn.TEXTBEFORE(B82,"-"))),_xlfn.TEXTBEFORE(_xlfn.TEXTAFTER(B82,"-"),"-"),_xlfn.TEXTBEFORE(_xlfn.TEXTAFTER(B82,"-",2),"-")),"")</f>
        <v>300273026</v>
      </c>
      <c r="F82" s="1" t="str">
        <f t="shared" ref="F82:F83" si="177">IFERROR(IF(ISNUMBER(VALUE(_xlfn.TEXTBEFORE(B82,"-"))),_xlfn.TEXTBEFORE(_xlfn.TEXTAFTER(B82,"-",2)," - "),_xlfn.TEXTBEFORE(_xlfn.TEXTAFTER(B82,"-",3)," - ")),"")</f>
        <v xml:space="preserve">JOSENI MARIA DE MEDEIROS </v>
      </c>
      <c r="G82" s="1" t="str">
        <f t="shared" ref="G82:G83" si="178">IFERROR(_xlfn.TEXTAFTER(B82," - ",-1),"")</f>
        <v>Etiqueta de Composição</v>
      </c>
      <c r="H82" s="13" t="s">
        <v>6981</v>
      </c>
      <c r="I82" s="21">
        <f t="shared" ref="I82:I83" si="179">DATE(LEFT(H82,4),MID(H82,6,2),MID(H82,9,2))+TIME(MID(H82,12,2),MID(H82,15,2),MID(H82,18,2))</f>
        <v>46206.847916666666</v>
      </c>
      <c r="J82" s="25" t="s">
        <v>6982</v>
      </c>
      <c r="K82" s="1" t="s">
        <v>6795</v>
      </c>
    </row>
    <row r="83" spans="1:11" ht="213.75" hidden="1">
      <c r="A83" s="1" t="s">
        <v>7103</v>
      </c>
      <c r="B83" s="1" t="s">
        <v>7104</v>
      </c>
      <c r="C83" s="1" t="str">
        <f t="shared" si="174"/>
        <v/>
      </c>
      <c r="D83" s="19" t="str">
        <f t="shared" si="175"/>
        <v>656</v>
      </c>
      <c r="E83" s="1" t="str">
        <f t="shared" si="176"/>
        <v>300271876</v>
      </c>
      <c r="F83" s="1" t="str">
        <f t="shared" si="177"/>
        <v xml:space="preserve">POTENGI TEXTIL LTDA </v>
      </c>
      <c r="G83" s="1" t="str">
        <f t="shared" si="178"/>
        <v>GOLA</v>
      </c>
      <c r="H83" s="13" t="s">
        <v>7105</v>
      </c>
      <c r="I83" s="21">
        <f t="shared" si="179"/>
        <v>46203.782789351855</v>
      </c>
      <c r="J83" s="25" t="s">
        <v>7106</v>
      </c>
      <c r="K83" s="1" t="s">
        <v>6795</v>
      </c>
    </row>
    <row r="84" spans="1:11" ht="296.25" hidden="1">
      <c r="A84" s="1" t="s">
        <v>7107</v>
      </c>
      <c r="B84" s="1" t="s">
        <v>7108</v>
      </c>
      <c r="C84" s="1" t="str">
        <f t="shared" ref="C84:C85" si="180">IFERROR(IF(ISNUMBER(VALUE(_xlfn.TEXTBEFORE(B84,"-"))),"",_xlfn.TEXTBEFORE(B84,"-")),"")</f>
        <v/>
      </c>
      <c r="D84" s="19" t="str">
        <f t="shared" ref="D84:D85" si="181">IFERROR(IF(ISNUMBER(VALUE(_xlfn.TEXTBEFORE(B84,"-"))),_xlfn.TEXTBEFORE(B84,"-"),_xlfn.TEXTBEFORE(_xlfn.TEXTAFTER(B84,"-"),"-")),"")</f>
        <v>796</v>
      </c>
      <c r="E84" s="1" t="str">
        <f t="shared" ref="E84:E85" si="182">IFERROR(IF(ISNUMBER(VALUE(_xlfn.TEXTBEFORE(B84,"-"))),_xlfn.TEXTBEFORE(_xlfn.TEXTAFTER(B84,"-"),"-"),_xlfn.TEXTBEFORE(_xlfn.TEXTAFTER(B84,"-",2),"-")),"")</f>
        <v>300275485</v>
      </c>
      <c r="F84" s="1" t="str">
        <f t="shared" ref="F84:F85" si="183">IFERROR(IF(ISNUMBER(VALUE(_xlfn.TEXTBEFORE(B84,"-"))),_xlfn.TEXTBEFORE(_xlfn.TEXTAFTER(B84,"-",2)," - "),_xlfn.TEXTBEFORE(_xlfn.TEXTAFTER(B84,"-",3)," - ")),"")</f>
        <v xml:space="preserve">M C CONFECCOES LTDA </v>
      </c>
      <c r="G84" s="1" t="str">
        <f t="shared" ref="G84:G85" si="184">IFERROR(_xlfn.TEXTAFTER(B84," - ",-1),"")</f>
        <v>Etiqueta de Composição</v>
      </c>
      <c r="H84" s="13" t="s">
        <v>7109</v>
      </c>
      <c r="I84" s="21">
        <f t="shared" ref="I84:I85" si="185">DATE(LEFT(H84,4),MID(H84,6,2),MID(H84,9,2))+TIME(MID(H84,12,2),MID(H84,15,2),MID(H84,18,2))</f>
        <v>46206.699050925927</v>
      </c>
      <c r="J84" s="25" t="s">
        <v>7110</v>
      </c>
      <c r="K84" s="1" t="s">
        <v>6795</v>
      </c>
    </row>
    <row r="85" spans="1:11" ht="213.75" hidden="1">
      <c r="A85" s="1" t="s">
        <v>7111</v>
      </c>
      <c r="B85" s="1" t="s">
        <v>7112</v>
      </c>
      <c r="C85" s="1" t="str">
        <f t="shared" si="180"/>
        <v>MALHA</v>
      </c>
      <c r="D85" s="19" t="str">
        <f t="shared" si="181"/>
        <v xml:space="preserve"> 1301</v>
      </c>
      <c r="E85" s="1" t="str">
        <f t="shared" si="182"/>
        <v>300280716</v>
      </c>
      <c r="F85" s="1" t="str">
        <f t="shared" si="183"/>
        <v xml:space="preserve">VITALIZE CONFECCOES LTDA </v>
      </c>
      <c r="G85" s="1" t="str">
        <f t="shared" si="184"/>
        <v>Gola</v>
      </c>
      <c r="H85" s="13" t="s">
        <v>7113</v>
      </c>
      <c r="I85" s="21">
        <f t="shared" si="185"/>
        <v>46223.686562499999</v>
      </c>
      <c r="J85" s="25" t="s">
        <v>7114</v>
      </c>
      <c r="K85" s="1" t="s">
        <v>6795</v>
      </c>
    </row>
    <row r="86" spans="1:11" ht="230.25" hidden="1">
      <c r="A86" s="1" t="s">
        <v>7115</v>
      </c>
      <c r="B86" s="1" t="s">
        <v>7116</v>
      </c>
      <c r="C86" s="1" t="str">
        <f>IFERROR(IF(ISNUMBER(VALUE(_xlfn.TEXTBEFORE(B86,"-"))),"",_xlfn.TEXTBEFORE(B86,"-")),"")</f>
        <v/>
      </c>
      <c r="D86" s="19" t="str">
        <f>IFERROR(IF(ISNUMBER(VALUE(_xlfn.TEXTBEFORE(B86,"-"))),_xlfn.TEXTBEFORE(B86,"-"),_xlfn.TEXTBEFORE(_xlfn.TEXTAFTER(B86,"-"),"-")),"")</f>
        <v>654</v>
      </c>
      <c r="E86" s="1" t="str">
        <f>IFERROR(IF(ISNUMBER(VALUE(_xlfn.TEXTBEFORE(B86,"-"))),_xlfn.TEXTBEFORE(_xlfn.TEXTAFTER(B86,"-"),"-"),_xlfn.TEXTBEFORE(_xlfn.TEXTAFTER(B86,"-",2),"-")),"")</f>
        <v>300273667</v>
      </c>
      <c r="F86" s="1" t="str">
        <f>IFERROR(IF(ISNUMBER(VALUE(_xlfn.TEXTBEFORE(B86,"-"))),_xlfn.TEXTBEFORE(_xlfn.TEXTAFTER(B86,"-",2)," - "),_xlfn.TEXTBEFORE(_xlfn.TEXTAFTER(B86,"-",3)," - ")),"")</f>
        <v xml:space="preserve">EBENEZER INDUSTRIA TEXTIL LTDA </v>
      </c>
      <c r="G86" s="1" t="str">
        <f>IFERROR(_xlfn.TEXTAFTER(B86," - ",-1),"")</f>
        <v>MANGA</v>
      </c>
      <c r="H86" s="13" t="s">
        <v>7117</v>
      </c>
      <c r="I86" s="21">
        <f>DATE(LEFT(H86,4),MID(H86,6,2),MID(H86,9,2))+TIME(MID(H86,12,2),MID(H86,15,2),MID(H86,18,2))</f>
        <v>46203.74496527778</v>
      </c>
      <c r="J86" s="25" t="s">
        <v>7118</v>
      </c>
      <c r="K86" s="1" t="s">
        <v>6795</v>
      </c>
    </row>
    <row r="87" spans="1:11" ht="213.75" hidden="1">
      <c r="A87" s="1" t="e" cm="1">
        <f t="array" aca="1" ref="A87" ca="1">-k6jKxjV90KrYV__-_UL7mQAPjAC</f>
        <v>#NAME?</v>
      </c>
      <c r="B87" s="1" t="s">
        <v>7119</v>
      </c>
      <c r="C87" s="1" t="str">
        <f t="shared" ref="C87:C89" si="186">IFERROR(IF(ISNUMBER(VALUE(_xlfn.TEXTBEFORE(B87,"-"))),"",_xlfn.TEXTBEFORE(B87,"-")),"")</f>
        <v>TEAR</v>
      </c>
      <c r="D87" s="19" t="str">
        <f t="shared" ref="D87:D89" si="187">IFERROR(IF(ISNUMBER(VALUE(_xlfn.TEXTBEFORE(B87,"-"))),_xlfn.TEXTBEFORE(B87,"-"),_xlfn.TEXTBEFORE(_xlfn.TEXTAFTER(B87,"-"),"-")),"")</f>
        <v xml:space="preserve"> 1296</v>
      </c>
      <c r="E87" s="1" t="str">
        <f t="shared" ref="E87:E89" si="188">IFERROR(IF(ISNUMBER(VALUE(_xlfn.TEXTBEFORE(B87,"-"))),_xlfn.TEXTBEFORE(_xlfn.TEXTAFTER(B87,"-"),"-"),_xlfn.TEXTBEFORE(_xlfn.TEXTAFTER(B87,"-",2),"-")),"")</f>
        <v>300282856</v>
      </c>
      <c r="F87" s="1" t="str">
        <f t="shared" ref="F87:F89" si="189">IFERROR(IF(ISNUMBER(VALUE(_xlfn.TEXTBEFORE(B87,"-"))),_xlfn.TEXTBEFORE(_xlfn.TEXTAFTER(B87,"-",2)," - "),_xlfn.TEXTBEFORE(_xlfn.TEXTAFTER(B87,"-",3)," - ")),"")</f>
        <v xml:space="preserve">CONFECCOES GENESIS LTDA </v>
      </c>
      <c r="G87" s="1" t="str">
        <f t="shared" ref="G87:G89" si="190">IFERROR(_xlfn.TEXTAFTER(B87," - ",-1),"")</f>
        <v>Etiqueta de Composição</v>
      </c>
      <c r="H87" s="13" t="s">
        <v>7120</v>
      </c>
      <c r="I87" s="21">
        <f t="shared" ref="I87:I89" si="191">DATE(LEFT(H87,4),MID(H87,6,2),MID(H87,9,2))+TIME(MID(H87,12,2),MID(H87,15,2),MID(H87,18,2))</f>
        <v>46223.59747685185</v>
      </c>
      <c r="J87" s="25" t="s">
        <v>7121</v>
      </c>
      <c r="K87" s="1" t="s">
        <v>6795</v>
      </c>
    </row>
    <row r="88" spans="1:11" ht="213.75" hidden="1">
      <c r="A88" s="1" t="s">
        <v>6995</v>
      </c>
      <c r="B88" s="1" t="s">
        <v>6996</v>
      </c>
      <c r="C88" s="1" t="str">
        <f t="shared" si="186"/>
        <v/>
      </c>
      <c r="D88" s="19" t="str">
        <f t="shared" si="187"/>
        <v>810</v>
      </c>
      <c r="E88" s="1" t="str">
        <f t="shared" si="188"/>
        <v>300271213</v>
      </c>
      <c r="F88" s="1" t="str">
        <f t="shared" si="189"/>
        <v xml:space="preserve">FLAVIA GEORGIA BRAGA SILVA CONFECCOES LTDA </v>
      </c>
      <c r="G88" s="1" t="str">
        <f t="shared" si="190"/>
        <v>Frente</v>
      </c>
      <c r="H88" s="13" t="s">
        <v>6997</v>
      </c>
      <c r="I88" s="21">
        <f t="shared" si="191"/>
        <v>46206.835486111115</v>
      </c>
      <c r="J88" s="25" t="s">
        <v>6998</v>
      </c>
      <c r="K88" s="1" t="s">
        <v>6795</v>
      </c>
    </row>
    <row r="89" spans="1:11" ht="197.25" hidden="1">
      <c r="A89" s="1" t="s">
        <v>7122</v>
      </c>
      <c r="B89" s="1" t="s">
        <v>7123</v>
      </c>
      <c r="C89" s="1" t="str">
        <f t="shared" si="186"/>
        <v/>
      </c>
      <c r="D89" s="19" t="str">
        <f t="shared" si="187"/>
        <v>794</v>
      </c>
      <c r="E89" s="1" t="str">
        <f t="shared" si="188"/>
        <v>300276897</v>
      </c>
      <c r="F89" s="1" t="str">
        <f t="shared" si="189"/>
        <v xml:space="preserve">F &amp; L AZEVEDO CONFECCAO LTDA FILIAL </v>
      </c>
      <c r="G89" s="1" t="str">
        <f t="shared" si="190"/>
        <v>Etiqueta de Composição</v>
      </c>
      <c r="H89" s="13" t="s">
        <v>7124</v>
      </c>
      <c r="I89" s="21">
        <f t="shared" si="191"/>
        <v>46206.685474537036</v>
      </c>
      <c r="J89" s="25" t="s">
        <v>7125</v>
      </c>
      <c r="K89" s="1" t="s">
        <v>6795</v>
      </c>
    </row>
    <row r="90" spans="1:11" ht="246.75" hidden="1">
      <c r="A90" s="1" t="s">
        <v>7126</v>
      </c>
      <c r="B90" s="1" t="s">
        <v>7127</v>
      </c>
      <c r="C90" s="1" t="str">
        <f>IFERROR(IF(ISNUMBER(VALUE(_xlfn.TEXTBEFORE(B90,"-"))),"",_xlfn.TEXTBEFORE(B90,"-")),"")</f>
        <v/>
      </c>
      <c r="D90" s="19" t="str">
        <f>IFERROR(IF(ISNUMBER(VALUE(_xlfn.TEXTBEFORE(B90,"-"))),_xlfn.TEXTBEFORE(B90,"-"),_xlfn.TEXTBEFORE(_xlfn.TEXTAFTER(B90,"-"),"-")),"")</f>
        <v>789</v>
      </c>
      <c r="E90" s="1" t="str">
        <f>IFERROR(IF(ISNUMBER(VALUE(_xlfn.TEXTBEFORE(B90,"-"))),_xlfn.TEXTBEFORE(_xlfn.TEXTAFTER(B90,"-"),"-"),_xlfn.TEXTBEFORE(_xlfn.TEXTAFTER(B90,"-",2),"-")),"")</f>
        <v>300269525</v>
      </c>
      <c r="F90" s="1" t="str">
        <f>IFERROR(IF(ISNUMBER(VALUE(_xlfn.TEXTBEFORE(B90,"-"))),_xlfn.TEXTBEFORE(_xlfn.TEXTAFTER(B90,"-",2)," - "),_xlfn.TEXTBEFORE(_xlfn.TEXTAFTER(B90,"-",3)," - ")),"")</f>
        <v xml:space="preserve">AJG CONFECCOES LTDA </v>
      </c>
      <c r="G90" s="1" t="str">
        <f>IFERROR(_xlfn.TEXTAFTER(B90," - ",-1),"")</f>
        <v>Viés de Reforço</v>
      </c>
      <c r="H90" s="13" t="s">
        <v>7128</v>
      </c>
      <c r="I90" s="21">
        <f>DATE(LEFT(H90,4),MID(H90,6,2),MID(H90,9,2))+TIME(MID(H90,12,2),MID(H90,15,2),MID(H90,18,2))</f>
        <v>46206.628067129626</v>
      </c>
      <c r="J90" s="25" t="s">
        <v>7129</v>
      </c>
      <c r="K90" s="1" t="s">
        <v>6795</v>
      </c>
    </row>
    <row r="91" spans="1:11" ht="230.25" hidden="1">
      <c r="A91" s="1" t="s">
        <v>7130</v>
      </c>
      <c r="B91" s="1" t="s">
        <v>7131</v>
      </c>
      <c r="C91" s="1" t="str">
        <f>IFERROR(IF(ISNUMBER(VALUE(_xlfn.TEXTBEFORE(B91,"-"))),"",_xlfn.TEXTBEFORE(B91,"-")),"")</f>
        <v>JEANS</v>
      </c>
      <c r="D91" s="19" t="str">
        <f>IFERROR(IF(ISNUMBER(VALUE(_xlfn.TEXTBEFORE(B91,"-"))),_xlfn.TEXTBEFORE(B91,"-"),_xlfn.TEXTBEFORE(_xlfn.TEXTAFTER(B91,"-"),"-")),"")</f>
        <v xml:space="preserve"> 1279</v>
      </c>
      <c r="E91" s="1" t="str">
        <f>IFERROR(IF(ISNUMBER(VALUE(_xlfn.TEXTBEFORE(B91,"-"))),_xlfn.TEXTBEFORE(_xlfn.TEXTAFTER(B91,"-"),"-"),_xlfn.TEXTBEFORE(_xlfn.TEXTAFTER(B91,"-",2),"-")),"")</f>
        <v>300275800</v>
      </c>
      <c r="F91" s="1" t="str">
        <f>IFERROR(IF(ISNUMBER(VALUE(_xlfn.TEXTBEFORE(B91,"-"))),_xlfn.TEXTBEFORE(_xlfn.TEXTAFTER(B91,"-",2)," - "),_xlfn.TEXTBEFORE(_xlfn.TEXTAFTER(B91,"-",3)," - ")),"")</f>
        <v xml:space="preserve">FACCAO ELLO LTDA </v>
      </c>
      <c r="G91" s="1" t="str">
        <f>IFERROR(_xlfn.TEXTAFTER(B91," - ",-1),"")</f>
        <v>Etiqueta de Composição</v>
      </c>
      <c r="H91" s="13" t="s">
        <v>7132</v>
      </c>
      <c r="I91" s="21">
        <f>DATE(LEFT(H91,4),MID(H91,6,2),MID(H91,9,2))+TIME(MID(H91,12,2),MID(H91,15,2),MID(H91,18,2))</f>
        <v>46220.840949074074</v>
      </c>
      <c r="J91" s="25" t="s">
        <v>7133</v>
      </c>
      <c r="K91" s="1" t="s">
        <v>6795</v>
      </c>
    </row>
    <row r="92" spans="1:11" ht="263.25" hidden="1">
      <c r="A92" s="1" t="s">
        <v>7134</v>
      </c>
      <c r="B92" s="1" t="s">
        <v>7135</v>
      </c>
      <c r="C92" s="1" t="str">
        <f>IFERROR(IF(ISNUMBER(VALUE(_xlfn.TEXTBEFORE(B92,"-"))),"",_xlfn.TEXTBEFORE(B92,"-")),"")</f>
        <v/>
      </c>
      <c r="D92" s="19" t="str">
        <f>IFERROR(IF(ISNUMBER(VALUE(_xlfn.TEXTBEFORE(B92,"-"))),_xlfn.TEXTBEFORE(B92,"-"),_xlfn.TEXTBEFORE(_xlfn.TEXTAFTER(B92,"-"),"-")),"")</f>
        <v>420</v>
      </c>
      <c r="E92" s="1" t="str">
        <f>IFERROR(IF(ISNUMBER(VALUE(_xlfn.TEXTBEFORE(B92,"-"))),_xlfn.TEXTBEFORE(_xlfn.TEXTAFTER(B92,"-"),"-"),_xlfn.TEXTBEFORE(_xlfn.TEXTAFTER(B92,"-",2),"-")),"")</f>
        <v>300272458</v>
      </c>
      <c r="F92" s="1" t="str">
        <f>IFERROR(IF(ISNUMBER(VALUE(_xlfn.TEXTBEFORE(B92,"-"))),_xlfn.TEXTBEFORE(_xlfn.TEXTAFTER(B92,"-",2)," - "),_xlfn.TEXTBEFORE(_xlfn.TEXTAFTER(B92,"-",3)," - ")),"")</f>
        <v xml:space="preserve">ACAUA CONFECCOES LTDA </v>
      </c>
      <c r="G92" s="1" t="str">
        <f>IFERROR(_xlfn.TEXTAFTER(B92," - ",-1),"")</f>
        <v>Viés de reforço</v>
      </c>
      <c r="H92" s="13" t="s">
        <v>7136</v>
      </c>
      <c r="I92" s="21">
        <f>DATE(LEFT(H92,4),MID(H92,6,2),MID(H92,9,2))+TIME(MID(H92,12,2),MID(H92,15,2),MID(H92,18,2))</f>
        <v>46195.529988425929</v>
      </c>
      <c r="J92" s="25" t="s">
        <v>7137</v>
      </c>
      <c r="K92" s="1" t="s">
        <v>6795</v>
      </c>
    </row>
    <row r="93" spans="1:11" ht="230.25" hidden="1">
      <c r="A93" s="1" t="s">
        <v>7138</v>
      </c>
      <c r="B93" s="1" t="s">
        <v>7139</v>
      </c>
      <c r="C93" s="1" t="str">
        <f>IFERROR(IF(ISNUMBER(VALUE(_xlfn.TEXTBEFORE(B93,"-"))),"",_xlfn.TEXTBEFORE(B93,"-")),"")</f>
        <v/>
      </c>
      <c r="D93" s="19" t="str">
        <f>IFERROR(IF(ISNUMBER(VALUE(_xlfn.TEXTBEFORE(B93,"-"))),_xlfn.TEXTBEFORE(B93,"-"),_xlfn.TEXTBEFORE(_xlfn.TEXTAFTER(B93,"-"),"-")),"")</f>
        <v>781</v>
      </c>
      <c r="E93" s="1" t="str">
        <f>IFERROR(IF(ISNUMBER(VALUE(_xlfn.TEXTBEFORE(B93,"-"))),_xlfn.TEXTBEFORE(_xlfn.TEXTAFTER(B93,"-"),"-"),_xlfn.TEXTBEFORE(_xlfn.TEXTAFTER(B93,"-",2),"-")),"")</f>
        <v>300277186</v>
      </c>
      <c r="F93" s="1" t="str">
        <f>IFERROR(IF(ISNUMBER(VALUE(_xlfn.TEXTBEFORE(B93,"-"))),_xlfn.TEXTBEFORE(_xlfn.TEXTAFTER(B93,"-",2)," - "),_xlfn.TEXTBEFORE(_xlfn.TEXTAFTER(B93,"-",3)," - ")),"")</f>
        <v xml:space="preserve">N S CONSTANTINO LTDA </v>
      </c>
      <c r="G93" s="1" t="str">
        <f>IFERROR(_xlfn.TEXTAFTER(B93," - ",-1),"")</f>
        <v>Pertingal</v>
      </c>
      <c r="H93" s="13" t="s">
        <v>7140</v>
      </c>
      <c r="I93" s="21">
        <f>DATE(LEFT(H93,4),MID(H93,6,2),MID(H93,9,2))+TIME(MID(H93,12,2),MID(H93,15,2),MID(H93,18,2))</f>
        <v>46206.573773148149</v>
      </c>
      <c r="J93" s="25" t="s">
        <v>7141</v>
      </c>
      <c r="K93" s="1" t="s">
        <v>6795</v>
      </c>
    </row>
    <row r="94" spans="1:11" ht="246.75" hidden="1">
      <c r="A94" s="1" t="s">
        <v>7142</v>
      </c>
      <c r="B94" s="1" t="s">
        <v>7143</v>
      </c>
      <c r="C94" s="1" t="str">
        <f t="shared" ref="C94:C95" si="192">IFERROR(IF(ISNUMBER(VALUE(_xlfn.TEXTBEFORE(B94,"-"))),"",_xlfn.TEXTBEFORE(B94,"-")),"")</f>
        <v>MALHA</v>
      </c>
      <c r="D94" s="19" t="str">
        <f t="shared" ref="D94:D95" si="193">IFERROR(IF(ISNUMBER(VALUE(_xlfn.TEXTBEFORE(B94,"-"))),_xlfn.TEXTBEFORE(B94,"-"),_xlfn.TEXTBEFORE(_xlfn.TEXTAFTER(B94,"-"),"-")),"")</f>
        <v xml:space="preserve"> 1278</v>
      </c>
      <c r="E94" s="1" t="str">
        <f t="shared" ref="E94:E95" si="194">IFERROR(IF(ISNUMBER(VALUE(_xlfn.TEXTBEFORE(B94,"-"))),_xlfn.TEXTBEFORE(_xlfn.TEXTAFTER(B94,"-"),"-"),_xlfn.TEXTBEFORE(_xlfn.TEXTAFTER(B94,"-",2),"-")),"")</f>
        <v>300280730</v>
      </c>
      <c r="F94" s="1" t="str">
        <f t="shared" ref="F94:F95" si="195">IFERROR(IF(ISNUMBER(VALUE(_xlfn.TEXTBEFORE(B94,"-"))),_xlfn.TEXTBEFORE(_xlfn.TEXTAFTER(B94,"-",2)," - "),_xlfn.TEXTBEFORE(_xlfn.TEXTAFTER(B94,"-",3)," - ")),"")</f>
        <v xml:space="preserve">EBENEZER INDUSTRIA TEXTIL LTDA </v>
      </c>
      <c r="G94" s="1" t="str">
        <f t="shared" ref="G94:G95" si="196">IFERROR(_xlfn.TEXTAFTER(B94," - ",-1),"")</f>
        <v>Etiqueta de Composição</v>
      </c>
      <c r="H94" s="13" t="s">
        <v>7144</v>
      </c>
      <c r="I94" s="21">
        <f t="shared" ref="I94:I95" si="197">DATE(LEFT(H94,4),MID(H94,6,2),MID(H94,9,2))+TIME(MID(H94,12,2),MID(H94,15,2),MID(H94,18,2))</f>
        <v>46220.827210648145</v>
      </c>
      <c r="J94" s="25" t="s">
        <v>7145</v>
      </c>
      <c r="K94" s="1" t="s">
        <v>6795</v>
      </c>
    </row>
    <row r="95" spans="1:11" ht="279.75" hidden="1">
      <c r="A95" s="1" t="s">
        <v>7146</v>
      </c>
      <c r="B95" s="1" t="s">
        <v>7147</v>
      </c>
      <c r="C95" s="1" t="str">
        <f t="shared" si="192"/>
        <v/>
      </c>
      <c r="D95" s="19" t="str">
        <f t="shared" si="193"/>
        <v>413</v>
      </c>
      <c r="E95" s="1" t="str">
        <f t="shared" si="194"/>
        <v>300262590</v>
      </c>
      <c r="F95" s="1" t="str">
        <f t="shared" si="195"/>
        <v xml:space="preserve">M A P FORTE FORTEX PRODUCAO TEXTIL </v>
      </c>
      <c r="G95" s="1" t="str">
        <f t="shared" si="196"/>
        <v>Traseiro</v>
      </c>
      <c r="H95" s="13" t="s">
        <v>7148</v>
      </c>
      <c r="I95" s="21">
        <f t="shared" si="197"/>
        <v>46195.454305555555</v>
      </c>
      <c r="J95" s="25" t="s">
        <v>7149</v>
      </c>
      <c r="K95" s="1" t="s">
        <v>6795</v>
      </c>
    </row>
    <row r="96" spans="1:11" ht="279.75" hidden="1">
      <c r="A96" s="1" t="s">
        <v>7150</v>
      </c>
      <c r="B96" s="1" t="s">
        <v>7151</v>
      </c>
      <c r="C96" s="1" t="str">
        <f t="shared" ref="C96:C97" si="198">IFERROR(IF(ISNUMBER(VALUE(_xlfn.TEXTBEFORE(B96,"-"))),"",_xlfn.TEXTBEFORE(B96,"-")),"")</f>
        <v/>
      </c>
      <c r="D96" s="19" t="str">
        <f t="shared" ref="D96:D97" si="199">IFERROR(IF(ISNUMBER(VALUE(_xlfn.TEXTBEFORE(B96,"-"))),_xlfn.TEXTBEFORE(B96,"-"),_xlfn.TEXTBEFORE(_xlfn.TEXTAFTER(B96,"-"),"-")),"")</f>
        <v>780</v>
      </c>
      <c r="E96" s="1" t="str">
        <f t="shared" ref="E96:E97" si="200">IFERROR(IF(ISNUMBER(VALUE(_xlfn.TEXTBEFORE(B96,"-"))),_xlfn.TEXTBEFORE(_xlfn.TEXTAFTER(B96,"-"),"-"),_xlfn.TEXTBEFORE(_xlfn.TEXTAFTER(B96,"-",2),"-")),"")</f>
        <v>300277186</v>
      </c>
      <c r="F96" s="1" t="str">
        <f t="shared" ref="F96:F97" si="201">IFERROR(IF(ISNUMBER(VALUE(_xlfn.TEXTBEFORE(B96,"-"))),_xlfn.TEXTBEFORE(_xlfn.TEXTAFTER(B96,"-",2)," - "),_xlfn.TEXTBEFORE(_xlfn.TEXTAFTER(B96,"-",3)," - ")),"")</f>
        <v xml:space="preserve">N S CONSTANTINO LTDA </v>
      </c>
      <c r="G96" s="1" t="str">
        <f t="shared" ref="G96:G97" si="202">IFERROR(_xlfn.TEXTAFTER(B96," - ",-1),"")</f>
        <v>Braguilha</v>
      </c>
      <c r="H96" s="13" t="s">
        <v>7152</v>
      </c>
      <c r="I96" s="21">
        <f t="shared" ref="I96:I97" si="203">DATE(LEFT(H96,4),MID(H96,6,2),MID(H96,9,2))+TIME(MID(H96,12,2),MID(H96,15,2),MID(H96,18,2))</f>
        <v>46206.571631944447</v>
      </c>
      <c r="J96" s="25" t="s">
        <v>7153</v>
      </c>
      <c r="K96" s="1" t="s">
        <v>6795</v>
      </c>
    </row>
    <row r="97" spans="1:11" ht="279.75" hidden="1">
      <c r="A97" s="1" t="s">
        <v>7154</v>
      </c>
      <c r="B97" s="1" t="s">
        <v>7155</v>
      </c>
      <c r="C97" s="1" t="str">
        <f t="shared" si="198"/>
        <v/>
      </c>
      <c r="D97" s="19" t="str">
        <f t="shared" si="199"/>
        <v>412</v>
      </c>
      <c r="E97" s="1" t="str">
        <f t="shared" si="200"/>
        <v>300262591</v>
      </c>
      <c r="F97" s="1" t="str">
        <f t="shared" si="201"/>
        <v xml:space="preserve">M A P FORTE FORTEX PRODUCAO TEXTIL </v>
      </c>
      <c r="G97" s="1" t="str">
        <f t="shared" si="202"/>
        <v>Traseiro</v>
      </c>
      <c r="H97" s="13" t="s">
        <v>7156</v>
      </c>
      <c r="I97" s="21">
        <f t="shared" si="203"/>
        <v>46195.447916666664</v>
      </c>
      <c r="J97" s="25" t="s">
        <v>7157</v>
      </c>
      <c r="K97" s="1" t="s">
        <v>6795</v>
      </c>
    </row>
    <row r="98" spans="1:11" ht="230.25" hidden="1">
      <c r="A98" s="1" t="s">
        <v>7158</v>
      </c>
      <c r="B98" s="1" t="s">
        <v>7159</v>
      </c>
      <c r="C98" s="1" t="str">
        <f>IFERROR(IF(ISNUMBER(VALUE(_xlfn.TEXTBEFORE(B98,"-"))),"",_xlfn.TEXTBEFORE(B98,"-")),"")</f>
        <v>TEAR</v>
      </c>
      <c r="D98" s="19" t="str">
        <f>IFERROR(IF(ISNUMBER(VALUE(_xlfn.TEXTBEFORE(B98,"-"))),_xlfn.TEXTBEFORE(B98,"-"),_xlfn.TEXTBEFORE(_xlfn.TEXTAFTER(B98,"-"),"-")),"")</f>
        <v xml:space="preserve"> 1277</v>
      </c>
      <c r="E98" s="1" t="str">
        <f>IFERROR(IF(ISNUMBER(VALUE(_xlfn.TEXTBEFORE(B98,"-"))),_xlfn.TEXTBEFORE(_xlfn.TEXTAFTER(B98,"-"),"-"),_xlfn.TEXTBEFORE(_xlfn.TEXTAFTER(B98,"-",2),"-")),"")</f>
        <v>300281200</v>
      </c>
      <c r="F98" s="1" t="str">
        <f>IFERROR(IF(ISNUMBER(VALUE(_xlfn.TEXTBEFORE(B98,"-"))),_xlfn.TEXTBEFORE(_xlfn.TEXTAFTER(B98,"-",2)," - "),_xlfn.TEXTBEFORE(_xlfn.TEXTAFTER(B98,"-",3)," - ")),"")</f>
        <v xml:space="preserve">JOSENI MARIA DE MEDEIROS </v>
      </c>
      <c r="G98" s="1" t="str">
        <f>IFERROR(_xlfn.TEXTAFTER(B98," - ",-1),"")</f>
        <v>Viés </v>
      </c>
      <c r="H98" s="13" t="s">
        <v>7160</v>
      </c>
      <c r="I98" s="21">
        <f>DATE(LEFT(H98,4),MID(H98,6,2),MID(H98,9,2))+TIME(MID(H98,12,2),MID(H98,15,2),MID(H98,18,2))</f>
        <v>46220.825925925928</v>
      </c>
      <c r="J98" s="25" t="s">
        <v>7161</v>
      </c>
      <c r="K98" s="1" t="s">
        <v>6795</v>
      </c>
    </row>
    <row r="99" spans="1:11" ht="279.75" hidden="1">
      <c r="A99" s="1" t="s">
        <v>7162</v>
      </c>
      <c r="B99" s="1" t="s">
        <v>7163</v>
      </c>
      <c r="C99" s="1" t="str">
        <f>IFERROR(IF(ISNUMBER(VALUE(_xlfn.TEXTBEFORE(B99,"-"))),"",_xlfn.TEXTBEFORE(B99,"-")),"")</f>
        <v/>
      </c>
      <c r="D99" s="19" t="str">
        <f>IFERROR(IF(ISNUMBER(VALUE(_xlfn.TEXTBEFORE(B99,"-"))),_xlfn.TEXTBEFORE(B99,"-"),_xlfn.TEXTBEFORE(_xlfn.TEXTAFTER(B99,"-"),"-")),"")</f>
        <v>411</v>
      </c>
      <c r="E99" s="1" t="str">
        <f>IFERROR(IF(ISNUMBER(VALUE(_xlfn.TEXTBEFORE(B99,"-"))),_xlfn.TEXTBEFORE(_xlfn.TEXTAFTER(B99,"-"),"-"),_xlfn.TEXTBEFORE(_xlfn.TEXTAFTER(B99,"-",2),"-")),"")</f>
        <v>300272276</v>
      </c>
      <c r="F99" s="1" t="str">
        <f>IFERROR(IF(ISNUMBER(VALUE(_xlfn.TEXTBEFORE(B99,"-"))),_xlfn.TEXTBEFORE(_xlfn.TEXTAFTER(B99,"-",2)," - "),_xlfn.TEXTBEFORE(_xlfn.TEXTAFTER(B99,"-",3)," - ")),"")</f>
        <v xml:space="preserve">M A P FORTE FORTEX PRODUCAO TEXTIL </v>
      </c>
      <c r="G99" s="1" t="str">
        <f>IFERROR(_xlfn.TEXTAFTER(B99," - ",-1),"")</f>
        <v>Traseiro</v>
      </c>
      <c r="H99" s="13" t="s">
        <v>7164</v>
      </c>
      <c r="I99" s="21">
        <f>DATE(LEFT(H99,4),MID(H99,6,2),MID(H99,9,2))+TIME(MID(H99,12,2),MID(H99,15,2),MID(H99,18,2))</f>
        <v>46195.442777777775</v>
      </c>
      <c r="J99" s="25" t="s">
        <v>7165</v>
      </c>
      <c r="K99" s="1" t="s">
        <v>6795</v>
      </c>
    </row>
    <row r="100" spans="1:11" ht="230.25" hidden="1">
      <c r="A100" s="1" t="s">
        <v>7166</v>
      </c>
      <c r="B100" s="1" t="s">
        <v>7167</v>
      </c>
      <c r="C100" s="1" t="str">
        <f>IFERROR(IF(ISNUMBER(VALUE(_xlfn.TEXTBEFORE(B100,"-"))),"",_xlfn.TEXTBEFORE(B100,"-")),"")</f>
        <v>JEANS</v>
      </c>
      <c r="D100" s="19" t="str">
        <f>IFERROR(IF(ISNUMBER(VALUE(_xlfn.TEXTBEFORE(B100,"-"))),_xlfn.TEXTBEFORE(B100,"-"),_xlfn.TEXTBEFORE(_xlfn.TEXTAFTER(B100,"-"),"-")),"")</f>
        <v xml:space="preserve"> 1270</v>
      </c>
      <c r="E100" s="1" t="str">
        <f>IFERROR(IF(ISNUMBER(VALUE(_xlfn.TEXTBEFORE(B100,"-"))),_xlfn.TEXTBEFORE(_xlfn.TEXTAFTER(B100,"-"),"-"),_xlfn.TEXTBEFORE(_xlfn.TEXTAFTER(B100,"-",2),"-")),"")</f>
        <v>300275035</v>
      </c>
      <c r="F100" s="1" t="str">
        <f>IFERROR(IF(ISNUMBER(VALUE(_xlfn.TEXTBEFORE(B100,"-"))),_xlfn.TEXTBEFORE(_xlfn.TEXTAFTER(B100,"-",2)," - "),_xlfn.TEXTBEFORE(_xlfn.TEXTAFTER(B100,"-",3)," - ")),"")</f>
        <v xml:space="preserve">ASA CONFECCOES LTDA </v>
      </c>
      <c r="G100" s="1" t="str">
        <f>IFERROR(_xlfn.TEXTAFTER(B100," - ",-1),"")</f>
        <v>Cós</v>
      </c>
      <c r="H100" s="13" t="s">
        <v>7168</v>
      </c>
      <c r="I100" s="21">
        <f>DATE(LEFT(H100,4),MID(H100,6,2),MID(H100,9,2))+TIME(MID(H100,12,2),MID(H100,15,2),MID(H100,18,2))</f>
        <v>46220.77416666667</v>
      </c>
      <c r="J100" s="25" t="s">
        <v>7169</v>
      </c>
      <c r="K100" s="1" t="s">
        <v>6795</v>
      </c>
    </row>
    <row r="101" spans="1:11" ht="279.75" hidden="1">
      <c r="A101" s="1" t="s">
        <v>7170</v>
      </c>
      <c r="B101" s="1" t="s">
        <v>7171</v>
      </c>
      <c r="C101" s="1" t="str">
        <f t="shared" ref="C101:C103" si="204">IFERROR(IF(ISNUMBER(VALUE(_xlfn.TEXTBEFORE(B101,"-"))),"",_xlfn.TEXTBEFORE(B101,"-")),"")</f>
        <v/>
      </c>
      <c r="D101" s="19" t="str">
        <f t="shared" ref="D101:D103" si="205">IFERROR(IF(ISNUMBER(VALUE(_xlfn.TEXTBEFORE(B101,"-"))),_xlfn.TEXTBEFORE(B101,"-"),_xlfn.TEXTBEFORE(_xlfn.TEXTAFTER(B101,"-"),"-")),"")</f>
        <v>410</v>
      </c>
      <c r="E101" s="1" t="str">
        <f t="shared" ref="E101:E103" si="206">IFERROR(IF(ISNUMBER(VALUE(_xlfn.TEXTBEFORE(B101,"-"))),_xlfn.TEXTBEFORE(_xlfn.TEXTAFTER(B101,"-"),"-"),_xlfn.TEXTBEFORE(_xlfn.TEXTAFTER(B101,"-",2),"-")),"")</f>
        <v>300262745</v>
      </c>
      <c r="F101" s="1" t="str">
        <f t="shared" ref="F101:F103" si="207">IFERROR(IF(ISNUMBER(VALUE(_xlfn.TEXTBEFORE(B101,"-"))),_xlfn.TEXTBEFORE(_xlfn.TEXTAFTER(B101,"-",2)," - "),_xlfn.TEXTBEFORE(_xlfn.TEXTAFTER(B101,"-",3)," - ")),"")</f>
        <v xml:space="preserve">M A P FORTE FORTEX PRODUCAO TEXTIL </v>
      </c>
      <c r="G101" s="1" t="str">
        <f t="shared" ref="G101:G103" si="208">IFERROR(_xlfn.TEXTAFTER(B101," - ",-1),"")</f>
        <v>Traseiro</v>
      </c>
      <c r="H101" s="13" t="s">
        <v>7172</v>
      </c>
      <c r="I101" s="21">
        <f t="shared" ref="I101:I103" si="209">DATE(LEFT(H101,4),MID(H101,6,2),MID(H101,9,2))+TIME(MID(H101,12,2),MID(H101,15,2),MID(H101,18,2))</f>
        <v>46195.438043981485</v>
      </c>
      <c r="J101" s="25" t="s">
        <v>7173</v>
      </c>
      <c r="K101" s="1" t="s">
        <v>6795</v>
      </c>
    </row>
    <row r="102" spans="1:11" ht="197.25" hidden="1">
      <c r="A102" s="1" t="s">
        <v>7174</v>
      </c>
      <c r="B102" s="1" t="s">
        <v>7175</v>
      </c>
      <c r="C102" s="1" t="str">
        <f t="shared" si="204"/>
        <v/>
      </c>
      <c r="D102" s="19" t="str">
        <f t="shared" si="205"/>
        <v>777</v>
      </c>
      <c r="E102" s="1" t="str">
        <f t="shared" si="206"/>
        <v>300270254</v>
      </c>
      <c r="F102" s="1" t="str">
        <f t="shared" si="207"/>
        <v xml:space="preserve">LEANDRO MATIAS DA SILVA </v>
      </c>
      <c r="G102" s="1" t="str">
        <f t="shared" si="208"/>
        <v>Etiqueta de Composição</v>
      </c>
      <c r="H102" s="13" t="s">
        <v>7176</v>
      </c>
      <c r="I102" s="21">
        <f t="shared" si="209"/>
        <v>46206.562604166669</v>
      </c>
      <c r="J102" s="25" t="s">
        <v>7177</v>
      </c>
      <c r="K102" s="1" t="s">
        <v>6795</v>
      </c>
    </row>
    <row r="103" spans="1:11" ht="180.75" hidden="1">
      <c r="A103" s="1" t="s">
        <v>7178</v>
      </c>
      <c r="B103" s="1" t="s">
        <v>7179</v>
      </c>
      <c r="C103" s="1" t="str">
        <f t="shared" si="204"/>
        <v>JEANS</v>
      </c>
      <c r="D103" s="19" t="str">
        <f t="shared" si="205"/>
        <v xml:space="preserve"> 1268</v>
      </c>
      <c r="E103" s="1" t="str">
        <f t="shared" si="206"/>
        <v>300277468</v>
      </c>
      <c r="F103" s="1" t="str">
        <f t="shared" si="207"/>
        <v xml:space="preserve">DANTAS E PAULINO CONFECCOES LTDA </v>
      </c>
      <c r="G103" s="1" t="str">
        <f t="shared" si="208"/>
        <v>Elástico</v>
      </c>
      <c r="H103" s="13" t="s">
        <v>7180</v>
      </c>
      <c r="I103" s="21">
        <f t="shared" si="209"/>
        <v>46220.745995370373</v>
      </c>
      <c r="J103" s="25" t="s">
        <v>7181</v>
      </c>
      <c r="K103" s="1" t="s">
        <v>6795</v>
      </c>
    </row>
    <row r="104" spans="1:11" ht="246.75" hidden="1">
      <c r="A104" s="1" t="s">
        <v>7182</v>
      </c>
      <c r="B104" s="1" t="s">
        <v>7183</v>
      </c>
      <c r="C104" s="1" t="str">
        <f t="shared" ref="C104:C105" si="210">IFERROR(IF(ISNUMBER(VALUE(_xlfn.TEXTBEFORE(B104,"-"))),"",_xlfn.TEXTBEFORE(B104,"-")),"")</f>
        <v>JEANS</v>
      </c>
      <c r="D104" s="19" t="str">
        <f t="shared" ref="D104:D105" si="211">IFERROR(IF(ISNUMBER(VALUE(_xlfn.TEXTBEFORE(B104,"-"))),_xlfn.TEXTBEFORE(B104,"-"),_xlfn.TEXTBEFORE(_xlfn.TEXTAFTER(B104,"-"),"-")),"")</f>
        <v xml:space="preserve"> 1264</v>
      </c>
      <c r="E104" s="1" t="str">
        <f t="shared" ref="E104:E105" si="212">IFERROR(IF(ISNUMBER(VALUE(_xlfn.TEXTBEFORE(B104,"-"))),_xlfn.TEXTBEFORE(_xlfn.TEXTAFTER(B104,"-"),"-"),_xlfn.TEXTBEFORE(_xlfn.TEXTAFTER(B104,"-",2),"-")),"")</f>
        <v>300280288</v>
      </c>
      <c r="F104" s="1" t="str">
        <f t="shared" ref="F104:F105" si="213">IFERROR(IF(ISNUMBER(VALUE(_xlfn.TEXTBEFORE(B104,"-"))),_xlfn.TEXTBEFORE(_xlfn.TEXTAFTER(B104,"-",2)," - "),_xlfn.TEXTBEFORE(_xlfn.TEXTAFTER(B104,"-",3)," - ")),"")</f>
        <v xml:space="preserve">FACCAO ELLO LTDA </v>
      </c>
      <c r="G104" s="1" t="str">
        <f t="shared" ref="G104:G105" si="214">IFERROR(_xlfn.TEXTAFTER(B104," - ",-1),"")</f>
        <v>Frente</v>
      </c>
      <c r="H104" s="13" t="s">
        <v>7184</v>
      </c>
      <c r="I104" s="21">
        <f t="shared" ref="I104:I105" si="215">DATE(LEFT(H104,4),MID(H104,6,2),MID(H104,9,2))+TIME(MID(H104,12,2),MID(H104,15,2),MID(H104,18,2))</f>
        <v>46220.726400462961</v>
      </c>
      <c r="J104" s="25" t="s">
        <v>7185</v>
      </c>
      <c r="K104" s="1" t="s">
        <v>6795</v>
      </c>
    </row>
    <row r="105" spans="1:11" ht="246.75" hidden="1">
      <c r="A105" s="1" t="e" cm="1">
        <f t="array" aca="1" ref="A105" ca="1">-hBD8LnLfkqEMcmz5eNnP2QAM7jM</f>
        <v>#NAME?</v>
      </c>
      <c r="B105" s="1" t="s">
        <v>7186</v>
      </c>
      <c r="C105" s="1" t="str">
        <f t="shared" si="210"/>
        <v/>
      </c>
      <c r="D105" s="19" t="str">
        <f t="shared" si="211"/>
        <v>762</v>
      </c>
      <c r="E105" s="1" t="str">
        <f t="shared" si="212"/>
        <v>300270294</v>
      </c>
      <c r="F105" s="1" t="str">
        <f t="shared" si="213"/>
        <v xml:space="preserve">F &amp; L AZEVEDO CONFECCAO LTDA MATRIZ </v>
      </c>
      <c r="G105" s="1" t="str">
        <f t="shared" si="214"/>
        <v>Etiqueta de Composição</v>
      </c>
      <c r="H105" s="13" t="s">
        <v>7187</v>
      </c>
      <c r="I105" s="21">
        <f t="shared" si="215"/>
        <v>46205.866261574076</v>
      </c>
      <c r="J105" s="25" t="s">
        <v>7188</v>
      </c>
      <c r="K105" s="1" t="s">
        <v>6795</v>
      </c>
    </row>
    <row r="106" spans="1:11" ht="230.25" hidden="1">
      <c r="A106" s="1" t="s">
        <v>7189</v>
      </c>
      <c r="B106" s="1" t="s">
        <v>7190</v>
      </c>
      <c r="C106" s="1" t="str">
        <f>IFERROR(IF(ISNUMBER(VALUE(_xlfn.TEXTBEFORE(B106,"-"))),"",_xlfn.TEXTBEFORE(B106,"-")),"")</f>
        <v>JEANS</v>
      </c>
      <c r="D106" s="19" t="str">
        <f>IFERROR(IF(ISNUMBER(VALUE(_xlfn.TEXTBEFORE(B106,"-"))),_xlfn.TEXTBEFORE(B106,"-"),_xlfn.TEXTBEFORE(_xlfn.TEXTAFTER(B106,"-"),"-")),"")</f>
        <v xml:space="preserve"> 1262</v>
      </c>
      <c r="E106" s="1" t="str">
        <f>IFERROR(IF(ISNUMBER(VALUE(_xlfn.TEXTBEFORE(B106,"-"))),_xlfn.TEXTBEFORE(_xlfn.TEXTAFTER(B106,"-"),"-"),_xlfn.TEXTBEFORE(_xlfn.TEXTAFTER(B106,"-",2),"-")),"")</f>
        <v>300276227</v>
      </c>
      <c r="F106" s="1" t="str">
        <f>IFERROR(IF(ISNUMBER(VALUE(_xlfn.TEXTBEFORE(B106,"-"))),_xlfn.TEXTBEFORE(_xlfn.TEXTAFTER(B106,"-",2)," - "),_xlfn.TEXTBEFORE(_xlfn.TEXTAFTER(B106,"-",3)," - ")),"")</f>
        <v xml:space="preserve">P &amp; A CONFECCOES LTDA </v>
      </c>
      <c r="G106" s="1" t="str">
        <f>IFERROR(_xlfn.TEXTAFTER(B106," - ",-1),"")</f>
        <v>Cós</v>
      </c>
      <c r="H106" s="13" t="s">
        <v>7191</v>
      </c>
      <c r="I106" s="21">
        <f>DATE(LEFT(H106,4),MID(H106,6,2),MID(H106,9,2))+TIME(MID(H106,12,2),MID(H106,15,2),MID(H106,18,2))</f>
        <v>46220.702685185184</v>
      </c>
      <c r="J106" s="25" t="s">
        <v>7192</v>
      </c>
      <c r="K106" s="1" t="s">
        <v>6795</v>
      </c>
    </row>
    <row r="107" spans="1:11" ht="213.75" hidden="1">
      <c r="A107" s="1" t="s">
        <v>7193</v>
      </c>
      <c r="B107" s="1" t="s">
        <v>7194</v>
      </c>
      <c r="C107" s="1" t="str">
        <f>IFERROR(IF(ISNUMBER(VALUE(_xlfn.TEXTBEFORE(B107,"-"))),"",_xlfn.TEXTBEFORE(B107,"-")),"")</f>
        <v/>
      </c>
      <c r="D107" s="19" t="str">
        <f>IFERROR(IF(ISNUMBER(VALUE(_xlfn.TEXTBEFORE(B107,"-"))),_xlfn.TEXTBEFORE(B107,"-"),_xlfn.TEXTBEFORE(_xlfn.TEXTAFTER(B107,"-"),"-")),"")</f>
        <v>761</v>
      </c>
      <c r="E107" s="1" t="str">
        <f>IFERROR(IF(ISNUMBER(VALUE(_xlfn.TEXTBEFORE(B107,"-"))),_xlfn.TEXTBEFORE(_xlfn.TEXTAFTER(B107,"-"),"-"),_xlfn.TEXTBEFORE(_xlfn.TEXTAFTER(B107,"-",2),"-")),"")</f>
        <v>300274651</v>
      </c>
      <c r="F107" s="1" t="str">
        <f>IFERROR(IF(ISNUMBER(VALUE(_xlfn.TEXTBEFORE(B107,"-"))),_xlfn.TEXTBEFORE(_xlfn.TEXTAFTER(B107,"-",2)," - "),_xlfn.TEXTBEFORE(_xlfn.TEXTAFTER(B107,"-",3)," - ")),"")</f>
        <v xml:space="preserve">FACCAO ELLO LTDA </v>
      </c>
      <c r="G107" s="1" t="str">
        <f>IFERROR(_xlfn.TEXTAFTER(B107," - ",-1),"")</f>
        <v>Etiqueta de Composição</v>
      </c>
      <c r="H107" s="13" t="s">
        <v>7195</v>
      </c>
      <c r="I107" s="21">
        <f>DATE(LEFT(H107,4),MID(H107,6,2),MID(H107,9,2))+TIME(MID(H107,12,2),MID(H107,15,2),MID(H107,18,2))</f>
        <v>46205.840266203704</v>
      </c>
      <c r="J107" s="25" t="s">
        <v>7196</v>
      </c>
      <c r="K107" s="1" t="s">
        <v>6795</v>
      </c>
    </row>
    <row r="108" spans="1:11" ht="395.25" hidden="1">
      <c r="A108" s="1" t="s">
        <v>7197</v>
      </c>
      <c r="B108" s="1" t="s">
        <v>7198</v>
      </c>
      <c r="C108" s="1" t="str">
        <f>IFERROR(IF(ISNUMBER(VALUE(_xlfn.TEXTBEFORE(B108,"-"))),"",_xlfn.TEXTBEFORE(B108,"-")),"")</f>
        <v>MALHA</v>
      </c>
      <c r="D108" s="19" t="str">
        <f>IFERROR(IF(ISNUMBER(VALUE(_xlfn.TEXTBEFORE(B108,"-"))),_xlfn.TEXTBEFORE(B108,"-"),_xlfn.TEXTBEFORE(_xlfn.TEXTAFTER(B108,"-"),"-")),"")</f>
        <v xml:space="preserve"> 1258</v>
      </c>
      <c r="E108" s="1" t="str">
        <f>IFERROR(IF(ISNUMBER(VALUE(_xlfn.TEXTBEFORE(B108,"-"))),_xlfn.TEXTBEFORE(_xlfn.TEXTAFTER(B108,"-"),"-"),_xlfn.TEXTBEFORE(_xlfn.TEXTAFTER(B108,"-",2),"-")),"")</f>
        <v>300275626</v>
      </c>
      <c r="F108" s="1" t="str">
        <f>IFERROR(IF(ISNUMBER(VALUE(_xlfn.TEXTBEFORE(B108,"-"))),_xlfn.TEXTBEFORE(_xlfn.TEXTAFTER(B108,"-",2)," - "),_xlfn.TEXTBEFORE(_xlfn.TEXTAFTER(B108,"-",3)," - ")),"")</f>
        <v xml:space="preserve">CONFECCAO G. B. DA SILVA JUNIOR &amp; CIA LTDA </v>
      </c>
      <c r="G108" s="1" t="str">
        <f>IFERROR(_xlfn.TEXTAFTER(B108," - ",-1),"")</f>
        <v>Etiqueta de Composição</v>
      </c>
      <c r="H108" s="13" t="s">
        <v>7199</v>
      </c>
      <c r="I108" s="21">
        <f>DATE(LEFT(H108,4),MID(H108,6,2),MID(H108,9,2))+TIME(MID(H108,12,2),MID(H108,15,2),MID(H108,18,2))</f>
        <v>46220.656643518516</v>
      </c>
      <c r="J108" s="25" t="s">
        <v>7200</v>
      </c>
      <c r="K108" s="1" t="s">
        <v>6795</v>
      </c>
    </row>
    <row r="109" spans="1:11" ht="279.75" hidden="1">
      <c r="A109" s="1" t="s">
        <v>7201</v>
      </c>
      <c r="B109" s="1" t="s">
        <v>7202</v>
      </c>
      <c r="C109" s="1" t="str">
        <f>IFERROR(IF(ISNUMBER(VALUE(_xlfn.TEXTBEFORE(B109,"-"))),"",_xlfn.TEXTBEFORE(B109,"-")),"")</f>
        <v/>
      </c>
      <c r="D109" s="19" t="str">
        <f>IFERROR(IF(ISNUMBER(VALUE(_xlfn.TEXTBEFORE(B109,"-"))),_xlfn.TEXTBEFORE(B109,"-"),_xlfn.TEXTBEFORE(_xlfn.TEXTAFTER(B109,"-"),"-")),"")</f>
        <v>760</v>
      </c>
      <c r="E109" s="1" t="str">
        <f>IFERROR(IF(ISNUMBER(VALUE(_xlfn.TEXTBEFORE(B109,"-"))),_xlfn.TEXTBEFORE(_xlfn.TEXTAFTER(B109,"-"),"-"),_xlfn.TEXTBEFORE(_xlfn.TEXTAFTER(B109,"-",2),"-")),"")</f>
        <v>300275039</v>
      </c>
      <c r="F109" s="1" t="str">
        <f>IFERROR(IF(ISNUMBER(VALUE(_xlfn.TEXTBEFORE(B109,"-"))),_xlfn.TEXTBEFORE(_xlfn.TEXTAFTER(B109,"-",2)," - "),_xlfn.TEXTBEFORE(_xlfn.TEXTAFTER(B109,"-",3)," - ")),"")</f>
        <v xml:space="preserve">IDEAL CONFECCOES LTDA </v>
      </c>
      <c r="G109" s="1" t="str">
        <f>IFERROR(_xlfn.TEXTAFTER(B109," - ",-1),"")</f>
        <v>Etiqueta de Composição</v>
      </c>
      <c r="H109" s="13" t="s">
        <v>7203</v>
      </c>
      <c r="I109" s="21">
        <f>DATE(LEFT(H109,4),MID(H109,6,2),MID(H109,9,2))+TIME(MID(H109,12,2),MID(H109,15,2),MID(H109,18,2))</f>
        <v>46205.819803240738</v>
      </c>
      <c r="J109" s="25" t="s">
        <v>7204</v>
      </c>
      <c r="K109" s="1" t="s">
        <v>6795</v>
      </c>
    </row>
    <row r="110" spans="1:11" ht="213.75" hidden="1">
      <c r="A110" s="1" t="s">
        <v>7205</v>
      </c>
      <c r="B110" s="1" t="s">
        <v>7206</v>
      </c>
      <c r="C110" s="1" t="str">
        <f>IFERROR(IF(ISNUMBER(VALUE(_xlfn.TEXTBEFORE(B110,"-"))),"",_xlfn.TEXTBEFORE(B110,"-")),"")</f>
        <v>MALHA</v>
      </c>
      <c r="D110" s="19" t="str">
        <f>IFERROR(IF(ISNUMBER(VALUE(_xlfn.TEXTBEFORE(B110,"-"))),_xlfn.TEXTBEFORE(B110,"-"),_xlfn.TEXTBEFORE(_xlfn.TEXTAFTER(B110,"-"),"-")),"")</f>
        <v xml:space="preserve"> 1257</v>
      </c>
      <c r="E110" s="1" t="str">
        <f>IFERROR(IF(ISNUMBER(VALUE(_xlfn.TEXTBEFORE(B110,"-"))),_xlfn.TEXTBEFORE(_xlfn.TEXTAFTER(B110,"-"),"-"),_xlfn.TEXTBEFORE(_xlfn.TEXTAFTER(B110,"-",2),"-")),"")</f>
        <v>300281183</v>
      </c>
      <c r="F110" s="1" t="str">
        <f>IFERROR(IF(ISNUMBER(VALUE(_xlfn.TEXTBEFORE(B110,"-"))),_xlfn.TEXTBEFORE(_xlfn.TEXTAFTER(B110,"-",2)," - "),_xlfn.TEXTBEFORE(_xlfn.TEXTAFTER(B110,"-",3)," - ")),"")</f>
        <v xml:space="preserve">JOSENI MARIA DE MEDEIROS </v>
      </c>
      <c r="G110" s="1" t="str">
        <f>IFERROR(_xlfn.TEXTAFTER(B110," - ",-1),"")</f>
        <v>Etiqueta de Composição</v>
      </c>
      <c r="H110" s="13" t="s">
        <v>7207</v>
      </c>
      <c r="I110" s="21">
        <f>DATE(LEFT(H110,4),MID(H110,6,2),MID(H110,9,2))+TIME(MID(H110,12,2),MID(H110,15,2),MID(H110,18,2))</f>
        <v>46220.584537037037</v>
      </c>
      <c r="J110" s="25" t="s">
        <v>7208</v>
      </c>
      <c r="K110" s="1" t="s">
        <v>6795</v>
      </c>
    </row>
    <row r="111" spans="1:11" ht="197.25" hidden="1">
      <c r="A111" s="1" t="s">
        <v>7209</v>
      </c>
      <c r="B111" s="1" t="s">
        <v>7210</v>
      </c>
      <c r="C111" s="1" t="str">
        <f t="shared" ref="C111:C112" si="216">IFERROR(IF(ISNUMBER(VALUE(_xlfn.TEXTBEFORE(B111,"-"))),"",_xlfn.TEXTBEFORE(B111,"-")),"")</f>
        <v>MALHA</v>
      </c>
      <c r="D111" s="19" t="str">
        <f t="shared" ref="D111:D112" si="217">IFERROR(IF(ISNUMBER(VALUE(_xlfn.TEXTBEFORE(B111,"-"))),_xlfn.TEXTBEFORE(B111,"-"),_xlfn.TEXTBEFORE(_xlfn.TEXTAFTER(B111,"-"),"-")),"")</f>
        <v xml:space="preserve"> 1255</v>
      </c>
      <c r="E111" s="1" t="str">
        <f t="shared" ref="E111:E112" si="218">IFERROR(IF(ISNUMBER(VALUE(_xlfn.TEXTBEFORE(B111,"-"))),_xlfn.TEXTBEFORE(_xlfn.TEXTAFTER(B111,"-"),"-"),_xlfn.TEXTBEFORE(_xlfn.TEXTAFTER(B111,"-",2),"-")),"")</f>
        <v>300282446</v>
      </c>
      <c r="F111" s="1" t="str">
        <f t="shared" ref="F111:F112" si="219">IFERROR(IF(ISNUMBER(VALUE(_xlfn.TEXTBEFORE(B111,"-"))),_xlfn.TEXTBEFORE(_xlfn.TEXTAFTER(B111,"-",2)," - "),_xlfn.TEXTBEFORE(_xlfn.TEXTAFTER(B111,"-",3)," - ")),"")</f>
        <v xml:space="preserve">F &amp; L AZEVEDO CONFECCAO LTDA FILIAL </v>
      </c>
      <c r="G111" s="1" t="str">
        <f t="shared" ref="G111:G112" si="220">IFERROR(_xlfn.TEXTAFTER(B111," - ",-1),"")</f>
        <v>Etiqueta de Composição</v>
      </c>
      <c r="H111" s="13" t="s">
        <v>7211</v>
      </c>
      <c r="I111" s="21">
        <f t="shared" ref="I111:I112" si="221">DATE(LEFT(H111,4),MID(H111,6,2),MID(H111,9,2))+TIME(MID(H111,12,2),MID(H111,15,2),MID(H111,18,2))</f>
        <v>46220.574467592596</v>
      </c>
      <c r="J111" s="25" t="s">
        <v>7212</v>
      </c>
      <c r="K111" s="1" t="s">
        <v>6795</v>
      </c>
    </row>
    <row r="112" spans="1:11" ht="213.75" hidden="1">
      <c r="A112" s="1" t="s">
        <v>7213</v>
      </c>
      <c r="B112" s="1" t="s">
        <v>7214</v>
      </c>
      <c r="C112" s="1" t="str">
        <f t="shared" si="216"/>
        <v/>
      </c>
      <c r="D112" s="19" t="str">
        <f t="shared" si="217"/>
        <v>758</v>
      </c>
      <c r="E112" s="1" t="str">
        <f t="shared" si="218"/>
        <v>300272587</v>
      </c>
      <c r="F112" s="1" t="str">
        <f t="shared" si="219"/>
        <v xml:space="preserve">JOSE MEDEIROS DE ARAUJO </v>
      </c>
      <c r="G112" s="1" t="str">
        <f t="shared" si="220"/>
        <v>Etiqueta de Composição</v>
      </c>
      <c r="H112" s="13" t="s">
        <v>7215</v>
      </c>
      <c r="I112" s="21">
        <f t="shared" si="221"/>
        <v>46205.812384259261</v>
      </c>
      <c r="J112" s="25" t="s">
        <v>7216</v>
      </c>
      <c r="K112" s="1" t="s">
        <v>6795</v>
      </c>
    </row>
    <row r="113" spans="1:11" ht="197.25" hidden="1">
      <c r="A113" s="1" t="s">
        <v>7217</v>
      </c>
      <c r="B113" s="1" t="s">
        <v>7218</v>
      </c>
      <c r="C113" s="1" t="str">
        <f>IFERROR(IF(ISNUMBER(VALUE(_xlfn.TEXTBEFORE(B113,"-"))),"",_xlfn.TEXTBEFORE(B113,"-")),"")</f>
        <v>JEANS</v>
      </c>
      <c r="D113" s="19" t="str">
        <f>IFERROR(IF(ISNUMBER(VALUE(_xlfn.TEXTBEFORE(B113,"-"))),_xlfn.TEXTBEFORE(B113,"-"),_xlfn.TEXTBEFORE(_xlfn.TEXTAFTER(B113,"-"),"-")),"")</f>
        <v xml:space="preserve"> 1254</v>
      </c>
      <c r="E113" s="1" t="str">
        <f>IFERROR(IF(ISNUMBER(VALUE(_xlfn.TEXTBEFORE(B113,"-"))),_xlfn.TEXTBEFORE(_xlfn.TEXTAFTER(B113,"-"),"-"),_xlfn.TEXTBEFORE(_xlfn.TEXTAFTER(B113,"-",2),"-")),"")</f>
        <v>300276273</v>
      </c>
      <c r="F113" s="1" t="str">
        <f>IFERROR(IF(ISNUMBER(VALUE(_xlfn.TEXTBEFORE(B113,"-"))),_xlfn.TEXTBEFORE(_xlfn.TEXTAFTER(B113,"-",2)," - "),_xlfn.TEXTBEFORE(_xlfn.TEXTAFTER(B113,"-",3)," - ")),"")</f>
        <v xml:space="preserve">DI3 CONFECCOES LTDA </v>
      </c>
      <c r="G113" s="1" t="str">
        <f>IFERROR(_xlfn.TEXTAFTER(B113," - ",-1),"")</f>
        <v>Traseiro</v>
      </c>
      <c r="H113" s="13" t="s">
        <v>7219</v>
      </c>
      <c r="I113" s="21">
        <f>DATE(LEFT(H113,4),MID(H113,6,2),MID(H113,9,2))+TIME(MID(H113,12,2),MID(H113,15,2),MID(H113,18,2))</f>
        <v>46220.574062500003</v>
      </c>
      <c r="J113" s="25" t="s">
        <v>7220</v>
      </c>
      <c r="K113" s="1" t="s">
        <v>6795</v>
      </c>
    </row>
    <row r="114" spans="1:11" ht="197.25" hidden="1">
      <c r="A114" s="1" t="e" cm="1">
        <f t="array" aca="1" ref="A114" ca="1">-_x3DTmhSUqzOT-t28cb52QAPAPo</f>
        <v>#NAME?</v>
      </c>
      <c r="B114" s="1" t="s">
        <v>7221</v>
      </c>
      <c r="C114" s="1" t="str">
        <f>IFERROR(IF(ISNUMBER(VALUE(_xlfn.TEXTBEFORE(B114,"-"))),"",_xlfn.TEXTBEFORE(B114,"-")),"")</f>
        <v>MALHA</v>
      </c>
      <c r="D114" s="19" t="str">
        <f>IFERROR(IF(ISNUMBER(VALUE(_xlfn.TEXTBEFORE(B114,"-"))),_xlfn.TEXTBEFORE(B114,"-"),_xlfn.TEXTBEFORE(_xlfn.TEXTAFTER(B114,"-"),"-")),"")</f>
        <v xml:space="preserve"> 1251</v>
      </c>
      <c r="E114" s="1" t="str">
        <f>IFERROR(IF(ISNUMBER(VALUE(_xlfn.TEXTBEFORE(B114,"-"))),_xlfn.TEXTBEFORE(_xlfn.TEXTAFTER(B114,"-"),"-"),_xlfn.TEXTBEFORE(_xlfn.TEXTAFTER(B114,"-",2),"-")),"")</f>
        <v>300281662</v>
      </c>
      <c r="F114" s="1" t="str">
        <f>IFERROR(IF(ISNUMBER(VALUE(_xlfn.TEXTBEFORE(B114,"-"))),_xlfn.TEXTBEFORE(_xlfn.TEXTAFTER(B114,"-",2)," - "),_xlfn.TEXTBEFORE(_xlfn.TEXTAFTER(B114,"-",3)," - ")),"")</f>
        <v xml:space="preserve">F &amp; L AZEVEDO CONFECCAO LTDA FILIAL </v>
      </c>
      <c r="G114" s="1" t="str">
        <f>IFERROR(_xlfn.TEXTAFTER(B114," - ",-1),"")</f>
        <v>Etiqueta de Composição</v>
      </c>
      <c r="H114" s="13" t="s">
        <v>7222</v>
      </c>
      <c r="I114" s="21">
        <f>DATE(LEFT(H114,4),MID(H114,6,2),MID(H114,9,2))+TIME(MID(H114,12,2),MID(H114,15,2),MID(H114,18,2))</f>
        <v>46220.563506944447</v>
      </c>
      <c r="J114" s="25" t="s">
        <v>7223</v>
      </c>
      <c r="K114" s="1" t="s">
        <v>6795</v>
      </c>
    </row>
    <row r="115" spans="1:11" ht="312.75" hidden="1">
      <c r="A115" s="1" t="s">
        <v>7224</v>
      </c>
      <c r="B115" s="1" t="s">
        <v>7225</v>
      </c>
      <c r="C115" s="1" t="str">
        <f>IFERROR(IF(ISNUMBER(VALUE(_xlfn.TEXTBEFORE(B115,"-"))),"",_xlfn.TEXTBEFORE(B115,"-")),"")</f>
        <v/>
      </c>
      <c r="D115" s="19" t="str">
        <f>IFERROR(IF(ISNUMBER(VALUE(_xlfn.TEXTBEFORE(B115,"-"))),_xlfn.TEXTBEFORE(B115,"-"),_xlfn.TEXTBEFORE(_xlfn.TEXTAFTER(B115,"-"),"-")),"")</f>
        <v>756</v>
      </c>
      <c r="E115" s="1" t="str">
        <f>IFERROR(IF(ISNUMBER(VALUE(_xlfn.TEXTBEFORE(B115,"-"))),_xlfn.TEXTBEFORE(_xlfn.TEXTAFTER(B115,"-"),"-"),_xlfn.TEXTBEFORE(_xlfn.TEXTAFTER(B115,"-",2),"-")),"")</f>
        <v>300271118</v>
      </c>
      <c r="F115" s="1" t="str">
        <f>IFERROR(IF(ISNUMBER(VALUE(_xlfn.TEXTBEFORE(B115,"-"))),_xlfn.TEXTBEFORE(_xlfn.TEXTAFTER(B115,"-",2)," - "),_xlfn.TEXTBEFORE(_xlfn.TEXTAFTER(B115,"-",3)," - ")),"")</f>
        <v xml:space="preserve">CABUGI CONFECCOES LTDA. </v>
      </c>
      <c r="G115" s="1" t="str">
        <f>IFERROR(_xlfn.TEXTAFTER(B115," - ",-1),"")</f>
        <v>Viés de Bocada</v>
      </c>
      <c r="H115" s="13" t="s">
        <v>7226</v>
      </c>
      <c r="I115" s="21">
        <f>DATE(LEFT(H115,4),MID(H115,6,2),MID(H115,9,2))+TIME(MID(H115,12,2),MID(H115,15,2),MID(H115,18,2))</f>
        <v>46205.806597222225</v>
      </c>
      <c r="J115" s="25" t="s">
        <v>7227</v>
      </c>
      <c r="K115" s="1" t="s">
        <v>6795</v>
      </c>
    </row>
    <row r="116" spans="1:11" ht="230.25" hidden="1">
      <c r="A116" s="1" t="s">
        <v>7228</v>
      </c>
      <c r="B116" s="1" t="s">
        <v>7229</v>
      </c>
      <c r="C116" s="1" t="str">
        <f>IFERROR(IF(ISNUMBER(VALUE(_xlfn.TEXTBEFORE(B116,"-"))),"",_xlfn.TEXTBEFORE(B116,"-")),"")</f>
        <v>JEANS</v>
      </c>
      <c r="D116" s="19" t="str">
        <f>IFERROR(IF(ISNUMBER(VALUE(_xlfn.TEXTBEFORE(B116,"-"))),_xlfn.TEXTBEFORE(B116,"-"),_xlfn.TEXTBEFORE(_xlfn.TEXTAFTER(B116,"-"),"-")),"")</f>
        <v xml:space="preserve"> 1527</v>
      </c>
      <c r="E116" s="1" t="str">
        <f>IFERROR(IF(ISNUMBER(VALUE(_xlfn.TEXTBEFORE(B116,"-"))),_xlfn.TEXTBEFORE(_xlfn.TEXTAFTER(B116,"-"),"-"),_xlfn.TEXTBEFORE(_xlfn.TEXTAFTER(B116,"-",2),"-")),"")</f>
        <v>300279730</v>
      </c>
      <c r="F116" s="1" t="str">
        <f>IFERROR(IF(ISNUMBER(VALUE(_xlfn.TEXTBEFORE(B116,"-"))),_xlfn.TEXTBEFORE(_xlfn.TEXTAFTER(B116,"-",2)," - "),_xlfn.TEXTBEFORE(_xlfn.TEXTAFTER(B116,"-",3)," - ")),"")</f>
        <v xml:space="preserve">TROPICALLIZ CONFECCOES LTDA </v>
      </c>
      <c r="G116" s="1" t="str">
        <f>IFERROR(_xlfn.TEXTAFTER(B116," - ",-1),"")</f>
        <v>Linhas</v>
      </c>
      <c r="H116" s="13" t="s">
        <v>7230</v>
      </c>
      <c r="I116" s="21">
        <f>DATE(LEFT(H116,4),MID(H116,6,2),MID(H116,9,2))+TIME(MID(H116,12,2),MID(H116,15,2),MID(H116,18,2))</f>
        <v>46230.545671296299</v>
      </c>
      <c r="J116" s="25" t="s">
        <v>7231</v>
      </c>
      <c r="K116" s="1" t="s">
        <v>6795</v>
      </c>
    </row>
    <row r="117" spans="1:11" ht="345.75" hidden="1">
      <c r="A117" s="1" t="s">
        <v>7232</v>
      </c>
      <c r="B117" s="1" t="s">
        <v>7233</v>
      </c>
      <c r="C117" s="1" t="str">
        <f t="shared" ref="C117:C118" si="222">IFERROR(IF(ISNUMBER(VALUE(_xlfn.TEXTBEFORE(B117,"-"))),"",_xlfn.TEXTBEFORE(B117,"-")),"")</f>
        <v/>
      </c>
      <c r="D117" s="19" t="str">
        <f t="shared" ref="D117:D118" si="223">IFERROR(IF(ISNUMBER(VALUE(_xlfn.TEXTBEFORE(B117,"-"))),_xlfn.TEXTBEFORE(B117,"-"),_xlfn.TEXTBEFORE(_xlfn.TEXTAFTER(B117,"-"),"-")),"")</f>
        <v>750</v>
      </c>
      <c r="E117" s="1" t="str">
        <f t="shared" ref="E117:E118" si="224">IFERROR(IF(ISNUMBER(VALUE(_xlfn.TEXTBEFORE(B117,"-"))),_xlfn.TEXTBEFORE(_xlfn.TEXTAFTER(B117,"-"),"-"),_xlfn.TEXTBEFORE(_xlfn.TEXTAFTER(B117,"-",2),"-")),"")</f>
        <v>300273765</v>
      </c>
      <c r="F117" s="1" t="str">
        <f t="shared" ref="F117:F118" si="225">IFERROR(IF(ISNUMBER(VALUE(_xlfn.TEXTBEFORE(B117,"-"))),_xlfn.TEXTBEFORE(_xlfn.TEXTAFTER(B117,"-",2)," - "),_xlfn.TEXTBEFORE(_xlfn.TEXTAFTER(B117,"-",3)," - ")),"")</f>
        <v xml:space="preserve">IVANILDO JOSE DE SOUZA </v>
      </c>
      <c r="G117" s="1" t="str">
        <f t="shared" ref="G117:G118" si="226">IFERROR(_xlfn.TEXTAFTER(B117," - ",-1),"")</f>
        <v>Etiqueta de Composição</v>
      </c>
      <c r="H117" s="13" t="s">
        <v>7234</v>
      </c>
      <c r="I117" s="21">
        <f t="shared" ref="I117:I118" si="227">DATE(LEFT(H117,4),MID(H117,6,2),MID(H117,9,2))+TIME(MID(H117,12,2),MID(H117,15,2),MID(H117,18,2))</f>
        <v>46205.749895833331</v>
      </c>
      <c r="J117" s="25" t="s">
        <v>7235</v>
      </c>
      <c r="K117" s="1" t="s">
        <v>6795</v>
      </c>
    </row>
    <row r="118" spans="1:11" ht="230.25" hidden="1">
      <c r="A118" s="1" t="s">
        <v>7236</v>
      </c>
      <c r="B118" s="1" t="s">
        <v>7237</v>
      </c>
      <c r="C118" s="1" t="str">
        <f t="shared" si="222"/>
        <v>MALHA</v>
      </c>
      <c r="D118" s="19" t="str">
        <f t="shared" si="223"/>
        <v xml:space="preserve"> 1242</v>
      </c>
      <c r="E118" s="1" t="str">
        <f t="shared" si="224"/>
        <v>300279127</v>
      </c>
      <c r="F118" s="1" t="str">
        <f t="shared" si="225"/>
        <v xml:space="preserve">POTENGI TEXTIL LTDA </v>
      </c>
      <c r="G118" s="1" t="str">
        <f t="shared" si="226"/>
        <v>Etiqueta de Composição</v>
      </c>
      <c r="H118" s="13" t="s">
        <v>7238</v>
      </c>
      <c r="I118" s="21">
        <f t="shared" si="227"/>
        <v>46220.479178240741</v>
      </c>
      <c r="J118" s="25" t="s">
        <v>7239</v>
      </c>
      <c r="K118" s="1" t="s">
        <v>6795</v>
      </c>
    </row>
    <row r="119" spans="1:11" ht="246.75" hidden="1">
      <c r="A119" s="1" t="s">
        <v>7240</v>
      </c>
      <c r="B119" s="1" t="s">
        <v>7241</v>
      </c>
      <c r="C119" s="1" t="str">
        <f>IFERROR(IF(ISNUMBER(VALUE(_xlfn.TEXTBEFORE(B119,"-"))),"",_xlfn.TEXTBEFORE(B119,"-")),"")</f>
        <v>MALHA</v>
      </c>
      <c r="D119" s="19" t="str">
        <f>IFERROR(IF(ISNUMBER(VALUE(_xlfn.TEXTBEFORE(B119,"-"))),_xlfn.TEXTBEFORE(B119,"-"),_xlfn.TEXTBEFORE(_xlfn.TEXTAFTER(B119,"-"),"-")),"")</f>
        <v xml:space="preserve"> 1525</v>
      </c>
      <c r="E119" s="1" t="str">
        <f>IFERROR(IF(ISNUMBER(VALUE(_xlfn.TEXTBEFORE(B119,"-"))),_xlfn.TEXTBEFORE(_xlfn.TEXTAFTER(B119,"-"),"-"),_xlfn.TEXTBEFORE(_xlfn.TEXTAFTER(B119,"-",2),"-")),"")</f>
        <v>300281849</v>
      </c>
      <c r="F119" s="1" t="str">
        <f>IFERROR(IF(ISNUMBER(VALUE(_xlfn.TEXTBEFORE(B119,"-"))),_xlfn.TEXTBEFORE(_xlfn.TEXTAFTER(B119,"-",2)," - "),_xlfn.TEXTBEFORE(_xlfn.TEXTAFTER(B119,"-",3)," - ")),"")</f>
        <v xml:space="preserve">N S CONSTANTINO LTDA </v>
      </c>
      <c r="G119" s="1" t="str">
        <f>IFERROR(_xlfn.TEXTAFTER(B119," - ",-1),"")</f>
        <v>Manga</v>
      </c>
      <c r="H119" s="13" t="s">
        <v>7242</v>
      </c>
      <c r="I119" s="21">
        <f>DATE(LEFT(H119,4),MID(H119,6,2),MID(H119,9,2))+TIME(MID(H119,12,2),MID(H119,15,2),MID(H119,18,2))</f>
        <v>46230.537928240738</v>
      </c>
      <c r="J119" s="25" t="s">
        <v>7243</v>
      </c>
      <c r="K119" s="1" t="s">
        <v>6795</v>
      </c>
    </row>
    <row r="120" spans="1:11" ht="230.25" hidden="1">
      <c r="A120" s="1" t="s">
        <v>7244</v>
      </c>
      <c r="B120" s="1" t="s">
        <v>7245</v>
      </c>
      <c r="C120" s="1" t="str">
        <f>IFERROR(IF(ISNUMBER(VALUE(_xlfn.TEXTBEFORE(B120,"-"))),"",_xlfn.TEXTBEFORE(B120,"-")),"")</f>
        <v/>
      </c>
      <c r="D120" s="19" t="str">
        <f>IFERROR(IF(ISNUMBER(VALUE(_xlfn.TEXTBEFORE(B120,"-"))),_xlfn.TEXTBEFORE(B120,"-"),_xlfn.TEXTBEFORE(_xlfn.TEXTAFTER(B120,"-"),"-")),"")</f>
        <v>749</v>
      </c>
      <c r="E120" s="1" t="str">
        <f>IFERROR(IF(ISNUMBER(VALUE(_xlfn.TEXTBEFORE(B120,"-"))),_xlfn.TEXTBEFORE(_xlfn.TEXTAFTER(B120,"-"),"-"),_xlfn.TEXTBEFORE(_xlfn.TEXTAFTER(B120,"-",2),"-")),"")</f>
        <v>300271881</v>
      </c>
      <c r="F120" s="1" t="str">
        <f>IFERROR(IF(ISNUMBER(VALUE(_xlfn.TEXTBEFORE(B120,"-"))),_xlfn.TEXTBEFORE(_xlfn.TEXTAFTER(B120,"-",2)," - "),_xlfn.TEXTBEFORE(_xlfn.TEXTAFTER(B120,"-",3)," - ")),"")</f>
        <v xml:space="preserve">POTENGI TEXTIL LTDA </v>
      </c>
      <c r="G120" s="1" t="str">
        <f>IFERROR(_xlfn.TEXTAFTER(B120," - ",-1),"")</f>
        <v>Etiqueta de Composição</v>
      </c>
      <c r="H120" s="13" t="s">
        <v>7246</v>
      </c>
      <c r="I120" s="21">
        <f>DATE(LEFT(H120,4),MID(H120,6,2),MID(H120,9,2))+TIME(MID(H120,12,2),MID(H120,15,2),MID(H120,18,2))</f>
        <v>46205.748298611114</v>
      </c>
      <c r="J120" s="25" t="s">
        <v>7247</v>
      </c>
      <c r="K120" s="1" t="s">
        <v>6795</v>
      </c>
    </row>
    <row r="121" spans="1:11" ht="246.75" hidden="1">
      <c r="A121" s="1" t="s">
        <v>7248</v>
      </c>
      <c r="B121" s="1" t="s">
        <v>7249</v>
      </c>
      <c r="C121" s="1" t="str">
        <f t="shared" ref="C121:C122" si="228">IFERROR(IF(ISNUMBER(VALUE(_xlfn.TEXTBEFORE(B121,"-"))),"",_xlfn.TEXTBEFORE(B121,"-")),"")</f>
        <v>MALHA</v>
      </c>
      <c r="D121" s="19" t="str">
        <f t="shared" ref="D121:D122" si="229">IFERROR(IF(ISNUMBER(VALUE(_xlfn.TEXTBEFORE(B121,"-"))),_xlfn.TEXTBEFORE(B121,"-"),_xlfn.TEXTBEFORE(_xlfn.TEXTAFTER(B121,"-"),"-")),"")</f>
        <v xml:space="preserve"> 1524</v>
      </c>
      <c r="E121" s="1" t="str">
        <f t="shared" ref="E121:E122" si="230">IFERROR(IF(ISNUMBER(VALUE(_xlfn.TEXTBEFORE(B121,"-"))),_xlfn.TEXTBEFORE(_xlfn.TEXTAFTER(B121,"-"),"-"),_xlfn.TEXTBEFORE(_xlfn.TEXTAFTER(B121,"-",2),"-")),"")</f>
        <v>300281849</v>
      </c>
      <c r="F121" s="1" t="str">
        <f t="shared" ref="F121:F122" si="231">IFERROR(IF(ISNUMBER(VALUE(_xlfn.TEXTBEFORE(B121,"-"))),_xlfn.TEXTBEFORE(_xlfn.TEXTAFTER(B121,"-",2)," - "),_xlfn.TEXTBEFORE(_xlfn.TEXTAFTER(B121,"-",3)," - ")),"")</f>
        <v xml:space="preserve">N S CONSTANTINO LTDA </v>
      </c>
      <c r="G121" s="1" t="str">
        <f t="shared" ref="G121:G122" si="232">IFERROR(_xlfn.TEXTAFTER(B121," - ",-1),"")</f>
        <v>Etiqueta de Composição</v>
      </c>
      <c r="H121" s="13" t="s">
        <v>7250</v>
      </c>
      <c r="I121" s="21">
        <f t="shared" ref="I121:I122" si="233">DATE(LEFT(H121,4),MID(H121,6,2),MID(H121,9,2))+TIME(MID(H121,12,2),MID(H121,15,2),MID(H121,18,2))</f>
        <v>46230.536261574074</v>
      </c>
      <c r="J121" s="25" t="s">
        <v>7251</v>
      </c>
      <c r="K121" s="1" t="s">
        <v>6795</v>
      </c>
    </row>
    <row r="122" spans="1:11" ht="197.25" hidden="1">
      <c r="A122" s="1" t="s">
        <v>7252</v>
      </c>
      <c r="B122" s="1" t="s">
        <v>7253</v>
      </c>
      <c r="C122" s="1" t="str">
        <f t="shared" si="228"/>
        <v>POLO</v>
      </c>
      <c r="D122" s="19" t="str">
        <f t="shared" si="229"/>
        <v xml:space="preserve"> 1239</v>
      </c>
      <c r="E122" s="1" t="str">
        <f t="shared" si="230"/>
        <v>300281476</v>
      </c>
      <c r="F122" s="1" t="str">
        <f t="shared" si="231"/>
        <v xml:space="preserve">FREIRE SILVA CONFECCOES LTDA </v>
      </c>
      <c r="G122" s="1" t="str">
        <f t="shared" si="232"/>
        <v>Manga</v>
      </c>
      <c r="H122" s="13" t="s">
        <v>7254</v>
      </c>
      <c r="I122" s="21">
        <f t="shared" si="233"/>
        <v>46220.453333333331</v>
      </c>
      <c r="J122" s="25" t="s">
        <v>7255</v>
      </c>
      <c r="K122" s="1" t="s">
        <v>6795</v>
      </c>
    </row>
    <row r="123" spans="1:11" ht="213.75" hidden="1">
      <c r="A123" s="1" t="s">
        <v>7256</v>
      </c>
      <c r="B123" s="1" t="s">
        <v>7257</v>
      </c>
      <c r="C123" s="1" t="str">
        <f>IFERROR(IF(ISNUMBER(VALUE(_xlfn.TEXTBEFORE(B123,"-"))),"",_xlfn.TEXTBEFORE(B123,"-")),"")</f>
        <v/>
      </c>
      <c r="D123" s="19" t="str">
        <f>IFERROR(IF(ISNUMBER(VALUE(_xlfn.TEXTBEFORE(B123,"-"))),_xlfn.TEXTBEFORE(B123,"-"),_xlfn.TEXTBEFORE(_xlfn.TEXTAFTER(B123,"-"),"-")),"")</f>
        <v>747</v>
      </c>
      <c r="E123" s="1" t="str">
        <f>IFERROR(IF(ISNUMBER(VALUE(_xlfn.TEXTBEFORE(B123,"-"))),_xlfn.TEXTBEFORE(_xlfn.TEXTAFTER(B123,"-"),"-"),_xlfn.TEXTBEFORE(_xlfn.TEXTAFTER(B123,"-",2),"-")),"")</f>
        <v>300275882</v>
      </c>
      <c r="F123" s="1" t="str">
        <f>IFERROR(IF(ISNUMBER(VALUE(_xlfn.TEXTBEFORE(B123,"-"))),_xlfn.TEXTBEFORE(_xlfn.TEXTAFTER(B123,"-",2)," - "),_xlfn.TEXTBEFORE(_xlfn.TEXTAFTER(B123,"-",3)," - ")),"")</f>
        <v xml:space="preserve">LC TEXTIL LTDA </v>
      </c>
      <c r="G123" s="1" t="str">
        <f>IFERROR(_xlfn.TEXTAFTER(B123," - ",-1),"")</f>
        <v>Etiqueta de Composição</v>
      </c>
      <c r="H123" s="13" t="s">
        <v>7258</v>
      </c>
      <c r="I123" s="21">
        <f>DATE(LEFT(H123,4),MID(H123,6,2),MID(H123,9,2))+TIME(MID(H123,12,2),MID(H123,15,2),MID(H123,18,2))</f>
        <v>46205.747581018521</v>
      </c>
      <c r="J123" s="25" t="s">
        <v>7259</v>
      </c>
      <c r="K123" s="1" t="s">
        <v>6795</v>
      </c>
    </row>
    <row r="124" spans="1:11" ht="197.25" hidden="1">
      <c r="A124" s="1" t="s">
        <v>7260</v>
      </c>
      <c r="B124" s="1" t="s">
        <v>7261</v>
      </c>
      <c r="C124" s="1" t="str">
        <f t="shared" ref="C124:C125" si="234">IFERROR(IF(ISNUMBER(VALUE(_xlfn.TEXTBEFORE(B124,"-"))),"",_xlfn.TEXTBEFORE(B124,"-")),"")</f>
        <v>POLO</v>
      </c>
      <c r="D124" s="19" t="str">
        <f t="shared" ref="D124:D125" si="235">IFERROR(IF(ISNUMBER(VALUE(_xlfn.TEXTBEFORE(B124,"-"))),_xlfn.TEXTBEFORE(B124,"-"),_xlfn.TEXTBEFORE(_xlfn.TEXTAFTER(B124,"-"),"-")),"")</f>
        <v xml:space="preserve"> 1238</v>
      </c>
      <c r="E124" s="1" t="str">
        <f t="shared" ref="E124:E125" si="236">IFERROR(IF(ISNUMBER(VALUE(_xlfn.TEXTBEFORE(B124,"-"))),_xlfn.TEXTBEFORE(_xlfn.TEXTAFTER(B124,"-"),"-"),_xlfn.TEXTBEFORE(_xlfn.TEXTAFTER(B124,"-",2),"-")),"")</f>
        <v>300281476</v>
      </c>
      <c r="F124" s="1" t="str">
        <f t="shared" ref="F124:F125" si="237">IFERROR(IF(ISNUMBER(VALUE(_xlfn.TEXTBEFORE(B124,"-"))),_xlfn.TEXTBEFORE(_xlfn.TEXTAFTER(B124,"-",2)," - "),_xlfn.TEXTBEFORE(_xlfn.TEXTAFTER(B124,"-",3)," - ")),"")</f>
        <v xml:space="preserve">FREIRE SILVA CONFECCOES LTDA </v>
      </c>
      <c r="G124" s="1" t="str">
        <f t="shared" ref="G124:G125" si="238">IFERROR(_xlfn.TEXTAFTER(B124," - ",-1),"")</f>
        <v>Traseiro</v>
      </c>
      <c r="H124" s="13" t="s">
        <v>7262</v>
      </c>
      <c r="I124" s="21">
        <f t="shared" ref="I124:I125" si="239">DATE(LEFT(H124,4),MID(H124,6,2),MID(H124,9,2))+TIME(MID(H124,12,2),MID(H124,15,2),MID(H124,18,2))</f>
        <v>46220.451747685183</v>
      </c>
      <c r="J124" s="25" t="s">
        <v>7263</v>
      </c>
      <c r="K124" s="1" t="s">
        <v>6795</v>
      </c>
    </row>
    <row r="125" spans="1:11" ht="213.75" hidden="1">
      <c r="A125" s="1" t="s">
        <v>7264</v>
      </c>
      <c r="B125" s="1" t="s">
        <v>7265</v>
      </c>
      <c r="C125" s="1" t="str">
        <f t="shared" si="234"/>
        <v>TEAR</v>
      </c>
      <c r="D125" s="19" t="str">
        <f t="shared" si="235"/>
        <v xml:space="preserve"> 1513</v>
      </c>
      <c r="E125" s="1" t="str">
        <f t="shared" si="236"/>
        <v>300281689</v>
      </c>
      <c r="F125" s="1" t="str">
        <f t="shared" si="237"/>
        <v xml:space="preserve">JOSENI MARIA DE MEDEIROS </v>
      </c>
      <c r="G125" s="1" t="str">
        <f t="shared" si="238"/>
        <v>Etiqueta de Composição</v>
      </c>
      <c r="H125" s="13" t="s">
        <v>7266</v>
      </c>
      <c r="I125" s="21">
        <f t="shared" si="239"/>
        <v>46230.47934027778</v>
      </c>
      <c r="J125" s="25" t="s">
        <v>7267</v>
      </c>
      <c r="K125" s="1" t="s">
        <v>6795</v>
      </c>
    </row>
    <row r="126" spans="1:11" ht="230.25">
      <c r="A126" s="1" t="s">
        <v>7268</v>
      </c>
      <c r="B126" s="1" t="s">
        <v>7269</v>
      </c>
      <c r="C126" s="1" t="str">
        <f t="shared" ref="C126:C127" si="240">IFERROR(IF(ISNUMBER(VALUE(_xlfn.TEXTBEFORE(B126,"-"))),"",_xlfn.TEXTBEFORE(B126,"-")),"")</f>
        <v/>
      </c>
      <c r="D126" s="19" t="str">
        <f t="shared" ref="D126:D127" si="241">IFERROR(IF(ISNUMBER(VALUE(_xlfn.TEXTBEFORE(B126,"-"))),_xlfn.TEXTBEFORE(B126,"-"),_xlfn.TEXTBEFORE(_xlfn.TEXTAFTER(B126,"-"),"-")),"")</f>
        <v>742</v>
      </c>
      <c r="E126" s="1" t="str">
        <f t="shared" ref="E126:E127" si="242">IFERROR(IF(ISNUMBER(VALUE(_xlfn.TEXTBEFORE(B126,"-"))),_xlfn.TEXTBEFORE(_xlfn.TEXTAFTER(B126,"-"),"-"),_xlfn.TEXTBEFORE(_xlfn.TEXTAFTER(B126,"-",2),"-")),"")</f>
        <v>300275799</v>
      </c>
      <c r="F126" s="1" t="str">
        <f t="shared" ref="F126:F127" si="243">IFERROR(IF(ISNUMBER(VALUE(_xlfn.TEXTBEFORE(B126,"-"))),_xlfn.TEXTBEFORE(_xlfn.TEXTAFTER(B126,"-",2)," - "),_xlfn.TEXTBEFORE(_xlfn.TEXTAFTER(B126,"-",3)," - ")),"")</f>
        <v xml:space="preserve">FACCAO ELLO LTDA </v>
      </c>
      <c r="G126" s="1" t="str">
        <f t="shared" ref="G126:G127" si="244">IFERROR(_xlfn.TEXTAFTER(B126," - ",-1),"")</f>
        <v>Etiqueta de Composição</v>
      </c>
      <c r="H126" s="13" t="s">
        <v>7270</v>
      </c>
      <c r="I126" s="21">
        <f t="shared" ref="I126:I127" si="245">DATE(LEFT(H126,4),MID(H126,6,2),MID(H126,9,2))+TIME(MID(H126,12,2),MID(H126,15,2),MID(H126,18,2))</f>
        <v>46205.705891203703</v>
      </c>
      <c r="J126" s="25" t="s">
        <v>7271</v>
      </c>
      <c r="K126" s="1" t="s">
        <v>6795</v>
      </c>
    </row>
    <row r="127" spans="1:11" ht="246.75" hidden="1">
      <c r="A127" s="1" t="s">
        <v>7272</v>
      </c>
      <c r="B127" s="1" t="s">
        <v>7273</v>
      </c>
      <c r="C127" s="1" t="str">
        <f t="shared" si="240"/>
        <v>POLO</v>
      </c>
      <c r="D127" s="19" t="str">
        <f t="shared" si="241"/>
        <v xml:space="preserve"> 1509</v>
      </c>
      <c r="E127" s="1" t="str">
        <f t="shared" si="242"/>
        <v>300282558</v>
      </c>
      <c r="F127" s="1" t="str">
        <f t="shared" si="243"/>
        <v xml:space="preserve">FREIRE SILVA CONFECCOES LTDA </v>
      </c>
      <c r="G127" s="1" t="str">
        <f t="shared" si="244"/>
        <v>Traseiro</v>
      </c>
      <c r="H127" s="13" t="s">
        <v>7274</v>
      </c>
      <c r="I127" s="21">
        <f t="shared" si="245"/>
        <v>46227.901782407411</v>
      </c>
      <c r="J127" s="25" t="s">
        <v>7275</v>
      </c>
      <c r="K127" s="1" t="s">
        <v>6795</v>
      </c>
    </row>
    <row r="128" spans="1:11" ht="197.25" hidden="1">
      <c r="A128" s="1" t="s">
        <v>7276</v>
      </c>
      <c r="B128" s="1" t="s">
        <v>7277</v>
      </c>
      <c r="C128" s="1" t="str">
        <f>IFERROR(IF(ISNUMBER(VALUE(_xlfn.TEXTBEFORE(B128,"-"))),"",_xlfn.TEXTBEFORE(B128,"-")),"")</f>
        <v>POLO</v>
      </c>
      <c r="D128" s="19" t="str">
        <f>IFERROR(IF(ISNUMBER(VALUE(_xlfn.TEXTBEFORE(B128,"-"))),_xlfn.TEXTBEFORE(B128,"-"),_xlfn.TEXTBEFORE(_xlfn.TEXTAFTER(B128,"-"),"-")),"")</f>
        <v xml:space="preserve"> 1237</v>
      </c>
      <c r="E128" s="1" t="str">
        <f>IFERROR(IF(ISNUMBER(VALUE(_xlfn.TEXTBEFORE(B128,"-"))),_xlfn.TEXTBEFORE(_xlfn.TEXTAFTER(B128,"-"),"-"),_xlfn.TEXTBEFORE(_xlfn.TEXTAFTER(B128,"-",2),"-")),"")</f>
        <v>300281476</v>
      </c>
      <c r="F128" s="1" t="str">
        <f>IFERROR(IF(ISNUMBER(VALUE(_xlfn.TEXTBEFORE(B128,"-"))),_xlfn.TEXTBEFORE(_xlfn.TEXTAFTER(B128,"-",2)," - "),_xlfn.TEXTBEFORE(_xlfn.TEXTAFTER(B128,"-",3)," - ")),"")</f>
        <v xml:space="preserve">FREIRE SILVA CONFECCOES LTDA </v>
      </c>
      <c r="G128" s="1" t="str">
        <f>IFERROR(_xlfn.TEXTAFTER(B128," - ",-1),"")</f>
        <v>Frente</v>
      </c>
      <c r="H128" s="13" t="s">
        <v>7278</v>
      </c>
      <c r="I128" s="21">
        <f>DATE(LEFT(H128,4),MID(H128,6,2),MID(H128,9,2))+TIME(MID(H128,12,2),MID(H128,15,2),MID(H128,18,2))</f>
        <v>46220.450416666667</v>
      </c>
      <c r="J128" s="25" t="s">
        <v>7279</v>
      </c>
      <c r="K128" s="1" t="s">
        <v>6795</v>
      </c>
    </row>
    <row r="129" spans="1:11" ht="279.75" hidden="1">
      <c r="A129" s="1" t="s">
        <v>7280</v>
      </c>
      <c r="B129" s="1" t="s">
        <v>7281</v>
      </c>
      <c r="C129" s="1" t="str">
        <f>IFERROR(IF(ISNUMBER(VALUE(_xlfn.TEXTBEFORE(B129,"-"))),"",_xlfn.TEXTBEFORE(B129,"-")),"")</f>
        <v>JEANS</v>
      </c>
      <c r="D129" s="19" t="str">
        <f>IFERROR(IF(ISNUMBER(VALUE(_xlfn.TEXTBEFORE(B129,"-"))),_xlfn.TEXTBEFORE(B129,"-"),_xlfn.TEXTBEFORE(_xlfn.TEXTAFTER(B129,"-"),"-")),"")</f>
        <v xml:space="preserve"> 1489</v>
      </c>
      <c r="E129" s="1" t="str">
        <f>IFERROR(IF(ISNUMBER(VALUE(_xlfn.TEXTBEFORE(B129,"-"))),_xlfn.TEXTBEFORE(_xlfn.TEXTAFTER(B129,"-"),"-"),_xlfn.TEXTBEFORE(_xlfn.TEXTAFTER(B129,"-",2),"-")),"")</f>
        <v>300278589</v>
      </c>
      <c r="F129" s="1" t="str">
        <f>IFERROR(IF(ISNUMBER(VALUE(_xlfn.TEXTBEFORE(B129,"-"))),_xlfn.TEXTBEFORE(_xlfn.TEXTAFTER(B129,"-",2)," - "),_xlfn.TEXTBEFORE(_xlfn.TEXTAFTER(B129,"-",3)," - ")),"")</f>
        <v xml:space="preserve">AJG CONFECCOES LTDA </v>
      </c>
      <c r="G129" s="1" t="str">
        <f>IFERROR(_xlfn.TEXTAFTER(B129," - ",-1),"")</f>
        <v>Traseiro</v>
      </c>
      <c r="H129" s="13" t="s">
        <v>7282</v>
      </c>
      <c r="I129" s="21">
        <f>DATE(LEFT(H129,4),MID(H129,6,2),MID(H129,9,2))+TIME(MID(H129,12,2),MID(H129,15,2),MID(H129,18,2))</f>
        <v>46227.767824074072</v>
      </c>
      <c r="J129" s="25" t="s">
        <v>7283</v>
      </c>
      <c r="K129" s="1" t="s">
        <v>6795</v>
      </c>
    </row>
    <row r="130" spans="1:11" ht="213.75" hidden="1">
      <c r="A130" s="1" t="s">
        <v>7284</v>
      </c>
      <c r="B130" s="1" t="s">
        <v>7285</v>
      </c>
      <c r="C130" s="1" t="str">
        <f t="shared" ref="C130:C131" si="246">IFERROR(IF(ISNUMBER(VALUE(_xlfn.TEXTBEFORE(B130,"-"))),"",_xlfn.TEXTBEFORE(B130,"-")),"")</f>
        <v/>
      </c>
      <c r="D130" s="19" t="str">
        <f t="shared" ref="D130:D131" si="247">IFERROR(IF(ISNUMBER(VALUE(_xlfn.TEXTBEFORE(B130,"-"))),_xlfn.TEXTBEFORE(B130,"-"),_xlfn.TEXTBEFORE(_xlfn.TEXTAFTER(B130,"-"),"-")),"")</f>
        <v>737</v>
      </c>
      <c r="E130" s="1" t="str">
        <f t="shared" ref="E130:E131" si="248">IFERROR(IF(ISNUMBER(VALUE(_xlfn.TEXTBEFORE(B130,"-"))),_xlfn.TEXTBEFORE(_xlfn.TEXTAFTER(B130,"-"),"-"),_xlfn.TEXTBEFORE(_xlfn.TEXTAFTER(B130,"-",2),"-")),"")</f>
        <v>300276896</v>
      </c>
      <c r="F130" s="1" t="str">
        <f t="shared" ref="F130:F131" si="249">IFERROR(IF(ISNUMBER(VALUE(_xlfn.TEXTBEFORE(B130,"-"))),_xlfn.TEXTBEFORE(_xlfn.TEXTAFTER(B130,"-",2)," - "),_xlfn.TEXTBEFORE(_xlfn.TEXTAFTER(B130,"-",3)," - ")),"")</f>
        <v xml:space="preserve">F &amp; L AZEVEDO CONFECCAO LTDA FILIAL </v>
      </c>
      <c r="G130" s="1" t="str">
        <f t="shared" ref="G130:G131" si="250">IFERROR(_xlfn.TEXTAFTER(B130," - ",-1),"")</f>
        <v>Etiqueta de Composição</v>
      </c>
      <c r="H130" s="13" t="s">
        <v>7286</v>
      </c>
      <c r="I130" s="21">
        <f t="shared" ref="I130:I131" si="251">DATE(LEFT(H130,4),MID(H130,6,2),MID(H130,9,2))+TIME(MID(H130,12,2),MID(H130,15,2),MID(H130,18,2))</f>
        <v>46205.693761574075</v>
      </c>
      <c r="J130" s="25" t="s">
        <v>7287</v>
      </c>
      <c r="K130" s="1" t="s">
        <v>6795</v>
      </c>
    </row>
    <row r="131" spans="1:11" ht="213.75" hidden="1">
      <c r="A131" s="1" t="s">
        <v>7288</v>
      </c>
      <c r="B131" s="1" t="s">
        <v>6065</v>
      </c>
      <c r="C131" s="1" t="str">
        <f t="shared" si="246"/>
        <v>JEANS</v>
      </c>
      <c r="D131" s="19" t="str">
        <f t="shared" si="247"/>
        <v xml:space="preserve"> 1231</v>
      </c>
      <c r="E131" s="1" t="str">
        <f t="shared" si="248"/>
        <v>300276273</v>
      </c>
      <c r="F131" s="1" t="str">
        <f t="shared" si="249"/>
        <v xml:space="preserve">DI3 CONFECCOES LTDA </v>
      </c>
      <c r="G131" s="1" t="str">
        <f t="shared" si="250"/>
        <v>Traseiro</v>
      </c>
      <c r="H131" s="13" t="s">
        <v>7289</v>
      </c>
      <c r="I131" s="21">
        <f t="shared" si="251"/>
        <v>46219.854548611111</v>
      </c>
      <c r="J131" s="25" t="s">
        <v>7290</v>
      </c>
      <c r="K131" s="1" t="s">
        <v>6795</v>
      </c>
    </row>
    <row r="132" spans="1:11" ht="213.75" hidden="1">
      <c r="A132" s="1" t="s">
        <v>7291</v>
      </c>
      <c r="B132" s="1" t="s">
        <v>7292</v>
      </c>
      <c r="C132" s="1" t="str">
        <f t="shared" ref="C132:C134" si="252">IFERROR(IF(ISNUMBER(VALUE(_xlfn.TEXTBEFORE(B132,"-"))),"",_xlfn.TEXTBEFORE(B132,"-")),"")</f>
        <v>POLO</v>
      </c>
      <c r="D132" s="19" t="str">
        <f t="shared" ref="D132:D134" si="253">IFERROR(IF(ISNUMBER(VALUE(_xlfn.TEXTBEFORE(B132,"-"))),_xlfn.TEXTBEFORE(B132,"-"),_xlfn.TEXTBEFORE(_xlfn.TEXTAFTER(B132,"-"),"-")),"")</f>
        <v xml:space="preserve"> 1488</v>
      </c>
      <c r="E132" s="1" t="str">
        <f t="shared" ref="E132:E134" si="254">IFERROR(IF(ISNUMBER(VALUE(_xlfn.TEXTBEFORE(B132,"-"))),_xlfn.TEXTBEFORE(_xlfn.TEXTAFTER(B132,"-"),"-"),_xlfn.TEXTBEFORE(_xlfn.TEXTAFTER(B132,"-",2),"-")),"")</f>
        <v>300283693</v>
      </c>
      <c r="F132" s="1" t="str">
        <f t="shared" ref="F132:F134" si="255">IFERROR(IF(ISNUMBER(VALUE(_xlfn.TEXTBEFORE(B132,"-"))),_xlfn.TEXTBEFORE(_xlfn.TEXTAFTER(B132,"-",2)," - "),_xlfn.TEXTBEFORE(_xlfn.TEXTAFTER(B132,"-",3)," - ")),"")</f>
        <v xml:space="preserve">POTENGI TEXTIL LTDA </v>
      </c>
      <c r="G132" s="1" t="str">
        <f t="shared" ref="G132:G134" si="256">IFERROR(_xlfn.TEXTAFTER(B132," - ",-1),"")</f>
        <v>Gola</v>
      </c>
      <c r="H132" s="13" t="s">
        <v>7293</v>
      </c>
      <c r="I132" s="21">
        <f t="shared" ref="I132:I134" si="257">DATE(LEFT(H132,4),MID(H132,6,2),MID(H132,9,2))+TIME(MID(H132,12,2),MID(H132,15,2),MID(H132,18,2))</f>
        <v>46227.751944444448</v>
      </c>
      <c r="J132" s="25" t="s">
        <v>7294</v>
      </c>
      <c r="K132" s="1" t="s">
        <v>6795</v>
      </c>
    </row>
    <row r="133" spans="1:11" ht="230.25" hidden="1">
      <c r="A133" s="1" t="s">
        <v>7295</v>
      </c>
      <c r="B133" s="1" t="s">
        <v>7296</v>
      </c>
      <c r="C133" s="1" t="str">
        <f t="shared" si="252"/>
        <v>POLO</v>
      </c>
      <c r="D133" s="19" t="str">
        <f t="shared" si="253"/>
        <v xml:space="preserve"> 1225</v>
      </c>
      <c r="E133" s="1" t="str">
        <f t="shared" si="254"/>
        <v>300280949</v>
      </c>
      <c r="F133" s="1" t="str">
        <f t="shared" si="255"/>
        <v xml:space="preserve">TROPICALLIZ CONFECCOES LTDA </v>
      </c>
      <c r="G133" s="1" t="str">
        <f t="shared" si="256"/>
        <v>Traseiro</v>
      </c>
      <c r="H133" s="13" t="s">
        <v>7297</v>
      </c>
      <c r="I133" s="21">
        <f t="shared" si="257"/>
        <v>46219.797476851854</v>
      </c>
      <c r="J133" s="25" t="s">
        <v>7298</v>
      </c>
      <c r="K133" s="1" t="s">
        <v>6795</v>
      </c>
    </row>
    <row r="134" spans="1:11" ht="230.25" hidden="1">
      <c r="A134" s="1" t="s">
        <v>7299</v>
      </c>
      <c r="B134" s="1" t="s">
        <v>7300</v>
      </c>
      <c r="C134" s="1" t="str">
        <f t="shared" si="252"/>
        <v/>
      </c>
      <c r="D134" s="19" t="str">
        <f t="shared" si="253"/>
        <v>733</v>
      </c>
      <c r="E134" s="1" t="str">
        <f t="shared" si="254"/>
        <v>300275799</v>
      </c>
      <c r="F134" s="1" t="str">
        <f t="shared" si="255"/>
        <v xml:space="preserve">FACCAO ELLO LTDA </v>
      </c>
      <c r="G134" s="1" t="str">
        <f t="shared" si="256"/>
        <v>Etiqueta de Composição</v>
      </c>
      <c r="H134" s="13" t="s">
        <v>7301</v>
      </c>
      <c r="I134" s="21">
        <f t="shared" si="257"/>
        <v>46205.678124999999</v>
      </c>
      <c r="J134" s="25" t="s">
        <v>7302</v>
      </c>
      <c r="K134" s="1" t="s">
        <v>6795</v>
      </c>
    </row>
    <row r="135" spans="1:11" ht="197.25" hidden="1">
      <c r="A135" s="1" t="s">
        <v>7303</v>
      </c>
      <c r="B135" s="1" t="s">
        <v>7304</v>
      </c>
      <c r="C135" s="1" t="str">
        <f t="shared" ref="C135:C137" si="258">IFERROR(IF(ISNUMBER(VALUE(_xlfn.TEXTBEFORE(B135,"-"))),"",_xlfn.TEXTBEFORE(B135,"-")),"")</f>
        <v>POLO</v>
      </c>
      <c r="D135" s="19" t="str">
        <f t="shared" ref="D135:D137" si="259">IFERROR(IF(ISNUMBER(VALUE(_xlfn.TEXTBEFORE(B135,"-"))),_xlfn.TEXTBEFORE(B135,"-"),_xlfn.TEXTBEFORE(_xlfn.TEXTAFTER(B135,"-"),"-")),"")</f>
        <v xml:space="preserve"> 1223</v>
      </c>
      <c r="E135" s="1" t="str">
        <f t="shared" ref="E135:E137" si="260">IFERROR(IF(ISNUMBER(VALUE(_xlfn.TEXTBEFORE(B135,"-"))),_xlfn.TEXTBEFORE(_xlfn.TEXTAFTER(B135,"-"),"-"),_xlfn.TEXTBEFORE(_xlfn.TEXTAFTER(B135,"-",2),"-")),"")</f>
        <v>300280949</v>
      </c>
      <c r="F135" s="1" t="str">
        <f t="shared" ref="F135:F137" si="261">IFERROR(IF(ISNUMBER(VALUE(_xlfn.TEXTBEFORE(B135,"-"))),_xlfn.TEXTBEFORE(_xlfn.TEXTAFTER(B135,"-",2)," - "),_xlfn.TEXTBEFORE(_xlfn.TEXTAFTER(B135,"-",3)," - ")),"")</f>
        <v xml:space="preserve">TROPICALLIZ CONFECCOES LTDA </v>
      </c>
      <c r="G135" s="1" t="str">
        <f t="shared" ref="G135:G137" si="262">IFERROR(_xlfn.TEXTAFTER(B135," - ",-1),"")</f>
        <v>Frente</v>
      </c>
      <c r="H135" s="13" t="s">
        <v>7305</v>
      </c>
      <c r="I135" s="21">
        <f t="shared" ref="I135:I137" si="263">DATE(LEFT(H135,4),MID(H135,6,2),MID(H135,9,2))+TIME(MID(H135,12,2),MID(H135,15,2),MID(H135,18,2))</f>
        <v>46219.794999999998</v>
      </c>
      <c r="J135" s="25" t="s">
        <v>7306</v>
      </c>
      <c r="K135" s="1" t="s">
        <v>6795</v>
      </c>
    </row>
    <row r="136" spans="1:11" ht="230.25" hidden="1">
      <c r="A136" s="1" t="s">
        <v>7307</v>
      </c>
      <c r="B136" s="1" t="s">
        <v>7308</v>
      </c>
      <c r="C136" s="1" t="str">
        <f t="shared" si="258"/>
        <v>JEANS</v>
      </c>
      <c r="D136" s="19" t="str">
        <f t="shared" si="259"/>
        <v xml:space="preserve"> 1480</v>
      </c>
      <c r="E136" s="1" t="str">
        <f t="shared" si="260"/>
        <v>300280202</v>
      </c>
      <c r="F136" s="1" t="str">
        <f t="shared" si="261"/>
        <v xml:space="preserve">LEANDRO MATIAS DA SILVA </v>
      </c>
      <c r="G136" s="1" t="str">
        <f t="shared" si="262"/>
        <v>Etiqueta de Composição</v>
      </c>
      <c r="H136" s="13" t="s">
        <v>7309</v>
      </c>
      <c r="I136" s="21">
        <f t="shared" si="263"/>
        <v>46227.707025462965</v>
      </c>
      <c r="J136" s="25" t="s">
        <v>7310</v>
      </c>
      <c r="K136" s="1" t="s">
        <v>6795</v>
      </c>
    </row>
    <row r="137" spans="1:11" ht="378.75" hidden="1">
      <c r="A137" s="1" t="s">
        <v>7311</v>
      </c>
      <c r="B137" s="1" t="s">
        <v>7312</v>
      </c>
      <c r="C137" s="1" t="str">
        <f t="shared" si="258"/>
        <v/>
      </c>
      <c r="D137" s="19" t="str">
        <f t="shared" si="259"/>
        <v>724</v>
      </c>
      <c r="E137" s="1" t="str">
        <f t="shared" si="260"/>
        <v>300274644</v>
      </c>
      <c r="F137" s="1" t="str">
        <f t="shared" si="261"/>
        <v xml:space="preserve">CONFECCAO G. B. DA SILVA JUNIOR &amp; CIA LTDA </v>
      </c>
      <c r="G137" s="1" t="str">
        <f t="shared" si="262"/>
        <v>Etiqueta de Composição</v>
      </c>
      <c r="H137" s="13" t="s">
        <v>7313</v>
      </c>
      <c r="I137" s="21">
        <f t="shared" si="263"/>
        <v>46205.54519675926</v>
      </c>
      <c r="J137" s="25" t="s">
        <v>7314</v>
      </c>
      <c r="K137" s="1" t="s">
        <v>6795</v>
      </c>
    </row>
    <row r="138" spans="1:11" ht="230.25" hidden="1">
      <c r="A138" s="1" t="s">
        <v>7315</v>
      </c>
      <c r="B138" s="1" t="s">
        <v>7316</v>
      </c>
      <c r="C138" s="1" t="str">
        <f t="shared" ref="C138:C140" si="264">IFERROR(IF(ISNUMBER(VALUE(_xlfn.TEXTBEFORE(B138,"-"))),"",_xlfn.TEXTBEFORE(B138,"-")),"")</f>
        <v>JEANS</v>
      </c>
      <c r="D138" s="19" t="str">
        <f t="shared" ref="D138:D140" si="265">IFERROR(IF(ISNUMBER(VALUE(_xlfn.TEXTBEFORE(B138,"-"))),_xlfn.TEXTBEFORE(B138,"-"),_xlfn.TEXTBEFORE(_xlfn.TEXTAFTER(B138,"-"),"-")),"")</f>
        <v xml:space="preserve"> 1469</v>
      </c>
      <c r="E138" s="1" t="str">
        <f t="shared" ref="E138:E140" si="266">IFERROR(IF(ISNUMBER(VALUE(_xlfn.TEXTBEFORE(B138,"-"))),_xlfn.TEXTBEFORE(_xlfn.TEXTAFTER(B138,"-"),"-"),_xlfn.TEXTBEFORE(_xlfn.TEXTAFTER(B138,"-",2),"-")),"")</f>
        <v>300277059</v>
      </c>
      <c r="F138" s="1" t="str">
        <f t="shared" ref="F138:F140" si="267">IFERROR(IF(ISNUMBER(VALUE(_xlfn.TEXTBEFORE(B138,"-"))),_xlfn.TEXTBEFORE(_xlfn.TEXTAFTER(B138,"-",2)," - "),_xlfn.TEXTBEFORE(_xlfn.TEXTAFTER(B138,"-",3)," - ")),"")</f>
        <v xml:space="preserve">FACCAO ELLO LTDA </v>
      </c>
      <c r="G138" s="1" t="str">
        <f t="shared" ref="G138:G140" si="268">IFERROR(_xlfn.TEXTAFTER(B138," - ",-1),"")</f>
        <v>Etiqueta de Composição</v>
      </c>
      <c r="H138" s="13" t="s">
        <v>7317</v>
      </c>
      <c r="I138" s="21">
        <f t="shared" ref="I138:I140" si="269">DATE(LEFT(H138,4),MID(H138,6,2),MID(H138,9,2))+TIME(MID(H138,12,2),MID(H138,15,2),MID(H138,18,2))</f>
        <v>46227.555613425924</v>
      </c>
      <c r="J138" s="25" t="s">
        <v>7318</v>
      </c>
      <c r="K138" s="1" t="s">
        <v>6795</v>
      </c>
    </row>
    <row r="139" spans="1:11" ht="246.75" hidden="1">
      <c r="A139" s="1" t="s">
        <v>7319</v>
      </c>
      <c r="B139" s="1" t="s">
        <v>7320</v>
      </c>
      <c r="C139" s="1" t="str">
        <f t="shared" si="264"/>
        <v/>
      </c>
      <c r="D139" s="19" t="str">
        <f t="shared" si="265"/>
        <v>723</v>
      </c>
      <c r="E139" s="1" t="str">
        <f t="shared" si="266"/>
        <v>300276462</v>
      </c>
      <c r="F139" s="1" t="str">
        <f t="shared" si="267"/>
        <v xml:space="preserve">M A P FORTE FORTEX PRODUCAO TEXTIL </v>
      </c>
      <c r="G139" s="1" t="str">
        <f t="shared" si="268"/>
        <v>TRASEIRO</v>
      </c>
      <c r="H139" s="13" t="s">
        <v>7321</v>
      </c>
      <c r="I139" s="21">
        <f t="shared" si="269"/>
        <v>46205.517939814818</v>
      </c>
      <c r="J139" s="25" t="s">
        <v>7322</v>
      </c>
      <c r="K139" s="1" t="s">
        <v>6795</v>
      </c>
    </row>
    <row r="140" spans="1:11" ht="263.25" hidden="1">
      <c r="A140" s="1" t="s">
        <v>7323</v>
      </c>
      <c r="B140" s="1" t="s">
        <v>7324</v>
      </c>
      <c r="C140" s="1" t="str">
        <f t="shared" si="264"/>
        <v>TEAR</v>
      </c>
      <c r="D140" s="19" t="str">
        <f t="shared" si="265"/>
        <v xml:space="preserve"> 1220</v>
      </c>
      <c r="E140" s="1" t="str">
        <f t="shared" si="266"/>
        <v>300274695</v>
      </c>
      <c r="F140" s="1" t="str">
        <f t="shared" si="267"/>
        <v xml:space="preserve">CONFECCOES GENESIS LTDA </v>
      </c>
      <c r="G140" s="1" t="str">
        <f t="shared" si="268"/>
        <v>Etiqueta de Composição</v>
      </c>
      <c r="H140" s="13" t="s">
        <v>7325</v>
      </c>
      <c r="I140" s="21">
        <f t="shared" si="269"/>
        <v>46219.781759259262</v>
      </c>
      <c r="J140" s="25" t="s">
        <v>7326</v>
      </c>
      <c r="K140" s="1" t="s">
        <v>6795</v>
      </c>
    </row>
    <row r="141" spans="1:11" ht="246.75" hidden="1">
      <c r="A141" s="1" t="s">
        <v>7327</v>
      </c>
      <c r="B141" s="1" t="s">
        <v>7328</v>
      </c>
      <c r="C141" s="1" t="str">
        <f t="shared" ref="C141:C142" si="270">IFERROR(IF(ISNUMBER(VALUE(_xlfn.TEXTBEFORE(B141,"-"))),"",_xlfn.TEXTBEFORE(B141,"-")),"")</f>
        <v>JEANS</v>
      </c>
      <c r="D141" s="19" t="str">
        <f t="shared" ref="D141:D142" si="271">IFERROR(IF(ISNUMBER(VALUE(_xlfn.TEXTBEFORE(B141,"-"))),_xlfn.TEXTBEFORE(B141,"-"),_xlfn.TEXTBEFORE(_xlfn.TEXTAFTER(B141,"-"),"-")),"")</f>
        <v xml:space="preserve"> 1456</v>
      </c>
      <c r="E141" s="1" t="str">
        <f t="shared" ref="E141:E142" si="272">IFERROR(IF(ISNUMBER(VALUE(_xlfn.TEXTBEFORE(B141,"-"))),_xlfn.TEXTBEFORE(_xlfn.TEXTAFTER(B141,"-"),"-"),_xlfn.TEXTBEFORE(_xlfn.TEXTAFTER(B141,"-",2),"-")),"")</f>
        <v>300284286</v>
      </c>
      <c r="F141" s="1" t="str">
        <f t="shared" ref="F141:F142" si="273">IFERROR(IF(ISNUMBER(VALUE(_xlfn.TEXTBEFORE(B141,"-"))),_xlfn.TEXTBEFORE(_xlfn.TEXTAFTER(B141,"-",2)," - "),_xlfn.TEXTBEFORE(_xlfn.TEXTAFTER(B141,"-",3)," - ")),"")</f>
        <v xml:space="preserve">FLAVIA GEORGIA BRAGA SILVA CONFECCOES LTDA </v>
      </c>
      <c r="G141" s="1" t="str">
        <f t="shared" ref="G141:G142" si="274">IFERROR(_xlfn.TEXTAFTER(B141," - ",-1),"")</f>
        <v>Etiqueta de Composição</v>
      </c>
      <c r="H141" s="13" t="s">
        <v>7329</v>
      </c>
      <c r="I141" s="21">
        <f t="shared" ref="I141:I142" si="275">DATE(LEFT(H141,4),MID(H141,6,2),MID(H141,9,2))+TIME(MID(H141,12,2),MID(H141,15,2),MID(H141,18,2))</f>
        <v>46227.452627314815</v>
      </c>
      <c r="J141" s="25" t="s">
        <v>7330</v>
      </c>
      <c r="K141" s="1" t="s">
        <v>6795</v>
      </c>
    </row>
    <row r="142" spans="1:11" ht="213.75" hidden="1">
      <c r="A142" s="1" t="s">
        <v>7331</v>
      </c>
      <c r="B142" s="1" t="s">
        <v>7332</v>
      </c>
      <c r="C142" s="1" t="str">
        <f t="shared" si="270"/>
        <v>MALHA</v>
      </c>
      <c r="D142" s="19" t="str">
        <f t="shared" si="271"/>
        <v xml:space="preserve"> 1214</v>
      </c>
      <c r="E142" s="1" t="str">
        <f t="shared" si="272"/>
        <v>300280231</v>
      </c>
      <c r="F142" s="1" t="str">
        <f t="shared" si="273"/>
        <v xml:space="preserve">N S CONSTANTINO LTDA </v>
      </c>
      <c r="G142" s="1" t="str">
        <f t="shared" si="274"/>
        <v>Gola</v>
      </c>
      <c r="H142" s="13" t="s">
        <v>7333</v>
      </c>
      <c r="I142" s="21">
        <f t="shared" si="275"/>
        <v>46219.724687499998</v>
      </c>
      <c r="J142" s="25" t="s">
        <v>7334</v>
      </c>
      <c r="K142" s="1" t="s">
        <v>6795</v>
      </c>
    </row>
    <row r="143" spans="1:11" ht="230.25" hidden="1">
      <c r="A143" s="1" t="s">
        <v>7335</v>
      </c>
      <c r="B143" s="1" t="s">
        <v>7336</v>
      </c>
      <c r="C143" s="1" t="str">
        <f>IFERROR(IF(ISNUMBER(VALUE(_xlfn.TEXTBEFORE(B143,"-"))),"",_xlfn.TEXTBEFORE(B143,"-")),"")</f>
        <v/>
      </c>
      <c r="D143" s="19" t="str">
        <f>IFERROR(IF(ISNUMBER(VALUE(_xlfn.TEXTBEFORE(B143,"-"))),_xlfn.TEXTBEFORE(B143,"-"),_xlfn.TEXTBEFORE(_xlfn.TEXTAFTER(B143,"-"),"-")),"")</f>
        <v>721</v>
      </c>
      <c r="E143" s="1" t="str">
        <f>IFERROR(IF(ISNUMBER(VALUE(_xlfn.TEXTBEFORE(B143,"-"))),_xlfn.TEXTBEFORE(_xlfn.TEXTAFTER(B143,"-"),"-"),_xlfn.TEXTBEFORE(_xlfn.TEXTAFTER(B143,"-",2),"-")),"")</f>
        <v>300271681</v>
      </c>
      <c r="F143" s="1" t="str">
        <f>IFERROR(IF(ISNUMBER(VALUE(_xlfn.TEXTBEFORE(B143,"-"))),_xlfn.TEXTBEFORE(_xlfn.TEXTAFTER(B143,"-",2)," - "),_xlfn.TEXTBEFORE(_xlfn.TEXTAFTER(B143,"-",3)," - ")),"")</f>
        <v xml:space="preserve">POTENGI TEXTIL LTDA </v>
      </c>
      <c r="G143" s="1" t="str">
        <f>IFERROR(_xlfn.TEXTAFTER(B143," - ",-1),"")</f>
        <v>Etiqueta de Composição</v>
      </c>
      <c r="H143" s="13" t="s">
        <v>7337</v>
      </c>
      <c r="I143" s="21">
        <f>DATE(LEFT(H143,4),MID(H143,6,2),MID(H143,9,2))+TIME(MID(H143,12,2),MID(H143,15,2),MID(H143,18,2))</f>
        <v>46205.507106481484</v>
      </c>
      <c r="J143" s="25" t="s">
        <v>7338</v>
      </c>
      <c r="K143" s="1" t="s">
        <v>6795</v>
      </c>
    </row>
    <row r="144" spans="1:11" ht="296.25" hidden="1">
      <c r="A144" s="1" t="s">
        <v>7339</v>
      </c>
      <c r="B144" s="1" t="s">
        <v>7340</v>
      </c>
      <c r="C144" s="1" t="str">
        <f t="shared" ref="C144:C145" si="276">IFERROR(IF(ISNUMBER(VALUE(_xlfn.TEXTBEFORE(B144,"-"))),"",_xlfn.TEXTBEFORE(B144,"-")),"")</f>
        <v>JEANS</v>
      </c>
      <c r="D144" s="19" t="str">
        <f t="shared" ref="D144:D145" si="277">IFERROR(IF(ISNUMBER(VALUE(_xlfn.TEXTBEFORE(B144,"-"))),_xlfn.TEXTBEFORE(B144,"-"),_xlfn.TEXTBEFORE(_xlfn.TEXTAFTER(B144,"-"),"-")),"")</f>
        <v xml:space="preserve"> 1453</v>
      </c>
      <c r="E144" s="1" t="str">
        <f t="shared" ref="E144:E145" si="278">IFERROR(IF(ISNUMBER(VALUE(_xlfn.TEXTBEFORE(B144,"-"))),_xlfn.TEXTBEFORE(_xlfn.TEXTAFTER(B144,"-"),"-"),_xlfn.TEXTBEFORE(_xlfn.TEXTAFTER(B144,"-",2),"-")),"")</f>
        <v>300282777</v>
      </c>
      <c r="F144" s="1" t="str">
        <f t="shared" ref="F144:F145" si="279">IFERROR(IF(ISNUMBER(VALUE(_xlfn.TEXTBEFORE(B144,"-"))),_xlfn.TEXTBEFORE(_xlfn.TEXTAFTER(B144,"-",2)," - "),_xlfn.TEXTBEFORE(_xlfn.TEXTAFTER(B144,"-",3)," - ")),"")</f>
        <v xml:space="preserve">JOSE MEDEIROS DE ARAUJO </v>
      </c>
      <c r="G144" s="1" t="str">
        <f t="shared" ref="G144:G145" si="280">IFERROR(_xlfn.TEXTAFTER(B144," - ",-1),"")</f>
        <v>Vista</v>
      </c>
      <c r="H144" s="13" t="s">
        <v>7341</v>
      </c>
      <c r="I144" s="21">
        <f t="shared" ref="I144:I145" si="281">DATE(LEFT(H144,4),MID(H144,6,2),MID(H144,9,2))+TIME(MID(H144,12,2),MID(H144,15,2),MID(H144,18,2))</f>
        <v>46227.437222222223</v>
      </c>
      <c r="J144" s="25" t="s">
        <v>7342</v>
      </c>
      <c r="K144" s="1" t="s">
        <v>6795</v>
      </c>
    </row>
    <row r="145" spans="1:11" ht="230.25" hidden="1">
      <c r="A145" s="1" t="s">
        <v>7343</v>
      </c>
      <c r="B145" s="1" t="s">
        <v>7344</v>
      </c>
      <c r="C145" s="1" t="str">
        <f t="shared" si="276"/>
        <v/>
      </c>
      <c r="D145" s="19" t="str">
        <f t="shared" si="277"/>
        <v>715</v>
      </c>
      <c r="E145" s="1" t="str">
        <f t="shared" si="278"/>
        <v>300275886</v>
      </c>
      <c r="F145" s="1" t="str">
        <f t="shared" si="279"/>
        <v xml:space="preserve">POTENGI TEXTIL LTDA </v>
      </c>
      <c r="G145" s="1" t="str">
        <f t="shared" si="280"/>
        <v>Etiqueta de Composição</v>
      </c>
      <c r="H145" s="13" t="s">
        <v>7345</v>
      </c>
      <c r="I145" s="21">
        <f t="shared" si="281"/>
        <v>46205.479618055557</v>
      </c>
      <c r="J145" s="25" t="s">
        <v>7346</v>
      </c>
      <c r="K145" s="1" t="s">
        <v>6795</v>
      </c>
    </row>
    <row r="146" spans="1:11" ht="329.25" hidden="1">
      <c r="A146" s="1" t="s">
        <v>7347</v>
      </c>
      <c r="B146" s="1" t="s">
        <v>7348</v>
      </c>
      <c r="C146" s="1" t="str">
        <f>IFERROR(IF(ISNUMBER(VALUE(_xlfn.TEXTBEFORE(B146,"-"))),"",_xlfn.TEXTBEFORE(B146,"-")),"")</f>
        <v>JEANS</v>
      </c>
      <c r="D146" s="19" t="str">
        <f>IFERROR(IF(ISNUMBER(VALUE(_xlfn.TEXTBEFORE(B146,"-"))),_xlfn.TEXTBEFORE(B146,"-"),_xlfn.TEXTBEFORE(_xlfn.TEXTAFTER(B146,"-"),"-")),"")</f>
        <v xml:space="preserve"> 1212</v>
      </c>
      <c r="E146" s="1" t="str">
        <f>IFERROR(IF(ISNUMBER(VALUE(_xlfn.TEXTBEFORE(B146,"-"))),_xlfn.TEXTBEFORE(_xlfn.TEXTAFTER(B146,"-"),"-"),_xlfn.TEXTBEFORE(_xlfn.TEXTAFTER(B146,"-",2),"-")),"")</f>
        <v>300272949</v>
      </c>
      <c r="F146" s="1" t="str">
        <f>IFERROR(IF(ISNUMBER(VALUE(_xlfn.TEXTBEFORE(B146,"-"))),_xlfn.TEXTBEFORE(_xlfn.TEXTAFTER(B146,"-",2)," - "),_xlfn.TEXTBEFORE(_xlfn.TEXTAFTER(B146,"-",3)," - ")),"")</f>
        <v xml:space="preserve">JANUNCIO NOBREGA DE AZEVEDO </v>
      </c>
      <c r="G146" s="1" t="str">
        <f>IFERROR(_xlfn.TEXTAFTER(B146," - ",-1),"")</f>
        <v>Gola e Pé de gola</v>
      </c>
      <c r="H146" s="13" t="s">
        <v>7349</v>
      </c>
      <c r="I146" s="21">
        <f>DATE(LEFT(H146,4),MID(H146,6,2),MID(H146,9,2))+TIME(MID(H146,12,2),MID(H146,15,2),MID(H146,18,2))</f>
        <v>46219.701435185183</v>
      </c>
      <c r="J146" s="25" t="s">
        <v>7350</v>
      </c>
      <c r="K146" s="1" t="s">
        <v>6795</v>
      </c>
    </row>
    <row r="147" spans="1:11" ht="246.75" hidden="1">
      <c r="A147" s="1" t="s">
        <v>7351</v>
      </c>
      <c r="B147" s="1" t="s">
        <v>7352</v>
      </c>
      <c r="C147" s="1" t="str">
        <f>IFERROR(IF(ISNUMBER(VALUE(_xlfn.TEXTBEFORE(B147,"-"))),"",_xlfn.TEXTBEFORE(B147,"-")),"")</f>
        <v>JEANS</v>
      </c>
      <c r="D147" s="19" t="str">
        <f>IFERROR(IF(ISNUMBER(VALUE(_xlfn.TEXTBEFORE(B147,"-"))),_xlfn.TEXTBEFORE(B147,"-"),_xlfn.TEXTBEFORE(_xlfn.TEXTAFTER(B147,"-"),"-")),"")</f>
        <v xml:space="preserve"> 1452</v>
      </c>
      <c r="E147" s="1" t="str">
        <f>IFERROR(IF(ISNUMBER(VALUE(_xlfn.TEXTBEFORE(B147,"-"))),_xlfn.TEXTBEFORE(_xlfn.TEXTAFTER(B147,"-"),"-"),_xlfn.TEXTBEFORE(_xlfn.TEXTAFTER(B147,"-",2),"-")),"")</f>
        <v>300277486</v>
      </c>
      <c r="F147" s="1" t="str">
        <f>IFERROR(IF(ISNUMBER(VALUE(_xlfn.TEXTBEFORE(B147,"-"))),_xlfn.TEXTBEFORE(_xlfn.TEXTAFTER(B147,"-",2)," - "),_xlfn.TEXTBEFORE(_xlfn.TEXTAFTER(B147,"-",3)," - ")),"")</f>
        <v xml:space="preserve">F &amp; L AZEVEDO CONFECCAO LTDA MATRIZ </v>
      </c>
      <c r="G147" s="1" t="str">
        <f>IFERROR(_xlfn.TEXTAFTER(B147," - ",-1),"")</f>
        <v>Etiqueta de Composição</v>
      </c>
      <c r="H147" s="13" t="s">
        <v>7353</v>
      </c>
      <c r="I147" s="21">
        <f>DATE(LEFT(H147,4),MID(H147,6,2),MID(H147,9,2))+TIME(MID(H147,12,2),MID(H147,15,2),MID(H147,18,2))</f>
        <v>46227.418923611112</v>
      </c>
      <c r="J147" s="25" t="s">
        <v>7354</v>
      </c>
      <c r="K147" s="1" t="s">
        <v>6795</v>
      </c>
    </row>
    <row r="148" spans="1:11" ht="230.25" hidden="1">
      <c r="A148" s="1" t="s">
        <v>7355</v>
      </c>
      <c r="B148" s="1" t="s">
        <v>7356</v>
      </c>
      <c r="C148" s="1" t="str">
        <f t="shared" ref="C148:C149" si="282">IFERROR(IF(ISNUMBER(VALUE(_xlfn.TEXTBEFORE(B148,"-"))),"",_xlfn.TEXTBEFORE(B148,"-")),"")</f>
        <v>JEANS</v>
      </c>
      <c r="D148" s="19" t="str">
        <f t="shared" ref="D148:D149" si="283">IFERROR(IF(ISNUMBER(VALUE(_xlfn.TEXTBEFORE(B148,"-"))),_xlfn.TEXTBEFORE(B148,"-"),_xlfn.TEXTBEFORE(_xlfn.TEXTAFTER(B148,"-"),"-")),"")</f>
        <v xml:space="preserve"> 1208</v>
      </c>
      <c r="E148" s="1" t="str">
        <f t="shared" ref="E148:E149" si="284">IFERROR(IF(ISNUMBER(VALUE(_xlfn.TEXTBEFORE(B148,"-"))),_xlfn.TEXTBEFORE(_xlfn.TEXTAFTER(B148,"-"),"-"),_xlfn.TEXTBEFORE(_xlfn.TEXTAFTER(B148,"-",2),"-")),"")</f>
        <v>300275795</v>
      </c>
      <c r="F148" s="1" t="str">
        <f t="shared" ref="F148:F149" si="285">IFERROR(IF(ISNUMBER(VALUE(_xlfn.TEXTBEFORE(B148,"-"))),_xlfn.TEXTBEFORE(_xlfn.TEXTAFTER(B148,"-",2)," - "),_xlfn.TEXTBEFORE(_xlfn.TEXTAFTER(B148,"-",3)," - ")),"")</f>
        <v xml:space="preserve">F &amp; L AZEVEDO CONFECCAO LTDA MATRIZ </v>
      </c>
      <c r="G148" s="1" t="str">
        <f t="shared" ref="G148:G149" si="286">IFERROR(_xlfn.TEXTAFTER(B148," - ",-1),"")</f>
        <v>Etiqueta de Composição</v>
      </c>
      <c r="H148" s="13" t="s">
        <v>7357</v>
      </c>
      <c r="I148" s="21">
        <f t="shared" ref="I148:I149" si="287">DATE(LEFT(H148,4),MID(H148,6,2),MID(H148,9,2))+TIME(MID(H148,12,2),MID(H148,15,2),MID(H148,18,2))</f>
        <v>46219.665613425925</v>
      </c>
      <c r="J148" s="25" t="s">
        <v>7358</v>
      </c>
      <c r="K148" s="1" t="s">
        <v>6795</v>
      </c>
    </row>
    <row r="149" spans="1:11" ht="246.75">
      <c r="A149" s="1" t="s">
        <v>7359</v>
      </c>
      <c r="B149" s="1" t="s">
        <v>7360</v>
      </c>
      <c r="C149" s="1" t="str">
        <f t="shared" si="282"/>
        <v/>
      </c>
      <c r="D149" s="19" t="str">
        <f t="shared" si="283"/>
        <v>711</v>
      </c>
      <c r="E149" s="1" t="str">
        <f t="shared" si="284"/>
        <v>300269147</v>
      </c>
      <c r="F149" s="1" t="str">
        <f t="shared" si="285"/>
        <v xml:space="preserve">TENDENCIA CONFECCOES LTDA </v>
      </c>
      <c r="G149" s="1" t="str">
        <f t="shared" si="286"/>
        <v>ETIQUETA DE COMPOSIÇÃO</v>
      </c>
      <c r="H149" s="13" t="s">
        <v>7361</v>
      </c>
      <c r="I149" s="21">
        <f t="shared" si="287"/>
        <v>46205.447581018518</v>
      </c>
      <c r="J149" s="25" t="s">
        <v>7362</v>
      </c>
      <c r="K149" s="1" t="s">
        <v>6795</v>
      </c>
    </row>
    <row r="150" spans="1:11" ht="345.75" hidden="1">
      <c r="A150" s="1" t="s">
        <v>7363</v>
      </c>
      <c r="B150" s="1" t="s">
        <v>7364</v>
      </c>
      <c r="C150" s="1" t="str">
        <f>IFERROR(IF(ISNUMBER(VALUE(_xlfn.TEXTBEFORE(B150,"-"))),"",_xlfn.TEXTBEFORE(B150,"-")),"")</f>
        <v>JEANS</v>
      </c>
      <c r="D150" s="19" t="str">
        <f>IFERROR(IF(ISNUMBER(VALUE(_xlfn.TEXTBEFORE(B150,"-"))),_xlfn.TEXTBEFORE(B150,"-"),_xlfn.TEXTBEFORE(_xlfn.TEXTAFTER(B150,"-"),"-")),"")</f>
        <v xml:space="preserve"> 1450</v>
      </c>
      <c r="E150" s="1" t="str">
        <f>IFERROR(IF(ISNUMBER(VALUE(_xlfn.TEXTBEFORE(B150,"-"))),_xlfn.TEXTBEFORE(_xlfn.TEXTAFTER(B150,"-"),"-"),_xlfn.TEXTBEFORE(_xlfn.TEXTAFTER(B150,"-",2),"-")),"")</f>
        <v>300281922</v>
      </c>
      <c r="F150" s="1" t="str">
        <f>IFERROR(IF(ISNUMBER(VALUE(_xlfn.TEXTBEFORE(B150,"-"))),_xlfn.TEXTBEFORE(_xlfn.TEXTAFTER(B150,"-",2)," - "),_xlfn.TEXTBEFORE(_xlfn.TEXTAFTER(B150,"-",3)," - ")),"")</f>
        <v xml:space="preserve">CONFECCAO G. B. DA SILVA JUNIOR &amp; CIA LTDA </v>
      </c>
      <c r="G150" s="1" t="str">
        <f>IFERROR(_xlfn.TEXTAFTER(B150," - ",-1),"")</f>
        <v>Etiqueta de Composição</v>
      </c>
      <c r="H150" s="13" t="s">
        <v>7365</v>
      </c>
      <c r="I150" s="21">
        <f>DATE(LEFT(H150,4),MID(H150,6,2),MID(H150,9,2))+TIME(MID(H150,12,2),MID(H150,15,2),MID(H150,18,2))</f>
        <v>46226.876099537039</v>
      </c>
      <c r="J150" s="25" t="s">
        <v>7366</v>
      </c>
      <c r="K150" s="1" t="s">
        <v>6795</v>
      </c>
    </row>
    <row r="151" spans="1:11" ht="246.75" hidden="1">
      <c r="A151" s="1" t="s">
        <v>7367</v>
      </c>
      <c r="B151" s="1" t="s">
        <v>7368</v>
      </c>
      <c r="C151" s="1" t="str">
        <f t="shared" ref="C151:C152" si="288">IFERROR(IF(ISNUMBER(VALUE(_xlfn.TEXTBEFORE(B151,"-"))),"",_xlfn.TEXTBEFORE(B151,"-")),"")</f>
        <v>JEANS</v>
      </c>
      <c r="D151" s="19" t="str">
        <f t="shared" ref="D151:D152" si="289">IFERROR(IF(ISNUMBER(VALUE(_xlfn.TEXTBEFORE(B151,"-"))),_xlfn.TEXTBEFORE(B151,"-"),_xlfn.TEXTBEFORE(_xlfn.TEXTAFTER(B151,"-"),"-")),"")</f>
        <v xml:space="preserve"> 1207</v>
      </c>
      <c r="E151" s="1" t="str">
        <f t="shared" ref="E151:E152" si="290">IFERROR(IF(ISNUMBER(VALUE(_xlfn.TEXTBEFORE(B151,"-"))),_xlfn.TEXTBEFORE(_xlfn.TEXTAFTER(B151,"-"),"-"),_xlfn.TEXTBEFORE(_xlfn.TEXTAFTER(B151,"-",2),"-")),"")</f>
        <v>300275035</v>
      </c>
      <c r="F151" s="1" t="str">
        <f t="shared" ref="F151:F152" si="291">IFERROR(IF(ISNUMBER(VALUE(_xlfn.TEXTBEFORE(B151,"-"))),_xlfn.TEXTBEFORE(_xlfn.TEXTAFTER(B151,"-",2)," - "),_xlfn.TEXTBEFORE(_xlfn.TEXTAFTER(B151,"-",3)," - ")),"")</f>
        <v xml:space="preserve">ASA CONFECCOES LTDA </v>
      </c>
      <c r="G151" s="1" t="str">
        <f t="shared" ref="G151:G152" si="292">IFERROR(_xlfn.TEXTAFTER(B151," - ",-1),"")</f>
        <v>Etiqueta de Composição</v>
      </c>
      <c r="H151" s="13" t="s">
        <v>7369</v>
      </c>
      <c r="I151" s="21">
        <f t="shared" ref="I151:I152" si="293">DATE(LEFT(H151,4),MID(H151,6,2),MID(H151,9,2))+TIME(MID(H151,12,2),MID(H151,15,2),MID(H151,18,2))</f>
        <v>46219.588425925926</v>
      </c>
      <c r="J151" s="25" t="s">
        <v>7370</v>
      </c>
      <c r="K151" s="1" t="s">
        <v>6795</v>
      </c>
    </row>
    <row r="152" spans="1:11" ht="312.75" hidden="1">
      <c r="A152" s="1" t="s">
        <v>7371</v>
      </c>
      <c r="B152" s="1" t="s">
        <v>7372</v>
      </c>
      <c r="C152" s="1" t="str">
        <f t="shared" si="288"/>
        <v/>
      </c>
      <c r="D152" s="19" t="str">
        <f t="shared" si="289"/>
        <v>708</v>
      </c>
      <c r="E152" s="1" t="str">
        <f t="shared" si="290"/>
        <v>300276762</v>
      </c>
      <c r="F152" s="1" t="str">
        <f t="shared" si="291"/>
        <v xml:space="preserve">IDEAL CONFECCOES LTDA </v>
      </c>
      <c r="G152" s="1" t="str">
        <f t="shared" si="292"/>
        <v>ETIQUETA DE COMPOSIÇÃO</v>
      </c>
      <c r="H152" s="13" t="s">
        <v>7373</v>
      </c>
      <c r="I152" s="21">
        <f t="shared" si="293"/>
        <v>46204.868217592593</v>
      </c>
      <c r="J152" s="25" t="s">
        <v>7374</v>
      </c>
      <c r="K152" s="1" t="s">
        <v>6795</v>
      </c>
    </row>
    <row r="153" spans="1:11" ht="213.75" hidden="1">
      <c r="A153" s="1" t="s">
        <v>7375</v>
      </c>
      <c r="B153" s="1" t="s">
        <v>7376</v>
      </c>
      <c r="C153" s="1" t="str">
        <f t="shared" ref="C153:C155" si="294">IFERROR(IF(ISNUMBER(VALUE(_xlfn.TEXTBEFORE(B153,"-"))),"",_xlfn.TEXTBEFORE(B153,"-")),"")</f>
        <v>MALHA</v>
      </c>
      <c r="D153" s="19" t="str">
        <f t="shared" ref="D153:D155" si="295">IFERROR(IF(ISNUMBER(VALUE(_xlfn.TEXTBEFORE(B153,"-"))),_xlfn.TEXTBEFORE(B153,"-"),_xlfn.TEXTBEFORE(_xlfn.TEXTAFTER(B153,"-"),"-")),"")</f>
        <v xml:space="preserve"> 1449</v>
      </c>
      <c r="E153" s="1" t="str">
        <f t="shared" ref="E153:E155" si="296">IFERROR(IF(ISNUMBER(VALUE(_xlfn.TEXTBEFORE(B153,"-"))),_xlfn.TEXTBEFORE(_xlfn.TEXTAFTER(B153,"-"),"-"),_xlfn.TEXTBEFORE(_xlfn.TEXTAFTER(B153,"-",2),"-")),"")</f>
        <v>300281670</v>
      </c>
      <c r="F153" s="1" t="str">
        <f t="shared" ref="F153:F155" si="297">IFERROR(IF(ISNUMBER(VALUE(_xlfn.TEXTBEFORE(B153,"-"))),_xlfn.TEXTBEFORE(_xlfn.TEXTAFTER(B153,"-",2)," - "),_xlfn.TEXTBEFORE(_xlfn.TEXTAFTER(B153,"-",3)," - ")),"")</f>
        <v xml:space="preserve">F &amp; L AZEVEDO CONFECCAO LTDA FILIAL </v>
      </c>
      <c r="G153" s="1" t="str">
        <f t="shared" ref="G153:G155" si="298">IFERROR(_xlfn.TEXTAFTER(B153," - ",-1),"")</f>
        <v>Etiqueta de Composição</v>
      </c>
      <c r="H153" s="13" t="s">
        <v>7377</v>
      </c>
      <c r="I153" s="21">
        <f t="shared" ref="I153:I155" si="299">DATE(LEFT(H153,4),MID(H153,6,2),MID(H153,9,2))+TIME(MID(H153,12,2),MID(H153,15,2),MID(H153,18,2))</f>
        <v>46226.815729166665</v>
      </c>
      <c r="J153" s="25" t="s">
        <v>7378</v>
      </c>
      <c r="K153" s="1" t="s">
        <v>6795</v>
      </c>
    </row>
    <row r="154" spans="1:11" ht="312.75" hidden="1">
      <c r="A154" s="1" t="s">
        <v>7379</v>
      </c>
      <c r="B154" s="1" t="s">
        <v>7380</v>
      </c>
      <c r="C154" s="1" t="str">
        <f t="shared" si="294"/>
        <v/>
      </c>
      <c r="D154" s="19" t="str">
        <f t="shared" si="295"/>
        <v>707</v>
      </c>
      <c r="E154" s="1" t="str">
        <f t="shared" si="296"/>
        <v>300270311</v>
      </c>
      <c r="F154" s="1" t="str">
        <f t="shared" si="297"/>
        <v xml:space="preserve">IDEAL CONFECCOES LTDA </v>
      </c>
      <c r="G154" s="1" t="str">
        <f t="shared" si="298"/>
        <v>ETIQUETA DE COMPOSIÇÃO</v>
      </c>
      <c r="H154" s="13" t="s">
        <v>7381</v>
      </c>
      <c r="I154" s="21">
        <f t="shared" si="299"/>
        <v>46204.862916666665</v>
      </c>
      <c r="J154" s="25" t="s">
        <v>7382</v>
      </c>
      <c r="K154" s="1" t="s">
        <v>6795</v>
      </c>
    </row>
    <row r="155" spans="1:11" ht="263.25" hidden="1">
      <c r="A155" s="1" t="s">
        <v>7383</v>
      </c>
      <c r="B155" s="1" t="s">
        <v>7384</v>
      </c>
      <c r="C155" s="1" t="str">
        <f t="shared" si="294"/>
        <v>JEANS</v>
      </c>
      <c r="D155" s="19" t="str">
        <f t="shared" si="295"/>
        <v xml:space="preserve"> 1206</v>
      </c>
      <c r="E155" s="1" t="str">
        <f t="shared" si="296"/>
        <v>300278740</v>
      </c>
      <c r="F155" s="1" t="str">
        <f t="shared" si="297"/>
        <v xml:space="preserve">JANUNCIO NOBREGA DE AZEVEDO </v>
      </c>
      <c r="G155" s="1" t="str">
        <f t="shared" si="298"/>
        <v>Etiqueta de Composição</v>
      </c>
      <c r="H155" s="13" t="s">
        <v>7385</v>
      </c>
      <c r="I155" s="21">
        <f t="shared" si="299"/>
        <v>46219.580185185187</v>
      </c>
      <c r="J155" s="25" t="s">
        <v>7386</v>
      </c>
      <c r="K155" s="1" t="s">
        <v>6795</v>
      </c>
    </row>
    <row r="156" spans="1:11" ht="180.75" hidden="1">
      <c r="A156" s="1" t="s">
        <v>7387</v>
      </c>
      <c r="B156" s="1" t="s">
        <v>7388</v>
      </c>
      <c r="C156" s="1" t="str">
        <f t="shared" ref="C156:C158" si="300">IFERROR(IF(ISNUMBER(VALUE(_xlfn.TEXTBEFORE(B156,"-"))),"",_xlfn.TEXTBEFORE(B156,"-")),"")</f>
        <v>MALHA</v>
      </c>
      <c r="D156" s="19" t="str">
        <f t="shared" ref="D156:D158" si="301">IFERROR(IF(ISNUMBER(VALUE(_xlfn.TEXTBEFORE(B156,"-"))),_xlfn.TEXTBEFORE(B156,"-"),_xlfn.TEXTBEFORE(_xlfn.TEXTAFTER(B156,"-"),"-")),"")</f>
        <v xml:space="preserve"> 1205</v>
      </c>
      <c r="E156" s="1" t="str">
        <f t="shared" ref="E156:E158" si="302">IFERROR(IF(ISNUMBER(VALUE(_xlfn.TEXTBEFORE(B156,"-"))),_xlfn.TEXTBEFORE(_xlfn.TEXTAFTER(B156,"-"),"-"),_xlfn.TEXTBEFORE(_xlfn.TEXTAFTER(B156,"-",2),"-")),"")</f>
        <v>300280229</v>
      </c>
      <c r="F156" s="1" t="str">
        <f t="shared" ref="F156:F158" si="303">IFERROR(IF(ISNUMBER(VALUE(_xlfn.TEXTBEFORE(B156,"-"))),_xlfn.TEXTBEFORE(_xlfn.TEXTAFTER(B156,"-",2)," - "),_xlfn.TEXTBEFORE(_xlfn.TEXTAFTER(B156,"-",3)," - ")),"")</f>
        <v xml:space="preserve">DI3 CONFECCOES LTDA </v>
      </c>
      <c r="G156" s="1" t="str">
        <f t="shared" ref="G156:G158" si="304">IFERROR(_xlfn.TEXTAFTER(B156," - ",-1),"")</f>
        <v>Traseiro</v>
      </c>
      <c r="H156" s="13" t="s">
        <v>7389</v>
      </c>
      <c r="I156" s="21">
        <f t="shared" ref="I156:I158" si="305">DATE(LEFT(H156,4),MID(H156,6,2),MID(H156,9,2))+TIME(MID(H156,12,2),MID(H156,15,2),MID(H156,18,2))</f>
        <v>46219.579895833333</v>
      </c>
      <c r="J156" s="25" t="s">
        <v>7390</v>
      </c>
      <c r="K156" s="1" t="s">
        <v>6795</v>
      </c>
    </row>
    <row r="157" spans="1:11" ht="213.75" hidden="1">
      <c r="A157" s="1" t="s">
        <v>7391</v>
      </c>
      <c r="B157" s="1" t="s">
        <v>7392</v>
      </c>
      <c r="C157" s="1" t="str">
        <f t="shared" si="300"/>
        <v>MALHA</v>
      </c>
      <c r="D157" s="19" t="str">
        <f t="shared" si="301"/>
        <v xml:space="preserve"> 1446</v>
      </c>
      <c r="E157" s="1" t="str">
        <f t="shared" si="302"/>
        <v>300280745</v>
      </c>
      <c r="F157" s="1" t="str">
        <f t="shared" si="303"/>
        <v xml:space="preserve">N S CONSTANTINO LTDA </v>
      </c>
      <c r="G157" s="1" t="str">
        <f t="shared" si="304"/>
        <v>Gola</v>
      </c>
      <c r="H157" s="13" t="s">
        <v>7393</v>
      </c>
      <c r="I157" s="21">
        <f t="shared" si="305"/>
        <v>46226.814143518517</v>
      </c>
      <c r="J157" s="25" t="s">
        <v>7394</v>
      </c>
      <c r="K157" s="1" t="s">
        <v>6795</v>
      </c>
    </row>
    <row r="158" spans="1:11" ht="213.75" hidden="1">
      <c r="A158" s="1" t="s">
        <v>7395</v>
      </c>
      <c r="B158" s="1" t="s">
        <v>7396</v>
      </c>
      <c r="C158" s="1" t="str">
        <f t="shared" si="300"/>
        <v/>
      </c>
      <c r="D158" s="19" t="str">
        <f t="shared" si="301"/>
        <v>699</v>
      </c>
      <c r="E158" s="1" t="str">
        <f t="shared" si="302"/>
        <v>300253723</v>
      </c>
      <c r="F158" s="1" t="str">
        <f t="shared" si="303"/>
        <v xml:space="preserve">JOSE MEDEIROS DE ARAUJO </v>
      </c>
      <c r="G158" s="1" t="str">
        <f t="shared" si="304"/>
        <v>ETIQUETA DE COMPOSIÇÃO</v>
      </c>
      <c r="H158" s="13" t="s">
        <v>7397</v>
      </c>
      <c r="I158" s="21">
        <f t="shared" si="305"/>
        <v>46204.783865740741</v>
      </c>
      <c r="J158" s="25" t="s">
        <v>7398</v>
      </c>
      <c r="K158" s="1" t="s">
        <v>6795</v>
      </c>
    </row>
    <row r="159" spans="1:11" ht="230.25" hidden="1">
      <c r="A159" s="1" t="s">
        <v>7399</v>
      </c>
      <c r="B159" s="1" t="s">
        <v>7400</v>
      </c>
      <c r="C159" s="1" t="str">
        <f t="shared" ref="C159:C160" si="306">IFERROR(IF(ISNUMBER(VALUE(_xlfn.TEXTBEFORE(B159,"-"))),"",_xlfn.TEXTBEFORE(B159,"-")),"")</f>
        <v>JEANS</v>
      </c>
      <c r="D159" s="19" t="str">
        <f t="shared" ref="D159:D160" si="307">IFERROR(IF(ISNUMBER(VALUE(_xlfn.TEXTBEFORE(B159,"-"))),_xlfn.TEXTBEFORE(B159,"-"),_xlfn.TEXTBEFORE(_xlfn.TEXTAFTER(B159,"-"),"-")),"")</f>
        <v xml:space="preserve"> 1441</v>
      </c>
      <c r="E159" s="1" t="str">
        <f t="shared" ref="E159:E160" si="308">IFERROR(IF(ISNUMBER(VALUE(_xlfn.TEXTBEFORE(B159,"-"))),_xlfn.TEXTBEFORE(_xlfn.TEXTAFTER(B159,"-"),"-"),_xlfn.TEXTBEFORE(_xlfn.TEXTAFTER(B159,"-",2),"-")),"")</f>
        <v>300278804</v>
      </c>
      <c r="F159" s="1" t="str">
        <f t="shared" ref="F159:F160" si="309">IFERROR(IF(ISNUMBER(VALUE(_xlfn.TEXTBEFORE(B159,"-"))),_xlfn.TEXTBEFORE(_xlfn.TEXTAFTER(B159,"-",2)," - "),_xlfn.TEXTBEFORE(_xlfn.TEXTAFTER(B159,"-",3)," - ")),"")</f>
        <v xml:space="preserve">FACCAO ELLO LTDA </v>
      </c>
      <c r="G159" s="1" t="str">
        <f t="shared" ref="G159:G160" si="310">IFERROR(_xlfn.TEXTAFTER(B159," - ",-1),"")</f>
        <v>Etiqueta de Composição</v>
      </c>
      <c r="H159" s="13" t="s">
        <v>7401</v>
      </c>
      <c r="I159" s="21">
        <f t="shared" ref="I159:I160" si="311">DATE(LEFT(H159,4),MID(H159,6,2),MID(H159,9,2))+TIME(MID(H159,12,2),MID(H159,15,2),MID(H159,18,2))</f>
        <v>46226.784201388888</v>
      </c>
      <c r="J159" s="25" t="s">
        <v>7402</v>
      </c>
      <c r="K159" s="1" t="s">
        <v>6795</v>
      </c>
    </row>
    <row r="160" spans="1:11" ht="213.75" hidden="1">
      <c r="A160" s="1" t="s">
        <v>7403</v>
      </c>
      <c r="B160" s="1" t="s">
        <v>7404</v>
      </c>
      <c r="C160" s="1" t="str">
        <f t="shared" si="306"/>
        <v>MALHA</v>
      </c>
      <c r="D160" s="19" t="str">
        <f t="shared" si="307"/>
        <v xml:space="preserve"> 1203</v>
      </c>
      <c r="E160" s="1" t="str">
        <f t="shared" si="308"/>
        <v>300281183</v>
      </c>
      <c r="F160" s="1" t="str">
        <f t="shared" si="309"/>
        <v xml:space="preserve">JOSENI MARIA DE MEDEIROS </v>
      </c>
      <c r="G160" s="1" t="str">
        <f t="shared" si="310"/>
        <v>Etiqueta de Composição</v>
      </c>
      <c r="H160" s="13" t="s">
        <v>7405</v>
      </c>
      <c r="I160" s="21">
        <f t="shared" si="311"/>
        <v>46219.575104166666</v>
      </c>
      <c r="J160" s="25" t="s">
        <v>7406</v>
      </c>
      <c r="K160" s="1" t="s">
        <v>6795</v>
      </c>
    </row>
    <row r="161" spans="1:11" ht="213.75" hidden="1">
      <c r="A161" s="1" t="s">
        <v>7407</v>
      </c>
      <c r="B161" s="1" t="s">
        <v>7408</v>
      </c>
      <c r="C161" s="1" t="str">
        <f>IFERROR(IF(ISNUMBER(VALUE(_xlfn.TEXTBEFORE(B161,"-"))),"",_xlfn.TEXTBEFORE(B161,"-")),"")</f>
        <v>MALHA</v>
      </c>
      <c r="D161" s="19" t="str">
        <f>IFERROR(IF(ISNUMBER(VALUE(_xlfn.TEXTBEFORE(B161,"-"))),_xlfn.TEXTBEFORE(B161,"-"),_xlfn.TEXTBEFORE(_xlfn.TEXTAFTER(B161,"-"),"-")),"")</f>
        <v xml:space="preserve"> 1440</v>
      </c>
      <c r="E161" s="1" t="str">
        <f>IFERROR(IF(ISNUMBER(VALUE(_xlfn.TEXTBEFORE(B161,"-"))),_xlfn.TEXTBEFORE(_xlfn.TEXTAFTER(B161,"-"),"-"),_xlfn.TEXTBEFORE(_xlfn.TEXTAFTER(B161,"-",2),"-")),"")</f>
        <v>300283443</v>
      </c>
      <c r="F161" s="1" t="str">
        <f>IFERROR(IF(ISNUMBER(VALUE(_xlfn.TEXTBEFORE(B161,"-"))),_xlfn.TEXTBEFORE(_xlfn.TEXTAFTER(B161,"-",2)," - "),_xlfn.TEXTBEFORE(_xlfn.TEXTAFTER(B161,"-",3)," - ")),"")</f>
        <v xml:space="preserve">DI3 CONFECCOES LTDA </v>
      </c>
      <c r="G161" s="1" t="str">
        <f>IFERROR(_xlfn.TEXTAFTER(B161," - ",-1),"")</f>
        <v>Etiqueta de Composição</v>
      </c>
      <c r="H161" s="13" t="s">
        <v>7409</v>
      </c>
      <c r="I161" s="21">
        <f>DATE(LEFT(H161,4),MID(H161,6,2),MID(H161,9,2))+TIME(MID(H161,12,2),MID(H161,15,2),MID(H161,18,2))</f>
        <v>46226.778969907406</v>
      </c>
      <c r="J161" s="25" t="s">
        <v>7410</v>
      </c>
      <c r="K161" s="1" t="s">
        <v>6795</v>
      </c>
    </row>
    <row r="162" spans="1:11" ht="213.75" hidden="1">
      <c r="A162" s="1" t="s">
        <v>7411</v>
      </c>
      <c r="B162" s="1" t="s">
        <v>7412</v>
      </c>
      <c r="C162" s="1" t="str">
        <f>IFERROR(IF(ISNUMBER(VALUE(_xlfn.TEXTBEFORE(B162,"-"))),"",_xlfn.TEXTBEFORE(B162,"-")),"")</f>
        <v>JEANS</v>
      </c>
      <c r="D162" s="19" t="str">
        <f>IFERROR(IF(ISNUMBER(VALUE(_xlfn.TEXTBEFORE(B162,"-"))),_xlfn.TEXTBEFORE(B162,"-"),_xlfn.TEXTBEFORE(_xlfn.TEXTAFTER(B162,"-"),"-")),"")</f>
        <v xml:space="preserve"> 1196</v>
      </c>
      <c r="E162" s="1" t="str">
        <f>IFERROR(IF(ISNUMBER(VALUE(_xlfn.TEXTBEFORE(B162,"-"))),_xlfn.TEXTBEFORE(_xlfn.TEXTAFTER(B162,"-"),"-"),_xlfn.TEXTBEFORE(_xlfn.TEXTAFTER(B162,"-",2),"-")),"")</f>
        <v>300275800</v>
      </c>
      <c r="F162" s="1" t="str">
        <f>IFERROR(IF(ISNUMBER(VALUE(_xlfn.TEXTBEFORE(B162,"-"))),_xlfn.TEXTBEFORE(_xlfn.TEXTAFTER(B162,"-",2)," - "),_xlfn.TEXTBEFORE(_xlfn.TEXTAFTER(B162,"-",3)," - ")),"")</f>
        <v xml:space="preserve">FACCAO ELLO LTDA </v>
      </c>
      <c r="G162" s="1" t="str">
        <f>IFERROR(_xlfn.TEXTAFTER(B162," - ",-1),"")</f>
        <v>Etiqueta de Composição</v>
      </c>
      <c r="H162" s="13" t="s">
        <v>7413</v>
      </c>
      <c r="I162" s="21">
        <f>DATE(LEFT(H162,4),MID(H162,6,2),MID(H162,9,2))+TIME(MID(H162,12,2),MID(H162,15,2),MID(H162,18,2))</f>
        <v>46219.481076388889</v>
      </c>
      <c r="J162" s="25" t="s">
        <v>7414</v>
      </c>
      <c r="K162" s="1" t="s">
        <v>6795</v>
      </c>
    </row>
    <row r="163" spans="1:11" ht="230.25" hidden="1">
      <c r="A163" s="1" t="s">
        <v>7415</v>
      </c>
      <c r="B163" s="1" t="s">
        <v>7416</v>
      </c>
      <c r="C163" s="1" t="str">
        <f>IFERROR(IF(ISNUMBER(VALUE(_xlfn.TEXTBEFORE(B163,"-"))),"",_xlfn.TEXTBEFORE(B163,"-")),"")</f>
        <v>JEANS</v>
      </c>
      <c r="D163" s="19" t="str">
        <f>IFERROR(IF(ISNUMBER(VALUE(_xlfn.TEXTBEFORE(B163,"-"))),_xlfn.TEXTBEFORE(B163,"-"),_xlfn.TEXTBEFORE(_xlfn.TEXTAFTER(B163,"-"),"-")),"")</f>
        <v xml:space="preserve"> 1439</v>
      </c>
      <c r="E163" s="1" t="str">
        <f>IFERROR(IF(ISNUMBER(VALUE(_xlfn.TEXTBEFORE(B163,"-"))),_xlfn.TEXTBEFORE(_xlfn.TEXTAFTER(B163,"-"),"-"),_xlfn.TEXTBEFORE(_xlfn.TEXTAFTER(B163,"-",2),"-")),"")</f>
        <v>300281877</v>
      </c>
      <c r="F163" s="1" t="str">
        <f>IFERROR(IF(ISNUMBER(VALUE(_xlfn.TEXTBEFORE(B163,"-"))),_xlfn.TEXTBEFORE(_xlfn.TEXTAFTER(B163,"-",2)," - "),_xlfn.TEXTBEFORE(_xlfn.TEXTAFTER(B163,"-",3)," - ")),"")</f>
        <v xml:space="preserve">F A N CONFECCOES LTDA </v>
      </c>
      <c r="G163" s="1" t="str">
        <f>IFERROR(_xlfn.TEXTAFTER(B163," - ",-1),"")</f>
        <v>Aviamento Completo</v>
      </c>
      <c r="H163" s="13" t="s">
        <v>7417</v>
      </c>
      <c r="I163" s="21">
        <f>DATE(LEFT(H163,4),MID(H163,6,2),MID(H163,9,2))+TIME(MID(H163,12,2),MID(H163,15,2),MID(H163,18,2))</f>
        <v>46226.765856481485</v>
      </c>
      <c r="J163" s="25" t="s">
        <v>7418</v>
      </c>
      <c r="K163" s="1" t="s">
        <v>6795</v>
      </c>
    </row>
    <row r="164" spans="1:11" ht="213.75" hidden="1">
      <c r="A164" s="1" t="s">
        <v>7419</v>
      </c>
      <c r="B164" s="1" t="s">
        <v>7420</v>
      </c>
      <c r="C164" s="1" t="str">
        <f>IFERROR(IF(ISNUMBER(VALUE(_xlfn.TEXTBEFORE(B164,"-"))),"",_xlfn.TEXTBEFORE(B164,"-")),"")</f>
        <v>JEANS</v>
      </c>
      <c r="D164" s="19" t="str">
        <f>IFERROR(IF(ISNUMBER(VALUE(_xlfn.TEXTBEFORE(B164,"-"))),_xlfn.TEXTBEFORE(B164,"-"),_xlfn.TEXTBEFORE(_xlfn.TEXTAFTER(B164,"-"),"-")),"")</f>
        <v xml:space="preserve"> 1193</v>
      </c>
      <c r="E164" s="1" t="str">
        <f>IFERROR(IF(ISNUMBER(VALUE(_xlfn.TEXTBEFORE(B164,"-"))),_xlfn.TEXTBEFORE(_xlfn.TEXTAFTER(B164,"-"),"-"),_xlfn.TEXTBEFORE(_xlfn.TEXTAFTER(B164,"-",2),"-")),"")</f>
        <v>300278428</v>
      </c>
      <c r="F164" s="1" t="str">
        <f>IFERROR(IF(ISNUMBER(VALUE(_xlfn.TEXTBEFORE(B164,"-"))),_xlfn.TEXTBEFORE(_xlfn.TEXTAFTER(B164,"-",2)," - "),_xlfn.TEXTBEFORE(_xlfn.TEXTAFTER(B164,"-",3)," - ")),"")</f>
        <v xml:space="preserve">JOSENI MARIA DE MEDEIROS </v>
      </c>
      <c r="G164" s="1" t="str">
        <f>IFERROR(_xlfn.TEXTAFTER(B164," - ",-1),"")</f>
        <v>Etiqueta de Composição</v>
      </c>
      <c r="H164" s="13" t="s">
        <v>7421</v>
      </c>
      <c r="I164" s="21">
        <f>DATE(LEFT(H164,4),MID(H164,6,2),MID(H164,9,2))+TIME(MID(H164,12,2),MID(H164,15,2),MID(H164,18,2))</f>
        <v>46219.458692129629</v>
      </c>
      <c r="J164" s="25" t="s">
        <v>7422</v>
      </c>
      <c r="K164" s="1" t="s">
        <v>6795</v>
      </c>
    </row>
    <row r="165" spans="1:11" ht="230.25">
      <c r="A165" s="1" t="s">
        <v>7423</v>
      </c>
      <c r="B165" s="1" t="s">
        <v>7424</v>
      </c>
      <c r="C165" s="1" t="str">
        <f>IFERROR(IF(ISNUMBER(VALUE(_xlfn.TEXTBEFORE(B165,"-"))),"",_xlfn.TEXTBEFORE(B165,"-")),"")</f>
        <v>MALHA</v>
      </c>
      <c r="D165" s="19" t="str">
        <f>IFERROR(IF(ISNUMBER(VALUE(_xlfn.TEXTBEFORE(B165,"-"))),_xlfn.TEXTBEFORE(B165,"-"),_xlfn.TEXTBEFORE(_xlfn.TEXTAFTER(B165,"-"),"-")),"")</f>
        <v xml:space="preserve"> 1438</v>
      </c>
      <c r="E165" s="1" t="str">
        <f>IFERROR(IF(ISNUMBER(VALUE(_xlfn.TEXTBEFORE(B165,"-"))),_xlfn.TEXTBEFORE(_xlfn.TEXTAFTER(B165,"-"),"-"),_xlfn.TEXTBEFORE(_xlfn.TEXTAFTER(B165,"-",2),"-")),"")</f>
        <v>300283772</v>
      </c>
      <c r="F165" s="1" t="str">
        <f>IFERROR(IF(ISNUMBER(VALUE(_xlfn.TEXTBEFORE(B165,"-"))),_xlfn.TEXTBEFORE(_xlfn.TEXTAFTER(B165,"-",2)," - "),_xlfn.TEXTBEFORE(_xlfn.TEXTAFTER(B165,"-",3)," - ")),"")</f>
        <v xml:space="preserve">POTENGI TEXTIL LTDA </v>
      </c>
      <c r="G165" s="1" t="str">
        <f>IFERROR(_xlfn.TEXTAFTER(B165," - ",-1),"")</f>
        <v>Etiqueta de Composição</v>
      </c>
      <c r="H165" s="13" t="s">
        <v>7425</v>
      </c>
      <c r="I165" s="21">
        <f>DATE(LEFT(H165,4),MID(H165,6,2),MID(H165,9,2))+TIME(MID(H165,12,2),MID(H165,15,2),MID(H165,18,2))</f>
        <v>46226.758611111109</v>
      </c>
      <c r="J165" s="25" t="s">
        <v>7426</v>
      </c>
      <c r="K165" s="1" t="s">
        <v>6795</v>
      </c>
    </row>
    <row r="166" spans="1:11" ht="213.75" hidden="1">
      <c r="A166" s="1" t="s">
        <v>7427</v>
      </c>
      <c r="B166" s="1" t="s">
        <v>7428</v>
      </c>
      <c r="C166" s="1" t="str">
        <f>IFERROR(IF(ISNUMBER(VALUE(_xlfn.TEXTBEFORE(B166,"-"))),"",_xlfn.TEXTBEFORE(B166,"-")),"")</f>
        <v>MALHA</v>
      </c>
      <c r="D166" s="19" t="str">
        <f>IFERROR(IF(ISNUMBER(VALUE(_xlfn.TEXTBEFORE(B166,"-"))),_xlfn.TEXTBEFORE(B166,"-"),_xlfn.TEXTBEFORE(_xlfn.TEXTAFTER(B166,"-"),"-")),"")</f>
        <v xml:space="preserve"> 1187</v>
      </c>
      <c r="E166" s="1" t="str">
        <f>IFERROR(IF(ISNUMBER(VALUE(_xlfn.TEXTBEFORE(B166,"-"))),_xlfn.TEXTBEFORE(_xlfn.TEXTAFTER(B166,"-"),"-"),_xlfn.TEXTBEFORE(_xlfn.TEXTAFTER(B166,"-",2),"-")),"")</f>
        <v>300279221</v>
      </c>
      <c r="F166" s="1" t="str">
        <f>IFERROR(IF(ISNUMBER(VALUE(_xlfn.TEXTBEFORE(B166,"-"))),_xlfn.TEXTBEFORE(_xlfn.TEXTAFTER(B166,"-",2)," - "),_xlfn.TEXTBEFORE(_xlfn.TEXTAFTER(B166,"-",3)," - ")),"")</f>
        <v xml:space="preserve">JOSENI MARIA DE MEDEIROS </v>
      </c>
      <c r="G166" s="1" t="str">
        <f>IFERROR(_xlfn.TEXTAFTER(B166," - ",-1),"")</f>
        <v>Etiqueta de Composição</v>
      </c>
      <c r="H166" s="13" t="s">
        <v>7429</v>
      </c>
      <c r="I166" s="21">
        <f>DATE(LEFT(H166,4),MID(H166,6,2),MID(H166,9,2))+TIME(MID(H166,12,2),MID(H166,15,2),MID(H166,18,2))</f>
        <v>46218.815289351849</v>
      </c>
      <c r="J166" s="25" t="s">
        <v>7430</v>
      </c>
      <c r="K166" s="1" t="s">
        <v>6795</v>
      </c>
    </row>
    <row r="167" spans="1:11" ht="213.75" hidden="1">
      <c r="A167" s="1" t="s">
        <v>7431</v>
      </c>
      <c r="B167" s="1" t="s">
        <v>7432</v>
      </c>
      <c r="C167" s="1" t="str">
        <f t="shared" ref="C167:C168" si="312">IFERROR(IF(ISNUMBER(VALUE(_xlfn.TEXTBEFORE(B167,"-"))),"",_xlfn.TEXTBEFORE(B167,"-")),"")</f>
        <v>MALHA</v>
      </c>
      <c r="D167" s="19" t="str">
        <f t="shared" ref="D167:D168" si="313">IFERROR(IF(ISNUMBER(VALUE(_xlfn.TEXTBEFORE(B167,"-"))),_xlfn.TEXTBEFORE(B167,"-"),_xlfn.TEXTBEFORE(_xlfn.TEXTAFTER(B167,"-"),"-")),"")</f>
        <v xml:space="preserve"> 1434</v>
      </c>
      <c r="E167" s="1" t="str">
        <f t="shared" ref="E167:E168" si="314">IFERROR(IF(ISNUMBER(VALUE(_xlfn.TEXTBEFORE(B167,"-"))),_xlfn.TEXTBEFORE(_xlfn.TEXTAFTER(B167,"-"),"-"),_xlfn.TEXTBEFORE(_xlfn.TEXTAFTER(B167,"-",2),"-")),"")</f>
        <v>300283981</v>
      </c>
      <c r="F167" s="1" t="str">
        <f t="shared" ref="F167:F168" si="315">IFERROR(IF(ISNUMBER(VALUE(_xlfn.TEXTBEFORE(B167,"-"))),_xlfn.TEXTBEFORE(_xlfn.TEXTAFTER(B167,"-",2)," - "),_xlfn.TEXTBEFORE(_xlfn.TEXTAFTER(B167,"-",3)," - ")),"")</f>
        <v xml:space="preserve">DI3 CONFECCOES LTDA </v>
      </c>
      <c r="G167" s="1" t="str">
        <f t="shared" ref="G167:G168" si="316">IFERROR(_xlfn.TEXTAFTER(B167," - ",-1),"")</f>
        <v>Etiqueta de Composição</v>
      </c>
      <c r="H167" s="13" t="s">
        <v>7433</v>
      </c>
      <c r="I167" s="21">
        <f t="shared" ref="I167:I168" si="317">DATE(LEFT(H167,4),MID(H167,6,2),MID(H167,9,2))+TIME(MID(H167,12,2),MID(H167,15,2),MID(H167,18,2))</f>
        <v>46226.718819444446</v>
      </c>
      <c r="J167" s="25" t="s">
        <v>7434</v>
      </c>
      <c r="K167" s="1" t="s">
        <v>6795</v>
      </c>
    </row>
    <row r="168" spans="1:11" ht="213.75" hidden="1">
      <c r="A168" s="1" t="s">
        <v>7435</v>
      </c>
      <c r="B168" s="1" t="s">
        <v>7436</v>
      </c>
      <c r="C168" s="1" t="str">
        <f t="shared" si="312"/>
        <v>MALHA</v>
      </c>
      <c r="D168" s="19" t="str">
        <f t="shared" si="313"/>
        <v xml:space="preserve"> 1186</v>
      </c>
      <c r="E168" s="1" t="str">
        <f t="shared" si="314"/>
        <v>300265955</v>
      </c>
      <c r="F168" s="1" t="str">
        <f t="shared" si="315"/>
        <v xml:space="preserve">JOSENI MARIA DE MEDEIROS </v>
      </c>
      <c r="G168" s="1" t="str">
        <f t="shared" si="316"/>
        <v>Manga</v>
      </c>
      <c r="H168" s="13" t="s">
        <v>7437</v>
      </c>
      <c r="I168" s="21">
        <f t="shared" si="317"/>
        <v>46218.793773148151</v>
      </c>
      <c r="J168" s="25" t="s">
        <v>7438</v>
      </c>
      <c r="K168" s="1" t="s">
        <v>6795</v>
      </c>
    </row>
    <row r="169" spans="1:11" ht="197.25" hidden="1">
      <c r="A169" s="1" t="s">
        <v>7439</v>
      </c>
      <c r="B169" s="1" t="s">
        <v>7440</v>
      </c>
      <c r="C169" s="1" t="str">
        <f t="shared" ref="C169:C170" si="318">IFERROR(IF(ISNUMBER(VALUE(_xlfn.TEXTBEFORE(B169,"-"))),"",_xlfn.TEXTBEFORE(B169,"-")),"")</f>
        <v>MALHA</v>
      </c>
      <c r="D169" s="19" t="str">
        <f t="shared" ref="D169:D170" si="319">IFERROR(IF(ISNUMBER(VALUE(_xlfn.TEXTBEFORE(B169,"-"))),_xlfn.TEXTBEFORE(B169,"-"),_xlfn.TEXTBEFORE(_xlfn.TEXTAFTER(B169,"-"),"-")),"")</f>
        <v xml:space="preserve"> 1185</v>
      </c>
      <c r="E169" s="1" t="str">
        <f t="shared" ref="E169:E170" si="320">IFERROR(IF(ISNUMBER(VALUE(_xlfn.TEXTBEFORE(B169,"-"))),_xlfn.TEXTBEFORE(_xlfn.TEXTAFTER(B169,"-"),"-"),_xlfn.TEXTBEFORE(_xlfn.TEXTAFTER(B169,"-",2),"-")),"")</f>
        <v>300265955</v>
      </c>
      <c r="F169" s="1" t="str">
        <f t="shared" ref="F169:F170" si="321">IFERROR(IF(ISNUMBER(VALUE(_xlfn.TEXTBEFORE(B169,"-"))),_xlfn.TEXTBEFORE(_xlfn.TEXTAFTER(B169,"-",2)," - "),_xlfn.TEXTBEFORE(_xlfn.TEXTAFTER(B169,"-",3)," - ")),"")</f>
        <v xml:space="preserve">JOSENI MARIA DE MEDEIROS </v>
      </c>
      <c r="G169" s="1" t="str">
        <f t="shared" ref="G169:G170" si="322">IFERROR(_xlfn.TEXTAFTER(B169," - ",-1),"")</f>
        <v>Traseiro</v>
      </c>
      <c r="H169" s="13" t="s">
        <v>7441</v>
      </c>
      <c r="I169" s="21">
        <f t="shared" ref="I169:I170" si="323">DATE(LEFT(H169,4),MID(H169,6,2),MID(H169,9,2))+TIME(MID(H169,12,2),MID(H169,15,2),MID(H169,18,2))</f>
        <v>46218.792974537035</v>
      </c>
      <c r="J169" s="25" t="s">
        <v>7442</v>
      </c>
      <c r="K169" s="1" t="s">
        <v>6795</v>
      </c>
    </row>
    <row r="170" spans="1:11" ht="279.75" hidden="1">
      <c r="A170" s="1" t="s">
        <v>7443</v>
      </c>
      <c r="B170" s="1" t="s">
        <v>7444</v>
      </c>
      <c r="C170" s="1" t="str">
        <f t="shared" si="318"/>
        <v>MALHA</v>
      </c>
      <c r="D170" s="19" t="str">
        <f t="shared" si="319"/>
        <v xml:space="preserve"> 1431</v>
      </c>
      <c r="E170" s="1" t="str">
        <f t="shared" si="320"/>
        <v>300283982</v>
      </c>
      <c r="F170" s="1" t="str">
        <f t="shared" si="321"/>
        <v xml:space="preserve">JOSE MEDEIROS DE ARAUJO </v>
      </c>
      <c r="G170" s="1" t="str">
        <f t="shared" si="322"/>
        <v>Viés </v>
      </c>
      <c r="H170" s="13" t="s">
        <v>7445</v>
      </c>
      <c r="I170" s="21">
        <f t="shared" si="323"/>
        <v>46226.713263888887</v>
      </c>
      <c r="J170" s="25" t="s">
        <v>7446</v>
      </c>
      <c r="K170" s="1" t="s">
        <v>6795</v>
      </c>
    </row>
    <row r="171" spans="1:11" ht="230.25" hidden="1">
      <c r="A171" s="1" t="s">
        <v>7447</v>
      </c>
      <c r="B171" s="1" t="s">
        <v>7448</v>
      </c>
      <c r="C171" s="1" t="str">
        <f>IFERROR(IF(ISNUMBER(VALUE(_xlfn.TEXTBEFORE(B171,"-"))),"",_xlfn.TEXTBEFORE(B171,"-")),"")</f>
        <v>MALHA</v>
      </c>
      <c r="D171" s="19" t="str">
        <f>IFERROR(IF(ISNUMBER(VALUE(_xlfn.TEXTBEFORE(B171,"-"))),_xlfn.TEXTBEFORE(B171,"-"),_xlfn.TEXTBEFORE(_xlfn.TEXTAFTER(B171,"-"),"-")),"")</f>
        <v xml:space="preserve"> 1430</v>
      </c>
      <c r="E171" s="1" t="str">
        <f>IFERROR(IF(ISNUMBER(VALUE(_xlfn.TEXTBEFORE(B171,"-"))),_xlfn.TEXTBEFORE(_xlfn.TEXTAFTER(B171,"-"),"-"),_xlfn.TEXTBEFORE(_xlfn.TEXTAFTER(B171,"-",2),"-")),"")</f>
        <v>300283982</v>
      </c>
      <c r="F171" s="1" t="str">
        <f>IFERROR(IF(ISNUMBER(VALUE(_xlfn.TEXTBEFORE(B171,"-"))),_xlfn.TEXTBEFORE(_xlfn.TEXTAFTER(B171,"-",2)," - "),_xlfn.TEXTBEFORE(_xlfn.TEXTAFTER(B171,"-",3)," - ")),"")</f>
        <v xml:space="preserve">JOSE MEDEIROS DE ARAUJO </v>
      </c>
      <c r="G171" s="1" t="str">
        <f>IFERROR(_xlfn.TEXTAFTER(B171," - ",-1),"")</f>
        <v>Gola</v>
      </c>
      <c r="H171" s="13" t="s">
        <v>7449</v>
      </c>
      <c r="I171" s="21">
        <f>DATE(LEFT(H171,4),MID(H171,6,2),MID(H171,9,2))+TIME(MID(H171,12,2),MID(H171,15,2),MID(H171,18,2))</f>
        <v>46226.710162037038</v>
      </c>
      <c r="J171" s="25" t="s">
        <v>7450</v>
      </c>
      <c r="K171" s="1" t="s">
        <v>6795</v>
      </c>
    </row>
    <row r="172" spans="1:11" ht="296.25" hidden="1">
      <c r="A172" s="1" t="s">
        <v>7451</v>
      </c>
      <c r="B172" s="1" t="s">
        <v>7452</v>
      </c>
      <c r="C172" s="1" t="str">
        <f>IFERROR(IF(ISNUMBER(VALUE(_xlfn.TEXTBEFORE(B172,"-"))),"",_xlfn.TEXTBEFORE(B172,"-")),"")</f>
        <v>JEANS</v>
      </c>
      <c r="D172" s="19" t="str">
        <f>IFERROR(IF(ISNUMBER(VALUE(_xlfn.TEXTBEFORE(B172,"-"))),_xlfn.TEXTBEFORE(B172,"-"),_xlfn.TEXTBEFORE(_xlfn.TEXTAFTER(B172,"-"),"-")),"")</f>
        <v xml:space="preserve"> 1429</v>
      </c>
      <c r="E172" s="1" t="str">
        <f>IFERROR(IF(ISNUMBER(VALUE(_xlfn.TEXTBEFORE(B172,"-"))),_xlfn.TEXTBEFORE(_xlfn.TEXTAFTER(B172,"-"),"-"),_xlfn.TEXTBEFORE(_xlfn.TEXTAFTER(B172,"-",2),"-")),"")</f>
        <v>300281495</v>
      </c>
      <c r="F172" s="1" t="str">
        <f>IFERROR(IF(ISNUMBER(VALUE(_xlfn.TEXTBEFORE(B172,"-"))),_xlfn.TEXTBEFORE(_xlfn.TEXTAFTER(B172,"-",2)," - "),_xlfn.TEXTBEFORE(_xlfn.TEXTAFTER(B172,"-",3)," - ")),"")</f>
        <v xml:space="preserve">POEST INDUSTRIA E COMERCIO DE VESTUARIO LTDA </v>
      </c>
      <c r="G172" s="1" t="str">
        <f>IFERROR(_xlfn.TEXTAFTER(B172," - ",-1),"")</f>
        <v>Etiqueta de Composição</v>
      </c>
      <c r="H172" s="13" t="s">
        <v>7453</v>
      </c>
      <c r="I172" s="21">
        <f>DATE(LEFT(H172,4),MID(H172,6,2),MID(H172,9,2))+TIME(MID(H172,12,2),MID(H172,15,2),MID(H172,18,2))</f>
        <v>46226.707997685182</v>
      </c>
      <c r="J172" s="25" t="s">
        <v>7454</v>
      </c>
      <c r="K172" s="1" t="s">
        <v>6795</v>
      </c>
    </row>
    <row r="173" spans="1:11" ht="246.75" hidden="1">
      <c r="A173" s="1" t="s">
        <v>7455</v>
      </c>
      <c r="B173" s="1" t="s">
        <v>7456</v>
      </c>
      <c r="C173" s="1" t="str">
        <f>IFERROR(IF(ISNUMBER(VALUE(_xlfn.TEXTBEFORE(B173,"-"))),"",_xlfn.TEXTBEFORE(B173,"-")),"")</f>
        <v>MALHA</v>
      </c>
      <c r="D173" s="19" t="str">
        <f>IFERROR(IF(ISNUMBER(VALUE(_xlfn.TEXTBEFORE(B173,"-"))),_xlfn.TEXTBEFORE(B173,"-"),_xlfn.TEXTBEFORE(_xlfn.TEXTAFTER(B173,"-"),"-")),"")</f>
        <v xml:space="preserve"> 1427</v>
      </c>
      <c r="E173" s="1" t="str">
        <f>IFERROR(IF(ISNUMBER(VALUE(_xlfn.TEXTBEFORE(B173,"-"))),_xlfn.TEXTBEFORE(_xlfn.TEXTAFTER(B173,"-"),"-"),_xlfn.TEXTBEFORE(_xlfn.TEXTAFTER(B173,"-",2),"-")),"")</f>
        <v>300269047</v>
      </c>
      <c r="F173" s="1" t="str">
        <f>IFERROR(IF(ISNUMBER(VALUE(_xlfn.TEXTBEFORE(B173,"-"))),_xlfn.TEXTBEFORE(_xlfn.TEXTAFTER(B173,"-",2)," - "),_xlfn.TEXTBEFORE(_xlfn.TEXTAFTER(B173,"-",3)," - ")),"")</f>
        <v xml:space="preserve">A X DA PENHA FILHO LTDA </v>
      </c>
      <c r="G173" s="1" t="str">
        <f>IFERROR(_xlfn.TEXTAFTER(B173," - ",-1),"")</f>
        <v>Gola</v>
      </c>
      <c r="H173" s="13" t="s">
        <v>7457</v>
      </c>
      <c r="I173" s="21">
        <f>DATE(LEFT(H173,4),MID(H173,6,2),MID(H173,9,2))+TIME(MID(H173,12,2),MID(H173,15,2),MID(H173,18,2))</f>
        <v>46226.649537037039</v>
      </c>
      <c r="J173" s="25" t="s">
        <v>7458</v>
      </c>
      <c r="K173" s="1" t="s">
        <v>6795</v>
      </c>
    </row>
    <row r="174" spans="1:11" ht="213.75" hidden="1">
      <c r="A174" s="1" t="s">
        <v>7459</v>
      </c>
      <c r="B174" s="1" t="s">
        <v>7460</v>
      </c>
      <c r="C174" s="1" t="str">
        <f>IFERROR(IF(ISNUMBER(VALUE(_xlfn.TEXTBEFORE(B174,"-"))),"",_xlfn.TEXTBEFORE(B174,"-")),"")</f>
        <v/>
      </c>
      <c r="D174" s="19" t="str">
        <f>IFERROR(IF(ISNUMBER(VALUE(_xlfn.TEXTBEFORE(B174,"-"))),_xlfn.TEXTBEFORE(B174,"-"),_xlfn.TEXTBEFORE(_xlfn.TEXTAFTER(B174,"-"),"-")),"")</f>
        <v>653</v>
      </c>
      <c r="E174" s="1" t="str">
        <f>IFERROR(IF(ISNUMBER(VALUE(_xlfn.TEXTBEFORE(B174,"-"))),_xlfn.TEXTBEFORE(_xlfn.TEXTAFTER(B174,"-"),"-"),_xlfn.TEXTBEFORE(_xlfn.TEXTAFTER(B174,"-",2),"-")),"")</f>
        <v>300273667</v>
      </c>
      <c r="F174" s="1" t="str">
        <f>IFERROR(IF(ISNUMBER(VALUE(_xlfn.TEXTBEFORE(B174,"-"))),_xlfn.TEXTBEFORE(_xlfn.TEXTAFTER(B174,"-",2)," - "),_xlfn.TEXTBEFORE(_xlfn.TEXTAFTER(B174,"-",3)," - ")),"")</f>
        <v xml:space="preserve">EBENEZER INDUSTRIA TEXTIL LTDA </v>
      </c>
      <c r="G174" s="1" t="str">
        <f>IFERROR(_xlfn.TEXTAFTER(B174," - ",-1),"")</f>
        <v>FRENTE</v>
      </c>
      <c r="H174" s="13" t="s">
        <v>7461</v>
      </c>
      <c r="I174" s="21">
        <f>DATE(LEFT(H174,4),MID(H174,6,2),MID(H174,9,2))+TIME(MID(H174,12,2),MID(H174,15,2),MID(H174,18,2))</f>
        <v>46203.744201388887</v>
      </c>
      <c r="J174" s="25" t="s">
        <v>7462</v>
      </c>
      <c r="K174" s="1" t="s">
        <v>6795</v>
      </c>
    </row>
    <row r="175" spans="1:11" ht="230.25" hidden="1">
      <c r="A175" s="1" t="s">
        <v>7463</v>
      </c>
      <c r="B175" s="1" t="s">
        <v>7464</v>
      </c>
      <c r="C175" s="1" t="str">
        <f t="shared" ref="C175:C176" si="324">IFERROR(IF(ISNUMBER(VALUE(_xlfn.TEXTBEFORE(B175,"-"))),"",_xlfn.TEXTBEFORE(B175,"-")),"")</f>
        <v/>
      </c>
      <c r="D175" s="19" t="str">
        <f t="shared" ref="D175:D176" si="325">IFERROR(IF(ISNUMBER(VALUE(_xlfn.TEXTBEFORE(B175,"-"))),_xlfn.TEXTBEFORE(B175,"-"),_xlfn.TEXTBEFORE(_xlfn.TEXTAFTER(B175,"-"),"-")),"")</f>
        <v>652</v>
      </c>
      <c r="E175" s="1" t="str">
        <f t="shared" ref="E175:E176" si="326">IFERROR(IF(ISNUMBER(VALUE(_xlfn.TEXTBEFORE(B175,"-"))),_xlfn.TEXTBEFORE(_xlfn.TEXTAFTER(B175,"-"),"-"),_xlfn.TEXTBEFORE(_xlfn.TEXTAFTER(B175,"-",2),"-")),"")</f>
        <v>300273667</v>
      </c>
      <c r="F175" s="1" t="str">
        <f t="shared" ref="F175:F176" si="327">IFERROR(IF(ISNUMBER(VALUE(_xlfn.TEXTBEFORE(B175,"-"))),_xlfn.TEXTBEFORE(_xlfn.TEXTAFTER(B175,"-",2)," - "),_xlfn.TEXTBEFORE(_xlfn.TEXTAFTER(B175,"-",3)," - ")),"")</f>
        <v xml:space="preserve">EBENEZER INDUSTRIA TEXTIL LTDA </v>
      </c>
      <c r="G175" s="1" t="str">
        <f t="shared" ref="G175:G176" si="328">IFERROR(_xlfn.TEXTAFTER(B175," - ",-1),"")</f>
        <v>TRASEIRO</v>
      </c>
      <c r="H175" s="13" t="s">
        <v>7465</v>
      </c>
      <c r="I175" s="21">
        <f t="shared" ref="I175:I176" si="329">DATE(LEFT(H175,4),MID(H175,6,2),MID(H175,9,2))+TIME(MID(H175,12,2),MID(H175,15,2),MID(H175,18,2))</f>
        <v>46203.742835648147</v>
      </c>
      <c r="J175" s="25" t="s">
        <v>7466</v>
      </c>
      <c r="K175" s="1" t="s">
        <v>6795</v>
      </c>
    </row>
    <row r="176" spans="1:11" ht="296.25" hidden="1">
      <c r="A176" s="1" t="s">
        <v>7467</v>
      </c>
      <c r="B176" s="1" t="s">
        <v>7468</v>
      </c>
      <c r="C176" s="1" t="str">
        <f t="shared" si="324"/>
        <v>JEANS</v>
      </c>
      <c r="D176" s="19" t="str">
        <f t="shared" si="325"/>
        <v xml:space="preserve"> 1425</v>
      </c>
      <c r="E176" s="1" t="str">
        <f t="shared" si="326"/>
        <v>300282333</v>
      </c>
      <c r="F176" s="1" t="str">
        <f t="shared" si="327"/>
        <v xml:space="preserve">M C CONFECCOES LTDA </v>
      </c>
      <c r="G176" s="1" t="str">
        <f t="shared" si="328"/>
        <v>Traseiro</v>
      </c>
      <c r="H176" s="13" t="s">
        <v>7469</v>
      </c>
      <c r="I176" s="21">
        <f t="shared" si="329"/>
        <v>46226.583020833335</v>
      </c>
      <c r="J176" s="25" t="s">
        <v>7470</v>
      </c>
      <c r="K176" s="1" t="s">
        <v>6795</v>
      </c>
    </row>
    <row r="177" spans="1:11" ht="213.75" hidden="1">
      <c r="A177" s="1" t="s">
        <v>7471</v>
      </c>
      <c r="B177" s="1" t="s">
        <v>7472</v>
      </c>
      <c r="C177" s="1" t="str">
        <f>IFERROR(IF(ISNUMBER(VALUE(_xlfn.TEXTBEFORE(B177,"-"))),"",_xlfn.TEXTBEFORE(B177,"-")),"")</f>
        <v>JEANS</v>
      </c>
      <c r="D177" s="19" t="str">
        <f>IFERROR(IF(ISNUMBER(VALUE(_xlfn.TEXTBEFORE(B177,"-"))),_xlfn.TEXTBEFORE(B177,"-"),_xlfn.TEXTBEFORE(_xlfn.TEXTAFTER(B177,"-"),"-")),"")</f>
        <v xml:space="preserve"> 1424</v>
      </c>
      <c r="E177" s="1" t="str">
        <f>IFERROR(IF(ISNUMBER(VALUE(_xlfn.TEXTBEFORE(B177,"-"))),_xlfn.TEXTBEFORE(_xlfn.TEXTAFTER(B177,"-"),"-"),_xlfn.TEXTBEFORE(_xlfn.TEXTAFTER(B177,"-",2),"-")),"")</f>
        <v>300281065</v>
      </c>
      <c r="F177" s="1" t="str">
        <f>IFERROR(IF(ISNUMBER(VALUE(_xlfn.TEXTBEFORE(B177,"-"))),_xlfn.TEXTBEFORE(_xlfn.TEXTAFTER(B177,"-",2)," - "),_xlfn.TEXTBEFORE(_xlfn.TEXTAFTER(B177,"-",3)," - ")),"")</f>
        <v xml:space="preserve">JOSENI MARIA DE MEDEIROS </v>
      </c>
      <c r="G177" s="1" t="str">
        <f>IFERROR(_xlfn.TEXTAFTER(B177," - ",-1),"")</f>
        <v>Etiqueta de Composição</v>
      </c>
      <c r="H177" s="13" t="s">
        <v>7473</v>
      </c>
      <c r="I177" s="21">
        <f>DATE(LEFT(H177,4),MID(H177,6,2),MID(H177,9,2))+TIME(MID(H177,12,2),MID(H177,15,2),MID(H177,18,2))</f>
        <v>46226.582083333335</v>
      </c>
      <c r="J177" s="25" t="s">
        <v>7474</v>
      </c>
      <c r="K177" s="1" t="s">
        <v>6795</v>
      </c>
    </row>
    <row r="178" spans="1:11" ht="230.25" hidden="1">
      <c r="A178" s="1" t="s">
        <v>7475</v>
      </c>
      <c r="B178" s="1" t="s">
        <v>7476</v>
      </c>
      <c r="C178" s="1" t="str">
        <f t="shared" ref="C178:C179" si="330">IFERROR(IF(ISNUMBER(VALUE(_xlfn.TEXTBEFORE(B178,"-"))),"",_xlfn.TEXTBEFORE(B178,"-")),"")</f>
        <v/>
      </c>
      <c r="D178" s="19" t="str">
        <f t="shared" ref="D178:D179" si="331">IFERROR(IF(ISNUMBER(VALUE(_xlfn.TEXTBEFORE(B178,"-"))),_xlfn.TEXTBEFORE(B178,"-"),_xlfn.TEXTBEFORE(_xlfn.TEXTAFTER(B178,"-"),"-")),"")</f>
        <v>651</v>
      </c>
      <c r="E178" s="1" t="str">
        <f t="shared" ref="E178:E179" si="332">IFERROR(IF(ISNUMBER(VALUE(_xlfn.TEXTBEFORE(B178,"-"))),_xlfn.TEXTBEFORE(_xlfn.TEXTAFTER(B178,"-"),"-"),_xlfn.TEXTBEFORE(_xlfn.TEXTAFTER(B178,"-",2),"-")),"")</f>
        <v>300273667</v>
      </c>
      <c r="F178" s="1" t="str">
        <f t="shared" ref="F178:F179" si="333">IFERROR(IF(ISNUMBER(VALUE(_xlfn.TEXTBEFORE(B178,"-"))),_xlfn.TEXTBEFORE(_xlfn.TEXTAFTER(B178,"-",2)," - "),_xlfn.TEXTBEFORE(_xlfn.TEXTAFTER(B178,"-",3)," - ")),"")</f>
        <v xml:space="preserve">EBENEZER INDUSTRIA TEXTIL LTDA </v>
      </c>
      <c r="G178" s="1" t="str">
        <f t="shared" ref="G178:G179" si="334">IFERROR(_xlfn.TEXTAFTER(B178," - ",-1),"")</f>
        <v>FRENTE</v>
      </c>
      <c r="H178" s="13" t="s">
        <v>7477</v>
      </c>
      <c r="I178" s="21">
        <f t="shared" ref="I178:I179" si="335">DATE(LEFT(H178,4),MID(H178,6,2),MID(H178,9,2))+TIME(MID(H178,12,2),MID(H178,15,2),MID(H178,18,2))</f>
        <v>46203.742060185185</v>
      </c>
      <c r="J178" s="25" t="s">
        <v>7478</v>
      </c>
      <c r="K178" s="1" t="s">
        <v>6795</v>
      </c>
    </row>
    <row r="179" spans="1:11" ht="197.25" hidden="1">
      <c r="A179" s="1" t="s">
        <v>7479</v>
      </c>
      <c r="B179" s="1" t="s">
        <v>7480</v>
      </c>
      <c r="C179" s="1" t="str">
        <f t="shared" si="330"/>
        <v>MALHA</v>
      </c>
      <c r="D179" s="19" t="str">
        <f t="shared" si="331"/>
        <v xml:space="preserve"> 1183</v>
      </c>
      <c r="E179" s="1" t="str">
        <f t="shared" si="332"/>
        <v>300279350</v>
      </c>
      <c r="F179" s="1" t="str">
        <f t="shared" si="333"/>
        <v xml:space="preserve">F &amp; L AZEVEDO CONFECCAO LTDA FILIAL </v>
      </c>
      <c r="G179" s="1" t="str">
        <f t="shared" si="334"/>
        <v>Etiqueta de Composição</v>
      </c>
      <c r="H179" s="13" t="s">
        <v>7481</v>
      </c>
      <c r="I179" s="21">
        <f t="shared" si="335"/>
        <v>46218.700636574074</v>
      </c>
      <c r="J179" s="25" t="s">
        <v>7482</v>
      </c>
      <c r="K179" s="1" t="s">
        <v>6795</v>
      </c>
    </row>
    <row r="180" spans="1:11" ht="246.75" hidden="1">
      <c r="A180" s="1" t="s">
        <v>7483</v>
      </c>
      <c r="B180" s="1" t="s">
        <v>7484</v>
      </c>
      <c r="C180" s="1" t="str">
        <f>IFERROR(IF(ISNUMBER(VALUE(_xlfn.TEXTBEFORE(B180,"-"))),"",_xlfn.TEXTBEFORE(B180,"-")),"")</f>
        <v>JEANS</v>
      </c>
      <c r="D180" s="19" t="str">
        <f>IFERROR(IF(ISNUMBER(VALUE(_xlfn.TEXTBEFORE(B180,"-"))),_xlfn.TEXTBEFORE(B180,"-"),_xlfn.TEXTBEFORE(_xlfn.TEXTAFTER(B180,"-"),"-")),"")</f>
        <v xml:space="preserve"> 1422</v>
      </c>
      <c r="E180" s="1" t="str">
        <f>IFERROR(IF(ISNUMBER(VALUE(_xlfn.TEXTBEFORE(B180,"-"))),_xlfn.TEXTBEFORE(_xlfn.TEXTAFTER(B180,"-"),"-"),_xlfn.TEXTBEFORE(_xlfn.TEXTAFTER(B180,"-",2),"-")),"")</f>
        <v>300276278</v>
      </c>
      <c r="F180" s="1" t="str">
        <f>IFERROR(IF(ISNUMBER(VALUE(_xlfn.TEXTBEFORE(B180,"-"))),_xlfn.TEXTBEFORE(_xlfn.TEXTAFTER(B180,"-",2)," - "),_xlfn.TEXTBEFORE(_xlfn.TEXTAFTER(B180,"-",3)," - ")),"")</f>
        <v xml:space="preserve">A S CONFECCOES LTDA </v>
      </c>
      <c r="G180" s="1" t="str">
        <f>IFERROR(_xlfn.TEXTAFTER(B180," - ",-1),"")</f>
        <v>Etiqueta de Composição</v>
      </c>
      <c r="H180" s="13" t="s">
        <v>7485</v>
      </c>
      <c r="I180" s="21">
        <f>DATE(LEFT(H180,4),MID(H180,6,2),MID(H180,9,2))+TIME(MID(H180,12,2),MID(H180,15,2),MID(H180,18,2))</f>
        <v>46226.519814814812</v>
      </c>
      <c r="J180" s="25" t="s">
        <v>7486</v>
      </c>
      <c r="K180" s="1" t="s">
        <v>6795</v>
      </c>
    </row>
    <row r="181" spans="1:11" ht="213.75" hidden="1">
      <c r="A181" s="1" t="s">
        <v>7487</v>
      </c>
      <c r="B181" s="1" t="s">
        <v>7488</v>
      </c>
      <c r="C181" s="1" t="str">
        <f>IFERROR(IF(ISNUMBER(VALUE(_xlfn.TEXTBEFORE(B181,"-"))),"",_xlfn.TEXTBEFORE(B181,"-")),"")</f>
        <v>JEANS</v>
      </c>
      <c r="D181" s="19" t="str">
        <f>IFERROR(IF(ISNUMBER(VALUE(_xlfn.TEXTBEFORE(B181,"-"))),_xlfn.TEXTBEFORE(B181,"-"),_xlfn.TEXTBEFORE(_xlfn.TEXTAFTER(B181,"-"),"-")),"")</f>
        <v xml:space="preserve"> 1182</v>
      </c>
      <c r="E181" s="1" t="str">
        <f>IFERROR(IF(ISNUMBER(VALUE(_xlfn.TEXTBEFORE(B181,"-"))),_xlfn.TEXTBEFORE(_xlfn.TEXTAFTER(B181,"-"),"-"),_xlfn.TEXTBEFORE(_xlfn.TEXTAFTER(B181,"-",2),"-")),"")</f>
        <v>300275049</v>
      </c>
      <c r="F181" s="1" t="str">
        <f>IFERROR(IF(ISNUMBER(VALUE(_xlfn.TEXTBEFORE(B181,"-"))),_xlfn.TEXTBEFORE(_xlfn.TEXTAFTER(B181,"-",2)," - "),_xlfn.TEXTBEFORE(_xlfn.TEXTAFTER(B181,"-",3)," - ")),"")</f>
        <v xml:space="preserve">FACCAO ELLO LTDA </v>
      </c>
      <c r="G181" s="1" t="str">
        <f>IFERROR(_xlfn.TEXTAFTER(B181," - ",-1),"")</f>
        <v>Frente</v>
      </c>
      <c r="H181" s="13" t="s">
        <v>7489</v>
      </c>
      <c r="I181" s="21">
        <f>DATE(LEFT(H181,4),MID(H181,6,2),MID(H181,9,2))+TIME(MID(H181,12,2),MID(H181,15,2),MID(H181,18,2))</f>
        <v>46218.677731481483</v>
      </c>
      <c r="J181" s="25" t="s">
        <v>7490</v>
      </c>
      <c r="K181" s="1" t="s">
        <v>6795</v>
      </c>
    </row>
    <row r="182" spans="1:11" ht="230.25" hidden="1">
      <c r="A182" s="1" t="s">
        <v>7491</v>
      </c>
      <c r="B182" s="1" t="s">
        <v>7492</v>
      </c>
      <c r="C182" s="1" t="str">
        <f t="shared" ref="C182:C183" si="336">IFERROR(IF(ISNUMBER(VALUE(_xlfn.TEXTBEFORE(B182,"-"))),"",_xlfn.TEXTBEFORE(B182,"-")),"")</f>
        <v/>
      </c>
      <c r="D182" s="19" t="str">
        <f t="shared" ref="D182:D183" si="337">IFERROR(IF(ISNUMBER(VALUE(_xlfn.TEXTBEFORE(B182,"-"))),_xlfn.TEXTBEFORE(B182,"-"),_xlfn.TEXTBEFORE(_xlfn.TEXTAFTER(B182,"-"),"-")),"")</f>
        <v>641</v>
      </c>
      <c r="E182" s="1" t="str">
        <f t="shared" ref="E182:E183" si="338">IFERROR(IF(ISNUMBER(VALUE(_xlfn.TEXTBEFORE(B182,"-"))),_xlfn.TEXTBEFORE(_xlfn.TEXTAFTER(B182,"-"),"-"),_xlfn.TEXTBEFORE(_xlfn.TEXTAFTER(B182,"-",2),"-")),"")</f>
        <v>300275410</v>
      </c>
      <c r="F182" s="1" t="str">
        <f t="shared" ref="F182:F183" si="339">IFERROR(IF(ISNUMBER(VALUE(_xlfn.TEXTBEFORE(B182,"-"))),_xlfn.TEXTBEFORE(_xlfn.TEXTAFTER(B182,"-",2)," - "),_xlfn.TEXTBEFORE(_xlfn.TEXTAFTER(B182,"-",3)," - ")),"")</f>
        <v xml:space="preserve">W A 2 CONFECCOES LTDA </v>
      </c>
      <c r="G182" s="1" t="str">
        <f t="shared" ref="G182:G183" si="340">IFERROR(_xlfn.TEXTAFTER(B182," - ",-1),"")</f>
        <v>ETIQUETA DE COMPOSIÇÃO</v>
      </c>
      <c r="H182" s="13" t="s">
        <v>7493</v>
      </c>
      <c r="I182" s="21">
        <f t="shared" ref="I182:I183" si="341">DATE(LEFT(H182,4),MID(H182,6,2),MID(H182,9,2))+TIME(MID(H182,12,2),MID(H182,15,2),MID(H182,18,2))</f>
        <v>46203.677071759259</v>
      </c>
      <c r="J182" s="25" t="s">
        <v>7494</v>
      </c>
      <c r="K182" s="1" t="s">
        <v>6795</v>
      </c>
    </row>
    <row r="183" spans="1:11" ht="279.75" hidden="1">
      <c r="A183" s="1" t="s">
        <v>7495</v>
      </c>
      <c r="B183" s="1" t="s">
        <v>7496</v>
      </c>
      <c r="C183" s="1" t="str">
        <f t="shared" si="336"/>
        <v>TEAR</v>
      </c>
      <c r="D183" s="19" t="str">
        <f t="shared" si="337"/>
        <v xml:space="preserve"> 1421</v>
      </c>
      <c r="E183" s="1" t="str">
        <f t="shared" si="338"/>
        <v>300282856</v>
      </c>
      <c r="F183" s="1" t="str">
        <f t="shared" si="339"/>
        <v xml:space="preserve">CONFECCOES GENESIS LTDA </v>
      </c>
      <c r="G183" s="1" t="str">
        <f t="shared" si="340"/>
        <v>Aviamento Completo</v>
      </c>
      <c r="H183" s="13" t="s">
        <v>7497</v>
      </c>
      <c r="I183" s="21">
        <f t="shared" si="341"/>
        <v>46226.506782407407</v>
      </c>
      <c r="J183" s="25" t="s">
        <v>7498</v>
      </c>
      <c r="K183" s="1" t="s">
        <v>6795</v>
      </c>
    </row>
    <row r="184" spans="1:11" ht="263.25" hidden="1">
      <c r="A184" s="1" t="s">
        <v>7499</v>
      </c>
      <c r="B184" s="1" t="s">
        <v>7500</v>
      </c>
      <c r="C184" s="1" t="str">
        <f t="shared" ref="C184:C186" si="342">IFERROR(IF(ISNUMBER(VALUE(_xlfn.TEXTBEFORE(B184,"-"))),"",_xlfn.TEXTBEFORE(B184,"-")),"")</f>
        <v>JEANS</v>
      </c>
      <c r="D184" s="19" t="str">
        <f t="shared" ref="D184:D186" si="343">IFERROR(IF(ISNUMBER(VALUE(_xlfn.TEXTBEFORE(B184,"-"))),_xlfn.TEXTBEFORE(B184,"-"),_xlfn.TEXTBEFORE(_xlfn.TEXTAFTER(B184,"-"),"-")),"")</f>
        <v xml:space="preserve"> 1420</v>
      </c>
      <c r="E184" s="1" t="str">
        <f t="shared" ref="E184:E186" si="344">IFERROR(IF(ISNUMBER(VALUE(_xlfn.TEXTBEFORE(B184,"-"))),_xlfn.TEXTBEFORE(_xlfn.TEXTAFTER(B184,"-"),"-"),_xlfn.TEXTBEFORE(_xlfn.TEXTAFTER(B184,"-",2),"-")),"")</f>
        <v>300277546</v>
      </c>
      <c r="F184" s="1" t="str">
        <f t="shared" ref="F184:F186" si="345">IFERROR(IF(ISNUMBER(VALUE(_xlfn.TEXTBEFORE(B184,"-"))),_xlfn.TEXTBEFORE(_xlfn.TEXTAFTER(B184,"-",2)," - "),_xlfn.TEXTBEFORE(_xlfn.TEXTAFTER(B184,"-",3)," - ")),"")</f>
        <v xml:space="preserve">ASA CONFECCOES LTDA </v>
      </c>
      <c r="G184" s="1" t="str">
        <f t="shared" ref="G184:G186" si="346">IFERROR(_xlfn.TEXTAFTER(B184," - ",-1),"")</f>
        <v>Traseiro</v>
      </c>
      <c r="H184" s="13" t="s">
        <v>7501</v>
      </c>
      <c r="I184" s="21">
        <f t="shared" ref="I184:I186" si="347">DATE(LEFT(H184,4),MID(H184,6,2),MID(H184,9,2))+TIME(MID(H184,12,2),MID(H184,15,2),MID(H184,18,2))</f>
        <v>46226.499594907407</v>
      </c>
      <c r="J184" s="25" t="s">
        <v>7502</v>
      </c>
      <c r="K184" s="1" t="s">
        <v>6795</v>
      </c>
    </row>
    <row r="185" spans="1:11" ht="213.75" hidden="1">
      <c r="A185" s="1" t="s">
        <v>7503</v>
      </c>
      <c r="B185" s="1" t="s">
        <v>7504</v>
      </c>
      <c r="C185" s="1" t="str">
        <f t="shared" si="342"/>
        <v>POLO</v>
      </c>
      <c r="D185" s="19" t="str">
        <f t="shared" si="343"/>
        <v xml:space="preserve"> 1181</v>
      </c>
      <c r="E185" s="1" t="str">
        <f t="shared" si="344"/>
        <v>300281474</v>
      </c>
      <c r="F185" s="1" t="str">
        <f t="shared" si="345"/>
        <v xml:space="preserve">SERRANA TEXTIL LTDA </v>
      </c>
      <c r="G185" s="1" t="str">
        <f t="shared" si="346"/>
        <v>Frente</v>
      </c>
      <c r="H185" s="13" t="s">
        <v>7505</v>
      </c>
      <c r="I185" s="21">
        <f t="shared" si="347"/>
        <v>46218.663298611114</v>
      </c>
      <c r="J185" s="25" t="s">
        <v>7506</v>
      </c>
      <c r="K185" s="1" t="s">
        <v>6795</v>
      </c>
    </row>
    <row r="186" spans="1:11" ht="246.75" hidden="1">
      <c r="A186" s="1" t="s">
        <v>7507</v>
      </c>
      <c r="B186" s="1" t="s">
        <v>7508</v>
      </c>
      <c r="C186" s="1" t="str">
        <f t="shared" si="342"/>
        <v/>
      </c>
      <c r="D186" s="19" t="str">
        <f t="shared" si="343"/>
        <v>640</v>
      </c>
      <c r="E186" s="1" t="str">
        <f t="shared" si="344"/>
        <v>300270295</v>
      </c>
      <c r="F186" s="1" t="str">
        <f t="shared" si="345"/>
        <v xml:space="preserve">F &amp; L AZEVEDO CONFECCAO LTDA MATRIZ </v>
      </c>
      <c r="G186" s="1" t="str">
        <f t="shared" si="346"/>
        <v>ETIQUETA DE COMPOSIÇÃO</v>
      </c>
      <c r="H186" s="13" t="s">
        <v>7509</v>
      </c>
      <c r="I186" s="21">
        <f t="shared" si="347"/>
        <v>46203.651354166665</v>
      </c>
      <c r="J186" s="25" t="s">
        <v>7510</v>
      </c>
      <c r="K186" s="1" t="s">
        <v>6795</v>
      </c>
    </row>
    <row r="187" spans="1:11" ht="213.75" hidden="1">
      <c r="A187" s="1" t="s">
        <v>7511</v>
      </c>
      <c r="B187" s="1" t="s">
        <v>7512</v>
      </c>
      <c r="C187" s="1" t="str">
        <f t="shared" ref="C187:C188" si="348">IFERROR(IF(ISNUMBER(VALUE(_xlfn.TEXTBEFORE(B187,"-"))),"",_xlfn.TEXTBEFORE(B187,"-")),"")</f>
        <v>POLO</v>
      </c>
      <c r="D187" s="19" t="str">
        <f t="shared" ref="D187:D188" si="349">IFERROR(IF(ISNUMBER(VALUE(_xlfn.TEXTBEFORE(B187,"-"))),_xlfn.TEXTBEFORE(B187,"-"),_xlfn.TEXTBEFORE(_xlfn.TEXTAFTER(B187,"-"),"-")),"")</f>
        <v xml:space="preserve"> 1179</v>
      </c>
      <c r="E187" s="1" t="str">
        <f t="shared" ref="E187:E188" si="350">IFERROR(IF(ISNUMBER(VALUE(_xlfn.TEXTBEFORE(B187,"-"))),_xlfn.TEXTBEFORE(_xlfn.TEXTAFTER(B187,"-"),"-"),_xlfn.TEXTBEFORE(_xlfn.TEXTAFTER(B187,"-",2),"-")),"")</f>
        <v>300281473</v>
      </c>
      <c r="F187" s="1" t="str">
        <f t="shared" ref="F187:F188" si="351">IFERROR(IF(ISNUMBER(VALUE(_xlfn.TEXTBEFORE(B187,"-"))),_xlfn.TEXTBEFORE(_xlfn.TEXTAFTER(B187,"-",2)," - "),_xlfn.TEXTBEFORE(_xlfn.TEXTAFTER(B187,"-",3)," - ")),"")</f>
        <v xml:space="preserve">IDEAL CONFECCOES LTDA </v>
      </c>
      <c r="G187" s="1" t="str">
        <f t="shared" ref="G187:G188" si="352">IFERROR(_xlfn.TEXTAFTER(B187," - ",-1),"")</f>
        <v>Etiqueta de Composição</v>
      </c>
      <c r="H187" s="13" t="s">
        <v>7513</v>
      </c>
      <c r="I187" s="21">
        <f t="shared" ref="I187:I188" si="353">DATE(LEFT(H187,4),MID(H187,6,2),MID(H187,9,2))+TIME(MID(H187,12,2),MID(H187,15,2),MID(H187,18,2))</f>
        <v>46218.608622685184</v>
      </c>
      <c r="J187" s="25" t="s">
        <v>7514</v>
      </c>
      <c r="K187" s="1" t="s">
        <v>6795</v>
      </c>
    </row>
    <row r="188" spans="1:11" ht="246.75" hidden="1">
      <c r="A188" s="1" t="s">
        <v>7515</v>
      </c>
      <c r="B188" s="1" t="s">
        <v>7516</v>
      </c>
      <c r="C188" s="1" t="str">
        <f t="shared" si="348"/>
        <v>JEANS</v>
      </c>
      <c r="D188" s="19" t="str">
        <f t="shared" si="349"/>
        <v xml:space="preserve"> 1417</v>
      </c>
      <c r="E188" s="1" t="str">
        <f t="shared" si="350"/>
        <v>300280668</v>
      </c>
      <c r="F188" s="1" t="str">
        <f t="shared" si="351"/>
        <v xml:space="preserve">LAJEDO JEANS CONFECCOES LTDA </v>
      </c>
      <c r="G188" s="1" t="str">
        <f t="shared" si="352"/>
        <v>Passante</v>
      </c>
      <c r="H188" s="13" t="s">
        <v>7517</v>
      </c>
      <c r="I188" s="21">
        <f t="shared" si="353"/>
        <v>46226.478043981479</v>
      </c>
      <c r="J188" s="25" t="s">
        <v>7518</v>
      </c>
      <c r="K188" s="1" t="s">
        <v>6795</v>
      </c>
    </row>
    <row r="189" spans="1:11" ht="213.75" hidden="1">
      <c r="A189" s="1" t="s">
        <v>7519</v>
      </c>
      <c r="B189" s="1" t="s">
        <v>7520</v>
      </c>
      <c r="C189" s="1" t="str">
        <f>IFERROR(IF(ISNUMBER(VALUE(_xlfn.TEXTBEFORE(B189,"-"))),"",_xlfn.TEXTBEFORE(B189,"-")),"")</f>
        <v/>
      </c>
      <c r="D189" s="19" t="str">
        <f>IFERROR(IF(ISNUMBER(VALUE(_xlfn.TEXTBEFORE(B189,"-"))),_xlfn.TEXTBEFORE(B189,"-"),_xlfn.TEXTBEFORE(_xlfn.TEXTAFTER(B189,"-"),"-")),"")</f>
        <v>632</v>
      </c>
      <c r="E189" s="1" t="str">
        <f>IFERROR(IF(ISNUMBER(VALUE(_xlfn.TEXTBEFORE(B189,"-"))),_xlfn.TEXTBEFORE(_xlfn.TEXTAFTER(B189,"-"),"-"),_xlfn.TEXTBEFORE(_xlfn.TEXTAFTER(B189,"-",2),"-")),"")</f>
        <v>300241953</v>
      </c>
      <c r="F189" s="1" t="str">
        <f>IFERROR(IF(ISNUMBER(VALUE(_xlfn.TEXTBEFORE(B189,"-"))),_xlfn.TEXTBEFORE(_xlfn.TEXTAFTER(B189,"-",2)," - "),_xlfn.TEXTBEFORE(_xlfn.TEXTAFTER(B189,"-",3)," - ")),"")</f>
        <v xml:space="preserve">J M CONFECCOES &amp; CIA LTDA </v>
      </c>
      <c r="G189" s="1" t="str">
        <f>IFERROR(_xlfn.TEXTAFTER(B189," - ",-1),"")</f>
        <v>CÓS</v>
      </c>
      <c r="H189" s="13" t="s">
        <v>7521</v>
      </c>
      <c r="I189" s="21">
        <f>DATE(LEFT(H189,4),MID(H189,6,2),MID(H189,9,2))+TIME(MID(H189,12,2),MID(H189,15,2),MID(H189,18,2))</f>
        <v>46203.536736111113</v>
      </c>
      <c r="J189" s="25" t="s">
        <v>7522</v>
      </c>
      <c r="K189" s="1" t="s">
        <v>6795</v>
      </c>
    </row>
    <row r="190" spans="1:11" ht="263.25" hidden="1">
      <c r="A190" s="1" t="s">
        <v>7523</v>
      </c>
      <c r="B190" s="1" t="s">
        <v>7524</v>
      </c>
      <c r="C190" s="1" t="str">
        <f t="shared" ref="C190:C191" si="354">IFERROR(IF(ISNUMBER(VALUE(_xlfn.TEXTBEFORE(B190,"-"))),"",_xlfn.TEXTBEFORE(B190,"-")),"")</f>
        <v>TEAR</v>
      </c>
      <c r="D190" s="19" t="str">
        <f t="shared" ref="D190:D191" si="355">IFERROR(IF(ISNUMBER(VALUE(_xlfn.TEXTBEFORE(B190,"-"))),_xlfn.TEXTBEFORE(B190,"-"),_xlfn.TEXTBEFORE(_xlfn.TEXTAFTER(B190,"-"),"-")),"")</f>
        <v xml:space="preserve"> 1176</v>
      </c>
      <c r="E190" s="1" t="str">
        <f t="shared" ref="E190:E191" si="356">IFERROR(IF(ISNUMBER(VALUE(_xlfn.TEXTBEFORE(B190,"-"))),_xlfn.TEXTBEFORE(_xlfn.TEXTAFTER(B190,"-"),"-"),_xlfn.TEXTBEFORE(_xlfn.TEXTAFTER(B190,"-",2),"-")),"")</f>
        <v>300279739</v>
      </c>
      <c r="F190" s="1" t="str">
        <f t="shared" ref="F190:F191" si="357">IFERROR(IF(ISNUMBER(VALUE(_xlfn.TEXTBEFORE(B190,"-"))),_xlfn.TEXTBEFORE(_xlfn.TEXTAFTER(B190,"-",2)," - "),_xlfn.TEXTBEFORE(_xlfn.TEXTAFTER(B190,"-",3)," - ")),"")</f>
        <v xml:space="preserve">CONFECCOES GENESIS LTDA </v>
      </c>
      <c r="G190" s="1" t="str">
        <f t="shared" ref="G190:G191" si="358">IFERROR(_xlfn.TEXTAFTER(B190," - ",-1),"")</f>
        <v>Etiqueta de Composição</v>
      </c>
      <c r="H190" s="13" t="s">
        <v>7525</v>
      </c>
      <c r="I190" s="21">
        <f t="shared" ref="I190:I191" si="359">DATE(LEFT(H190,4),MID(H190,6,2),MID(H190,9,2))+TIME(MID(H190,12,2),MID(H190,15,2),MID(H190,18,2))</f>
        <v>46218.55909722222</v>
      </c>
      <c r="J190" s="25" t="s">
        <v>7526</v>
      </c>
      <c r="K190" s="1" t="s">
        <v>6795</v>
      </c>
    </row>
    <row r="191" spans="1:11" ht="197.25" hidden="1">
      <c r="A191" s="1" t="s">
        <v>7527</v>
      </c>
      <c r="B191" s="1" t="s">
        <v>7528</v>
      </c>
      <c r="C191" s="1" t="str">
        <f t="shared" si="354"/>
        <v>TEAR</v>
      </c>
      <c r="D191" s="19" t="str">
        <f t="shared" si="355"/>
        <v xml:space="preserve"> 1415</v>
      </c>
      <c r="E191" s="1" t="str">
        <f t="shared" si="356"/>
        <v>300276370</v>
      </c>
      <c r="F191" s="1" t="str">
        <f t="shared" si="357"/>
        <v xml:space="preserve">JOSENI MARIA DE MEDEIROS </v>
      </c>
      <c r="G191" s="1" t="str">
        <f t="shared" si="358"/>
        <v>Linhas</v>
      </c>
      <c r="H191" s="13" t="s">
        <v>7529</v>
      </c>
      <c r="I191" s="21">
        <f t="shared" si="359"/>
        <v>46226.477546296293</v>
      </c>
      <c r="J191" s="25" t="s">
        <v>7530</v>
      </c>
      <c r="K191" s="1" t="s">
        <v>6795</v>
      </c>
    </row>
    <row r="192" spans="1:11" ht="213.75" hidden="1">
      <c r="A192" s="1" t="s">
        <v>7531</v>
      </c>
      <c r="B192" s="1" t="s">
        <v>7532</v>
      </c>
      <c r="C192" s="1" t="str">
        <f>IFERROR(IF(ISNUMBER(VALUE(_xlfn.TEXTBEFORE(B192,"-"))),"",_xlfn.TEXTBEFORE(B192,"-")),"")</f>
        <v/>
      </c>
      <c r="D192" s="19" t="str">
        <f>IFERROR(IF(ISNUMBER(VALUE(_xlfn.TEXTBEFORE(B192,"-"))),_xlfn.TEXTBEFORE(B192,"-"),_xlfn.TEXTBEFORE(_xlfn.TEXTAFTER(B192,"-"),"-")),"")</f>
        <v>624</v>
      </c>
      <c r="E192" s="1" t="str">
        <f>IFERROR(IF(ISNUMBER(VALUE(_xlfn.TEXTBEFORE(B192,"-"))),_xlfn.TEXTBEFORE(_xlfn.TEXTAFTER(B192,"-"),"-"),_xlfn.TEXTBEFORE(_xlfn.TEXTAFTER(B192,"-",2),"-")),"")</f>
        <v>300271488</v>
      </c>
      <c r="F192" s="1" t="str">
        <f>IFERROR(IF(ISNUMBER(VALUE(_xlfn.TEXTBEFORE(B192,"-"))),_xlfn.TEXTBEFORE(_xlfn.TEXTAFTER(B192,"-",2)," - "),_xlfn.TEXTBEFORE(_xlfn.TEXTAFTER(B192,"-",3)," - ")),"")</f>
        <v xml:space="preserve">LEANDRO MATIAS DA SILVA </v>
      </c>
      <c r="G192" s="1" t="str">
        <f>IFERROR(_xlfn.TEXTAFTER(B192," - ",-1),"")</f>
        <v>ETIQUETA DE COMPOSIÇÃO</v>
      </c>
      <c r="H192" s="13" t="s">
        <v>7533</v>
      </c>
      <c r="I192" s="21">
        <f>DATE(LEFT(H192,4),MID(H192,6,2),MID(H192,9,2))+TIME(MID(H192,12,2),MID(H192,15,2),MID(H192,18,2))</f>
        <v>46203.498402777775</v>
      </c>
      <c r="J192" s="25" t="s">
        <v>7534</v>
      </c>
      <c r="K192" s="1" t="s">
        <v>6795</v>
      </c>
    </row>
    <row r="193" spans="1:11" ht="197.25" hidden="1">
      <c r="A193" s="1" t="s">
        <v>7535</v>
      </c>
      <c r="B193" s="1" t="s">
        <v>7536</v>
      </c>
      <c r="C193" s="1" t="str">
        <f>IFERROR(IF(ISNUMBER(VALUE(_xlfn.TEXTBEFORE(B193,"-"))),"",_xlfn.TEXTBEFORE(B193,"-")),"")</f>
        <v>TEAR</v>
      </c>
      <c r="D193" s="19" t="str">
        <f>IFERROR(IF(ISNUMBER(VALUE(_xlfn.TEXTBEFORE(B193,"-"))),_xlfn.TEXTBEFORE(B193,"-"),_xlfn.TEXTBEFORE(_xlfn.TEXTAFTER(B193,"-"),"-")),"")</f>
        <v xml:space="preserve"> 1414</v>
      </c>
      <c r="E193" s="1" t="str">
        <f>IFERROR(IF(ISNUMBER(VALUE(_xlfn.TEXTBEFORE(B193,"-"))),_xlfn.TEXTBEFORE(_xlfn.TEXTAFTER(B193,"-"),"-"),_xlfn.TEXTBEFORE(_xlfn.TEXTAFTER(B193,"-",2),"-")),"")</f>
        <v>300276371</v>
      </c>
      <c r="F193" s="1" t="str">
        <f>IFERROR(IF(ISNUMBER(VALUE(_xlfn.TEXTBEFORE(B193,"-"))),_xlfn.TEXTBEFORE(_xlfn.TEXTAFTER(B193,"-",2)," - "),_xlfn.TEXTBEFORE(_xlfn.TEXTAFTER(B193,"-",3)," - ")),"")</f>
        <v xml:space="preserve">JOSENI MARIA DE MEDEIROS </v>
      </c>
      <c r="G193" s="1" t="str">
        <f>IFERROR(_xlfn.TEXTAFTER(B193," - ",-1),"")</f>
        <v>Linhas</v>
      </c>
      <c r="H193" s="13" t="s">
        <v>7537</v>
      </c>
      <c r="I193" s="21">
        <f>DATE(LEFT(H193,4),MID(H193,6,2),MID(H193,9,2))+TIME(MID(H193,12,2),MID(H193,15,2),MID(H193,18,2))</f>
        <v>46226.476770833331</v>
      </c>
      <c r="J193" s="25" t="s">
        <v>7538</v>
      </c>
      <c r="K193" s="1" t="s">
        <v>6795</v>
      </c>
    </row>
    <row r="194" spans="1:11" ht="246.75" hidden="1">
      <c r="A194" s="1" t="s">
        <v>7539</v>
      </c>
      <c r="B194" s="1" t="s">
        <v>7540</v>
      </c>
      <c r="C194" s="1" t="str">
        <f t="shared" ref="C194:C195" si="360">IFERROR(IF(ISNUMBER(VALUE(_xlfn.TEXTBEFORE(B194,"-"))),"",_xlfn.TEXTBEFORE(B194,"-")),"")</f>
        <v>MALHA</v>
      </c>
      <c r="D194" s="19" t="str">
        <f t="shared" ref="D194:D195" si="361">IFERROR(IF(ISNUMBER(VALUE(_xlfn.TEXTBEFORE(B194,"-"))),_xlfn.TEXTBEFORE(B194,"-"),_xlfn.TEXTBEFORE(_xlfn.TEXTAFTER(B194,"-"),"-")),"")</f>
        <v xml:space="preserve"> 1172</v>
      </c>
      <c r="E194" s="1" t="str">
        <f t="shared" ref="E194:E195" si="362">IFERROR(IF(ISNUMBER(VALUE(_xlfn.TEXTBEFORE(B194,"-"))),_xlfn.TEXTBEFORE(_xlfn.TEXTAFTER(B194,"-"),"-"),_xlfn.TEXTBEFORE(_xlfn.TEXTAFTER(B194,"-",2),"-")),"")</f>
        <v>300273870</v>
      </c>
      <c r="F194" s="1" t="str">
        <f t="shared" ref="F194:F195" si="363">IFERROR(IF(ISNUMBER(VALUE(_xlfn.TEXTBEFORE(B194,"-"))),_xlfn.TEXTBEFORE(_xlfn.TEXTAFTER(B194,"-",2)," - "),_xlfn.TEXTBEFORE(_xlfn.TEXTAFTER(B194,"-",3)," - ")),"")</f>
        <v xml:space="preserve">TENDENCIA CONFECCOES LTDA </v>
      </c>
      <c r="G194" s="1" t="str">
        <f t="shared" ref="G194:G195" si="364">IFERROR(_xlfn.TEXTAFTER(B194," - ",-1),"")</f>
        <v>Etiqueta de Composição</v>
      </c>
      <c r="H194" s="13" t="s">
        <v>7541</v>
      </c>
      <c r="I194" s="21">
        <f t="shared" ref="I194:I195" si="365">DATE(LEFT(H194,4),MID(H194,6,2),MID(H194,9,2))+TIME(MID(H194,12,2),MID(H194,15,2),MID(H194,18,2))</f>
        <v>46218.483217592591</v>
      </c>
      <c r="J194" s="25" t="s">
        <v>7542</v>
      </c>
      <c r="K194" s="1" t="s">
        <v>6795</v>
      </c>
    </row>
    <row r="195" spans="1:11" ht="230.25" hidden="1">
      <c r="A195" s="1" t="s">
        <v>7543</v>
      </c>
      <c r="B195" s="1" t="s">
        <v>7544</v>
      </c>
      <c r="C195" s="1" t="str">
        <f t="shared" si="360"/>
        <v/>
      </c>
      <c r="D195" s="19" t="str">
        <f t="shared" si="361"/>
        <v>622</v>
      </c>
      <c r="E195" s="1" t="str">
        <f t="shared" si="362"/>
        <v>300269151</v>
      </c>
      <c r="F195" s="1" t="str">
        <f t="shared" si="363"/>
        <v xml:space="preserve">DANJAN CONFECCOES LTDA </v>
      </c>
      <c r="G195" s="1" t="str">
        <f t="shared" si="364"/>
        <v>ETIQUETA DE COMPOSIÇÃO</v>
      </c>
      <c r="H195" s="13" t="s">
        <v>7545</v>
      </c>
      <c r="I195" s="21">
        <f t="shared" si="365"/>
        <v>46203.492048611108</v>
      </c>
      <c r="J195" s="25" t="s">
        <v>7546</v>
      </c>
      <c r="K195" s="1" t="s">
        <v>6795</v>
      </c>
    </row>
    <row r="196" spans="1:11" ht="263.25" hidden="1">
      <c r="A196" s="1" t="s">
        <v>7547</v>
      </c>
      <c r="B196" s="1" t="s">
        <v>7548</v>
      </c>
      <c r="C196" s="1" t="str">
        <f t="shared" ref="C196:C197" si="366">IFERROR(IF(ISNUMBER(VALUE(_xlfn.TEXTBEFORE(B196,"-"))),"",_xlfn.TEXTBEFORE(B196,"-")),"")</f>
        <v>JEANS</v>
      </c>
      <c r="D196" s="19" t="str">
        <f t="shared" ref="D196:D197" si="367">IFERROR(IF(ISNUMBER(VALUE(_xlfn.TEXTBEFORE(B196,"-"))),_xlfn.TEXTBEFORE(B196,"-"),_xlfn.TEXTBEFORE(_xlfn.TEXTAFTER(B196,"-"),"-")),"")</f>
        <v xml:space="preserve"> 1405</v>
      </c>
      <c r="E196" s="1" t="str">
        <f t="shared" ref="E196:E197" si="368">IFERROR(IF(ISNUMBER(VALUE(_xlfn.TEXTBEFORE(B196,"-"))),_xlfn.TEXTBEFORE(_xlfn.TEXTAFTER(B196,"-"),"-"),_xlfn.TEXTBEFORE(_xlfn.TEXTAFTER(B196,"-",2),"-")),"")</f>
        <v>300277546</v>
      </c>
      <c r="F196" s="1" t="str">
        <f t="shared" ref="F196:F197" si="369">IFERROR(IF(ISNUMBER(VALUE(_xlfn.TEXTBEFORE(B196,"-"))),_xlfn.TEXTBEFORE(_xlfn.TEXTAFTER(B196,"-",2)," - "),_xlfn.TEXTBEFORE(_xlfn.TEXTAFTER(B196,"-",3)," - ")),"")</f>
        <v xml:space="preserve">ASA CONFECCOES LTDA </v>
      </c>
      <c r="G196" s="1" t="str">
        <f t="shared" ref="G196:G197" si="370">IFERROR(_xlfn.TEXTAFTER(B196," - ",-1),"")</f>
        <v>Traseiro</v>
      </c>
      <c r="H196" s="13" t="s">
        <v>7549</v>
      </c>
      <c r="I196" s="21">
        <f t="shared" ref="I196:I197" si="371">DATE(LEFT(H196,4),MID(H196,6,2),MID(H196,9,2))+TIME(MID(H196,12,2),MID(H196,15,2),MID(H196,18,2))</f>
        <v>46225.891250000001</v>
      </c>
      <c r="J196" s="25" t="s">
        <v>7550</v>
      </c>
      <c r="K196" s="1" t="s">
        <v>6795</v>
      </c>
    </row>
    <row r="197" spans="1:11" ht="213.75" hidden="1">
      <c r="A197" s="1" t="s">
        <v>7551</v>
      </c>
      <c r="B197" s="1" t="s">
        <v>7552</v>
      </c>
      <c r="C197" s="1" t="str">
        <f t="shared" si="366"/>
        <v>MALHA</v>
      </c>
      <c r="D197" s="19" t="str">
        <f t="shared" si="367"/>
        <v xml:space="preserve"> 1170</v>
      </c>
      <c r="E197" s="1" t="str">
        <f t="shared" si="368"/>
        <v>300279221</v>
      </c>
      <c r="F197" s="1" t="str">
        <f t="shared" si="369"/>
        <v xml:space="preserve">JOSENI MARIA DE MEDEIROS </v>
      </c>
      <c r="G197" s="1" t="str">
        <f t="shared" si="370"/>
        <v>Etiqueta de Composição</v>
      </c>
      <c r="H197" s="13" t="s">
        <v>7553</v>
      </c>
      <c r="I197" s="21">
        <f t="shared" si="371"/>
        <v>46218.456817129627</v>
      </c>
      <c r="J197" s="25" t="s">
        <v>7554</v>
      </c>
      <c r="K197" s="1" t="s">
        <v>6795</v>
      </c>
    </row>
    <row r="198" spans="1:11" ht="213.75" hidden="1">
      <c r="A198" s="1" t="s">
        <v>7555</v>
      </c>
      <c r="B198" s="1" t="s">
        <v>7556</v>
      </c>
      <c r="C198" s="1" t="str">
        <f t="shared" ref="C198:C200" si="372">IFERROR(IF(ISNUMBER(VALUE(_xlfn.TEXTBEFORE(B198,"-"))),"",_xlfn.TEXTBEFORE(B198,"-")),"")</f>
        <v>TEAR</v>
      </c>
      <c r="D198" s="19" t="str">
        <f t="shared" ref="D198:D200" si="373">IFERROR(IF(ISNUMBER(VALUE(_xlfn.TEXTBEFORE(B198,"-"))),_xlfn.TEXTBEFORE(B198,"-"),_xlfn.TEXTBEFORE(_xlfn.TEXTAFTER(B198,"-"),"-")),"")</f>
        <v xml:space="preserve"> 1145</v>
      </c>
      <c r="E198" s="1" t="str">
        <f t="shared" ref="E198:E200" si="374">IFERROR(IF(ISNUMBER(VALUE(_xlfn.TEXTBEFORE(B198,"-"))),_xlfn.TEXTBEFORE(_xlfn.TEXTAFTER(B198,"-"),"-"),_xlfn.TEXTBEFORE(_xlfn.TEXTAFTER(B198,"-",2),"-")),"")</f>
        <v>300280237</v>
      </c>
      <c r="F198" s="1" t="str">
        <f t="shared" ref="F198:F200" si="375">IFERROR(IF(ISNUMBER(VALUE(_xlfn.TEXTBEFORE(B198,"-"))),_xlfn.TEXTBEFORE(_xlfn.TEXTAFTER(B198,"-",2)," - "),_xlfn.TEXTBEFORE(_xlfn.TEXTAFTER(B198,"-",3)," - ")),"")</f>
        <v xml:space="preserve">JOSENI MARIA DE MEDEIROS </v>
      </c>
      <c r="G198" s="1" t="str">
        <f t="shared" ref="G198:G200" si="376">IFERROR(_xlfn.TEXTAFTER(B198," - ",-1),"")</f>
        <v>Etiqueta de Composição</v>
      </c>
      <c r="H198" s="13" t="s">
        <v>7557</v>
      </c>
      <c r="I198" s="21">
        <f t="shared" ref="I198:I200" si="377">DATE(LEFT(H198,4),MID(H198,6,2),MID(H198,9,2))+TIME(MID(H198,12,2),MID(H198,15,2),MID(H198,18,2))</f>
        <v>46217.790729166663</v>
      </c>
      <c r="J198" s="25" t="s">
        <v>7558</v>
      </c>
      <c r="K198" s="1" t="s">
        <v>6795</v>
      </c>
    </row>
    <row r="199" spans="1:11" ht="263.25" hidden="1">
      <c r="A199" s="1" t="s">
        <v>7559</v>
      </c>
      <c r="B199" s="1" t="s">
        <v>7560</v>
      </c>
      <c r="C199" s="1" t="str">
        <f t="shared" si="372"/>
        <v/>
      </c>
      <c r="D199" s="19" t="str">
        <f t="shared" si="373"/>
        <v>618</v>
      </c>
      <c r="E199" s="1" t="str">
        <f t="shared" si="374"/>
        <v>300270304</v>
      </c>
      <c r="F199" s="1" t="str">
        <f t="shared" si="375"/>
        <v xml:space="preserve">F &amp; L AZEVEDO CONFECCAO LTDA MATRIZ </v>
      </c>
      <c r="G199" s="1" t="str">
        <f t="shared" si="376"/>
        <v>TRASEIRO</v>
      </c>
      <c r="H199" s="13" t="s">
        <v>7561</v>
      </c>
      <c r="I199" s="21">
        <f t="shared" si="377"/>
        <v>46203.449629629627</v>
      </c>
      <c r="J199" s="25" t="s">
        <v>7562</v>
      </c>
      <c r="K199" s="1" t="s">
        <v>6795</v>
      </c>
    </row>
    <row r="200" spans="1:11" ht="296.25" hidden="1">
      <c r="A200" s="1" t="s">
        <v>7563</v>
      </c>
      <c r="B200" s="1" t="s">
        <v>7564</v>
      </c>
      <c r="C200" s="1" t="str">
        <f t="shared" si="372"/>
        <v>JEANS</v>
      </c>
      <c r="D200" s="19" t="str">
        <f t="shared" si="373"/>
        <v xml:space="preserve"> 1404</v>
      </c>
      <c r="E200" s="1" t="str">
        <f t="shared" si="374"/>
        <v>300280109</v>
      </c>
      <c r="F200" s="1" t="str">
        <f t="shared" si="375"/>
        <v xml:space="preserve">A S CONFECCOES LTDA </v>
      </c>
      <c r="G200" s="1" t="str">
        <f t="shared" si="376"/>
        <v>Etiqueta de Composição</v>
      </c>
      <c r="H200" s="13" t="s">
        <v>7565</v>
      </c>
      <c r="I200" s="21">
        <f t="shared" si="377"/>
        <v>46225.885497685187</v>
      </c>
      <c r="J200" s="25" t="s">
        <v>7566</v>
      </c>
      <c r="K200" s="1" t="s">
        <v>6795</v>
      </c>
    </row>
    <row r="201" spans="1:11" ht="230.25" hidden="1">
      <c r="A201" s="1" t="s">
        <v>7567</v>
      </c>
      <c r="B201" s="1" t="s">
        <v>7568</v>
      </c>
      <c r="C201" s="1" t="str">
        <f t="shared" ref="C201:C203" si="378">IFERROR(IF(ISNUMBER(VALUE(_xlfn.TEXTBEFORE(B201,"-"))),"",_xlfn.TEXTBEFORE(B201,"-")),"")</f>
        <v>JEANS</v>
      </c>
      <c r="D201" s="19" t="str">
        <f t="shared" ref="D201:D203" si="379">IFERROR(IF(ISNUMBER(VALUE(_xlfn.TEXTBEFORE(B201,"-"))),_xlfn.TEXTBEFORE(B201,"-"),_xlfn.TEXTBEFORE(_xlfn.TEXTAFTER(B201,"-"),"-")),"")</f>
        <v xml:space="preserve"> 1400</v>
      </c>
      <c r="E201" s="1" t="str">
        <f t="shared" ref="E201:E203" si="380">IFERROR(IF(ISNUMBER(VALUE(_xlfn.TEXTBEFORE(B201,"-"))),_xlfn.TEXTBEFORE(_xlfn.TEXTAFTER(B201,"-"),"-"),_xlfn.TEXTBEFORE(_xlfn.TEXTAFTER(B201,"-",2),"-")),"")</f>
        <v>300273321</v>
      </c>
      <c r="F201" s="1" t="str">
        <f t="shared" ref="F201:F203" si="381">IFERROR(IF(ISNUMBER(VALUE(_xlfn.TEXTBEFORE(B201,"-"))),_xlfn.TEXTBEFORE(_xlfn.TEXTAFTER(B201,"-",2)," - "),_xlfn.TEXTBEFORE(_xlfn.TEXTAFTER(B201,"-",3)," - ")),"")</f>
        <v xml:space="preserve">CONFECCOES J. S. LTDA </v>
      </c>
      <c r="G201" s="1" t="str">
        <f t="shared" ref="G201:G203" si="382">IFERROR(_xlfn.TEXTAFTER(B201," - ",-1),"")</f>
        <v>Etiqueta de Composição</v>
      </c>
      <c r="H201" s="13" t="s">
        <v>7569</v>
      </c>
      <c r="I201" s="21">
        <f t="shared" ref="I201:I203" si="383">DATE(LEFT(H201,4),MID(H201,6,2),MID(H201,9,2))+TIME(MID(H201,12,2),MID(H201,15,2),MID(H201,18,2))</f>
        <v>46225.830196759256</v>
      </c>
      <c r="J201" s="25" t="s">
        <v>7570</v>
      </c>
      <c r="K201" s="1" t="s">
        <v>6795</v>
      </c>
    </row>
    <row r="202" spans="1:11" ht="230.25" hidden="1">
      <c r="A202" s="1" t="s">
        <v>7571</v>
      </c>
      <c r="B202" s="1" t="s">
        <v>7572</v>
      </c>
      <c r="C202" s="1" t="str">
        <f t="shared" si="378"/>
        <v/>
      </c>
      <c r="D202" s="19" t="str">
        <f t="shared" si="379"/>
        <v>615</v>
      </c>
      <c r="E202" s="1" t="str">
        <f t="shared" si="380"/>
        <v>300273819</v>
      </c>
      <c r="F202" s="1" t="str">
        <f t="shared" si="381"/>
        <v xml:space="preserve">F &amp; L AZEVEDO CONFECCAO LTDA FILIAL </v>
      </c>
      <c r="G202" s="1" t="str">
        <f t="shared" si="382"/>
        <v>ETIQUETA DE COMPOSIÇÃO</v>
      </c>
      <c r="H202" s="13" t="s">
        <v>7573</v>
      </c>
      <c r="I202" s="21">
        <f t="shared" si="383"/>
        <v>46202.879745370374</v>
      </c>
      <c r="J202" s="25" t="s">
        <v>7574</v>
      </c>
      <c r="K202" s="1" t="s">
        <v>6795</v>
      </c>
    </row>
    <row r="203" spans="1:11" ht="263.25" hidden="1">
      <c r="A203" s="1" t="s">
        <v>7575</v>
      </c>
      <c r="B203" s="1" t="s">
        <v>7576</v>
      </c>
      <c r="C203" s="1" t="str">
        <f t="shared" si="378"/>
        <v>JEANS</v>
      </c>
      <c r="D203" s="19" t="str">
        <f t="shared" si="379"/>
        <v xml:space="preserve"> 1143</v>
      </c>
      <c r="E203" s="1" t="str">
        <f t="shared" si="380"/>
        <v>300269799</v>
      </c>
      <c r="F203" s="1" t="str">
        <f t="shared" si="381"/>
        <v xml:space="preserve">POTENGI TEXTIL LTDA </v>
      </c>
      <c r="G203" s="1" t="str">
        <f t="shared" si="382"/>
        <v>Elástico</v>
      </c>
      <c r="H203" s="13" t="s">
        <v>7577</v>
      </c>
      <c r="I203" s="21">
        <f t="shared" si="383"/>
        <v>46217.789155092592</v>
      </c>
      <c r="J203" s="25" t="s">
        <v>7578</v>
      </c>
      <c r="K203" s="1" t="s">
        <v>6795</v>
      </c>
    </row>
    <row r="204" spans="1:11" ht="213.75" hidden="1">
      <c r="A204" s="1" t="s">
        <v>7579</v>
      </c>
      <c r="B204" s="1" t="s">
        <v>7580</v>
      </c>
      <c r="C204" s="1" t="str">
        <f>IFERROR(IF(ISNUMBER(VALUE(_xlfn.TEXTBEFORE(B204,"-"))),"",_xlfn.TEXTBEFORE(B204,"-")),"")</f>
        <v>MALHA</v>
      </c>
      <c r="D204" s="19" t="str">
        <f>IFERROR(IF(ISNUMBER(VALUE(_xlfn.TEXTBEFORE(B204,"-"))),_xlfn.TEXTBEFORE(B204,"-"),_xlfn.TEXTBEFORE(_xlfn.TEXTAFTER(B204,"-"),"-")),"")</f>
        <v xml:space="preserve"> 1396</v>
      </c>
      <c r="E204" s="1" t="str">
        <f>IFERROR(IF(ISNUMBER(VALUE(_xlfn.TEXTBEFORE(B204,"-"))),_xlfn.TEXTBEFORE(_xlfn.TEXTAFTER(B204,"-"),"-"),_xlfn.TEXTBEFORE(_xlfn.TEXTAFTER(B204,"-",2),"-")),"")</f>
        <v>300283983</v>
      </c>
      <c r="F204" s="1" t="str">
        <f>IFERROR(IF(ISNUMBER(VALUE(_xlfn.TEXTBEFORE(B204,"-"))),_xlfn.TEXTBEFORE(_xlfn.TEXTAFTER(B204,"-",2)," - "),_xlfn.TEXTBEFORE(_xlfn.TEXTAFTER(B204,"-",3)," - ")),"")</f>
        <v xml:space="preserve">JOSE MEDEIROS DE ARAUJO </v>
      </c>
      <c r="G204" s="1" t="str">
        <f>IFERROR(_xlfn.TEXTAFTER(B204," - ",-1),"")</f>
        <v>Etiqueta de Composição</v>
      </c>
      <c r="H204" s="13" t="s">
        <v>7581</v>
      </c>
      <c r="I204" s="21">
        <f>DATE(LEFT(H204,4),MID(H204,6,2),MID(H204,9,2))+TIME(MID(H204,12,2),MID(H204,15,2),MID(H204,18,2))</f>
        <v>46225.781886574077</v>
      </c>
      <c r="J204" s="25" t="s">
        <v>7582</v>
      </c>
      <c r="K204" s="1" t="s">
        <v>6795</v>
      </c>
    </row>
    <row r="205" spans="1:11" ht="197.25" hidden="1">
      <c r="A205" s="1" t="s">
        <v>7583</v>
      </c>
      <c r="B205" s="1" t="s">
        <v>7584</v>
      </c>
      <c r="C205" s="1" t="str">
        <f>IFERROR(IF(ISNUMBER(VALUE(_xlfn.TEXTBEFORE(B205,"-"))),"",_xlfn.TEXTBEFORE(B205,"-")),"")</f>
        <v>POLO</v>
      </c>
      <c r="D205" s="19" t="str">
        <f>IFERROR(IF(ISNUMBER(VALUE(_xlfn.TEXTBEFORE(B205,"-"))),_xlfn.TEXTBEFORE(B205,"-"),_xlfn.TEXTBEFORE(_xlfn.TEXTAFTER(B205,"-"),"-")),"")</f>
        <v xml:space="preserve"> 1136</v>
      </c>
      <c r="E205" s="1" t="str">
        <f>IFERROR(IF(ISNUMBER(VALUE(_xlfn.TEXTBEFORE(B205,"-"))),_xlfn.TEXTBEFORE(_xlfn.TEXTAFTER(B205,"-"),"-"),_xlfn.TEXTBEFORE(_xlfn.TEXTAFTER(B205,"-",2),"-")),"")</f>
        <v>300281472</v>
      </c>
      <c r="F205" s="1" t="str">
        <f>IFERROR(IF(ISNUMBER(VALUE(_xlfn.TEXTBEFORE(B205,"-"))),_xlfn.TEXTBEFORE(_xlfn.TEXTAFTER(B205,"-",2)," - "),_xlfn.TEXTBEFORE(_xlfn.TEXTAFTER(B205,"-",3)," - ")),"")</f>
        <v xml:space="preserve">IDEAL CONFECCOES LTDA </v>
      </c>
      <c r="G205" s="1" t="str">
        <f>IFERROR(_xlfn.TEXTAFTER(B205," - ",-1),"")</f>
        <v>Frente</v>
      </c>
      <c r="H205" s="13" t="s">
        <v>7585</v>
      </c>
      <c r="I205" s="21">
        <f>DATE(LEFT(H205,4),MID(H205,6,2),MID(H205,9,2))+TIME(MID(H205,12,2),MID(H205,15,2),MID(H205,18,2))</f>
        <v>46217.784479166665</v>
      </c>
      <c r="J205" s="25" t="s">
        <v>7586</v>
      </c>
      <c r="K205" s="1" t="s">
        <v>6795</v>
      </c>
    </row>
    <row r="206" spans="1:11" ht="213.75" hidden="1">
      <c r="A206" s="1" t="s">
        <v>7587</v>
      </c>
      <c r="B206" s="1" t="s">
        <v>7588</v>
      </c>
      <c r="C206" s="1" t="str">
        <f>IFERROR(IF(ISNUMBER(VALUE(_xlfn.TEXTBEFORE(B206,"-"))),"",_xlfn.TEXTBEFORE(B206,"-")),"")</f>
        <v/>
      </c>
      <c r="D206" s="19" t="str">
        <f>IFERROR(IF(ISNUMBER(VALUE(_xlfn.TEXTBEFORE(B206,"-"))),_xlfn.TEXTBEFORE(B206,"-"),_xlfn.TEXTBEFORE(_xlfn.TEXTAFTER(B206,"-"),"-")),"")</f>
        <v>614</v>
      </c>
      <c r="E206" s="1" t="str">
        <f>IFERROR(IF(ISNUMBER(VALUE(_xlfn.TEXTBEFORE(B206,"-"))),_xlfn.TEXTBEFORE(_xlfn.TEXTAFTER(B206,"-"),"-"),_xlfn.TEXTBEFORE(_xlfn.TEXTAFTER(B206,"-",2),"-")),"")</f>
        <v>300273817</v>
      </c>
      <c r="F206" s="1" t="str">
        <f>IFERROR(IF(ISNUMBER(VALUE(_xlfn.TEXTBEFORE(B206,"-"))),_xlfn.TEXTBEFORE(_xlfn.TEXTAFTER(B206,"-",2)," - "),_xlfn.TEXTBEFORE(_xlfn.TEXTAFTER(B206,"-",3)," - ")),"")</f>
        <v xml:space="preserve">F &amp; L AZEVEDO CONFECCAO LTDA FILIAL </v>
      </c>
      <c r="G206" s="1" t="str">
        <f>IFERROR(_xlfn.TEXTAFTER(B206," - ",-1),"")</f>
        <v>ETIQUETA DE COMPOSIÇÃO</v>
      </c>
      <c r="H206" s="13" t="s">
        <v>7589</v>
      </c>
      <c r="I206" s="21">
        <f>DATE(LEFT(H206,4),MID(H206,6,2),MID(H206,9,2))+TIME(MID(H206,12,2),MID(H206,15,2),MID(H206,18,2))</f>
        <v>46202.87872685185</v>
      </c>
      <c r="J206" s="25" t="s">
        <v>7590</v>
      </c>
      <c r="K206" s="1" t="s">
        <v>6795</v>
      </c>
    </row>
    <row r="207" spans="1:11" ht="246.75" hidden="1">
      <c r="A207" s="1" t="s">
        <v>7591</v>
      </c>
      <c r="B207" s="1" t="s">
        <v>7592</v>
      </c>
      <c r="C207" s="1" t="str">
        <f t="shared" ref="C207:C208" si="384">IFERROR(IF(ISNUMBER(VALUE(_xlfn.TEXTBEFORE(B207,"-"))),"",_xlfn.TEXTBEFORE(B207,"-")),"")</f>
        <v>JEANS</v>
      </c>
      <c r="D207" s="19" t="str">
        <f t="shared" ref="D207:D208" si="385">IFERROR(IF(ISNUMBER(VALUE(_xlfn.TEXTBEFORE(B207,"-"))),_xlfn.TEXTBEFORE(B207,"-"),_xlfn.TEXTBEFORE(_xlfn.TEXTAFTER(B207,"-"),"-")),"")</f>
        <v xml:space="preserve"> 1134</v>
      </c>
      <c r="E207" s="1" t="str">
        <f t="shared" ref="E207:E208" si="386">IFERROR(IF(ISNUMBER(VALUE(_xlfn.TEXTBEFORE(B207,"-"))),_xlfn.TEXTBEFORE(_xlfn.TEXTAFTER(B207,"-"),"-"),_xlfn.TEXTBEFORE(_xlfn.TEXTAFTER(B207,"-",2),"-")),"")</f>
        <v>300271538</v>
      </c>
      <c r="F207" s="1" t="str">
        <f t="shared" ref="F207:F208" si="387">IFERROR(IF(ISNUMBER(VALUE(_xlfn.TEXTBEFORE(B207,"-"))),_xlfn.TEXTBEFORE(_xlfn.TEXTAFTER(B207,"-",2)," - "),_xlfn.TEXTBEFORE(_xlfn.TEXTAFTER(B207,"-",3)," - ")),"")</f>
        <v xml:space="preserve">POTENGI TEXTIL LTDA </v>
      </c>
      <c r="G207" s="1" t="str">
        <f t="shared" ref="G207:G208" si="388">IFERROR(_xlfn.TEXTAFTER(B207," - ",-1),"")</f>
        <v>Cós estamos  verificando com Rayna  a possibilidade de não precisar seguir com a reposição</v>
      </c>
      <c r="H207" s="13" t="s">
        <v>7593</v>
      </c>
      <c r="I207" s="21">
        <f t="shared" ref="I207:I208" si="389">DATE(LEFT(H207,4),MID(H207,6,2),MID(H207,9,2))+TIME(MID(H207,12,2),MID(H207,15,2),MID(H207,18,2))</f>
        <v>46217.782997685186</v>
      </c>
      <c r="J207" s="25" t="s">
        <v>7594</v>
      </c>
      <c r="K207" s="1" t="s">
        <v>6795</v>
      </c>
    </row>
    <row r="208" spans="1:11" ht="197.25" hidden="1">
      <c r="A208" s="1" t="s">
        <v>7595</v>
      </c>
      <c r="B208" s="1" t="s">
        <v>7596</v>
      </c>
      <c r="C208" s="1" t="str">
        <f t="shared" si="384"/>
        <v>MALHA</v>
      </c>
      <c r="D208" s="19" t="str">
        <f t="shared" si="385"/>
        <v xml:space="preserve"> 1395</v>
      </c>
      <c r="E208" s="1" t="str">
        <f t="shared" si="386"/>
        <v>300283432</v>
      </c>
      <c r="F208" s="1" t="str">
        <f t="shared" si="387"/>
        <v xml:space="preserve">DI3 CONFECCOES LTDA </v>
      </c>
      <c r="G208" s="1" t="str">
        <f t="shared" si="388"/>
        <v>Frente</v>
      </c>
      <c r="H208" s="13" t="s">
        <v>7597</v>
      </c>
      <c r="I208" s="21">
        <f t="shared" si="389"/>
        <v>46225.778298611112</v>
      </c>
      <c r="J208" s="25" t="s">
        <v>7598</v>
      </c>
      <c r="K208" s="1" t="s">
        <v>6795</v>
      </c>
    </row>
    <row r="209" spans="1:11" ht="230.25" hidden="1">
      <c r="A209" s="1" t="s">
        <v>7599</v>
      </c>
      <c r="B209" s="1" t="s">
        <v>7600</v>
      </c>
      <c r="C209" s="1" t="str">
        <f t="shared" ref="C209:C210" si="390">IFERROR(IF(ISNUMBER(VALUE(_xlfn.TEXTBEFORE(B209,"-"))),"",_xlfn.TEXTBEFORE(B209,"-")),"")</f>
        <v/>
      </c>
      <c r="D209" s="19" t="str">
        <f t="shared" ref="D209:D210" si="391">IFERROR(IF(ISNUMBER(VALUE(_xlfn.TEXTBEFORE(B209,"-"))),_xlfn.TEXTBEFORE(B209,"-"),_xlfn.TEXTBEFORE(_xlfn.TEXTAFTER(B209,"-"),"-")),"")</f>
        <v>609</v>
      </c>
      <c r="E209" s="1" t="str">
        <f t="shared" ref="E209:E210" si="392">IFERROR(IF(ISNUMBER(VALUE(_xlfn.TEXTBEFORE(B209,"-"))),_xlfn.TEXTBEFORE(_xlfn.TEXTAFTER(B209,"-"),"-"),_xlfn.TEXTBEFORE(_xlfn.TEXTAFTER(B209,"-",2),"-")),"")</f>
        <v>300273715</v>
      </c>
      <c r="F209" s="1" t="str">
        <f t="shared" ref="F209:F210" si="393">IFERROR(IF(ISNUMBER(VALUE(_xlfn.TEXTBEFORE(B209,"-"))),_xlfn.TEXTBEFORE(_xlfn.TEXTAFTER(B209,"-",2)," - "),_xlfn.TEXTBEFORE(_xlfn.TEXTAFTER(B209,"-",3)," - ")),"")</f>
        <v xml:space="preserve">J M CONFECCOES &amp; CIA LTDA </v>
      </c>
      <c r="G209" s="1" t="str">
        <f t="shared" ref="G209:G210" si="394">IFERROR(_xlfn.TEXTAFTER(B209," - ",-1),"")</f>
        <v>BOLSO RELOGIO</v>
      </c>
      <c r="H209" s="13" t="s">
        <v>7601</v>
      </c>
      <c r="I209" s="21">
        <f t="shared" ref="I209:I210" si="395">DATE(LEFT(H209,4),MID(H209,6,2),MID(H209,9,2))+TIME(MID(H209,12,2),MID(H209,15,2),MID(H209,18,2))</f>
        <v>46202.805856481478</v>
      </c>
      <c r="J209" s="25" t="s">
        <v>7602</v>
      </c>
      <c r="K209" s="1" t="s">
        <v>6795</v>
      </c>
    </row>
    <row r="210" spans="1:11" ht="230.25" hidden="1">
      <c r="A210" s="1" t="s">
        <v>7603</v>
      </c>
      <c r="B210" s="1" t="s">
        <v>7604</v>
      </c>
      <c r="C210" s="1" t="str">
        <f t="shared" si="390"/>
        <v>JEANS</v>
      </c>
      <c r="D210" s="19" t="str">
        <f t="shared" si="391"/>
        <v xml:space="preserve"> 1394</v>
      </c>
      <c r="E210" s="1" t="str">
        <f t="shared" si="392"/>
        <v>300277057</v>
      </c>
      <c r="F210" s="1" t="str">
        <f t="shared" si="393"/>
        <v xml:space="preserve">FACCAO ELLO LTDA </v>
      </c>
      <c r="G210" s="1" t="str">
        <f t="shared" si="394"/>
        <v>Etiqueta de Composição</v>
      </c>
      <c r="H210" s="13" t="s">
        <v>7605</v>
      </c>
      <c r="I210" s="21">
        <f t="shared" si="395"/>
        <v>46225.778043981481</v>
      </c>
      <c r="J210" s="25" t="s">
        <v>7606</v>
      </c>
      <c r="K210" s="1" t="s">
        <v>6795</v>
      </c>
    </row>
    <row r="211" spans="1:11" ht="230.25" hidden="1">
      <c r="A211" s="1" t="s">
        <v>7607</v>
      </c>
      <c r="B211" s="1" t="s">
        <v>7608</v>
      </c>
      <c r="C211" s="1" t="str">
        <f>IFERROR(IF(ISNUMBER(VALUE(_xlfn.TEXTBEFORE(B211,"-"))),"",_xlfn.TEXTBEFORE(B211,"-")),"")</f>
        <v>POLO</v>
      </c>
      <c r="D211" s="19" t="str">
        <f>IFERROR(IF(ISNUMBER(VALUE(_xlfn.TEXTBEFORE(B211,"-"))),_xlfn.TEXTBEFORE(B211,"-"),_xlfn.TEXTBEFORE(_xlfn.TEXTAFTER(B211,"-"),"-")),"")</f>
        <v xml:space="preserve"> 1131</v>
      </c>
      <c r="E211" s="1" t="str">
        <f>IFERROR(IF(ISNUMBER(VALUE(_xlfn.TEXTBEFORE(B211,"-"))),_xlfn.TEXTBEFORE(_xlfn.TEXTAFTER(B211,"-"),"-"),_xlfn.TEXTBEFORE(_xlfn.TEXTAFTER(B211,"-",2),"-")),"")</f>
        <v>300273782</v>
      </c>
      <c r="F211" s="1" t="str">
        <f>IFERROR(IF(ISNUMBER(VALUE(_xlfn.TEXTBEFORE(B211,"-"))),_xlfn.TEXTBEFORE(_xlfn.TEXTAFTER(B211,"-",2)," - "),_xlfn.TEXTBEFORE(_xlfn.TEXTAFTER(B211,"-",3)," - ")),"")</f>
        <v xml:space="preserve">POTENGI TEXTIL LTDA </v>
      </c>
      <c r="G211" s="1" t="str">
        <f>IFERROR(_xlfn.TEXTAFTER(B211," - ",-1),"")</f>
        <v>Etiqueta de Composição</v>
      </c>
      <c r="H211" s="13" t="s">
        <v>7609</v>
      </c>
      <c r="I211" s="21">
        <f>DATE(LEFT(H211,4),MID(H211,6,2),MID(H211,9,2))+TIME(MID(H211,12,2),MID(H211,15,2),MID(H211,18,2))</f>
        <v>46217.776724537034</v>
      </c>
      <c r="J211" s="25" t="s">
        <v>7610</v>
      </c>
      <c r="K211" s="1" t="s">
        <v>6795</v>
      </c>
    </row>
    <row r="212" spans="1:11" ht="279.75" hidden="1">
      <c r="A212" s="1" t="s">
        <v>7611</v>
      </c>
      <c r="B212" s="1" t="s">
        <v>7612</v>
      </c>
      <c r="C212" s="1" t="str">
        <f t="shared" ref="C212:C213" si="396">IFERROR(IF(ISNUMBER(VALUE(_xlfn.TEXTBEFORE(B212,"-"))),"",_xlfn.TEXTBEFORE(B212,"-")),"")</f>
        <v/>
      </c>
      <c r="D212" s="19" t="str">
        <f t="shared" ref="D212:D213" si="397">IFERROR(IF(ISNUMBER(VALUE(_xlfn.TEXTBEFORE(B212,"-"))),_xlfn.TEXTBEFORE(B212,"-"),_xlfn.TEXTBEFORE(_xlfn.TEXTAFTER(B212,"-"),"-")),"")</f>
        <v>602</v>
      </c>
      <c r="E212" s="1" t="str">
        <f t="shared" ref="E212:E213" si="398">IFERROR(IF(ISNUMBER(VALUE(_xlfn.TEXTBEFORE(B212,"-"))),_xlfn.TEXTBEFORE(_xlfn.TEXTAFTER(B212,"-"),"-"),_xlfn.TEXTBEFORE(_xlfn.TEXTAFTER(B212,"-",2),"-")),"")</f>
        <v>300276276</v>
      </c>
      <c r="F212" s="1" t="str">
        <f t="shared" ref="F212:F213" si="399">IFERROR(IF(ISNUMBER(VALUE(_xlfn.TEXTBEFORE(B212,"-"))),_xlfn.TEXTBEFORE(_xlfn.TEXTAFTER(B212,"-",2)," - "),_xlfn.TEXTBEFORE(_xlfn.TEXTAFTER(B212,"-",3)," - ")),"")</f>
        <v xml:space="preserve">FLAVIA GEORGIA BRAGA SILVA CONFECCOES LTDA </v>
      </c>
      <c r="G212" s="1" t="str">
        <f t="shared" ref="G212:G213" si="400">IFERROR(_xlfn.TEXTAFTER(B212," - ",-1),"")</f>
        <v>ETIQUETA DE COMPOSIÇÃO</v>
      </c>
      <c r="H212" s="13" t="s">
        <v>7613</v>
      </c>
      <c r="I212" s="21">
        <f t="shared" ref="I212:I213" si="401">DATE(LEFT(H212,4),MID(H212,6,2),MID(H212,9,2))+TIME(MID(H212,12,2),MID(H212,15,2),MID(H212,18,2))</f>
        <v>46202.576643518521</v>
      </c>
      <c r="J212" s="25" t="s">
        <v>7614</v>
      </c>
      <c r="K212" s="1" t="s">
        <v>6795</v>
      </c>
    </row>
    <row r="213" spans="1:11" ht="213.75" hidden="1">
      <c r="A213" s="1" t="s">
        <v>7615</v>
      </c>
      <c r="B213" s="1" t="s">
        <v>7616</v>
      </c>
      <c r="C213" s="1" t="str">
        <f t="shared" si="396"/>
        <v>POLO</v>
      </c>
      <c r="D213" s="19" t="str">
        <f t="shared" si="397"/>
        <v xml:space="preserve"> 1120</v>
      </c>
      <c r="E213" s="1" t="str">
        <f t="shared" si="398"/>
        <v>300277113</v>
      </c>
      <c r="F213" s="1" t="str">
        <f t="shared" si="399"/>
        <v xml:space="preserve">SERRANA TEXTIL LTDA </v>
      </c>
      <c r="G213" s="1" t="str">
        <f t="shared" si="400"/>
        <v>Frente</v>
      </c>
      <c r="H213" s="13" t="s">
        <v>7617</v>
      </c>
      <c r="I213" s="21">
        <f t="shared" si="401"/>
        <v>46217.634837962964</v>
      </c>
      <c r="J213" s="25" t="s">
        <v>7618</v>
      </c>
      <c r="K213" s="1" t="s">
        <v>6795</v>
      </c>
    </row>
    <row r="214" spans="1:11" ht="246.75" hidden="1">
      <c r="A214" s="1" t="e" cm="1">
        <f t="array" aca="1" ref="A214" ca="1">-trtUhf04km_ltGnupYZ_WQAFcpW</f>
        <v>#NAME?</v>
      </c>
      <c r="B214" s="1" t="s">
        <v>6800</v>
      </c>
      <c r="C214" s="1" t="str">
        <f>IFERROR(IF(ISNUMBER(VALUE(_xlfn.TEXTBEFORE(B214,"-"))),"",_xlfn.TEXTBEFORE(B214,"-")),"")</f>
        <v>POLO</v>
      </c>
      <c r="D214" s="19" t="str">
        <f>IFERROR(IF(ISNUMBER(VALUE(_xlfn.TEXTBEFORE(B214,"-"))),_xlfn.TEXTBEFORE(B214,"-"),_xlfn.TEXTBEFORE(_xlfn.TEXTAFTER(B214,"-"),"-")),"")</f>
        <v xml:space="preserve"> 1383</v>
      </c>
      <c r="E214" s="1" t="str">
        <f>IFERROR(IF(ISNUMBER(VALUE(_xlfn.TEXTBEFORE(B214,"-"))),_xlfn.TEXTBEFORE(_xlfn.TEXTAFTER(B214,"-"),"-"),_xlfn.TEXTBEFORE(_xlfn.TEXTAFTER(B214,"-",2),"-")),"")</f>
        <v>300281371</v>
      </c>
      <c r="F214" s="1" t="str">
        <f>IFERROR(IF(ISNUMBER(VALUE(_xlfn.TEXTBEFORE(B214,"-"))),_xlfn.TEXTBEFORE(_xlfn.TEXTAFTER(B214,"-",2)," - "),_xlfn.TEXTBEFORE(_xlfn.TEXTAFTER(B214,"-",3)," - ")),"")</f>
        <v xml:space="preserve">POTENGI TEXTIL LTDA </v>
      </c>
      <c r="G214" s="1" t="str">
        <f>IFERROR(_xlfn.TEXTAFTER(B214," - ",-1),"")</f>
        <v>Etiqueta de Composição</v>
      </c>
      <c r="H214" s="13" t="s">
        <v>6801</v>
      </c>
      <c r="I214" s="21">
        <f>DATE(LEFT(H214,4),MID(H214,6,2),MID(H214,9,2))+TIME(MID(H214,12,2),MID(H214,15,2),MID(H214,18,2))</f>
        <v>46225.71770833333</v>
      </c>
      <c r="J214" s="25" t="s">
        <v>6802</v>
      </c>
      <c r="K214" s="1" t="s">
        <v>6795</v>
      </c>
    </row>
    <row r="215" spans="1:11" ht="213.75" hidden="1">
      <c r="A215" s="1" t="s">
        <v>7619</v>
      </c>
      <c r="B215" s="1" t="s">
        <v>7620</v>
      </c>
      <c r="C215" s="1" t="str">
        <f>IFERROR(IF(ISNUMBER(VALUE(_xlfn.TEXTBEFORE(B215,"-"))),"",_xlfn.TEXTBEFORE(B215,"-")),"")</f>
        <v>MALHA</v>
      </c>
      <c r="D215" s="19" t="str">
        <f>IFERROR(IF(ISNUMBER(VALUE(_xlfn.TEXTBEFORE(B215,"-"))),_xlfn.TEXTBEFORE(B215,"-"),_xlfn.TEXTBEFORE(_xlfn.TEXTAFTER(B215,"-"),"-")),"")</f>
        <v xml:space="preserve"> 1117</v>
      </c>
      <c r="E215" s="1" t="str">
        <f>IFERROR(IF(ISNUMBER(VALUE(_xlfn.TEXTBEFORE(B215,"-"))),_xlfn.TEXTBEFORE(_xlfn.TEXTAFTER(B215,"-"),"-"),_xlfn.TEXTBEFORE(_xlfn.TEXTAFTER(B215,"-",2),"-")),"")</f>
        <v>300280226</v>
      </c>
      <c r="F215" s="1" t="str">
        <f>IFERROR(IF(ISNUMBER(VALUE(_xlfn.TEXTBEFORE(B215,"-"))),_xlfn.TEXTBEFORE(_xlfn.TEXTAFTER(B215,"-",2)," - "),_xlfn.TEXTBEFORE(_xlfn.TEXTAFTER(B215,"-",3)," - ")),"")</f>
        <v xml:space="preserve">F &amp; L AZEVEDO CONFECCAO LTDA FILIAL </v>
      </c>
      <c r="G215" s="1" t="str">
        <f>IFERROR(_xlfn.TEXTAFTER(B215," - ",-1),"")</f>
        <v>Etiqueta de Composição</v>
      </c>
      <c r="H215" s="13" t="s">
        <v>7621</v>
      </c>
      <c r="I215" s="21">
        <f>DATE(LEFT(H215,4),MID(H215,6,2),MID(H215,9,2))+TIME(MID(H215,12,2),MID(H215,15,2),MID(H215,18,2))</f>
        <v>46217.564398148148</v>
      </c>
      <c r="J215" s="25" t="s">
        <v>7622</v>
      </c>
      <c r="K215" s="1" t="s">
        <v>6795</v>
      </c>
    </row>
    <row r="216" spans="1:11" ht="213.75" hidden="1">
      <c r="A216" s="1" t="s">
        <v>7623</v>
      </c>
      <c r="B216" s="1" t="s">
        <v>7624</v>
      </c>
      <c r="C216" s="1" t="str">
        <f t="shared" ref="C216:C217" si="402">IFERROR(IF(ISNUMBER(VALUE(_xlfn.TEXTBEFORE(B216,"-"))),"",_xlfn.TEXTBEFORE(B216,"-")),"")</f>
        <v/>
      </c>
      <c r="D216" s="19" t="str">
        <f t="shared" ref="D216:D217" si="403">IFERROR(IF(ISNUMBER(VALUE(_xlfn.TEXTBEFORE(B216,"-"))),_xlfn.TEXTBEFORE(B216,"-"),_xlfn.TEXTBEFORE(_xlfn.TEXTAFTER(B216,"-"),"-")),"")</f>
        <v>586</v>
      </c>
      <c r="E216" s="1" t="str">
        <f t="shared" ref="E216:E217" si="404">IFERROR(IF(ISNUMBER(VALUE(_xlfn.TEXTBEFORE(B216,"-"))),_xlfn.TEXTBEFORE(_xlfn.TEXTAFTER(B216,"-"),"-"),_xlfn.TEXTBEFORE(_xlfn.TEXTAFTER(B216,"-",2),"-")),"")</f>
        <v>300271109</v>
      </c>
      <c r="F216" s="1" t="str">
        <f t="shared" ref="F216:F217" si="405">IFERROR(IF(ISNUMBER(VALUE(_xlfn.TEXTBEFORE(B216,"-"))),_xlfn.TEXTBEFORE(_xlfn.TEXTAFTER(B216,"-",2)," - "),_xlfn.TEXTBEFORE(_xlfn.TEXTAFTER(B216,"-",3)," - ")),"")</f>
        <v xml:space="preserve">LEANDRO MATIAS DA SILVA </v>
      </c>
      <c r="G216" s="1" t="str">
        <f t="shared" ref="G216:G217" si="406">IFERROR(_xlfn.TEXTAFTER(B216," - ",-1),"")</f>
        <v>Etiqueta composição</v>
      </c>
      <c r="H216" s="13" t="s">
        <v>7625</v>
      </c>
      <c r="I216" s="21">
        <f t="shared" ref="I216:I217" si="407">DATE(LEFT(H216,4),MID(H216,6,2),MID(H216,9,2))+TIME(MID(H216,12,2),MID(H216,15,2),MID(H216,18,2))</f>
        <v>46200.536574074074</v>
      </c>
      <c r="J216" s="25" t="s">
        <v>7626</v>
      </c>
      <c r="K216" s="1" t="s">
        <v>6795</v>
      </c>
    </row>
    <row r="217" spans="1:11" ht="230.25" hidden="1">
      <c r="A217" s="1" t="s">
        <v>7627</v>
      </c>
      <c r="B217" s="1" t="s">
        <v>7628</v>
      </c>
      <c r="C217" s="1" t="str">
        <f t="shared" si="402"/>
        <v>TEAR</v>
      </c>
      <c r="D217" s="19" t="str">
        <f t="shared" si="403"/>
        <v xml:space="preserve"> 1113</v>
      </c>
      <c r="E217" s="1" t="str">
        <f t="shared" si="404"/>
        <v>300273736</v>
      </c>
      <c r="F217" s="1" t="str">
        <f t="shared" si="405"/>
        <v xml:space="preserve">CONFECCOES GENESIS LTDA </v>
      </c>
      <c r="G217" s="1" t="str">
        <f t="shared" si="406"/>
        <v>Pala</v>
      </c>
      <c r="H217" s="13" t="s">
        <v>7629</v>
      </c>
      <c r="I217" s="21">
        <f t="shared" si="407"/>
        <v>46217.506226851852</v>
      </c>
      <c r="J217" s="25" t="s">
        <v>7630</v>
      </c>
      <c r="K217" s="1" t="s">
        <v>6795</v>
      </c>
    </row>
    <row r="218" spans="1:11" ht="362.25" hidden="1">
      <c r="A218" s="1" t="s">
        <v>7631</v>
      </c>
      <c r="B218" s="1" t="s">
        <v>7632</v>
      </c>
      <c r="C218" s="1" t="str">
        <f t="shared" ref="C218:C219" si="408">IFERROR(IF(ISNUMBER(VALUE(_xlfn.TEXTBEFORE(B218,"-"))),"",_xlfn.TEXTBEFORE(B218,"-")),"")</f>
        <v>TEAR</v>
      </c>
      <c r="D218" s="19" t="str">
        <f t="shared" ref="D218:D219" si="409">IFERROR(IF(ISNUMBER(VALUE(_xlfn.TEXTBEFORE(B218,"-"))),_xlfn.TEXTBEFORE(B218,"-"),_xlfn.TEXTBEFORE(_xlfn.TEXTAFTER(B218,"-"),"-")),"")</f>
        <v xml:space="preserve"> 1112</v>
      </c>
      <c r="E218" s="1" t="str">
        <f t="shared" ref="E218:E219" si="410">IFERROR(IF(ISNUMBER(VALUE(_xlfn.TEXTBEFORE(B218,"-"))),_xlfn.TEXTBEFORE(_xlfn.TEXTAFTER(B218,"-"),"-"),_xlfn.TEXTBEFORE(_xlfn.TEXTAFTER(B218,"-",2),"-")),"")</f>
        <v>300279736</v>
      </c>
      <c r="F218" s="1" t="str">
        <f t="shared" ref="F218:F219" si="411">IFERROR(IF(ISNUMBER(VALUE(_xlfn.TEXTBEFORE(B218,"-"))),_xlfn.TEXTBEFORE(_xlfn.TEXTAFTER(B218,"-",2)," - "),_xlfn.TEXTBEFORE(_xlfn.TEXTAFTER(B218,"-",3)," - ")),"")</f>
        <v xml:space="preserve">CONFECCOES GENESIS LTDA </v>
      </c>
      <c r="G218" s="1" t="str">
        <f t="shared" ref="G218:G219" si="412">IFERROR(_xlfn.TEXTAFTER(B218," - ",-1),"")</f>
        <v>Aviamento Completo</v>
      </c>
      <c r="H218" s="13" t="s">
        <v>7633</v>
      </c>
      <c r="I218" s="21">
        <f t="shared" ref="I218:I219" si="413">DATE(LEFT(H218,4),MID(H218,6,2),MID(H218,9,2))+TIME(MID(H218,12,2),MID(H218,15,2),MID(H218,18,2))</f>
        <v>46217.502303240741</v>
      </c>
      <c r="J218" s="25" t="s">
        <v>7634</v>
      </c>
      <c r="K218" s="1" t="s">
        <v>6795</v>
      </c>
    </row>
    <row r="219" spans="1:11" ht="279.75" hidden="1">
      <c r="A219" s="1" t="s">
        <v>7635</v>
      </c>
      <c r="B219" s="1" t="s">
        <v>7636</v>
      </c>
      <c r="C219" s="1" t="str">
        <f t="shared" si="408"/>
        <v/>
      </c>
      <c r="D219" s="19" t="str">
        <f t="shared" si="409"/>
        <v>577</v>
      </c>
      <c r="E219" s="1" t="str">
        <f t="shared" si="410"/>
        <v>300271823</v>
      </c>
      <c r="F219" s="1" t="str">
        <f t="shared" si="411"/>
        <v xml:space="preserve">ARAUJO CAMARA LTDA </v>
      </c>
      <c r="G219" s="1" t="str">
        <f t="shared" si="412"/>
        <v>Etiqueta composição</v>
      </c>
      <c r="H219" s="13" t="s">
        <v>7637</v>
      </c>
      <c r="I219" s="21">
        <f t="shared" si="413"/>
        <v>46199.643263888887</v>
      </c>
      <c r="J219" s="25" t="s">
        <v>7638</v>
      </c>
      <c r="K219" s="1" t="s">
        <v>6795</v>
      </c>
    </row>
    <row r="220" spans="1:11" ht="213.75" hidden="1">
      <c r="A220" s="1" t="s">
        <v>7639</v>
      </c>
      <c r="B220" s="1" t="s">
        <v>7640</v>
      </c>
      <c r="C220" s="1" t="str">
        <f>IFERROR(IF(ISNUMBER(VALUE(_xlfn.TEXTBEFORE(B220,"-"))),"",_xlfn.TEXTBEFORE(B220,"-")),"")</f>
        <v>TEAR</v>
      </c>
      <c r="D220" s="19" t="str">
        <f>IFERROR(IF(ISNUMBER(VALUE(_xlfn.TEXTBEFORE(B220,"-"))),_xlfn.TEXTBEFORE(B220,"-"),_xlfn.TEXTBEFORE(_xlfn.TEXTAFTER(B220,"-"),"-")),"")</f>
        <v xml:space="preserve"> 1111</v>
      </c>
      <c r="E220" s="1" t="str">
        <f>IFERROR(IF(ISNUMBER(VALUE(_xlfn.TEXTBEFORE(B220,"-"))),_xlfn.TEXTBEFORE(_xlfn.TEXTAFTER(B220,"-"),"-"),_xlfn.TEXTBEFORE(_xlfn.TEXTAFTER(B220,"-",2),"-")),"")</f>
        <v>300279736</v>
      </c>
      <c r="F220" s="1" t="str">
        <f>IFERROR(IF(ISNUMBER(VALUE(_xlfn.TEXTBEFORE(B220,"-"))),_xlfn.TEXTBEFORE(_xlfn.TEXTAFTER(B220,"-",2)," - "),_xlfn.TEXTBEFORE(_xlfn.TEXTAFTER(B220,"-",3)," - ")),"")</f>
        <v xml:space="preserve">CONFECCOES GENESIS LTDA </v>
      </c>
      <c r="G220" s="1" t="str">
        <f>IFERROR(_xlfn.TEXTAFTER(B220," - ",-1),"")</f>
        <v>Babado</v>
      </c>
      <c r="H220" s="13" t="s">
        <v>7641</v>
      </c>
      <c r="I220" s="21">
        <f>DATE(LEFT(H220,4),MID(H220,6,2),MID(H220,9,2))+TIME(MID(H220,12,2),MID(H220,15,2),MID(H220,18,2))</f>
        <v>46217.498599537037</v>
      </c>
      <c r="J220" s="25" t="s">
        <v>7642</v>
      </c>
      <c r="K220" s="1" t="s">
        <v>6795</v>
      </c>
    </row>
    <row r="221" spans="1:11" ht="230.25" hidden="1">
      <c r="A221" s="1" t="s">
        <v>7643</v>
      </c>
      <c r="B221" s="1" t="s">
        <v>7644</v>
      </c>
      <c r="C221" s="1" t="str">
        <f>IFERROR(IF(ISNUMBER(VALUE(_xlfn.TEXTBEFORE(B221,"-"))),"",_xlfn.TEXTBEFORE(B221,"-")),"")</f>
        <v/>
      </c>
      <c r="D221" s="19" t="str">
        <f>IFERROR(IF(ISNUMBER(VALUE(_xlfn.TEXTBEFORE(B221,"-"))),_xlfn.TEXTBEFORE(B221,"-"),_xlfn.TEXTBEFORE(_xlfn.TEXTAFTER(B221,"-"),"-")),"")</f>
        <v>571</v>
      </c>
      <c r="E221" s="1" t="str">
        <f>IFERROR(IF(ISNUMBER(VALUE(_xlfn.TEXTBEFORE(B221,"-"))),_xlfn.TEXTBEFORE(_xlfn.TEXTAFTER(B221,"-"),"-"),_xlfn.TEXTBEFORE(_xlfn.TEXTAFTER(B221,"-",2),"-")),"")</f>
        <v>300269895</v>
      </c>
      <c r="F221" s="1" t="str">
        <f>IFERROR(IF(ISNUMBER(VALUE(_xlfn.TEXTBEFORE(B221,"-"))),_xlfn.TEXTBEFORE(_xlfn.TEXTAFTER(B221,"-",2)," - "),_xlfn.TEXTBEFORE(_xlfn.TEXTAFTER(B221,"-",3)," - ")),"")</f>
        <v xml:space="preserve">POTENGI TEXTIL LTDA </v>
      </c>
      <c r="G221" s="1" t="str">
        <f>IFERROR(_xlfn.TEXTAFTER(B221," - ",-1),"")</f>
        <v>Etiqueta composição</v>
      </c>
      <c r="H221" s="13" t="s">
        <v>7645</v>
      </c>
      <c r="I221" s="21">
        <f>DATE(LEFT(H221,4),MID(H221,6,2),MID(H221,9,2))+TIME(MID(H221,12,2),MID(H221,15,2),MID(H221,18,2))</f>
        <v>46199.544594907406</v>
      </c>
      <c r="J221" s="25" t="s">
        <v>7646</v>
      </c>
      <c r="K221" s="1" t="s">
        <v>6795</v>
      </c>
    </row>
    <row r="222" spans="1:11" ht="197.25" hidden="1">
      <c r="A222" s="1" t="s">
        <v>7647</v>
      </c>
      <c r="B222" s="1" t="s">
        <v>7648</v>
      </c>
      <c r="C222" s="1" t="str">
        <f t="shared" ref="C222:C223" si="414">IFERROR(IF(ISNUMBER(VALUE(_xlfn.TEXTBEFORE(B222,"-"))),"",_xlfn.TEXTBEFORE(B222,"-")),"")</f>
        <v>TEAR</v>
      </c>
      <c r="D222" s="19" t="str">
        <f t="shared" ref="D222:D223" si="415">IFERROR(IF(ISNUMBER(VALUE(_xlfn.TEXTBEFORE(B222,"-"))),_xlfn.TEXTBEFORE(B222,"-"),_xlfn.TEXTBEFORE(_xlfn.TEXTAFTER(B222,"-"),"-")),"")</f>
        <v xml:space="preserve"> 1110</v>
      </c>
      <c r="E222" s="1" t="str">
        <f t="shared" ref="E222:E223" si="416">IFERROR(IF(ISNUMBER(VALUE(_xlfn.TEXTBEFORE(B222,"-"))),_xlfn.TEXTBEFORE(_xlfn.TEXTAFTER(B222,"-"),"-"),_xlfn.TEXTBEFORE(_xlfn.TEXTAFTER(B222,"-",2),"-")),"")</f>
        <v>300279736</v>
      </c>
      <c r="F222" s="1" t="str">
        <f t="shared" ref="F222:F223" si="417">IFERROR(IF(ISNUMBER(VALUE(_xlfn.TEXTBEFORE(B222,"-"))),_xlfn.TEXTBEFORE(_xlfn.TEXTAFTER(B222,"-",2)," - "),_xlfn.TEXTBEFORE(_xlfn.TEXTAFTER(B222,"-",3)," - ")),"")</f>
        <v xml:space="preserve">CONFECCOES GENESIS LTDA </v>
      </c>
      <c r="G222" s="1" t="str">
        <f t="shared" ref="G222:G223" si="418">IFERROR(_xlfn.TEXTAFTER(B222," - ",-1),"")</f>
        <v>Babado</v>
      </c>
      <c r="H222" s="13" t="s">
        <v>7649</v>
      </c>
      <c r="I222" s="21">
        <f t="shared" ref="I222:I223" si="419">DATE(LEFT(H222,4),MID(H222,6,2),MID(H222,9,2))+TIME(MID(H222,12,2),MID(H222,15,2),MID(H222,18,2))</f>
        <v>46217.496817129628</v>
      </c>
      <c r="J222" s="25" t="s">
        <v>7650</v>
      </c>
      <c r="K222" s="1" t="s">
        <v>6795</v>
      </c>
    </row>
    <row r="223" spans="1:11" ht="246.75" hidden="1">
      <c r="A223" s="1" t="s">
        <v>7651</v>
      </c>
      <c r="B223" s="1" t="s">
        <v>7652</v>
      </c>
      <c r="C223" s="1" t="str">
        <f t="shared" si="414"/>
        <v/>
      </c>
      <c r="D223" s="19" t="str">
        <f t="shared" si="415"/>
        <v>570</v>
      </c>
      <c r="E223" s="1" t="str">
        <f t="shared" si="416"/>
        <v>300274225</v>
      </c>
      <c r="F223" s="1" t="str">
        <f t="shared" si="417"/>
        <v xml:space="preserve">A S CONFECCOES LTDA </v>
      </c>
      <c r="G223" s="1" t="str">
        <f t="shared" si="418"/>
        <v>Cós</v>
      </c>
      <c r="H223" s="13" t="s">
        <v>7653</v>
      </c>
      <c r="I223" s="21">
        <f t="shared" si="419"/>
        <v>46199.526585648149</v>
      </c>
      <c r="J223" s="25" t="s">
        <v>7654</v>
      </c>
      <c r="K223" s="1" t="s">
        <v>6795</v>
      </c>
    </row>
    <row r="224" spans="1:11" ht="246.75" hidden="1">
      <c r="A224" s="1" t="s">
        <v>7655</v>
      </c>
      <c r="B224" s="1" t="s">
        <v>7656</v>
      </c>
      <c r="C224" s="1" t="str">
        <f t="shared" ref="C224:C225" si="420">IFERROR(IF(ISNUMBER(VALUE(_xlfn.TEXTBEFORE(B224,"-"))),"",_xlfn.TEXTBEFORE(B224,"-")),"")</f>
        <v>TEAR</v>
      </c>
      <c r="D224" s="19" t="str">
        <f t="shared" ref="D224:D225" si="421">IFERROR(IF(ISNUMBER(VALUE(_xlfn.TEXTBEFORE(B224,"-"))),_xlfn.TEXTBEFORE(B224,"-"),_xlfn.TEXTBEFORE(_xlfn.TEXTAFTER(B224,"-"),"-")),"")</f>
        <v xml:space="preserve"> 1107</v>
      </c>
      <c r="E224" s="1" t="str">
        <f t="shared" ref="E224:E225" si="422">IFERROR(IF(ISNUMBER(VALUE(_xlfn.TEXTBEFORE(B224,"-"))),_xlfn.TEXTBEFORE(_xlfn.TEXTAFTER(B224,"-"),"-"),_xlfn.TEXTBEFORE(_xlfn.TEXTAFTER(B224,"-",2),"-")),"")</f>
        <v>300279736</v>
      </c>
      <c r="F224" s="1" t="str">
        <f t="shared" ref="F224:F225" si="423">IFERROR(IF(ISNUMBER(VALUE(_xlfn.TEXTBEFORE(B224,"-"))),_xlfn.TEXTBEFORE(_xlfn.TEXTAFTER(B224,"-",2)," - "),_xlfn.TEXTBEFORE(_xlfn.TEXTAFTER(B224,"-",3)," - ")),"")</f>
        <v xml:space="preserve">CONFECCOES GENESIS LTDA </v>
      </c>
      <c r="G224" s="1" t="str">
        <f t="shared" ref="G224:G225" si="424">IFERROR(_xlfn.TEXTAFTER(B224," - ",-1),"")</f>
        <v>Traseiro</v>
      </c>
      <c r="H224" s="13" t="s">
        <v>7657</v>
      </c>
      <c r="I224" s="21">
        <f t="shared" ref="I224:I225" si="425">DATE(LEFT(H224,4),MID(H224,6,2),MID(H224,9,2))+TIME(MID(H224,12,2),MID(H224,15,2),MID(H224,18,2))</f>
        <v>46217.490578703706</v>
      </c>
      <c r="J224" s="25" t="s">
        <v>7658</v>
      </c>
      <c r="K224" s="1" t="s">
        <v>6795</v>
      </c>
    </row>
    <row r="225" spans="1:11" ht="213.75" hidden="1">
      <c r="A225" s="1" t="s">
        <v>7659</v>
      </c>
      <c r="B225" s="1" t="s">
        <v>7660</v>
      </c>
      <c r="C225" s="1" t="str">
        <f t="shared" si="420"/>
        <v/>
      </c>
      <c r="D225" s="19" t="str">
        <f t="shared" si="421"/>
        <v>569</v>
      </c>
      <c r="E225" s="1" t="str">
        <f t="shared" si="422"/>
        <v>300272959</v>
      </c>
      <c r="F225" s="1" t="str">
        <f t="shared" si="423"/>
        <v xml:space="preserve">DI3 CONFECCOES LTDA </v>
      </c>
      <c r="G225" s="1" t="str">
        <f t="shared" si="424"/>
        <v>Frente e traseiro</v>
      </c>
      <c r="H225" s="13" t="s">
        <v>7661</v>
      </c>
      <c r="I225" s="21">
        <f t="shared" si="425"/>
        <v>46199.502835648149</v>
      </c>
      <c r="J225" s="25" t="s">
        <v>7662</v>
      </c>
      <c r="K225" s="1" t="s">
        <v>6795</v>
      </c>
    </row>
    <row r="226" spans="1:11" ht="213.75" hidden="1">
      <c r="A226" s="1" t="s">
        <v>7663</v>
      </c>
      <c r="B226" s="1" t="s">
        <v>7664</v>
      </c>
      <c r="C226" s="1" t="str">
        <f t="shared" ref="C226:C227" si="426">IFERROR(IF(ISNUMBER(VALUE(_xlfn.TEXTBEFORE(B226,"-"))),"",_xlfn.TEXTBEFORE(B226,"-")),"")</f>
        <v>TEAR</v>
      </c>
      <c r="D226" s="19" t="str">
        <f t="shared" ref="D226:D227" si="427">IFERROR(IF(ISNUMBER(VALUE(_xlfn.TEXTBEFORE(B226,"-"))),_xlfn.TEXTBEFORE(B226,"-"),_xlfn.TEXTBEFORE(_xlfn.TEXTAFTER(B226,"-"),"-")),"")</f>
        <v xml:space="preserve"> 1106</v>
      </c>
      <c r="E226" s="1" t="str">
        <f t="shared" ref="E226:E227" si="428">IFERROR(IF(ISNUMBER(VALUE(_xlfn.TEXTBEFORE(B226,"-"))),_xlfn.TEXTBEFORE(_xlfn.TEXTAFTER(B226,"-"),"-"),_xlfn.TEXTBEFORE(_xlfn.TEXTAFTER(B226,"-",2),"-")),"")</f>
        <v>300279736</v>
      </c>
      <c r="F226" s="1" t="str">
        <f t="shared" ref="F226:F227" si="429">IFERROR(IF(ISNUMBER(VALUE(_xlfn.TEXTBEFORE(B226,"-"))),_xlfn.TEXTBEFORE(_xlfn.TEXTAFTER(B226,"-",2)," - "),_xlfn.TEXTBEFORE(_xlfn.TEXTAFTER(B226,"-",3)," - ")),"")</f>
        <v xml:space="preserve">CONFECCOES GENESIS LTDA </v>
      </c>
      <c r="G226" s="1" t="str">
        <f t="shared" ref="G226:G227" si="430">IFERROR(_xlfn.TEXTAFTER(B226," - ",-1),"")</f>
        <v>Frente</v>
      </c>
      <c r="H226" s="13" t="s">
        <v>7665</v>
      </c>
      <c r="I226" s="21">
        <f t="shared" ref="I226:I227" si="431">DATE(LEFT(H226,4),MID(H226,6,2),MID(H226,9,2))+TIME(MID(H226,12,2),MID(H226,15,2),MID(H226,18,2))</f>
        <v>46217.489803240744</v>
      </c>
      <c r="J226" s="25" t="s">
        <v>7666</v>
      </c>
      <c r="K226" s="1" t="s">
        <v>6795</v>
      </c>
    </row>
    <row r="227" spans="1:11" ht="296.25" hidden="1">
      <c r="A227" s="1" t="s">
        <v>7667</v>
      </c>
      <c r="B227" s="1" t="s">
        <v>7668</v>
      </c>
      <c r="C227" s="1" t="str">
        <f t="shared" si="426"/>
        <v/>
      </c>
      <c r="D227" s="19" t="str">
        <f t="shared" si="427"/>
        <v>567</v>
      </c>
      <c r="E227" s="1" t="str">
        <f t="shared" si="428"/>
        <v>300274899</v>
      </c>
      <c r="F227" s="1" t="str">
        <f t="shared" si="429"/>
        <v xml:space="preserve">CONFECCAO G. B. DA SILVA JUNIOR &amp; CIA LTDA </v>
      </c>
      <c r="G227" s="1" t="str">
        <f t="shared" si="430"/>
        <v>Pala</v>
      </c>
      <c r="H227" s="13" t="s">
        <v>7669</v>
      </c>
      <c r="I227" s="21">
        <f t="shared" si="431"/>
        <v>46199.479930555557</v>
      </c>
      <c r="J227" s="25" t="s">
        <v>7670</v>
      </c>
      <c r="K227" s="1" t="s">
        <v>6795</v>
      </c>
    </row>
    <row r="228" spans="1:11" ht="263.25" hidden="1">
      <c r="A228" s="1" t="s">
        <v>7671</v>
      </c>
      <c r="B228" s="1" t="s">
        <v>7672</v>
      </c>
      <c r="C228" s="1" t="str">
        <f>IFERROR(IF(ISNUMBER(VALUE(_xlfn.TEXTBEFORE(B228,"-"))),"",_xlfn.TEXTBEFORE(B228,"-")),"")</f>
        <v>JEANS</v>
      </c>
      <c r="D228" s="19" t="str">
        <f>IFERROR(IF(ISNUMBER(VALUE(_xlfn.TEXTBEFORE(B228,"-"))),_xlfn.TEXTBEFORE(B228,"-"),_xlfn.TEXTBEFORE(_xlfn.TEXTAFTER(B228,"-"),"-")),"")</f>
        <v xml:space="preserve"> 1104</v>
      </c>
      <c r="E228" s="1" t="str">
        <f>IFERROR(IF(ISNUMBER(VALUE(_xlfn.TEXTBEFORE(B228,"-"))),_xlfn.TEXTBEFORE(_xlfn.TEXTAFTER(B228,"-"),"-"),_xlfn.TEXTBEFORE(_xlfn.TEXTAFTER(B228,"-",2),"-")),"")</f>
        <v>300274233</v>
      </c>
      <c r="F228" s="1" t="str">
        <f>IFERROR(IF(ISNUMBER(VALUE(_xlfn.TEXTBEFORE(B228,"-"))),_xlfn.TEXTBEFORE(_xlfn.TEXTAFTER(B228,"-",2)," - "),_xlfn.TEXTBEFORE(_xlfn.TEXTAFTER(B228,"-",3)," - ")),"")</f>
        <v xml:space="preserve">POTENGI TEXTIL LTDA </v>
      </c>
      <c r="G228" s="1" t="str">
        <f>IFERROR(_xlfn.TEXTAFTER(B228," - ",-1),"")</f>
        <v>Linhas</v>
      </c>
      <c r="H228" s="13" t="s">
        <v>7673</v>
      </c>
      <c r="I228" s="21">
        <f>DATE(LEFT(H228,4),MID(H228,6,2),MID(H228,9,2))+TIME(MID(H228,12,2),MID(H228,15,2),MID(H228,18,2))</f>
        <v>46217.485358796293</v>
      </c>
      <c r="J228" s="25" t="s">
        <v>7674</v>
      </c>
      <c r="K228" s="1" t="s">
        <v>6795</v>
      </c>
    </row>
    <row r="229" spans="1:11" ht="279.75" hidden="1">
      <c r="A229" s="1" t="s">
        <v>7675</v>
      </c>
      <c r="B229" s="1" t="s">
        <v>7676</v>
      </c>
      <c r="C229" s="1" t="str">
        <f>IFERROR(IF(ISNUMBER(VALUE(_xlfn.TEXTBEFORE(B229,"-"))),"",_xlfn.TEXTBEFORE(B229,"-")),"")</f>
        <v/>
      </c>
      <c r="D229" s="19" t="str">
        <f>IFERROR(IF(ISNUMBER(VALUE(_xlfn.TEXTBEFORE(B229,"-"))),_xlfn.TEXTBEFORE(B229,"-"),_xlfn.TEXTBEFORE(_xlfn.TEXTAFTER(B229,"-"),"-")),"")</f>
        <v>566</v>
      </c>
      <c r="E229" s="1" t="str">
        <f>IFERROR(IF(ISNUMBER(VALUE(_xlfn.TEXTBEFORE(B229,"-"))),_xlfn.TEXTBEFORE(_xlfn.TEXTAFTER(B229,"-"),"-"),_xlfn.TEXTBEFORE(_xlfn.TEXTAFTER(B229,"-",2),"-")),"")</f>
        <v>300274899</v>
      </c>
      <c r="F229" s="1" t="str">
        <f>IFERROR(IF(ISNUMBER(VALUE(_xlfn.TEXTBEFORE(B229,"-"))),_xlfn.TEXTBEFORE(_xlfn.TEXTAFTER(B229,"-",2)," - "),_xlfn.TEXTBEFORE(_xlfn.TEXTAFTER(B229,"-",3)," - ")),"")</f>
        <v xml:space="preserve">CONFECCAO G. B. DA SILVA JUNIOR &amp; CIA LTDA </v>
      </c>
      <c r="G229" s="1" t="str">
        <f>IFERROR(_xlfn.TEXTAFTER(B229," - ",-1),"")</f>
        <v>Traseiro</v>
      </c>
      <c r="H229" s="13" t="s">
        <v>7677</v>
      </c>
      <c r="I229" s="21">
        <f>DATE(LEFT(H229,4),MID(H229,6,2),MID(H229,9,2))+TIME(MID(H229,12,2),MID(H229,15,2),MID(H229,18,2))</f>
        <v>46199.478634259256</v>
      </c>
      <c r="J229" s="25" t="s">
        <v>7678</v>
      </c>
      <c r="K229" s="1" t="s">
        <v>6795</v>
      </c>
    </row>
    <row r="230" spans="1:11" ht="197.25" hidden="1">
      <c r="A230" s="1" t="s">
        <v>7679</v>
      </c>
      <c r="B230" s="1" t="s">
        <v>7680</v>
      </c>
      <c r="C230" s="1" t="str">
        <f>IFERROR(IF(ISNUMBER(VALUE(_xlfn.TEXTBEFORE(B230,"-"))),"",_xlfn.TEXTBEFORE(B230,"-")),"")</f>
        <v>MALHA</v>
      </c>
      <c r="D230" s="19" t="str">
        <f>IFERROR(IF(ISNUMBER(VALUE(_xlfn.TEXTBEFORE(B230,"-"))),_xlfn.TEXTBEFORE(B230,"-"),_xlfn.TEXTBEFORE(_xlfn.TEXTAFTER(B230,"-"),"-")),"")</f>
        <v xml:space="preserve"> 1101</v>
      </c>
      <c r="E230" s="1" t="str">
        <f>IFERROR(IF(ISNUMBER(VALUE(_xlfn.TEXTBEFORE(B230,"-"))),_xlfn.TEXTBEFORE(_xlfn.TEXTAFTER(B230,"-"),"-"),_xlfn.TEXTBEFORE(_xlfn.TEXTAFTER(B230,"-",2),"-")),"")</f>
        <v>300280718</v>
      </c>
      <c r="F230" s="1" t="str">
        <f>IFERROR(IF(ISNUMBER(VALUE(_xlfn.TEXTBEFORE(B230,"-"))),_xlfn.TEXTBEFORE(_xlfn.TEXTAFTER(B230,"-",2)," - "),_xlfn.TEXTBEFORE(_xlfn.TEXTAFTER(B230,"-",3)," - ")),"")</f>
        <v xml:space="preserve">F &amp; L AZEVEDO CONFECCAO LTDA FILIAL </v>
      </c>
      <c r="G230" s="1" t="str">
        <f>IFERROR(_xlfn.TEXTAFTER(B230," - ",-1),"")</f>
        <v>Etiqueta de Composição</v>
      </c>
      <c r="H230" s="13" t="s">
        <v>7681</v>
      </c>
      <c r="I230" s="21">
        <f>DATE(LEFT(H230,4),MID(H230,6,2),MID(H230,9,2))+TIME(MID(H230,12,2),MID(H230,15,2),MID(H230,18,2))</f>
        <v>46217.45653935185</v>
      </c>
      <c r="J230" s="25" t="s">
        <v>7682</v>
      </c>
      <c r="K230" s="1" t="s">
        <v>6795</v>
      </c>
    </row>
    <row r="231" spans="1:11" ht="246.75" hidden="1">
      <c r="A231" s="1" t="s">
        <v>7683</v>
      </c>
      <c r="B231" s="1" t="s">
        <v>7684</v>
      </c>
      <c r="C231" s="1" t="str">
        <f>IFERROR(IF(ISNUMBER(VALUE(_xlfn.TEXTBEFORE(B231,"-"))),"",_xlfn.TEXTBEFORE(B231,"-")),"")</f>
        <v/>
      </c>
      <c r="D231" s="19" t="str">
        <f>IFERROR(IF(ISNUMBER(VALUE(_xlfn.TEXTBEFORE(B231,"-"))),_xlfn.TEXTBEFORE(B231,"-"),_xlfn.TEXTBEFORE(_xlfn.TEXTAFTER(B231,"-"),"-")),"")</f>
        <v>563</v>
      </c>
      <c r="E231" s="1" t="str">
        <f>IFERROR(IF(ISNUMBER(VALUE(_xlfn.TEXTBEFORE(B231,"-"))),_xlfn.TEXTBEFORE(_xlfn.TEXTAFTER(B231,"-"),"-"),_xlfn.TEXTBEFORE(_xlfn.TEXTAFTER(B231,"-",2),"-")),"")</f>
        <v>300275005</v>
      </c>
      <c r="F231" s="1" t="str">
        <f>IFERROR(IF(ISNUMBER(VALUE(_xlfn.TEXTBEFORE(B231,"-"))),_xlfn.TEXTBEFORE(_xlfn.TEXTAFTER(B231,"-",2)," - "),_xlfn.TEXTBEFORE(_xlfn.TEXTAFTER(B231,"-",3)," - ")),"")</f>
        <v xml:space="preserve">FLAVIA GEORGIA BRAGA SILVA CONFECCOES LTDA </v>
      </c>
      <c r="G231" s="1" t="str">
        <f>IFERROR(_xlfn.TEXTAFTER(B231," - ",-1),"")</f>
        <v>Etiqueta composição</v>
      </c>
      <c r="H231" s="13" t="s">
        <v>7685</v>
      </c>
      <c r="I231" s="21">
        <f>DATE(LEFT(H231,4),MID(H231,6,2),MID(H231,9,2))+TIME(MID(H231,12,2),MID(H231,15,2),MID(H231,18,2))</f>
        <v>46199.435231481482</v>
      </c>
      <c r="J231" s="25" t="s">
        <v>7686</v>
      </c>
      <c r="K231" s="1" t="s">
        <v>6795</v>
      </c>
    </row>
    <row r="232" spans="1:11" ht="246.75" hidden="1">
      <c r="A232" s="1" t="s">
        <v>7687</v>
      </c>
      <c r="B232" s="1" t="s">
        <v>7688</v>
      </c>
      <c r="C232" s="1" t="str">
        <f t="shared" ref="C232:C233" si="432">IFERROR(IF(ISNUMBER(VALUE(_xlfn.TEXTBEFORE(B232,"-"))),"",_xlfn.TEXTBEFORE(B232,"-")),"")</f>
        <v>JEANS</v>
      </c>
      <c r="D232" s="19" t="str">
        <f t="shared" ref="D232:D233" si="433">IFERROR(IF(ISNUMBER(VALUE(_xlfn.TEXTBEFORE(B232,"-"))),_xlfn.TEXTBEFORE(B232,"-"),_xlfn.TEXTBEFORE(_xlfn.TEXTAFTER(B232,"-"),"-")),"")</f>
        <v xml:space="preserve"> 1100</v>
      </c>
      <c r="E232" s="1" t="str">
        <f t="shared" ref="E232:E233" si="434">IFERROR(IF(ISNUMBER(VALUE(_xlfn.TEXTBEFORE(B232,"-"))),_xlfn.TEXTBEFORE(_xlfn.TEXTAFTER(B232,"-"),"-"),_xlfn.TEXTBEFORE(_xlfn.TEXTAFTER(B232,"-",2),"-")),"")</f>
        <v>300273731</v>
      </c>
      <c r="F232" s="1" t="str">
        <f t="shared" ref="F232:F233" si="435">IFERROR(IF(ISNUMBER(VALUE(_xlfn.TEXTBEFORE(B232,"-"))),_xlfn.TEXTBEFORE(_xlfn.TEXTAFTER(B232,"-",2)," - "),_xlfn.TEXTBEFORE(_xlfn.TEXTAFTER(B232,"-",3)," - ")),"")</f>
        <v xml:space="preserve">FREIRE SILVA CONFECCOES LTDA </v>
      </c>
      <c r="G232" s="1" t="str">
        <f t="shared" ref="G232:G233" si="436">IFERROR(_xlfn.TEXTAFTER(B232," - ",-1),"")</f>
        <v>Etiqueta de Composição</v>
      </c>
      <c r="H232" s="13" t="s">
        <v>7689</v>
      </c>
      <c r="I232" s="21">
        <f t="shared" ref="I232:I233" si="437">DATE(LEFT(H232,4),MID(H232,6,2),MID(H232,9,2))+TIME(MID(H232,12,2),MID(H232,15,2),MID(H232,18,2))</f>
        <v>46217.436701388891</v>
      </c>
      <c r="J232" s="25" t="s">
        <v>7690</v>
      </c>
      <c r="K232" s="1" t="s">
        <v>6795</v>
      </c>
    </row>
    <row r="233" spans="1:11" ht="230.25" hidden="1">
      <c r="A233" s="1" t="s">
        <v>7691</v>
      </c>
      <c r="B233" s="1" t="s">
        <v>7692</v>
      </c>
      <c r="C233" s="1" t="str">
        <f t="shared" si="432"/>
        <v/>
      </c>
      <c r="D233" s="19" t="str">
        <f t="shared" si="433"/>
        <v>556</v>
      </c>
      <c r="E233" s="1" t="str">
        <f t="shared" si="434"/>
        <v>300275007</v>
      </c>
      <c r="F233" s="1" t="str">
        <f t="shared" si="435"/>
        <v xml:space="preserve">FLAVIA GEORGIA BRAGA SILVA CONFECCOES LTDA </v>
      </c>
      <c r="G233" s="1" t="str">
        <f t="shared" si="436"/>
        <v>Etiqueta composição</v>
      </c>
      <c r="H233" s="13" t="s">
        <v>7693</v>
      </c>
      <c r="I233" s="21">
        <f t="shared" si="437"/>
        <v>46198.824374999997</v>
      </c>
      <c r="J233" s="25" t="s">
        <v>7694</v>
      </c>
      <c r="K233" s="1" t="s">
        <v>6795</v>
      </c>
    </row>
    <row r="234" spans="1:11" ht="246.75" hidden="1">
      <c r="A234" s="1" t="s">
        <v>7695</v>
      </c>
      <c r="B234" s="1" t="s">
        <v>7696</v>
      </c>
      <c r="C234" s="1" t="str">
        <f>IFERROR(IF(ISNUMBER(VALUE(_xlfn.TEXTBEFORE(B234,"-"))),"",_xlfn.TEXTBEFORE(B234,"-")),"")</f>
        <v/>
      </c>
      <c r="D234" s="19" t="str">
        <f>IFERROR(IF(ISNUMBER(VALUE(_xlfn.TEXTBEFORE(B234,"-"))),_xlfn.TEXTBEFORE(B234,"-"),_xlfn.TEXTBEFORE(_xlfn.TEXTAFTER(B234,"-"),"-")),"")</f>
        <v>553</v>
      </c>
      <c r="E234" s="1" t="str">
        <f>IFERROR(IF(ISNUMBER(VALUE(_xlfn.TEXTBEFORE(B234,"-"))),_xlfn.TEXTBEFORE(_xlfn.TEXTAFTER(B234,"-"),"-"),_xlfn.TEXTBEFORE(_xlfn.TEXTAFTER(B234,"-",2),"-")),"")</f>
        <v>300271538</v>
      </c>
      <c r="F234" s="1" t="str">
        <f>IFERROR(IF(ISNUMBER(VALUE(_xlfn.TEXTBEFORE(B234,"-"))),_xlfn.TEXTBEFORE(_xlfn.TEXTAFTER(B234,"-",2)," - "),_xlfn.TEXTBEFORE(_xlfn.TEXTAFTER(B234,"-",3)," - ")),"")</f>
        <v xml:space="preserve">POTENGI TEXTIL LTDA </v>
      </c>
      <c r="G234" s="1" t="str">
        <f>IFERROR(_xlfn.TEXTAFTER(B234," - ",-1),"")</f>
        <v>Etiqueta composição</v>
      </c>
      <c r="H234" s="13" t="s">
        <v>7697</v>
      </c>
      <c r="I234" s="21">
        <f>DATE(LEFT(H234,4),MID(H234,6,2),MID(H234,9,2))+TIME(MID(H234,12,2),MID(H234,15,2),MID(H234,18,2))</f>
        <v>46198.799490740741</v>
      </c>
      <c r="J234" s="25" t="s">
        <v>7698</v>
      </c>
      <c r="K234" s="1" t="s">
        <v>6795</v>
      </c>
    </row>
    <row r="235" spans="1:11" ht="263.25" hidden="1">
      <c r="A235" s="1" t="s">
        <v>7699</v>
      </c>
      <c r="B235" s="1" t="s">
        <v>7700</v>
      </c>
      <c r="C235" s="1" t="str">
        <f>IFERROR(IF(ISNUMBER(VALUE(_xlfn.TEXTBEFORE(B235,"-"))),"",_xlfn.TEXTBEFORE(B235,"-")),"")</f>
        <v>MALHA</v>
      </c>
      <c r="D235" s="19" t="str">
        <f>IFERROR(IF(ISNUMBER(VALUE(_xlfn.TEXTBEFORE(B235,"-"))),_xlfn.TEXTBEFORE(B235,"-"),_xlfn.TEXTBEFORE(_xlfn.TEXTAFTER(B235,"-"),"-")),"")</f>
        <v xml:space="preserve"> 1097</v>
      </c>
      <c r="E235" s="1" t="str">
        <f>IFERROR(IF(ISNUMBER(VALUE(_xlfn.TEXTBEFORE(B235,"-"))),_xlfn.TEXTBEFORE(_xlfn.TEXTAFTER(B235,"-"),"-"),_xlfn.TEXTBEFORE(_xlfn.TEXTAFTER(B235,"-",2),"-")),"")</f>
        <v>300271262</v>
      </c>
      <c r="F235" s="1" t="str">
        <f>IFERROR(IF(ISNUMBER(VALUE(_xlfn.TEXTBEFORE(B235,"-"))),_xlfn.TEXTBEFORE(_xlfn.TEXTAFTER(B235,"-",2)," - "),_xlfn.TEXTBEFORE(_xlfn.TEXTAFTER(B235,"-",3)," - ")),"")</f>
        <v xml:space="preserve">M A P FORTE FORTEX PRODUCAO TEXTIL </v>
      </c>
      <c r="G235" s="1" t="str">
        <f>IFERROR(_xlfn.TEXTAFTER(B235," - ",-1),"")</f>
        <v>Etiqueta de Composição</v>
      </c>
      <c r="H235" s="13" t="s">
        <v>7701</v>
      </c>
      <c r="I235" s="21">
        <f>DATE(LEFT(H235,4),MID(H235,6,2),MID(H235,9,2))+TIME(MID(H235,12,2),MID(H235,15,2),MID(H235,18,2))</f>
        <v>46216.862847222219</v>
      </c>
      <c r="J235" s="25" t="s">
        <v>7702</v>
      </c>
      <c r="K235" s="1" t="s">
        <v>6795</v>
      </c>
    </row>
    <row r="236" spans="1:11" ht="230.25" hidden="1">
      <c r="A236" s="1" t="s">
        <v>7703</v>
      </c>
      <c r="B236" s="1" t="s">
        <v>7704</v>
      </c>
      <c r="C236" s="1" t="str">
        <f>IFERROR(IF(ISNUMBER(VALUE(_xlfn.TEXTBEFORE(B236,"-"))),"",_xlfn.TEXTBEFORE(B236,"-")),"")</f>
        <v/>
      </c>
      <c r="D236" s="19" t="str">
        <f>IFERROR(IF(ISNUMBER(VALUE(_xlfn.TEXTBEFORE(B236,"-"))),_xlfn.TEXTBEFORE(B236,"-"),_xlfn.TEXTBEFORE(_xlfn.TEXTAFTER(B236,"-"),"-")),"")</f>
        <v>546</v>
      </c>
      <c r="E236" s="1" t="str">
        <f>IFERROR(IF(ISNUMBER(VALUE(_xlfn.TEXTBEFORE(B236,"-"))),_xlfn.TEXTBEFORE(_xlfn.TEXTAFTER(B236,"-"),"-"),_xlfn.TEXTBEFORE(_xlfn.TEXTAFTER(B236,"-",2),"-")),"")</f>
        <v>300273781</v>
      </c>
      <c r="F236" s="1" t="str">
        <f>IFERROR(IF(ISNUMBER(VALUE(_xlfn.TEXTBEFORE(B236,"-"))),_xlfn.TEXTBEFORE(_xlfn.TEXTAFTER(B236,"-",2)," - "),_xlfn.TEXTBEFORE(_xlfn.TEXTAFTER(B236,"-",3)," - ")),"")</f>
        <v xml:space="preserve">POTENGI TEXTIL LTDA </v>
      </c>
      <c r="G236" s="1" t="str">
        <f>IFERROR(_xlfn.TEXTAFTER(B236," - ",-1),"")</f>
        <v>Gola</v>
      </c>
      <c r="H236" s="13" t="s">
        <v>7705</v>
      </c>
      <c r="I236" s="21">
        <f>DATE(LEFT(H236,4),MID(H236,6,2),MID(H236,9,2))+TIME(MID(H236,12,2),MID(H236,15,2),MID(H236,18,2))</f>
        <v>46198.724166666667</v>
      </c>
      <c r="J236" s="25" t="s">
        <v>7706</v>
      </c>
      <c r="K236" s="1" t="s">
        <v>6795</v>
      </c>
    </row>
    <row r="237" spans="1:11" ht="279.75" hidden="1">
      <c r="A237" s="1" t="s">
        <v>7707</v>
      </c>
      <c r="B237" s="1" t="s">
        <v>7708</v>
      </c>
      <c r="C237" s="1" t="str">
        <f t="shared" ref="C237:C238" si="438">IFERROR(IF(ISNUMBER(VALUE(_xlfn.TEXTBEFORE(B237,"-"))),"",_xlfn.TEXTBEFORE(B237,"-")),"")</f>
        <v>MALHA</v>
      </c>
      <c r="D237" s="19" t="str">
        <f t="shared" ref="D237:D238" si="439">IFERROR(IF(ISNUMBER(VALUE(_xlfn.TEXTBEFORE(B237,"-"))),_xlfn.TEXTBEFORE(B237,"-"),_xlfn.TEXTBEFORE(_xlfn.TEXTAFTER(B237,"-"),"-")),"")</f>
        <v xml:space="preserve"> 1096</v>
      </c>
      <c r="E237" s="1" t="str">
        <f t="shared" ref="E237:E238" si="440">IFERROR(IF(ISNUMBER(VALUE(_xlfn.TEXTBEFORE(B237,"-"))),_xlfn.TEXTBEFORE(_xlfn.TEXTAFTER(B237,"-"),"-"),_xlfn.TEXTBEFORE(_xlfn.TEXTAFTER(B237,"-",2),"-")),"")</f>
        <v>300271262</v>
      </c>
      <c r="F237" s="1" t="str">
        <f t="shared" ref="F237:F238" si="441">IFERROR(IF(ISNUMBER(VALUE(_xlfn.TEXTBEFORE(B237,"-"))),_xlfn.TEXTBEFORE(_xlfn.TEXTAFTER(B237,"-",2)," - "),_xlfn.TEXTBEFORE(_xlfn.TEXTAFTER(B237,"-",3)," - ")),"")</f>
        <v xml:space="preserve">M A P FORTE FORTEX PRODUCAO TEXTIL </v>
      </c>
      <c r="G237" s="1" t="str">
        <f t="shared" ref="G237:G238" si="442">IFERROR(_xlfn.TEXTAFTER(B237," - ",-1),"")</f>
        <v>Manga</v>
      </c>
      <c r="H237" s="13" t="s">
        <v>7709</v>
      </c>
      <c r="I237" s="21">
        <f t="shared" ref="I237:I238" si="443">DATE(LEFT(H237,4),MID(H237,6,2),MID(H237,9,2))+TIME(MID(H237,12,2),MID(H237,15,2),MID(H237,18,2))</f>
        <v>46216.862071759257</v>
      </c>
      <c r="J237" s="25" t="s">
        <v>7710</v>
      </c>
      <c r="K237" s="1" t="s">
        <v>6795</v>
      </c>
    </row>
    <row r="238" spans="1:11" ht="263.25" hidden="1">
      <c r="A238" s="1" t="s">
        <v>7711</v>
      </c>
      <c r="B238" s="1" t="s">
        <v>7712</v>
      </c>
      <c r="C238" s="1" t="str">
        <f t="shared" si="438"/>
        <v/>
      </c>
      <c r="D238" s="19" t="str">
        <f t="shared" si="439"/>
        <v>522</v>
      </c>
      <c r="E238" s="1" t="str">
        <f t="shared" si="440"/>
        <v>300271507</v>
      </c>
      <c r="F238" s="1" t="str">
        <f t="shared" si="441"/>
        <v xml:space="preserve">CONFECCAO G. B. DA SILVA JUNIOR &amp; CIA LTDA </v>
      </c>
      <c r="G238" s="1" t="str">
        <f t="shared" si="442"/>
        <v>Vista</v>
      </c>
      <c r="H238" s="13" t="s">
        <v>7713</v>
      </c>
      <c r="I238" s="21">
        <f t="shared" si="443"/>
        <v>46197.713449074072</v>
      </c>
      <c r="J238" s="25" t="s">
        <v>7714</v>
      </c>
      <c r="K238" s="1" t="s">
        <v>6795</v>
      </c>
    </row>
    <row r="239" spans="1:11" ht="263.25" hidden="1">
      <c r="A239" s="1" t="s">
        <v>7715</v>
      </c>
      <c r="B239" s="1" t="s">
        <v>7716</v>
      </c>
      <c r="C239" s="1" t="str">
        <f t="shared" ref="C239:C240" si="444">IFERROR(IF(ISNUMBER(VALUE(_xlfn.TEXTBEFORE(B239,"-"))),"",_xlfn.TEXTBEFORE(B239,"-")),"")</f>
        <v/>
      </c>
      <c r="D239" s="19" t="str">
        <f t="shared" ref="D239:D240" si="445">IFERROR(IF(ISNUMBER(VALUE(_xlfn.TEXTBEFORE(B239,"-"))),_xlfn.TEXTBEFORE(B239,"-"),_xlfn.TEXTBEFORE(_xlfn.TEXTAFTER(B239,"-"),"-")),"")</f>
        <v>521</v>
      </c>
      <c r="E239" s="1" t="str">
        <f t="shared" ref="E239:E240" si="446">IFERROR(IF(ISNUMBER(VALUE(_xlfn.TEXTBEFORE(B239,"-"))),_xlfn.TEXTBEFORE(_xlfn.TEXTAFTER(B239,"-"),"-"),_xlfn.TEXTBEFORE(_xlfn.TEXTAFTER(B239,"-",2),"-")),"")</f>
        <v>300271507</v>
      </c>
      <c r="F239" s="1" t="str">
        <f t="shared" ref="F239:F240" si="447">IFERROR(IF(ISNUMBER(VALUE(_xlfn.TEXTBEFORE(B239,"-"))),_xlfn.TEXTBEFORE(_xlfn.TEXTAFTER(B239,"-",2)," - "),_xlfn.TEXTBEFORE(_xlfn.TEXTAFTER(B239,"-",3)," - ")),"")</f>
        <v xml:space="preserve">CONFECCAO G. B. DA SILVA JUNIOR &amp; CIA LTDA </v>
      </c>
      <c r="G239" s="1" t="str">
        <f t="shared" ref="G239:G240" si="448">IFERROR(_xlfn.TEXTAFTER(B239," - ",-1),"")</f>
        <v>Braguilha</v>
      </c>
      <c r="H239" s="13" t="s">
        <v>7717</v>
      </c>
      <c r="I239" s="21">
        <f t="shared" ref="I239:I240" si="449">DATE(LEFT(H239,4),MID(H239,6,2),MID(H239,9,2))+TIME(MID(H239,12,2),MID(H239,15,2),MID(H239,18,2))</f>
        <v>46197.712824074071</v>
      </c>
      <c r="J239" s="25" t="s">
        <v>7718</v>
      </c>
      <c r="K239" s="1" t="s">
        <v>6795</v>
      </c>
    </row>
    <row r="240" spans="1:11" ht="213.75" hidden="1">
      <c r="A240" s="1" t="s">
        <v>7719</v>
      </c>
      <c r="B240" s="1" t="s">
        <v>7720</v>
      </c>
      <c r="C240" s="1" t="str">
        <f t="shared" si="444"/>
        <v>MALHA</v>
      </c>
      <c r="D240" s="19" t="str">
        <f t="shared" si="445"/>
        <v xml:space="preserve"> 1093</v>
      </c>
      <c r="E240" s="1" t="str">
        <f t="shared" si="446"/>
        <v>300279752</v>
      </c>
      <c r="F240" s="1" t="str">
        <f t="shared" si="447"/>
        <v xml:space="preserve">DI3 CONFECCOES LTDA </v>
      </c>
      <c r="G240" s="1" t="str">
        <f t="shared" si="448"/>
        <v>Gola</v>
      </c>
      <c r="H240" s="13" t="s">
        <v>7721</v>
      </c>
      <c r="I240" s="21">
        <f t="shared" si="449"/>
        <v>46216.853067129632</v>
      </c>
      <c r="J240" s="25" t="s">
        <v>7722</v>
      </c>
      <c r="K240" s="1" t="s">
        <v>6795</v>
      </c>
    </row>
    <row r="241" spans="1:11" ht="279.75" hidden="1">
      <c r="A241" s="1" t="s">
        <v>7723</v>
      </c>
      <c r="B241" s="1" t="s">
        <v>7724</v>
      </c>
      <c r="C241" s="1" t="str">
        <f>IFERROR(IF(ISNUMBER(VALUE(_xlfn.TEXTBEFORE(B241,"-"))),"",_xlfn.TEXTBEFORE(B241,"-")),"")</f>
        <v>JEANS</v>
      </c>
      <c r="D241" s="19" t="str">
        <f>IFERROR(IF(ISNUMBER(VALUE(_xlfn.TEXTBEFORE(B241,"-"))),_xlfn.TEXTBEFORE(B241,"-"),_xlfn.TEXTBEFORE(_xlfn.TEXTAFTER(B241,"-"),"-")),"")</f>
        <v xml:space="preserve"> 1086</v>
      </c>
      <c r="E241" s="1" t="str">
        <f>IFERROR(IF(ISNUMBER(VALUE(_xlfn.TEXTBEFORE(B241,"-"))),_xlfn.TEXTBEFORE(_xlfn.TEXTAFTER(B241,"-"),"-"),_xlfn.TEXTBEFORE(_xlfn.TEXTAFTER(B241,"-",2),"-")),"")</f>
        <v>300276046</v>
      </c>
      <c r="F241" s="1" t="str">
        <f>IFERROR(IF(ISNUMBER(VALUE(_xlfn.TEXTBEFORE(B241,"-"))),_xlfn.TEXTBEFORE(_xlfn.TEXTAFTER(B241,"-",2)," - "),_xlfn.TEXTBEFORE(_xlfn.TEXTAFTER(B241,"-",3)," - ")),"")</f>
        <v xml:space="preserve">F J DE AZEVEDO </v>
      </c>
      <c r="G241" s="1" t="str">
        <f>IFERROR(_xlfn.TEXTAFTER(B241," - ",-1),"")</f>
        <v>Etiqueta de Composição</v>
      </c>
      <c r="H241" s="13" t="s">
        <v>7725</v>
      </c>
      <c r="I241" s="21">
        <f>DATE(LEFT(H241,4),MID(H241,6,2),MID(H241,9,2))+TIME(MID(H241,12,2),MID(H241,15,2),MID(H241,18,2))</f>
        <v>46216.798773148148</v>
      </c>
      <c r="J241" s="25" t="s">
        <v>7726</v>
      </c>
      <c r="K241" s="1" t="s">
        <v>6795</v>
      </c>
    </row>
    <row r="242" spans="1:11" ht="279.75" hidden="1">
      <c r="A242" s="1" t="s">
        <v>7727</v>
      </c>
      <c r="B242" s="1" t="s">
        <v>7728</v>
      </c>
      <c r="C242" s="1" t="str">
        <f>IFERROR(IF(ISNUMBER(VALUE(_xlfn.TEXTBEFORE(B242,"-"))),"",_xlfn.TEXTBEFORE(B242,"-")),"")</f>
        <v/>
      </c>
      <c r="D242" s="19" t="str">
        <f>IFERROR(IF(ISNUMBER(VALUE(_xlfn.TEXTBEFORE(B242,"-"))),_xlfn.TEXTBEFORE(B242,"-"),_xlfn.TEXTBEFORE(_xlfn.TEXTAFTER(B242,"-"),"-")),"")</f>
        <v>520</v>
      </c>
      <c r="E242" s="1" t="str">
        <f>IFERROR(IF(ISNUMBER(VALUE(_xlfn.TEXTBEFORE(B242,"-"))),_xlfn.TEXTBEFORE(_xlfn.TEXTAFTER(B242,"-"),"-"),_xlfn.TEXTBEFORE(_xlfn.TEXTAFTER(B242,"-",2),"-")),"")</f>
        <v>300271507</v>
      </c>
      <c r="F242" s="1" t="str">
        <f>IFERROR(IF(ISNUMBER(VALUE(_xlfn.TEXTBEFORE(B242,"-"))),_xlfn.TEXTBEFORE(_xlfn.TEXTAFTER(B242,"-",2)," - "),_xlfn.TEXTBEFORE(_xlfn.TEXTAFTER(B242,"-",3)," - ")),"")</f>
        <v xml:space="preserve">CONFECCAO G. B. DA SILVA JUNIOR &amp; CIA LTDA </v>
      </c>
      <c r="G242" s="1" t="str">
        <f>IFERROR(_xlfn.TEXTAFTER(B242," - ",-1),"")</f>
        <v>Bolso</v>
      </c>
      <c r="H242" s="13" t="s">
        <v>7729</v>
      </c>
      <c r="I242" s="21">
        <f>DATE(LEFT(H242,4),MID(H242,6,2),MID(H242,9,2))+TIME(MID(H242,12,2),MID(H242,15,2),MID(H242,18,2))</f>
        <v>46197.711909722224</v>
      </c>
      <c r="J242" s="25" t="s">
        <v>7730</v>
      </c>
      <c r="K242" s="1" t="s">
        <v>6795</v>
      </c>
    </row>
    <row r="243" spans="1:11" ht="230.25" hidden="1">
      <c r="A243" s="1" t="s">
        <v>7731</v>
      </c>
      <c r="B243" s="1" t="s">
        <v>7732</v>
      </c>
      <c r="C243" s="1" t="str">
        <f t="shared" ref="C243:C244" si="450">IFERROR(IF(ISNUMBER(VALUE(_xlfn.TEXTBEFORE(B243,"-"))),"",_xlfn.TEXTBEFORE(B243,"-")),"")</f>
        <v>POLO</v>
      </c>
      <c r="D243" s="19" t="str">
        <f t="shared" ref="D243:D244" si="451">IFERROR(IF(ISNUMBER(VALUE(_xlfn.TEXTBEFORE(B243,"-"))),_xlfn.TEXTBEFORE(B243,"-"),_xlfn.TEXTBEFORE(_xlfn.TEXTAFTER(B243,"-"),"-")),"")</f>
        <v xml:space="preserve"> 1085</v>
      </c>
      <c r="E243" s="1" t="str">
        <f t="shared" ref="E243:E244" si="452">IFERROR(IF(ISNUMBER(VALUE(_xlfn.TEXTBEFORE(B243,"-"))),_xlfn.TEXTBEFORE(_xlfn.TEXTAFTER(B243,"-"),"-"),_xlfn.TEXTBEFORE(_xlfn.TEXTAFTER(B243,"-",2),"-")),"")</f>
        <v>300271211</v>
      </c>
      <c r="F243" s="1" t="str">
        <f t="shared" ref="F243:F244" si="453">IFERROR(IF(ISNUMBER(VALUE(_xlfn.TEXTBEFORE(B243,"-"))),_xlfn.TEXTBEFORE(_xlfn.TEXTAFTER(B243,"-",2)," - "),_xlfn.TEXTBEFORE(_xlfn.TEXTAFTER(B243,"-",3)," - ")),"")</f>
        <v xml:space="preserve">FREIRE SILVA CONFECCOES LTDA </v>
      </c>
      <c r="G243" s="1" t="str">
        <f t="shared" ref="G243:G244" si="454">IFERROR(_xlfn.TEXTAFTER(B243," - ",-1),"")</f>
        <v>Frente</v>
      </c>
      <c r="H243" s="13" t="s">
        <v>7733</v>
      </c>
      <c r="I243" s="21">
        <f t="shared" ref="I243:I244" si="455">DATE(LEFT(H243,4),MID(H243,6,2),MID(H243,9,2))+TIME(MID(H243,12,2),MID(H243,15,2),MID(H243,18,2))</f>
        <v>46216.796307870369</v>
      </c>
      <c r="J243" s="25" t="s">
        <v>7734</v>
      </c>
      <c r="K243" s="1" t="s">
        <v>6795</v>
      </c>
    </row>
    <row r="244" spans="1:11" ht="213.75" hidden="1">
      <c r="A244" s="1" t="e" cm="1">
        <f t="array" aca="1" ref="A244" ca="1">-k6jKxjV90KrYV__-_UL7mQAPjAC</f>
        <v>#NAME?</v>
      </c>
      <c r="B244" s="1" t="s">
        <v>7119</v>
      </c>
      <c r="C244" s="1" t="str">
        <f t="shared" si="450"/>
        <v>TEAR</v>
      </c>
      <c r="D244" s="19" t="str">
        <f t="shared" si="451"/>
        <v xml:space="preserve"> 1296</v>
      </c>
      <c r="E244" s="1" t="str">
        <f t="shared" si="452"/>
        <v>300282856</v>
      </c>
      <c r="F244" s="1" t="str">
        <f t="shared" si="453"/>
        <v xml:space="preserve">CONFECCOES GENESIS LTDA </v>
      </c>
      <c r="G244" s="1" t="str">
        <f t="shared" si="454"/>
        <v>Etiqueta de Composição</v>
      </c>
      <c r="H244" s="13" t="s">
        <v>7120</v>
      </c>
      <c r="I244" s="21">
        <f t="shared" si="455"/>
        <v>46223.59747685185</v>
      </c>
      <c r="J244" s="25" t="s">
        <v>7121</v>
      </c>
      <c r="K244" s="1" t="s">
        <v>6795</v>
      </c>
    </row>
    <row r="245" spans="1:11" ht="279.75" hidden="1">
      <c r="A245" s="1" t="e" cm="1">
        <f t="array" aca="1" ref="A245" ca="1">---dgbpSpEynBk9rN5YfrGQAAk0Z</f>
        <v>#NAME?</v>
      </c>
      <c r="B245" s="1" t="s">
        <v>7735</v>
      </c>
      <c r="C245" s="1" t="str">
        <f t="shared" ref="C245:C246" si="456">IFERROR(IF(ISNUMBER(VALUE(_xlfn.TEXTBEFORE(B245,"-"))),"",_xlfn.TEXTBEFORE(B245,"-")),"")</f>
        <v/>
      </c>
      <c r="D245" s="19" t="str">
        <f t="shared" ref="D245:D246" si="457">IFERROR(IF(ISNUMBER(VALUE(_xlfn.TEXTBEFORE(B245,"-"))),_xlfn.TEXTBEFORE(B245,"-"),_xlfn.TEXTBEFORE(_xlfn.TEXTAFTER(B245,"-"),"-")),"")</f>
        <v>519</v>
      </c>
      <c r="E245" s="1" t="str">
        <f t="shared" ref="E245:E246" si="458">IFERROR(IF(ISNUMBER(VALUE(_xlfn.TEXTBEFORE(B245,"-"))),_xlfn.TEXTBEFORE(_xlfn.TEXTAFTER(B245,"-"),"-"),_xlfn.TEXTBEFORE(_xlfn.TEXTAFTER(B245,"-",2),"-")),"")</f>
        <v>300271507</v>
      </c>
      <c r="F245" s="1" t="str">
        <f t="shared" ref="F245:F246" si="459">IFERROR(IF(ISNUMBER(VALUE(_xlfn.TEXTBEFORE(B245,"-"))),_xlfn.TEXTBEFORE(_xlfn.TEXTAFTER(B245,"-",2)," - "),_xlfn.TEXTBEFORE(_xlfn.TEXTAFTER(B245,"-",3)," - ")),"")</f>
        <v xml:space="preserve">CONFECCAO G. B. DA SILVA JUNIOR &amp; CIA LTDA </v>
      </c>
      <c r="G245" s="1" t="str">
        <f t="shared" ref="G245:G246" si="460">IFERROR(_xlfn.TEXTAFTER(B245," - ",-1),"")</f>
        <v>Bolso traseiro</v>
      </c>
      <c r="H245" s="13" t="s">
        <v>7736</v>
      </c>
      <c r="I245" s="21">
        <f t="shared" ref="I245:I246" si="461">DATE(LEFT(H245,4),MID(H245,6,2),MID(H245,9,2))+TIME(MID(H245,12,2),MID(H245,15,2),MID(H245,18,2))</f>
        <v>46197.711053240739</v>
      </c>
      <c r="J245" s="25" t="s">
        <v>7737</v>
      </c>
      <c r="K245" s="1" t="s">
        <v>6795</v>
      </c>
    </row>
    <row r="246" spans="1:11" ht="230.25" hidden="1">
      <c r="A246" s="1" t="s">
        <v>7738</v>
      </c>
      <c r="B246" s="1" t="s">
        <v>7739</v>
      </c>
      <c r="C246" s="1" t="str">
        <f t="shared" si="456"/>
        <v>JEANS</v>
      </c>
      <c r="D246" s="19" t="str">
        <f t="shared" si="457"/>
        <v xml:space="preserve"> 1077</v>
      </c>
      <c r="E246" s="1" t="str">
        <f t="shared" si="458"/>
        <v>300276213</v>
      </c>
      <c r="F246" s="1" t="str">
        <f t="shared" si="459"/>
        <v xml:space="preserve">ASA CONFECCOES LTDA </v>
      </c>
      <c r="G246" s="1" t="str">
        <f t="shared" si="460"/>
        <v>Etiqueta de Composição</v>
      </c>
      <c r="H246" s="13" t="s">
        <v>7740</v>
      </c>
      <c r="I246" s="21">
        <f t="shared" si="461"/>
        <v>46216.68854166667</v>
      </c>
      <c r="J246" s="25" t="s">
        <v>7741</v>
      </c>
      <c r="K246" s="1" t="s">
        <v>6795</v>
      </c>
    </row>
    <row r="247" spans="1:11" ht="362.25" hidden="1">
      <c r="A247" s="1" t="s">
        <v>7742</v>
      </c>
      <c r="B247" s="1" t="s">
        <v>7743</v>
      </c>
      <c r="C247" s="1" t="str">
        <f t="shared" ref="C247:C248" si="462">IFERROR(IF(ISNUMBER(VALUE(_xlfn.TEXTBEFORE(B247,"-"))),"",_xlfn.TEXTBEFORE(B247,"-")),"")</f>
        <v>JEANS</v>
      </c>
      <c r="D247" s="19" t="str">
        <f t="shared" ref="D247:D248" si="463">IFERROR(IF(ISNUMBER(VALUE(_xlfn.TEXTBEFORE(B247,"-"))),_xlfn.TEXTBEFORE(B247,"-"),_xlfn.TEXTBEFORE(_xlfn.TEXTAFTER(B247,"-"),"-")),"")</f>
        <v xml:space="preserve"> 1075</v>
      </c>
      <c r="E247" s="1" t="str">
        <f t="shared" ref="E247:E248" si="464">IFERROR(IF(ISNUMBER(VALUE(_xlfn.TEXTBEFORE(B247,"-"))),_xlfn.TEXTBEFORE(_xlfn.TEXTAFTER(B247,"-"),"-"),_xlfn.TEXTBEFORE(_xlfn.TEXTAFTER(B247,"-",2),"-")),"")</f>
        <v>300269315</v>
      </c>
      <c r="F247" s="1" t="str">
        <f t="shared" ref="F247:F248" si="465">IFERROR(IF(ISNUMBER(VALUE(_xlfn.TEXTBEFORE(B247,"-"))),_xlfn.TEXTBEFORE(_xlfn.TEXTAFTER(B247,"-",2)," - "),_xlfn.TEXTBEFORE(_xlfn.TEXTAFTER(B247,"-",3)," - ")),"")</f>
        <v xml:space="preserve">J. S. &amp; SILVA LTDA </v>
      </c>
      <c r="G247" s="1" t="str">
        <f t="shared" ref="G247:G248" si="466">IFERROR(_xlfn.TEXTAFTER(B247," - ",-1),"")</f>
        <v>Babado</v>
      </c>
      <c r="H247" s="13" t="s">
        <v>7744</v>
      </c>
      <c r="I247" s="21">
        <f t="shared" ref="I247:I248" si="467">DATE(LEFT(H247,4),MID(H247,6,2),MID(H247,9,2))+TIME(MID(H247,12,2),MID(H247,15,2),MID(H247,18,2))</f>
        <v>46216.680787037039</v>
      </c>
      <c r="J247" s="25" t="s">
        <v>7745</v>
      </c>
      <c r="K247" s="1" t="s">
        <v>6795</v>
      </c>
    </row>
    <row r="248" spans="1:11" ht="263.25" hidden="1">
      <c r="A248" s="1" t="s">
        <v>7746</v>
      </c>
      <c r="B248" s="1" t="s">
        <v>7747</v>
      </c>
      <c r="C248" s="1" t="str">
        <f t="shared" si="462"/>
        <v/>
      </c>
      <c r="D248" s="19" t="str">
        <f t="shared" si="463"/>
        <v>516</v>
      </c>
      <c r="E248" s="1" t="str">
        <f t="shared" si="464"/>
        <v>300271507</v>
      </c>
      <c r="F248" s="1" t="str">
        <f t="shared" si="465"/>
        <v xml:space="preserve">CONFECCAO G. B. DA SILVA JUNIOR &amp; CIA LTDA </v>
      </c>
      <c r="G248" s="1" t="str">
        <f t="shared" si="466"/>
        <v>Perdigal</v>
      </c>
      <c r="H248" s="13" t="s">
        <v>7748</v>
      </c>
      <c r="I248" s="21">
        <f t="shared" si="467"/>
        <v>46197.709027777775</v>
      </c>
      <c r="J248" s="25" t="s">
        <v>7749</v>
      </c>
      <c r="K248" s="1" t="s">
        <v>6795</v>
      </c>
    </row>
    <row r="249" spans="1:11" ht="263.25" hidden="1">
      <c r="A249" s="1" t="s">
        <v>7750</v>
      </c>
      <c r="B249" s="1" t="s">
        <v>7751</v>
      </c>
      <c r="C249" s="1" t="str">
        <f>IFERROR(IF(ISNUMBER(VALUE(_xlfn.TEXTBEFORE(B249,"-"))),"",_xlfn.TEXTBEFORE(B249,"-")),"")</f>
        <v>MALHA</v>
      </c>
      <c r="D249" s="19" t="str">
        <f>IFERROR(IF(ISNUMBER(VALUE(_xlfn.TEXTBEFORE(B249,"-"))),_xlfn.TEXTBEFORE(B249,"-"),_xlfn.TEXTBEFORE(_xlfn.TEXTAFTER(B249,"-"),"-")),"")</f>
        <v xml:space="preserve"> 1072</v>
      </c>
      <c r="E249" s="1" t="str">
        <f>IFERROR(IF(ISNUMBER(VALUE(_xlfn.TEXTBEFORE(B249,"-"))),_xlfn.TEXTBEFORE(_xlfn.TEXTAFTER(B249,"-"),"-"),_xlfn.TEXTBEFORE(_xlfn.TEXTAFTER(B249,"-",2),"-")),"")</f>
        <v>300274589</v>
      </c>
      <c r="F249" s="1" t="str">
        <f>IFERROR(IF(ISNUMBER(VALUE(_xlfn.TEXTBEFORE(B249,"-"))),_xlfn.TEXTBEFORE(_xlfn.TEXTAFTER(B249,"-",2)," - "),_xlfn.TEXTBEFORE(_xlfn.TEXTAFTER(B249,"-",3)," - ")),"")</f>
        <v xml:space="preserve">AJG CONFECCOES LTDA </v>
      </c>
      <c r="G249" s="1" t="str">
        <f>IFERROR(_xlfn.TEXTAFTER(B249," - ",-1),"")</f>
        <v>Etiqueta de Composição</v>
      </c>
      <c r="H249" s="13" t="s">
        <v>7752</v>
      </c>
      <c r="I249" s="21">
        <f>DATE(LEFT(H249,4),MID(H249,6,2),MID(H249,9,2))+TIME(MID(H249,12,2),MID(H249,15,2),MID(H249,18,2))</f>
        <v>46216.575567129628</v>
      </c>
      <c r="J249" s="25" t="s">
        <v>7753</v>
      </c>
      <c r="K249" s="1" t="s">
        <v>6795</v>
      </c>
    </row>
    <row r="250" spans="1:11" ht="263.25" hidden="1">
      <c r="A250" s="1" t="s">
        <v>7754</v>
      </c>
      <c r="B250" s="1" t="s">
        <v>7755</v>
      </c>
      <c r="C250" s="1" t="str">
        <f>IFERROR(IF(ISNUMBER(VALUE(_xlfn.TEXTBEFORE(B250,"-"))),"",_xlfn.TEXTBEFORE(B250,"-")),"")</f>
        <v/>
      </c>
      <c r="D250" s="19" t="str">
        <f>IFERROR(IF(ISNUMBER(VALUE(_xlfn.TEXTBEFORE(B250,"-"))),_xlfn.TEXTBEFORE(B250,"-"),_xlfn.TEXTBEFORE(_xlfn.TEXTAFTER(B250,"-"),"-")),"")</f>
        <v>515</v>
      </c>
      <c r="E250" s="1" t="str">
        <f>IFERROR(IF(ISNUMBER(VALUE(_xlfn.TEXTBEFORE(B250,"-"))),_xlfn.TEXTBEFORE(_xlfn.TEXTAFTER(B250,"-"),"-"),_xlfn.TEXTBEFORE(_xlfn.TEXTAFTER(B250,"-",2),"-")),"")</f>
        <v>300271507</v>
      </c>
      <c r="F250" s="1" t="str">
        <f>IFERROR(IF(ISNUMBER(VALUE(_xlfn.TEXTBEFORE(B250,"-"))),_xlfn.TEXTBEFORE(_xlfn.TEXTAFTER(B250,"-",2)," - "),_xlfn.TEXTBEFORE(_xlfn.TEXTAFTER(B250,"-",3)," - ")),"")</f>
        <v xml:space="preserve">CONFECCAO G. B. DA SILVA JUNIOR &amp; CIA LTDA </v>
      </c>
      <c r="G250" s="1" t="str">
        <f>IFERROR(_xlfn.TEXTAFTER(B250," - ",-1),"")</f>
        <v>Passante</v>
      </c>
      <c r="H250" s="13" t="s">
        <v>7756</v>
      </c>
      <c r="I250" s="21">
        <f>DATE(LEFT(H250,4),MID(H250,6,2),MID(H250,9,2))+TIME(MID(H250,12,2),MID(H250,15,2),MID(H250,18,2))</f>
        <v>46197.707928240743</v>
      </c>
      <c r="J250" s="25" t="s">
        <v>7757</v>
      </c>
      <c r="K250" s="1" t="s">
        <v>6795</v>
      </c>
    </row>
    <row r="251" spans="1:11" ht="213.75" hidden="1">
      <c r="A251" s="1" t="s">
        <v>7758</v>
      </c>
      <c r="B251" s="1" t="s">
        <v>7759</v>
      </c>
      <c r="C251" s="1" t="str">
        <f t="shared" ref="C251:C252" si="468">IFERROR(IF(ISNUMBER(VALUE(_xlfn.TEXTBEFORE(B251,"-"))),"",_xlfn.TEXTBEFORE(B251,"-")),"")</f>
        <v>POLO</v>
      </c>
      <c r="D251" s="19" t="str">
        <f t="shared" ref="D251:D252" si="469">IFERROR(IF(ISNUMBER(VALUE(_xlfn.TEXTBEFORE(B251,"-"))),_xlfn.TEXTBEFORE(B251,"-"),_xlfn.TEXTBEFORE(_xlfn.TEXTAFTER(B251,"-"),"-")),"")</f>
        <v xml:space="preserve"> 1069</v>
      </c>
      <c r="E251" s="1" t="str">
        <f t="shared" ref="E251:E252" si="470">IFERROR(IF(ISNUMBER(VALUE(_xlfn.TEXTBEFORE(B251,"-"))),_xlfn.TEXTBEFORE(_xlfn.TEXTAFTER(B251,"-"),"-"),_xlfn.TEXTBEFORE(_xlfn.TEXTAFTER(B251,"-",2),"-")),"")</f>
        <v>300273782</v>
      </c>
      <c r="F251" s="1" t="str">
        <f t="shared" ref="F251:F252" si="471">IFERROR(IF(ISNUMBER(VALUE(_xlfn.TEXTBEFORE(B251,"-"))),_xlfn.TEXTBEFORE(_xlfn.TEXTAFTER(B251,"-",2)," - "),_xlfn.TEXTBEFORE(_xlfn.TEXTAFTER(B251,"-",3)," - ")),"")</f>
        <v xml:space="preserve">POTENGI TEXTIL LTDA </v>
      </c>
      <c r="G251" s="1" t="str">
        <f t="shared" ref="G251:G252" si="472">IFERROR(_xlfn.TEXTAFTER(B251," - ",-1),"")</f>
        <v>Traseiro</v>
      </c>
      <c r="H251" s="13" t="s">
        <v>7760</v>
      </c>
      <c r="I251" s="21">
        <f t="shared" ref="I251:I252" si="473">DATE(LEFT(H251,4),MID(H251,6,2),MID(H251,9,2))+TIME(MID(H251,12,2),MID(H251,15,2),MID(H251,18,2))</f>
        <v>46216.55978009259</v>
      </c>
      <c r="J251" s="25" t="s">
        <v>7761</v>
      </c>
      <c r="K251" s="1" t="s">
        <v>6795</v>
      </c>
    </row>
    <row r="252" spans="1:11" ht="263.25" hidden="1">
      <c r="A252" s="1" t="s">
        <v>7762</v>
      </c>
      <c r="B252" s="1" t="s">
        <v>7763</v>
      </c>
      <c r="C252" s="1" t="str">
        <f t="shared" si="468"/>
        <v/>
      </c>
      <c r="D252" s="19" t="str">
        <f t="shared" si="469"/>
        <v>514</v>
      </c>
      <c r="E252" s="1" t="str">
        <f t="shared" si="470"/>
        <v>300271507</v>
      </c>
      <c r="F252" s="1" t="str">
        <f t="shared" si="471"/>
        <v xml:space="preserve">CONFECCAO G. B. DA SILVA JUNIOR &amp; CIA LTDA </v>
      </c>
      <c r="G252" s="1" t="str">
        <f t="shared" si="472"/>
        <v>Cós</v>
      </c>
      <c r="H252" s="13" t="s">
        <v>7764</v>
      </c>
      <c r="I252" s="21">
        <f t="shared" si="473"/>
        <v>46197.707199074073</v>
      </c>
      <c r="J252" s="25" t="s">
        <v>7765</v>
      </c>
      <c r="K252" s="1" t="s">
        <v>6795</v>
      </c>
    </row>
    <row r="253" spans="1:11" ht="263.25" hidden="1">
      <c r="A253" s="1" t="s">
        <v>7766</v>
      </c>
      <c r="B253" s="1" t="s">
        <v>7767</v>
      </c>
      <c r="C253" s="1" t="str">
        <f t="shared" ref="C253:C254" si="474">IFERROR(IF(ISNUMBER(VALUE(_xlfn.TEXTBEFORE(B253,"-"))),"",_xlfn.TEXTBEFORE(B253,"-")),"")</f>
        <v/>
      </c>
      <c r="D253" s="19" t="str">
        <f t="shared" ref="D253:D254" si="475">IFERROR(IF(ISNUMBER(VALUE(_xlfn.TEXTBEFORE(B253,"-"))),_xlfn.TEXTBEFORE(B253,"-"),_xlfn.TEXTBEFORE(_xlfn.TEXTAFTER(B253,"-"),"-")),"")</f>
        <v>513</v>
      </c>
      <c r="E253" s="1" t="str">
        <f t="shared" ref="E253:E254" si="476">IFERROR(IF(ISNUMBER(VALUE(_xlfn.TEXTBEFORE(B253,"-"))),_xlfn.TEXTBEFORE(_xlfn.TEXTAFTER(B253,"-"),"-"),_xlfn.TEXTBEFORE(_xlfn.TEXTAFTER(B253,"-",2),"-")),"")</f>
        <v>300271507</v>
      </c>
      <c r="F253" s="1" t="str">
        <f t="shared" ref="F253:F254" si="477">IFERROR(IF(ISNUMBER(VALUE(_xlfn.TEXTBEFORE(B253,"-"))),_xlfn.TEXTBEFORE(_xlfn.TEXTAFTER(B253,"-",2)," - "),_xlfn.TEXTBEFORE(_xlfn.TEXTAFTER(B253,"-",3)," - ")),"")</f>
        <v xml:space="preserve">CONFECCAO G. B. DA SILVA JUNIOR &amp; CIA LTDA </v>
      </c>
      <c r="G253" s="1" t="str">
        <f t="shared" ref="G253:G254" si="478">IFERROR(_xlfn.TEXTAFTER(B253," - ",-1),"")</f>
        <v>Pala</v>
      </c>
      <c r="H253" s="13" t="s">
        <v>7768</v>
      </c>
      <c r="I253" s="21">
        <f t="shared" ref="I253:I254" si="479">DATE(LEFT(H253,4),MID(H253,6,2),MID(H253,9,2))+TIME(MID(H253,12,2),MID(H253,15,2),MID(H253,18,2))</f>
        <v>46197.706435185188</v>
      </c>
      <c r="J253" s="25" t="s">
        <v>7769</v>
      </c>
      <c r="K253" s="1" t="s">
        <v>6795</v>
      </c>
    </row>
    <row r="254" spans="1:11" ht="246.75" hidden="1">
      <c r="A254" s="1" t="s">
        <v>7770</v>
      </c>
      <c r="B254" s="1" t="s">
        <v>7771</v>
      </c>
      <c r="C254" s="1" t="str">
        <f t="shared" si="474"/>
        <v>JEANS</v>
      </c>
      <c r="D254" s="19" t="str">
        <f t="shared" si="475"/>
        <v xml:space="preserve"> 1061</v>
      </c>
      <c r="E254" s="1" t="str">
        <f t="shared" si="476"/>
        <v>300273701</v>
      </c>
      <c r="F254" s="1" t="str">
        <f t="shared" si="477"/>
        <v xml:space="preserve">POTENGI TEXTIL LTDA </v>
      </c>
      <c r="G254" s="1" t="str">
        <f t="shared" si="478"/>
        <v>Etiqueta de Composição</v>
      </c>
      <c r="H254" s="13" t="s">
        <v>7772</v>
      </c>
      <c r="I254" s="21">
        <f t="shared" si="479"/>
        <v>46216.518321759257</v>
      </c>
      <c r="J254" s="25" t="s">
        <v>7773</v>
      </c>
      <c r="K254" s="1" t="s">
        <v>6795</v>
      </c>
    </row>
    <row r="255" spans="1:11" ht="296.25" hidden="1">
      <c r="A255" s="1" t="s">
        <v>7774</v>
      </c>
      <c r="B255" s="1" t="s">
        <v>7775</v>
      </c>
      <c r="C255" s="1" t="str">
        <f t="shared" ref="C255:C256" si="480">IFERROR(IF(ISNUMBER(VALUE(_xlfn.TEXTBEFORE(B255,"-"))),"",_xlfn.TEXTBEFORE(B255,"-")),"")</f>
        <v/>
      </c>
      <c r="D255" s="19" t="str">
        <f t="shared" ref="D255:D256" si="481">IFERROR(IF(ISNUMBER(VALUE(_xlfn.TEXTBEFORE(B255,"-"))),_xlfn.TEXTBEFORE(B255,"-"),_xlfn.TEXTBEFORE(_xlfn.TEXTAFTER(B255,"-"),"-")),"")</f>
        <v>512</v>
      </c>
      <c r="E255" s="1" t="str">
        <f t="shared" ref="E255:E256" si="482">IFERROR(IF(ISNUMBER(VALUE(_xlfn.TEXTBEFORE(B255,"-"))),_xlfn.TEXTBEFORE(_xlfn.TEXTAFTER(B255,"-"),"-"),_xlfn.TEXTBEFORE(_xlfn.TEXTAFTER(B255,"-",2),"-")),"")</f>
        <v>300271507</v>
      </c>
      <c r="F255" s="1" t="str">
        <f t="shared" ref="F255:F256" si="483">IFERROR(IF(ISNUMBER(VALUE(_xlfn.TEXTBEFORE(B255,"-"))),_xlfn.TEXTBEFORE(_xlfn.TEXTAFTER(B255,"-",2)," - "),_xlfn.TEXTBEFORE(_xlfn.TEXTAFTER(B255,"-",3)," - ")),"")</f>
        <v xml:space="preserve">CONFECCAO G. B. DA SILVA JUNIOR &amp; CIA LTDA </v>
      </c>
      <c r="G255" s="1" t="str">
        <f t="shared" ref="G255:G256" si="484">IFERROR(_xlfn.TEXTAFTER(B255," - ",-1),"")</f>
        <v>Frente e traseiro</v>
      </c>
      <c r="H255" s="13" t="s">
        <v>7776</v>
      </c>
      <c r="I255" s="21">
        <f t="shared" ref="I255:I256" si="485">DATE(LEFT(H255,4),MID(H255,6,2),MID(H255,9,2))+TIME(MID(H255,12,2),MID(H255,15,2),MID(H255,18,2))</f>
        <v>46197.705509259256</v>
      </c>
      <c r="J255" s="25" t="s">
        <v>7777</v>
      </c>
      <c r="K255" s="1" t="s">
        <v>6795</v>
      </c>
    </row>
    <row r="256" spans="1:11" ht="213.75" hidden="1">
      <c r="A256" s="1" t="s">
        <v>7778</v>
      </c>
      <c r="B256" s="1" t="s">
        <v>7779</v>
      </c>
      <c r="C256" s="1" t="str">
        <f t="shared" si="480"/>
        <v>MALHA</v>
      </c>
      <c r="D256" s="19" t="str">
        <f t="shared" si="481"/>
        <v xml:space="preserve"> 1058</v>
      </c>
      <c r="E256" s="1" t="str">
        <f t="shared" si="482"/>
        <v>300279343</v>
      </c>
      <c r="F256" s="1" t="str">
        <f t="shared" si="483"/>
        <v xml:space="preserve">LC TEXTIL LTDA </v>
      </c>
      <c r="G256" s="1" t="str">
        <f t="shared" si="484"/>
        <v>Etiqueta de Composição</v>
      </c>
      <c r="H256" s="13" t="s">
        <v>7780</v>
      </c>
      <c r="I256" s="21">
        <f t="shared" si="485"/>
        <v>46216.510995370372</v>
      </c>
      <c r="J256" s="25" t="s">
        <v>7781</v>
      </c>
      <c r="K256" s="1" t="s">
        <v>6795</v>
      </c>
    </row>
    <row r="257" spans="1:11" ht="312.75" hidden="1">
      <c r="A257" s="1" t="s">
        <v>7782</v>
      </c>
      <c r="B257" s="1" t="s">
        <v>7783</v>
      </c>
      <c r="C257" s="1" t="str">
        <f t="shared" ref="C257:C258" si="486">IFERROR(IF(ISNUMBER(VALUE(_xlfn.TEXTBEFORE(B257,"-"))),"",_xlfn.TEXTBEFORE(B257,"-")),"")</f>
        <v>JEANS</v>
      </c>
      <c r="D257" s="19" t="str">
        <f t="shared" ref="D257:D258" si="487">IFERROR(IF(ISNUMBER(VALUE(_xlfn.TEXTBEFORE(B257,"-"))),_xlfn.TEXTBEFORE(B257,"-"),_xlfn.TEXTBEFORE(_xlfn.TEXTAFTER(B257,"-"),"-")),"")</f>
        <v xml:space="preserve"> 1057</v>
      </c>
      <c r="E257" s="1" t="str">
        <f t="shared" ref="E257:E258" si="488">IFERROR(IF(ISNUMBER(VALUE(_xlfn.TEXTBEFORE(B257,"-"))),_xlfn.TEXTBEFORE(_xlfn.TEXTAFTER(B257,"-"),"-"),_xlfn.TEXTBEFORE(_xlfn.TEXTAFTER(B257,"-",2),"-")),"")</f>
        <v>300275426</v>
      </c>
      <c r="F257" s="1" t="str">
        <f t="shared" ref="F257:F258" si="489">IFERROR(IF(ISNUMBER(VALUE(_xlfn.TEXTBEFORE(B257,"-"))),_xlfn.TEXTBEFORE(_xlfn.TEXTAFTER(B257,"-",2)," - "),_xlfn.TEXTBEFORE(_xlfn.TEXTAFTER(B257,"-",3)," - ")),"")</f>
        <v xml:space="preserve">JANUNCIO NOBREGA DE AZEVEDO </v>
      </c>
      <c r="G257" s="1" t="str">
        <f t="shared" ref="G257:G258" si="490">IFERROR(_xlfn.TEXTAFTER(B257," - ",-1),"")</f>
        <v>Etiqueta de Composição</v>
      </c>
      <c r="H257" s="13" t="s">
        <v>7784</v>
      </c>
      <c r="I257" s="21">
        <f t="shared" ref="I257:I258" si="491">DATE(LEFT(H257,4),MID(H257,6,2),MID(H257,9,2))+TIME(MID(H257,12,2),MID(H257,15,2),MID(H257,18,2))</f>
        <v>46216.509502314817</v>
      </c>
      <c r="J257" s="25" t="s">
        <v>7785</v>
      </c>
      <c r="K257" s="1" t="s">
        <v>6795</v>
      </c>
    </row>
    <row r="258" spans="1:11" ht="197.25" hidden="1">
      <c r="A258" s="1" t="s">
        <v>7786</v>
      </c>
      <c r="B258" s="1" t="s">
        <v>7787</v>
      </c>
      <c r="C258" s="1" t="str">
        <f t="shared" si="486"/>
        <v/>
      </c>
      <c r="D258" s="19" t="str">
        <f t="shared" si="487"/>
        <v>505</v>
      </c>
      <c r="E258" s="1" t="str">
        <f t="shared" si="488"/>
        <v>300274214</v>
      </c>
      <c r="F258" s="1" t="str">
        <f t="shared" si="489"/>
        <v xml:space="preserve">ARAUJO E M CONFECCOES LTDA </v>
      </c>
      <c r="G258" s="1" t="str">
        <f t="shared" si="490"/>
        <v>Cós</v>
      </c>
      <c r="H258" s="13" t="s">
        <v>7788</v>
      </c>
      <c r="I258" s="21">
        <f t="shared" si="491"/>
        <v>46197.578472222223</v>
      </c>
      <c r="J258" s="25" t="s">
        <v>7789</v>
      </c>
      <c r="K258" s="1" t="s">
        <v>6795</v>
      </c>
    </row>
    <row r="259" spans="1:11" ht="230.25" hidden="1">
      <c r="A259" s="1" t="s">
        <v>7790</v>
      </c>
      <c r="B259" s="1" t="s">
        <v>7791</v>
      </c>
      <c r="C259" s="1" t="str">
        <f t="shared" ref="C259:C260" si="492">IFERROR(IF(ISNUMBER(VALUE(_xlfn.TEXTBEFORE(B259,"-"))),"",_xlfn.TEXTBEFORE(B259,"-")),"")</f>
        <v/>
      </c>
      <c r="D259" s="19" t="str">
        <f t="shared" ref="D259:D260" si="493">IFERROR(IF(ISNUMBER(VALUE(_xlfn.TEXTBEFORE(B259,"-"))),_xlfn.TEXTBEFORE(B259,"-"),_xlfn.TEXTBEFORE(_xlfn.TEXTAFTER(B259,"-"),"-")),"")</f>
        <v>503</v>
      </c>
      <c r="E259" s="1" t="str">
        <f t="shared" ref="E259:E260" si="494">IFERROR(IF(ISNUMBER(VALUE(_xlfn.TEXTBEFORE(B259,"-"))),_xlfn.TEXTBEFORE(_xlfn.TEXTAFTER(B259,"-"),"-"),_xlfn.TEXTBEFORE(_xlfn.TEXTAFTER(B259,"-",2),"-")),"")</f>
        <v>300274418</v>
      </c>
      <c r="F259" s="1" t="str">
        <f t="shared" ref="F259:F260" si="495">IFERROR(IF(ISNUMBER(VALUE(_xlfn.TEXTBEFORE(B259,"-"))),_xlfn.TEXTBEFORE(_xlfn.TEXTAFTER(B259,"-",2)," - "),_xlfn.TEXTBEFORE(_xlfn.TEXTAFTER(B259,"-",3)," - ")),"")</f>
        <v xml:space="preserve">ALINE RODRIGUES DE LIMA ARAUJO </v>
      </c>
      <c r="G259" s="1" t="str">
        <f t="shared" ref="G259:G260" si="496">IFERROR(_xlfn.TEXTAFTER(B259," - ",-1),"")</f>
        <v>Gola</v>
      </c>
      <c r="H259" s="13" t="s">
        <v>7792</v>
      </c>
      <c r="I259" s="21">
        <f t="shared" ref="I259:I260" si="497">DATE(LEFT(H259,4),MID(H259,6,2),MID(H259,9,2))+TIME(MID(H259,12,2),MID(H259,15,2),MID(H259,18,2))</f>
        <v>46197.56349537037</v>
      </c>
      <c r="J259" s="25" t="s">
        <v>7793</v>
      </c>
      <c r="K259" s="1" t="s">
        <v>6795</v>
      </c>
    </row>
    <row r="260" spans="1:11" ht="263.25" hidden="1">
      <c r="A260" s="1" t="s">
        <v>7794</v>
      </c>
      <c r="B260" s="1" t="s">
        <v>7795</v>
      </c>
      <c r="C260" s="1" t="str">
        <f t="shared" si="492"/>
        <v>MALHA</v>
      </c>
      <c r="D260" s="19" t="str">
        <f t="shared" si="493"/>
        <v xml:space="preserve"> 1056</v>
      </c>
      <c r="E260" s="1" t="str">
        <f t="shared" si="494"/>
        <v>300276414</v>
      </c>
      <c r="F260" s="1" t="str">
        <f t="shared" si="495"/>
        <v xml:space="preserve">P A VITURINO SERVIÇOES E CONFECÇÕES LTDA </v>
      </c>
      <c r="G260" s="1" t="str">
        <f t="shared" si="496"/>
        <v>Gola</v>
      </c>
      <c r="H260" s="13" t="s">
        <v>7796</v>
      </c>
      <c r="I260" s="21">
        <f t="shared" si="497"/>
        <v>46216.494502314818</v>
      </c>
      <c r="J260" s="25" t="s">
        <v>7797</v>
      </c>
      <c r="K260" s="1" t="s">
        <v>6795</v>
      </c>
    </row>
    <row r="261" spans="1:11" ht="230.25" hidden="1">
      <c r="A261" s="1" t="s">
        <v>7798</v>
      </c>
      <c r="B261" s="1" t="s">
        <v>7799</v>
      </c>
      <c r="C261" s="1" t="str">
        <f>IFERROR(IF(ISNUMBER(VALUE(_xlfn.TEXTBEFORE(B261,"-"))),"",_xlfn.TEXTBEFORE(B261,"-")),"")</f>
        <v>JEANS</v>
      </c>
      <c r="D261" s="19" t="str">
        <f>IFERROR(IF(ISNUMBER(VALUE(_xlfn.TEXTBEFORE(B261,"-"))),_xlfn.TEXTBEFORE(B261,"-"),_xlfn.TEXTBEFORE(_xlfn.TEXTAFTER(B261,"-"),"-")),"")</f>
        <v xml:space="preserve"> 1045</v>
      </c>
      <c r="E261" s="1" t="str">
        <f>IFERROR(IF(ISNUMBER(VALUE(_xlfn.TEXTBEFORE(B261,"-"))),_xlfn.TEXTBEFORE(_xlfn.TEXTAFTER(B261,"-"),"-"),_xlfn.TEXTBEFORE(_xlfn.TEXTAFTER(B261,"-",2),"-")),"")</f>
        <v>300276222</v>
      </c>
      <c r="F261" s="1" t="str">
        <f>IFERROR(IF(ISNUMBER(VALUE(_xlfn.TEXTBEFORE(B261,"-"))),_xlfn.TEXTBEFORE(_xlfn.TEXTAFTER(B261,"-",2)," - "),_xlfn.TEXTBEFORE(_xlfn.TEXTAFTER(B261,"-",3)," - ")),"")</f>
        <v xml:space="preserve">DIAS E ALVES CONFECCOES LTDA </v>
      </c>
      <c r="G261" s="1" t="str">
        <f>IFERROR(_xlfn.TEXTAFTER(B261," - ",-1),"")</f>
        <v>Cós</v>
      </c>
      <c r="H261" s="13" t="s">
        <v>7800</v>
      </c>
      <c r="I261" s="21">
        <f>DATE(LEFT(H261,4),MID(H261,6,2),MID(H261,9,2))+TIME(MID(H261,12,2),MID(H261,15,2),MID(H261,18,2))</f>
        <v>46214.487638888888</v>
      </c>
      <c r="J261" s="25" t="s">
        <v>7801</v>
      </c>
      <c r="K261" s="1" t="s">
        <v>6795</v>
      </c>
    </row>
    <row r="262" spans="1:11" ht="263.25" hidden="1">
      <c r="A262" s="1" t="s">
        <v>7802</v>
      </c>
      <c r="B262" s="1" t="s">
        <v>7803</v>
      </c>
      <c r="C262" s="1" t="str">
        <f>IFERROR(IF(ISNUMBER(VALUE(_xlfn.TEXTBEFORE(B262,"-"))),"",_xlfn.TEXTBEFORE(B262,"-")),"")</f>
        <v/>
      </c>
      <c r="D262" s="19" t="str">
        <f>IFERROR(IF(ISNUMBER(VALUE(_xlfn.TEXTBEFORE(B262,"-"))),_xlfn.TEXTBEFORE(B262,"-"),_xlfn.TEXTBEFORE(_xlfn.TEXTAFTER(B262,"-"),"-")),"")</f>
        <v>494</v>
      </c>
      <c r="E262" s="1" t="str">
        <f>IFERROR(IF(ISNUMBER(VALUE(_xlfn.TEXTBEFORE(B262,"-"))),_xlfn.TEXTBEFORE(_xlfn.TEXTAFTER(B262,"-"),"-"),_xlfn.TEXTBEFORE(_xlfn.TEXTAFTER(B262,"-",2),"-")),"")</f>
        <v>300267541</v>
      </c>
      <c r="F262" s="1" t="str">
        <f>IFERROR(IF(ISNUMBER(VALUE(_xlfn.TEXTBEFORE(B262,"-"))),_xlfn.TEXTBEFORE(_xlfn.TEXTAFTER(B262,"-",2)," - "),_xlfn.TEXTBEFORE(_xlfn.TEXTAFTER(B262,"-",3)," - ")),"")</f>
        <v xml:space="preserve">CONFECCAO G. B. DA SILVA JUNIOR &amp; CIA LTDA </v>
      </c>
      <c r="G262" s="1" t="str">
        <f>IFERROR(_xlfn.TEXTAFTER(B262," - ",-1),"")</f>
        <v>Bolso</v>
      </c>
      <c r="H262" s="13" t="s">
        <v>7804</v>
      </c>
      <c r="I262" s="21">
        <f>DATE(LEFT(H262,4),MID(H262,6,2),MID(H262,9,2))+TIME(MID(H262,12,2),MID(H262,15,2),MID(H262,18,2))</f>
        <v>46197.450173611112</v>
      </c>
      <c r="J262" s="25" t="s">
        <v>7805</v>
      </c>
      <c r="K262" s="1" t="s">
        <v>6795</v>
      </c>
    </row>
    <row r="263" spans="1:11" ht="197.25" hidden="1">
      <c r="A263" s="1" t="e" cm="1">
        <f t="array" aca="1" ref="A263" ca="1">-_x3DTmhSUqzOT-t28cb52QAPAPo</f>
        <v>#NAME?</v>
      </c>
      <c r="B263" s="1" t="s">
        <v>7221</v>
      </c>
      <c r="C263" s="1" t="str">
        <f t="shared" ref="C263:C264" si="498">IFERROR(IF(ISNUMBER(VALUE(_xlfn.TEXTBEFORE(B263,"-"))),"",_xlfn.TEXTBEFORE(B263,"-")),"")</f>
        <v>MALHA</v>
      </c>
      <c r="D263" s="19" t="str">
        <f t="shared" ref="D263:D264" si="499">IFERROR(IF(ISNUMBER(VALUE(_xlfn.TEXTBEFORE(B263,"-"))),_xlfn.TEXTBEFORE(B263,"-"),_xlfn.TEXTBEFORE(_xlfn.TEXTAFTER(B263,"-"),"-")),"")</f>
        <v xml:space="preserve"> 1251</v>
      </c>
      <c r="E263" s="1" t="str">
        <f t="shared" ref="E263:E264" si="500">IFERROR(IF(ISNUMBER(VALUE(_xlfn.TEXTBEFORE(B263,"-"))),_xlfn.TEXTBEFORE(_xlfn.TEXTAFTER(B263,"-"),"-"),_xlfn.TEXTBEFORE(_xlfn.TEXTAFTER(B263,"-",2),"-")),"")</f>
        <v>300281662</v>
      </c>
      <c r="F263" s="1" t="str">
        <f t="shared" ref="F263:F264" si="501">IFERROR(IF(ISNUMBER(VALUE(_xlfn.TEXTBEFORE(B263,"-"))),_xlfn.TEXTBEFORE(_xlfn.TEXTAFTER(B263,"-",2)," - "),_xlfn.TEXTBEFORE(_xlfn.TEXTAFTER(B263,"-",3)," - ")),"")</f>
        <v xml:space="preserve">F &amp; L AZEVEDO CONFECCAO LTDA FILIAL </v>
      </c>
      <c r="G263" s="1" t="str">
        <f t="shared" ref="G263:G264" si="502">IFERROR(_xlfn.TEXTAFTER(B263," - ",-1),"")</f>
        <v>Etiqueta de Composição</v>
      </c>
      <c r="H263" s="13" t="s">
        <v>7222</v>
      </c>
      <c r="I263" s="21">
        <f t="shared" ref="I263:I264" si="503">DATE(LEFT(H263,4),MID(H263,6,2),MID(H263,9,2))+TIME(MID(H263,12,2),MID(H263,15,2),MID(H263,18,2))</f>
        <v>46220.563506944447</v>
      </c>
      <c r="J263" s="25" t="s">
        <v>7223</v>
      </c>
      <c r="K263" s="1" t="s">
        <v>6795</v>
      </c>
    </row>
    <row r="264" spans="1:11" ht="263.25" hidden="1">
      <c r="A264" s="1" t="s">
        <v>7806</v>
      </c>
      <c r="B264" s="1" t="s">
        <v>7807</v>
      </c>
      <c r="C264" s="1" t="str">
        <f t="shared" si="498"/>
        <v>MALHA</v>
      </c>
      <c r="D264" s="19" t="str">
        <f t="shared" si="499"/>
        <v xml:space="preserve"> 1043</v>
      </c>
      <c r="E264" s="1" t="str">
        <f t="shared" si="500"/>
        <v>300279127</v>
      </c>
      <c r="F264" s="1" t="str">
        <f t="shared" si="501"/>
        <v xml:space="preserve">POTENGI TEXTIL LTDA </v>
      </c>
      <c r="G264" s="1" t="str">
        <f t="shared" si="502"/>
        <v>Gola</v>
      </c>
      <c r="H264" s="13" t="s">
        <v>7808</v>
      </c>
      <c r="I264" s="21">
        <f t="shared" si="503"/>
        <v>46213.802939814814</v>
      </c>
      <c r="J264" s="25" t="s">
        <v>7809</v>
      </c>
      <c r="K264" s="1" t="s">
        <v>6795</v>
      </c>
    </row>
    <row r="265" spans="1:11" ht="279.75" hidden="1">
      <c r="A265" s="1" t="s">
        <v>7810</v>
      </c>
      <c r="B265" s="1" t="s">
        <v>7811</v>
      </c>
      <c r="C265" s="1" t="str">
        <f t="shared" ref="C265:C266" si="504">IFERROR(IF(ISNUMBER(VALUE(_xlfn.TEXTBEFORE(B265,"-"))),"",_xlfn.TEXTBEFORE(B265,"-")),"")</f>
        <v/>
      </c>
      <c r="D265" s="19" t="str">
        <f t="shared" ref="D265:D266" si="505">IFERROR(IF(ISNUMBER(VALUE(_xlfn.TEXTBEFORE(B265,"-"))),_xlfn.TEXTBEFORE(B265,"-"),_xlfn.TEXTBEFORE(_xlfn.TEXTAFTER(B265,"-"),"-")),"")</f>
        <v>486</v>
      </c>
      <c r="E265" s="1" t="str">
        <f t="shared" ref="E265:E266" si="506">IFERROR(IF(ISNUMBER(VALUE(_xlfn.TEXTBEFORE(B265,"-"))),_xlfn.TEXTBEFORE(_xlfn.TEXTAFTER(B265,"-"),"-"),_xlfn.TEXTBEFORE(_xlfn.TEXTAFTER(B265,"-",2),"-")),"")</f>
        <v>300261560</v>
      </c>
      <c r="F265" s="1" t="str">
        <f t="shared" ref="F265:F266" si="507">IFERROR(IF(ISNUMBER(VALUE(_xlfn.TEXTBEFORE(B265,"-"))),_xlfn.TEXTBEFORE(_xlfn.TEXTAFTER(B265,"-",2)," - "),_xlfn.TEXTBEFORE(_xlfn.TEXTAFTER(B265,"-",3)," - ")),"")</f>
        <v xml:space="preserve">CONFECCAO G. B. DA SILVA JUNIOR &amp; CIA LTDA </v>
      </c>
      <c r="G265" s="1" t="str">
        <f t="shared" ref="G265:G266" si="508">IFERROR(_xlfn.TEXTAFTER(B265," - ",-1),"")</f>
        <v>Frente e traseiro</v>
      </c>
      <c r="H265" s="13" t="s">
        <v>7812</v>
      </c>
      <c r="I265" s="21">
        <f t="shared" ref="I265:I266" si="509">DATE(LEFT(H265,4),MID(H265,6,2),MID(H265,9,2))+TIME(MID(H265,12,2),MID(H265,15,2),MID(H265,18,2))</f>
        <v>46196.812754629631</v>
      </c>
      <c r="J265" s="25" t="s">
        <v>7813</v>
      </c>
      <c r="K265" s="1" t="s">
        <v>6795</v>
      </c>
    </row>
    <row r="266" spans="1:11" ht="263.25" hidden="1">
      <c r="A266" s="1" t="s">
        <v>7814</v>
      </c>
      <c r="B266" s="1" t="s">
        <v>7815</v>
      </c>
      <c r="C266" s="1" t="str">
        <f t="shared" si="504"/>
        <v>JEANS</v>
      </c>
      <c r="D266" s="19" t="str">
        <f t="shared" si="505"/>
        <v xml:space="preserve"> 1041</v>
      </c>
      <c r="E266" s="1" t="str">
        <f t="shared" si="506"/>
        <v>300272967</v>
      </c>
      <c r="F266" s="1" t="str">
        <f t="shared" si="507"/>
        <v xml:space="preserve">DIAS E ALVES CONFECCOES LTDA </v>
      </c>
      <c r="G266" s="1" t="str">
        <f t="shared" si="508"/>
        <v>Cós</v>
      </c>
      <c r="H266" s="13" t="s">
        <v>7816</v>
      </c>
      <c r="I266" s="21">
        <f t="shared" si="509"/>
        <v>46213.781469907408</v>
      </c>
      <c r="J266" s="25" t="s">
        <v>7817</v>
      </c>
      <c r="K266" s="1" t="s">
        <v>6795</v>
      </c>
    </row>
    <row r="267" spans="1:11" ht="213.75" hidden="1">
      <c r="A267" s="1" t="s">
        <v>7818</v>
      </c>
      <c r="B267" s="1" t="s">
        <v>7819</v>
      </c>
      <c r="C267" s="1" t="str">
        <f t="shared" ref="C267:C268" si="510">IFERROR(IF(ISNUMBER(VALUE(_xlfn.TEXTBEFORE(B267,"-"))),"",_xlfn.TEXTBEFORE(B267,"-")),"")</f>
        <v/>
      </c>
      <c r="D267" s="19" t="str">
        <f t="shared" ref="D267:D268" si="511">IFERROR(IF(ISNUMBER(VALUE(_xlfn.TEXTBEFORE(B267,"-"))),_xlfn.TEXTBEFORE(B267,"-"),_xlfn.TEXTBEFORE(_xlfn.TEXTAFTER(B267,"-"),"-")),"")</f>
        <v>482</v>
      </c>
      <c r="E267" s="1" t="str">
        <f t="shared" ref="E267:E268" si="512">IFERROR(IF(ISNUMBER(VALUE(_xlfn.TEXTBEFORE(B267,"-"))),_xlfn.TEXTBEFORE(_xlfn.TEXTAFTER(B267,"-"),"-"),_xlfn.TEXTBEFORE(_xlfn.TEXTAFTER(B267,"-",2),"-")),"")</f>
        <v>300272969</v>
      </c>
      <c r="F267" s="1" t="str">
        <f t="shared" ref="F267:F268" si="513">IFERROR(IF(ISNUMBER(VALUE(_xlfn.TEXTBEFORE(B267,"-"))),_xlfn.TEXTBEFORE(_xlfn.TEXTAFTER(B267,"-",2)," - "),_xlfn.TEXTBEFORE(_xlfn.TEXTAFTER(B267,"-",3)," - ")),"")</f>
        <v xml:space="preserve">ARAUJO E M CONFECCOES LTDA </v>
      </c>
      <c r="G267" s="1" t="str">
        <f t="shared" ref="G267:G268" si="514">IFERROR(_xlfn.TEXTAFTER(B267," - ",-1),"")</f>
        <v>Cós</v>
      </c>
      <c r="H267" s="13" t="s">
        <v>7820</v>
      </c>
      <c r="I267" s="21">
        <f t="shared" ref="I267:I268" si="515">DATE(LEFT(H267,4),MID(H267,6,2),MID(H267,9,2))+TIME(MID(H267,12,2),MID(H267,15,2),MID(H267,18,2))</f>
        <v>46196.805914351855</v>
      </c>
      <c r="J267" s="25" t="s">
        <v>7821</v>
      </c>
      <c r="K267" s="1" t="s">
        <v>6795</v>
      </c>
    </row>
    <row r="268" spans="1:11" ht="246.75" hidden="1">
      <c r="A268" s="1" t="s">
        <v>7822</v>
      </c>
      <c r="B268" s="1" t="s">
        <v>7823</v>
      </c>
      <c r="C268" s="1" t="str">
        <f t="shared" si="510"/>
        <v>MALHA</v>
      </c>
      <c r="D268" s="19" t="str">
        <f t="shared" si="511"/>
        <v xml:space="preserve"> 1031</v>
      </c>
      <c r="E268" s="1" t="str">
        <f t="shared" si="512"/>
        <v>300270795</v>
      </c>
      <c r="F268" s="1" t="str">
        <f t="shared" si="513"/>
        <v xml:space="preserve">JOLI TEXTIL SERVICOS E COMERCIO LTD </v>
      </c>
      <c r="G268" s="1" t="str">
        <f t="shared" si="514"/>
        <v>Manga</v>
      </c>
      <c r="H268" s="13" t="s">
        <v>7824</v>
      </c>
      <c r="I268" s="21">
        <f t="shared" si="515"/>
        <v>46213.721736111111</v>
      </c>
      <c r="J268" s="25" t="s">
        <v>7825</v>
      </c>
      <c r="K268" s="1" t="s">
        <v>6795</v>
      </c>
    </row>
    <row r="269" spans="1:11" ht="213.75" hidden="1">
      <c r="A269" s="1" t="e" cm="1">
        <f t="array" aca="1" ref="A269" ca="1">-q2c_Z-UFkmhLdfGVYIY-GQAMJan</f>
        <v>#NAME?</v>
      </c>
      <c r="B269" s="1" t="s">
        <v>7826</v>
      </c>
      <c r="C269" s="1" t="str">
        <f>IFERROR(IF(ISNUMBER(VALUE(_xlfn.TEXTBEFORE(B269,"-"))),"",_xlfn.TEXTBEFORE(B269,"-")),"")</f>
        <v>TEAR</v>
      </c>
      <c r="D269" s="19" t="str">
        <f>IFERROR(IF(ISNUMBER(VALUE(_xlfn.TEXTBEFORE(B269,"-"))),_xlfn.TEXTBEFORE(B269,"-"),_xlfn.TEXTBEFORE(_xlfn.TEXTAFTER(B269,"-"),"-")),"")</f>
        <v xml:space="preserve"> 1026</v>
      </c>
      <c r="E269" s="1" t="str">
        <f>IFERROR(IF(ISNUMBER(VALUE(_xlfn.TEXTBEFORE(B269,"-"))),_xlfn.TEXTBEFORE(_xlfn.TEXTAFTER(B269,"-"),"-"),_xlfn.TEXTBEFORE(_xlfn.TEXTAFTER(B269,"-",2),"-")),"")</f>
        <v>300280237</v>
      </c>
      <c r="F269" s="1" t="str">
        <f>IFERROR(IF(ISNUMBER(VALUE(_xlfn.TEXTBEFORE(B269,"-"))),_xlfn.TEXTBEFORE(_xlfn.TEXTAFTER(B269,"-",2)," - "),_xlfn.TEXTBEFORE(_xlfn.TEXTAFTER(B269,"-",3)," - ")),"")</f>
        <v xml:space="preserve">JOSENI MARIA DE MEDEIROS </v>
      </c>
      <c r="G269" s="1" t="str">
        <f>IFERROR(_xlfn.TEXTAFTER(B269," - ",-1),"")</f>
        <v>Etiqueta de Composição</v>
      </c>
      <c r="H269" s="13" t="s">
        <v>7827</v>
      </c>
      <c r="I269" s="21">
        <f>DATE(LEFT(H269,4),MID(H269,6,2),MID(H269,9,2))+TIME(MID(H269,12,2),MID(H269,15,2),MID(H269,18,2))</f>
        <v>46213.584409722222</v>
      </c>
      <c r="J269" s="25" t="s">
        <v>7828</v>
      </c>
      <c r="K269" s="1" t="s">
        <v>6795</v>
      </c>
    </row>
    <row r="270" spans="1:11" ht="197.25" hidden="1">
      <c r="A270" s="1" t="s">
        <v>7829</v>
      </c>
      <c r="B270" s="1" t="s">
        <v>5525</v>
      </c>
      <c r="C270" s="1" t="str">
        <f>IFERROR(IF(ISNUMBER(VALUE(_xlfn.TEXTBEFORE(B270,"-"))),"",_xlfn.TEXTBEFORE(B270,"-")),"")</f>
        <v/>
      </c>
      <c r="D270" s="19" t="str">
        <f>IFERROR(IF(ISNUMBER(VALUE(_xlfn.TEXTBEFORE(B270,"-"))),_xlfn.TEXTBEFORE(B270,"-"),_xlfn.TEXTBEFORE(_xlfn.TEXTAFTER(B270,"-"),"-")),"")</f>
        <v>463</v>
      </c>
      <c r="E270" s="1" t="str">
        <f>IFERROR(IF(ISNUMBER(VALUE(_xlfn.TEXTBEFORE(B270,"-"))),_xlfn.TEXTBEFORE(_xlfn.TEXTAFTER(B270,"-"),"-"),_xlfn.TEXTBEFORE(_xlfn.TEXTAFTER(B270,"-",2),"-")),"")</f>
        <v>300271213</v>
      </c>
      <c r="F270" s="1" t="str">
        <f>IFERROR(IF(ISNUMBER(VALUE(_xlfn.TEXTBEFORE(B270,"-"))),_xlfn.TEXTBEFORE(_xlfn.TEXTAFTER(B270,"-",2)," - "),_xlfn.TEXTBEFORE(_xlfn.TEXTAFTER(B270,"-",3)," - ")),"")</f>
        <v xml:space="preserve">FLAVIA GEORGIA BRAGA SILVA CONFECCOES LTDA </v>
      </c>
      <c r="G270" s="1" t="str">
        <f>IFERROR(_xlfn.TEXTAFTER(B270," - ",-1),"")</f>
        <v>Fios</v>
      </c>
      <c r="H270" s="13" t="s">
        <v>7830</v>
      </c>
      <c r="I270" s="21">
        <f>DATE(LEFT(H270,4),MID(H270,6,2),MID(H270,9,2))+TIME(MID(H270,12,2),MID(H270,15,2),MID(H270,18,2))</f>
        <v>46196.516006944446</v>
      </c>
      <c r="J270" s="25" t="s">
        <v>7831</v>
      </c>
      <c r="K270" s="1" t="s">
        <v>6795</v>
      </c>
    </row>
    <row r="271" spans="1:11" ht="230.25" hidden="1">
      <c r="A271" s="1" t="s">
        <v>7832</v>
      </c>
      <c r="B271" s="1" t="s">
        <v>7833</v>
      </c>
      <c r="C271" s="1" t="str">
        <f t="shared" ref="C271:C272" si="516">IFERROR(IF(ISNUMBER(VALUE(_xlfn.TEXTBEFORE(B271,"-"))),"",_xlfn.TEXTBEFORE(B271,"-")),"")</f>
        <v>JEANS</v>
      </c>
      <c r="D271" s="19" t="str">
        <f t="shared" ref="D271:D272" si="517">IFERROR(IF(ISNUMBER(VALUE(_xlfn.TEXTBEFORE(B271,"-"))),_xlfn.TEXTBEFORE(B271,"-"),_xlfn.TEXTBEFORE(_xlfn.TEXTAFTER(B271,"-"),"-")),"")</f>
        <v xml:space="preserve"> 1011</v>
      </c>
      <c r="E271" s="1" t="str">
        <f t="shared" ref="E271:E272" si="518">IFERROR(IF(ISNUMBER(VALUE(_xlfn.TEXTBEFORE(B271,"-"))),_xlfn.TEXTBEFORE(_xlfn.TEXTAFTER(B271,"-"),"-"),_xlfn.TEXTBEFORE(_xlfn.TEXTAFTER(B271,"-",2),"-")),"")</f>
        <v>300273713</v>
      </c>
      <c r="F271" s="1" t="str">
        <f t="shared" ref="F271:F272" si="519">IFERROR(IF(ISNUMBER(VALUE(_xlfn.TEXTBEFORE(B271,"-"))),_xlfn.TEXTBEFORE(_xlfn.TEXTAFTER(B271,"-",2)," - "),_xlfn.TEXTBEFORE(_xlfn.TEXTAFTER(B271,"-",3)," - ")),"")</f>
        <v xml:space="preserve">TROPICALLIZ CONFECCOES LTDA </v>
      </c>
      <c r="G271" s="1" t="str">
        <f t="shared" ref="G271:G272" si="520">IFERROR(_xlfn.TEXTAFTER(B271," - ",-1),"")</f>
        <v>Cós</v>
      </c>
      <c r="H271" s="13" t="s">
        <v>7834</v>
      </c>
      <c r="I271" s="21">
        <f t="shared" ref="I271:I272" si="521">DATE(LEFT(H271,4),MID(H271,6,2),MID(H271,9,2))+TIME(MID(H271,12,2),MID(H271,15,2),MID(H271,18,2))</f>
        <v>46213.531099537038</v>
      </c>
      <c r="J271" s="25" t="s">
        <v>7835</v>
      </c>
      <c r="K271" s="1" t="s">
        <v>6795</v>
      </c>
    </row>
    <row r="272" spans="1:11" ht="180.75" hidden="1">
      <c r="A272" s="1" t="s">
        <v>7836</v>
      </c>
      <c r="B272" s="1" t="s">
        <v>7837</v>
      </c>
      <c r="C272" s="1" t="str">
        <f t="shared" si="516"/>
        <v/>
      </c>
      <c r="D272" s="19" t="str">
        <f t="shared" si="517"/>
        <v>461</v>
      </c>
      <c r="E272" s="1" t="str">
        <f t="shared" si="518"/>
        <v>300272630</v>
      </c>
      <c r="F272" s="1" t="str">
        <f t="shared" si="519"/>
        <v xml:space="preserve">DI3 CONFECCOES LTDA </v>
      </c>
      <c r="G272" s="1" t="str">
        <f t="shared" si="520"/>
        <v>Traseiro</v>
      </c>
      <c r="H272" s="13" t="s">
        <v>7838</v>
      </c>
      <c r="I272" s="21">
        <f t="shared" si="521"/>
        <v>46196.491620370369</v>
      </c>
      <c r="J272" s="25" t="s">
        <v>7839</v>
      </c>
      <c r="K272" s="1" t="s">
        <v>6795</v>
      </c>
    </row>
    <row r="273" spans="1:11" ht="246.75" hidden="1">
      <c r="A273" s="1" t="s">
        <v>7840</v>
      </c>
      <c r="B273" s="1" t="s">
        <v>7841</v>
      </c>
      <c r="C273" s="1" t="str">
        <f t="shared" ref="C273:C274" si="522">IFERROR(IF(ISNUMBER(VALUE(_xlfn.TEXTBEFORE(B273,"-"))),"",_xlfn.TEXTBEFORE(B273,"-")),"")</f>
        <v/>
      </c>
      <c r="D273" s="19" t="str">
        <f t="shared" ref="D273:D274" si="523">IFERROR(IF(ISNUMBER(VALUE(_xlfn.TEXTBEFORE(B273,"-"))),_xlfn.TEXTBEFORE(B273,"-"),_xlfn.TEXTBEFORE(_xlfn.TEXTAFTER(B273,"-"),"-")),"")</f>
        <v>453</v>
      </c>
      <c r="E273" s="1" t="str">
        <f t="shared" ref="E273:E274" si="524">IFERROR(IF(ISNUMBER(VALUE(_xlfn.TEXTBEFORE(B273,"-"))),_xlfn.TEXTBEFORE(_xlfn.TEXTAFTER(B273,"-"),"-"),_xlfn.TEXTBEFORE(_xlfn.TEXTAFTER(B273,"-",2),"-")),"")</f>
        <v>300269514</v>
      </c>
      <c r="F273" s="1" t="str">
        <f t="shared" ref="F273:F274" si="525">IFERROR(IF(ISNUMBER(VALUE(_xlfn.TEXTBEFORE(B273,"-"))),_xlfn.TEXTBEFORE(_xlfn.TEXTAFTER(B273,"-",2)," - "),_xlfn.TEXTBEFORE(_xlfn.TEXTAFTER(B273,"-",3)," - ")),"")</f>
        <v xml:space="preserve">POTENGI TEXTIL LTDA </v>
      </c>
      <c r="G273" s="1" t="str">
        <f t="shared" ref="G273:G274" si="526">IFERROR(_xlfn.TEXTAFTER(B273," - ",-1),"")</f>
        <v>Etiqueta de preço</v>
      </c>
      <c r="H273" s="13" t="s">
        <v>7842</v>
      </c>
      <c r="I273" s="21">
        <f t="shared" ref="I273:I274" si="527">DATE(LEFT(H273,4),MID(H273,6,2),MID(H273,9,2))+TIME(MID(H273,12,2),MID(H273,15,2),MID(H273,18,2))</f>
        <v>46196.465624999997</v>
      </c>
      <c r="J273" s="25" t="s">
        <v>7843</v>
      </c>
      <c r="K273" s="1" t="s">
        <v>6795</v>
      </c>
    </row>
    <row r="274" spans="1:11" ht="197.25" hidden="1">
      <c r="A274" s="1" t="s">
        <v>7844</v>
      </c>
      <c r="B274" s="1" t="s">
        <v>7845</v>
      </c>
      <c r="C274" s="1" t="str">
        <f t="shared" si="522"/>
        <v>MALHA</v>
      </c>
      <c r="D274" s="19" t="str">
        <f t="shared" si="523"/>
        <v xml:space="preserve"> 1000</v>
      </c>
      <c r="E274" s="1" t="str">
        <f t="shared" si="524"/>
        <v>300277277</v>
      </c>
      <c r="F274" s="1" t="str">
        <f t="shared" si="525"/>
        <v xml:space="preserve">F &amp; L AZEVEDO CONFECCAO LTDA FILIAL </v>
      </c>
      <c r="G274" s="1" t="str">
        <f t="shared" si="526"/>
        <v>Etiqueta de Composição</v>
      </c>
      <c r="H274" s="13" t="s">
        <v>7846</v>
      </c>
      <c r="I274" s="21">
        <f t="shared" si="527"/>
        <v>46213.452118055553</v>
      </c>
      <c r="J274" s="25" t="s">
        <v>7847</v>
      </c>
      <c r="K274" s="1" t="s">
        <v>6795</v>
      </c>
    </row>
    <row r="275" spans="1:11" ht="409.6" hidden="1">
      <c r="A275" s="1" t="s">
        <v>7848</v>
      </c>
      <c r="B275" s="1" t="s">
        <v>7849</v>
      </c>
      <c r="C275" s="1" t="str">
        <f t="shared" ref="C275:C276" si="528">IFERROR(IF(ISNUMBER(VALUE(_xlfn.TEXTBEFORE(B275,"-"))),"",_xlfn.TEXTBEFORE(B275,"-")),"")</f>
        <v/>
      </c>
      <c r="D275" s="19" t="str">
        <f t="shared" ref="D275:D276" si="529">IFERROR(IF(ISNUMBER(VALUE(_xlfn.TEXTBEFORE(B275,"-"))),_xlfn.TEXTBEFORE(B275,"-"),_xlfn.TEXTBEFORE(_xlfn.TEXTAFTER(B275,"-"),"-")),"")</f>
        <v>967</v>
      </c>
      <c r="E275" s="1" t="str">
        <f t="shared" ref="E275:E276" si="530">IFERROR(IF(ISNUMBER(VALUE(_xlfn.TEXTBEFORE(B275,"-"))),_xlfn.TEXTBEFORE(_xlfn.TEXTAFTER(B275,"-"),"-"),_xlfn.TEXTBEFORE(_xlfn.TEXTAFTER(B275,"-",2),"-")),"")</f>
        <v>300276760</v>
      </c>
      <c r="F275" s="1" t="str">
        <f t="shared" ref="F275:F276" si="531">IFERROR(IF(ISNUMBER(VALUE(_xlfn.TEXTBEFORE(B275,"-"))),_xlfn.TEXTBEFORE(_xlfn.TEXTAFTER(B275,"-",2)," - "),_xlfn.TEXTBEFORE(_xlfn.TEXTAFTER(B275,"-",3)," - ")),"")</f>
        <v xml:space="preserve">IVANILDO JOSE DE SOUZA </v>
      </c>
      <c r="G275" s="1" t="str">
        <f t="shared" ref="G275:G276" si="532">IFERROR(_xlfn.TEXTAFTER(B275," - ",-1),"")</f>
        <v>Etiqueta de Composição</v>
      </c>
      <c r="H275" s="13" t="s">
        <v>7850</v>
      </c>
      <c r="I275" s="21">
        <f t="shared" ref="I275:I276" si="533">DATE(LEFT(H275,4),MID(H275,6,2),MID(H275,9,2))+TIME(MID(H275,12,2),MID(H275,15,2),MID(H275,18,2))</f>
        <v>46212.542638888888</v>
      </c>
      <c r="J275" s="25" t="s">
        <v>7851</v>
      </c>
      <c r="K275" s="1" t="s">
        <v>6795</v>
      </c>
    </row>
    <row r="276" spans="1:11" ht="263.25" hidden="1">
      <c r="A276" s="1" t="s">
        <v>7852</v>
      </c>
      <c r="B276" s="1" t="s">
        <v>7853</v>
      </c>
      <c r="C276" s="1" t="str">
        <f t="shared" si="528"/>
        <v/>
      </c>
      <c r="D276" s="19" t="str">
        <f t="shared" si="529"/>
        <v>446</v>
      </c>
      <c r="E276" s="1" t="str">
        <f t="shared" si="530"/>
        <v>300267991</v>
      </c>
      <c r="F276" s="1" t="str">
        <f t="shared" si="531"/>
        <v xml:space="preserve">ASA CONFECCOES LTDA </v>
      </c>
      <c r="G276" s="1" t="str">
        <f t="shared" si="532"/>
        <v>Bolso traseiro</v>
      </c>
      <c r="H276" s="13" t="s">
        <v>7854</v>
      </c>
      <c r="I276" s="21">
        <f t="shared" si="533"/>
        <v>46195.831099537034</v>
      </c>
      <c r="J276" s="25" t="s">
        <v>7855</v>
      </c>
      <c r="K276" s="1" t="s">
        <v>6795</v>
      </c>
    </row>
    <row r="277" spans="1:11" ht="230.25" hidden="1">
      <c r="A277" s="1" t="s">
        <v>7856</v>
      </c>
      <c r="B277" s="1" t="s">
        <v>7857</v>
      </c>
      <c r="C277" s="1" t="str">
        <f t="shared" ref="C277:C278" si="534">IFERROR(IF(ISNUMBER(VALUE(_xlfn.TEXTBEFORE(B277,"-"))),"",_xlfn.TEXTBEFORE(B277,"-")),"")</f>
        <v/>
      </c>
      <c r="D277" s="19" t="str">
        <f t="shared" ref="D277:D278" si="535">IFERROR(IF(ISNUMBER(VALUE(_xlfn.TEXTBEFORE(B277,"-"))),_xlfn.TEXTBEFORE(B277,"-"),_xlfn.TEXTBEFORE(_xlfn.TEXTAFTER(B277,"-"),"-")),"")</f>
        <v>965</v>
      </c>
      <c r="E277" s="1" t="str">
        <f t="shared" ref="E277:E278" si="536">IFERROR(IF(ISNUMBER(VALUE(_xlfn.TEXTBEFORE(B277,"-"))),_xlfn.TEXTBEFORE(_xlfn.TEXTAFTER(B277,"-"),"-"),_xlfn.TEXTBEFORE(_xlfn.TEXTAFTER(B277,"-",2),"-")),"")</f>
        <v>300275796</v>
      </c>
      <c r="F277" s="1" t="str">
        <f t="shared" ref="F277:F278" si="537">IFERROR(IF(ISNUMBER(VALUE(_xlfn.TEXTBEFORE(B277,"-"))),_xlfn.TEXTBEFORE(_xlfn.TEXTAFTER(B277,"-",2)," - "),_xlfn.TEXTBEFORE(_xlfn.TEXTAFTER(B277,"-",3)," - ")),"")</f>
        <v xml:space="preserve">F &amp; L AZEVEDO CONFECCAO LTDA MATRIZ </v>
      </c>
      <c r="G277" s="1" t="str">
        <f t="shared" ref="G277:G278" si="538">IFERROR(_xlfn.TEXTAFTER(B277," - ",-1),"")</f>
        <v>Etiqueta de Composição</v>
      </c>
      <c r="H277" s="13" t="s">
        <v>7858</v>
      </c>
      <c r="I277" s="21">
        <f t="shared" ref="I277:I278" si="539">DATE(LEFT(H277,4),MID(H277,6,2),MID(H277,9,2))+TIME(MID(H277,12,2),MID(H277,15,2),MID(H277,18,2))</f>
        <v>46212.527118055557</v>
      </c>
      <c r="J277" s="25" t="s">
        <v>7859</v>
      </c>
      <c r="K277" s="1" t="s">
        <v>6795</v>
      </c>
    </row>
    <row r="278" spans="1:11" ht="197.25" hidden="1">
      <c r="A278" s="1" t="s">
        <v>7860</v>
      </c>
      <c r="B278" s="1" t="s">
        <v>7861</v>
      </c>
      <c r="C278" s="1" t="str">
        <f t="shared" si="534"/>
        <v/>
      </c>
      <c r="D278" s="19" t="str">
        <f t="shared" si="535"/>
        <v>441</v>
      </c>
      <c r="E278" s="1" t="str">
        <f t="shared" si="536"/>
        <v>300272630</v>
      </c>
      <c r="F278" s="1" t="str">
        <f t="shared" si="537"/>
        <v xml:space="preserve">DI3 CONFECCOES LTDA </v>
      </c>
      <c r="G278" s="1" t="str">
        <f t="shared" si="538"/>
        <v>Gola</v>
      </c>
      <c r="H278" s="13" t="s">
        <v>7862</v>
      </c>
      <c r="I278" s="21">
        <f t="shared" si="539"/>
        <v>46195.759131944447</v>
      </c>
      <c r="J278" s="25" t="s">
        <v>7863</v>
      </c>
      <c r="K278" s="1" t="s">
        <v>6795</v>
      </c>
    </row>
    <row r="279" spans="1:11" ht="263.25" hidden="1">
      <c r="A279" s="1" t="s">
        <v>7864</v>
      </c>
      <c r="B279" s="1" t="s">
        <v>7865</v>
      </c>
      <c r="C279" s="1" t="str">
        <f>IFERROR(IF(ISNUMBER(VALUE(_xlfn.TEXTBEFORE(B279,"-"))),"",_xlfn.TEXTBEFORE(B279,"-")),"")</f>
        <v/>
      </c>
      <c r="D279" s="19" t="str">
        <f>IFERROR(IF(ISNUMBER(VALUE(_xlfn.TEXTBEFORE(B279,"-"))),_xlfn.TEXTBEFORE(B279,"-"),_xlfn.TEXTBEFORE(_xlfn.TEXTAFTER(B279,"-"),"-")),"")</f>
        <v>439</v>
      </c>
      <c r="E279" s="1" t="str">
        <f>IFERROR(IF(ISNUMBER(VALUE(_xlfn.TEXTBEFORE(B279,"-"))),_xlfn.TEXTBEFORE(_xlfn.TEXTAFTER(B279,"-"),"-"),_xlfn.TEXTBEFORE(_xlfn.TEXTAFTER(B279,"-",2),"-")),"")</f>
        <v>300272959</v>
      </c>
      <c r="F279" s="1" t="str">
        <f>IFERROR(IF(ISNUMBER(VALUE(_xlfn.TEXTBEFORE(B279,"-"))),_xlfn.TEXTBEFORE(_xlfn.TEXTAFTER(B279,"-",2)," - "),_xlfn.TEXTBEFORE(_xlfn.TEXTAFTER(B279,"-",3)," - ")),"")</f>
        <v xml:space="preserve">DI3 CONFECCOES LTDA </v>
      </c>
      <c r="G279" s="1" t="str">
        <f>IFERROR(_xlfn.TEXTAFTER(B279," - ",-1),"")</f>
        <v>Vivo</v>
      </c>
      <c r="H279" s="13" t="s">
        <v>7866</v>
      </c>
      <c r="I279" s="21">
        <f>DATE(LEFT(H279,4),MID(H279,6,2),MID(H279,9,2))+TIME(MID(H279,12,2),MID(H279,15,2),MID(H279,18,2))</f>
        <v>46195.753460648149</v>
      </c>
      <c r="J279" s="25" t="s">
        <v>7867</v>
      </c>
      <c r="K279" s="1" t="s">
        <v>6795</v>
      </c>
    </row>
    <row r="280" spans="1:11" ht="213.75" hidden="1">
      <c r="A280" s="1" t="s">
        <v>7868</v>
      </c>
      <c r="B280" s="1" t="s">
        <v>7869</v>
      </c>
      <c r="C280" s="1" t="str">
        <f>IFERROR(IF(ISNUMBER(VALUE(_xlfn.TEXTBEFORE(B280,"-"))),"",_xlfn.TEXTBEFORE(B280,"-")),"")</f>
        <v/>
      </c>
      <c r="D280" s="19" t="str">
        <f>IFERROR(IF(ISNUMBER(VALUE(_xlfn.TEXTBEFORE(B280,"-"))),_xlfn.TEXTBEFORE(B280,"-"),_xlfn.TEXTBEFORE(_xlfn.TEXTAFTER(B280,"-"),"-")),"")</f>
        <v>962</v>
      </c>
      <c r="E280" s="1" t="str">
        <f>IFERROR(IF(ISNUMBER(VALUE(_xlfn.TEXTBEFORE(B280,"-"))),_xlfn.TEXTBEFORE(_xlfn.TEXTAFTER(B280,"-"),"-"),_xlfn.TEXTBEFORE(_xlfn.TEXTAFTER(B280,"-",2),"-")),"")</f>
        <v>300278638</v>
      </c>
      <c r="F280" s="1" t="str">
        <f>IFERROR(IF(ISNUMBER(VALUE(_xlfn.TEXTBEFORE(B280,"-"))),_xlfn.TEXTBEFORE(_xlfn.TEXTAFTER(B280,"-",2)," - "),_xlfn.TEXTBEFORE(_xlfn.TEXTAFTER(B280,"-",3)," - ")),"")</f>
        <v xml:space="preserve">JOSE MEDEIROS DE ARAUJO </v>
      </c>
      <c r="G280" s="1" t="str">
        <f>IFERROR(_xlfn.TEXTAFTER(B280," - ",-1),"")</f>
        <v>Etiqueta de Composição</v>
      </c>
      <c r="H280" s="13" t="s">
        <v>7870</v>
      </c>
      <c r="I280" s="21">
        <f>DATE(LEFT(H280,4),MID(H280,6,2),MID(H280,9,2))+TIME(MID(H280,12,2),MID(H280,15,2),MID(H280,18,2))</f>
        <v>46212.502650462964</v>
      </c>
      <c r="J280" s="25" t="s">
        <v>7871</v>
      </c>
      <c r="K280" s="1" t="s">
        <v>6795</v>
      </c>
    </row>
    <row r="281" spans="1:11" ht="230.25" hidden="1">
      <c r="A281" s="1" t="s">
        <v>7872</v>
      </c>
      <c r="B281" s="1" t="s">
        <v>7873</v>
      </c>
      <c r="C281" s="1" t="str">
        <f>IFERROR(IF(ISNUMBER(VALUE(_xlfn.TEXTBEFORE(B281,"-"))),"",_xlfn.TEXTBEFORE(B281,"-")),"")</f>
        <v/>
      </c>
      <c r="D281" s="19" t="str">
        <f>IFERROR(IF(ISNUMBER(VALUE(_xlfn.TEXTBEFORE(B281,"-"))),_xlfn.TEXTBEFORE(B281,"-"),_xlfn.TEXTBEFORE(_xlfn.TEXTAFTER(B281,"-"),"-")),"")</f>
        <v>436</v>
      </c>
      <c r="E281" s="1" t="str">
        <f>IFERROR(IF(ISNUMBER(VALUE(_xlfn.TEXTBEFORE(B281,"-"))),_xlfn.TEXTBEFORE(_xlfn.TEXTAFTER(B281,"-"),"-"),_xlfn.TEXTBEFORE(_xlfn.TEXTAFTER(B281,"-",2),"-")),"")</f>
        <v>300271749</v>
      </c>
      <c r="F281" s="1" t="str">
        <f>IFERROR(IF(ISNUMBER(VALUE(_xlfn.TEXTBEFORE(B281,"-"))),_xlfn.TEXTBEFORE(_xlfn.TEXTAFTER(B281,"-",2)," - "),_xlfn.TEXTBEFORE(_xlfn.TEXTAFTER(B281,"-",3)," - ")),"")</f>
        <v xml:space="preserve">FLAVIA GEORGIA BRAGA SILVA CONFECCOES LTDA </v>
      </c>
      <c r="G281" s="1" t="str">
        <f>IFERROR(_xlfn.TEXTAFTER(B281," - ",-1),"")</f>
        <v>Cós</v>
      </c>
      <c r="H281" s="13" t="s">
        <v>7874</v>
      </c>
      <c r="I281" s="21">
        <f>DATE(LEFT(H281,4),MID(H281,6,2),MID(H281,9,2))+TIME(MID(H281,12,2),MID(H281,15,2),MID(H281,18,2))</f>
        <v>46195.723437499997</v>
      </c>
      <c r="J281" s="25" t="s">
        <v>7875</v>
      </c>
      <c r="K281" s="1" t="s">
        <v>6795</v>
      </c>
    </row>
    <row r="282" spans="1:11" ht="230.25" hidden="1">
      <c r="A282" s="1" t="s">
        <v>7876</v>
      </c>
      <c r="B282" s="1" t="s">
        <v>7877</v>
      </c>
      <c r="C282" s="1" t="str">
        <f>IFERROR(IF(ISNUMBER(VALUE(_xlfn.TEXTBEFORE(B282,"-"))),"",_xlfn.TEXTBEFORE(B282,"-")),"")</f>
        <v/>
      </c>
      <c r="D282" s="19" t="str">
        <f>IFERROR(IF(ISNUMBER(VALUE(_xlfn.TEXTBEFORE(B282,"-"))),_xlfn.TEXTBEFORE(B282,"-"),_xlfn.TEXTBEFORE(_xlfn.TEXTAFTER(B282,"-"),"-")),"")</f>
        <v>431</v>
      </c>
      <c r="E282" s="1" t="str">
        <f>IFERROR(IF(ISNUMBER(VALUE(_xlfn.TEXTBEFORE(B282,"-"))),_xlfn.TEXTBEFORE(_xlfn.TEXTAFTER(B282,"-"),"-"),_xlfn.TEXTBEFORE(_xlfn.TEXTAFTER(B282,"-",2),"-")),"")</f>
        <v>300271749</v>
      </c>
      <c r="F282" s="1" t="str">
        <f>IFERROR(IF(ISNUMBER(VALUE(_xlfn.TEXTBEFORE(B282,"-"))),_xlfn.TEXTBEFORE(_xlfn.TEXTAFTER(B282,"-",2)," - "),_xlfn.TEXTBEFORE(_xlfn.TEXTAFTER(B282,"-",3)," - ")),"")</f>
        <v xml:space="preserve">FLAVIA GEORGIA BRAGA SILVA CONFECCOES LTDA </v>
      </c>
      <c r="G282" s="1" t="str">
        <f>IFERROR(_xlfn.TEXTAFTER(B282," - ",-1),"")</f>
        <v>Cós</v>
      </c>
      <c r="H282" s="13" t="s">
        <v>7878</v>
      </c>
      <c r="I282" s="21">
        <f>DATE(LEFT(H282,4),MID(H282,6,2),MID(H282,9,2))+TIME(MID(H282,12,2),MID(H282,15,2),MID(H282,18,2))</f>
        <v>46195.604490740741</v>
      </c>
      <c r="J282" s="25" t="s">
        <v>7879</v>
      </c>
      <c r="K282" s="1" t="s">
        <v>6795</v>
      </c>
    </row>
    <row r="283" spans="1:11" ht="246.75" hidden="1">
      <c r="A283" s="1" t="e" cm="1">
        <f t="array" aca="1" ref="A283" ca="1">-hBD8LnLfkqEMcmz5eNnP2QAM7jM</f>
        <v>#NAME?</v>
      </c>
      <c r="B283" s="1" t="s">
        <v>7186</v>
      </c>
      <c r="C283" s="1" t="str">
        <f>IFERROR(IF(ISNUMBER(VALUE(_xlfn.TEXTBEFORE(B283,"-"))),"",_xlfn.TEXTBEFORE(B283,"-")),"")</f>
        <v/>
      </c>
      <c r="D283" s="19" t="str">
        <f>IFERROR(IF(ISNUMBER(VALUE(_xlfn.TEXTBEFORE(B283,"-"))),_xlfn.TEXTBEFORE(B283,"-"),_xlfn.TEXTBEFORE(_xlfn.TEXTAFTER(B283,"-"),"-")),"")</f>
        <v>762</v>
      </c>
      <c r="E283" s="1" t="str">
        <f>IFERROR(IF(ISNUMBER(VALUE(_xlfn.TEXTBEFORE(B283,"-"))),_xlfn.TEXTBEFORE(_xlfn.TEXTAFTER(B283,"-"),"-"),_xlfn.TEXTBEFORE(_xlfn.TEXTAFTER(B283,"-",2),"-")),"")</f>
        <v>300270294</v>
      </c>
      <c r="F283" s="1" t="str">
        <f>IFERROR(IF(ISNUMBER(VALUE(_xlfn.TEXTBEFORE(B283,"-"))),_xlfn.TEXTBEFORE(_xlfn.TEXTAFTER(B283,"-",2)," - "),_xlfn.TEXTBEFORE(_xlfn.TEXTAFTER(B283,"-",3)," - ")),"")</f>
        <v xml:space="preserve">F &amp; L AZEVEDO CONFECCAO LTDA MATRIZ </v>
      </c>
      <c r="G283" s="1" t="str">
        <f>IFERROR(_xlfn.TEXTAFTER(B283," - ",-1),"")</f>
        <v>Etiqueta de Composição</v>
      </c>
      <c r="H283" s="13" t="s">
        <v>7187</v>
      </c>
      <c r="I283" s="21">
        <f>DATE(LEFT(H283,4),MID(H283,6,2),MID(H283,9,2))+TIME(MID(H283,12,2),MID(H283,15,2),MID(H283,18,2))</f>
        <v>46205.866261574076</v>
      </c>
      <c r="J283" s="25" t="s">
        <v>7188</v>
      </c>
      <c r="K283" s="1" t="s">
        <v>6795</v>
      </c>
    </row>
    <row r="284" spans="1:11" ht="246.75" hidden="1">
      <c r="A284" s="1" t="e" cm="1">
        <f t="array" aca="1" ref="A284" ca="1">-hBD8LnLfkqEMcmz5eNnP2QAM7jM</f>
        <v>#NAME?</v>
      </c>
      <c r="B284" s="1" t="s">
        <v>7186</v>
      </c>
      <c r="C284" s="1" t="str">
        <f t="shared" ref="C284:C285" si="540">IFERROR(IF(ISNUMBER(VALUE(_xlfn.TEXTBEFORE(B284,"-"))),"",_xlfn.TEXTBEFORE(B284,"-")),"")</f>
        <v/>
      </c>
      <c r="D284" s="19" t="str">
        <f t="shared" ref="D284:D285" si="541">IFERROR(IF(ISNUMBER(VALUE(_xlfn.TEXTBEFORE(B284,"-"))),_xlfn.TEXTBEFORE(B284,"-"),_xlfn.TEXTBEFORE(_xlfn.TEXTAFTER(B284,"-"),"-")),"")</f>
        <v>762</v>
      </c>
      <c r="E284" s="1" t="str">
        <f t="shared" ref="E284:E285" si="542">IFERROR(IF(ISNUMBER(VALUE(_xlfn.TEXTBEFORE(B284,"-"))),_xlfn.TEXTBEFORE(_xlfn.TEXTAFTER(B284,"-"),"-"),_xlfn.TEXTBEFORE(_xlfn.TEXTAFTER(B284,"-",2),"-")),"")</f>
        <v>300270294</v>
      </c>
      <c r="F284" s="1" t="str">
        <f t="shared" ref="F284:F285" si="543">IFERROR(IF(ISNUMBER(VALUE(_xlfn.TEXTBEFORE(B284,"-"))),_xlfn.TEXTBEFORE(_xlfn.TEXTAFTER(B284,"-",2)," - "),_xlfn.TEXTBEFORE(_xlfn.TEXTAFTER(B284,"-",3)," - ")),"")</f>
        <v xml:space="preserve">F &amp; L AZEVEDO CONFECCAO LTDA MATRIZ </v>
      </c>
      <c r="G284" s="1" t="str">
        <f t="shared" ref="G284:G285" si="544">IFERROR(_xlfn.TEXTAFTER(B284," - ",-1),"")</f>
        <v>Etiqueta de Composição</v>
      </c>
      <c r="H284" s="13" t="s">
        <v>7187</v>
      </c>
      <c r="I284" s="21">
        <f t="shared" ref="I284:I285" si="545">DATE(LEFT(H284,4),MID(H284,6,2),MID(H284,9,2))+TIME(MID(H284,12,2),MID(H284,15,2),MID(H284,18,2))</f>
        <v>46205.866261574076</v>
      </c>
      <c r="J284" s="25" t="s">
        <v>7188</v>
      </c>
      <c r="K284" s="1" t="s">
        <v>6795</v>
      </c>
    </row>
    <row r="285" spans="1:11" ht="213.75" hidden="1">
      <c r="A285" s="1" t="e" cm="1">
        <f t="array" aca="1" ref="A285" ca="1">-q2c_Z-UFkmhLdfGVYIY-GQAMJan</f>
        <v>#NAME?</v>
      </c>
      <c r="B285" s="1" t="s">
        <v>7826</v>
      </c>
      <c r="C285" s="1" t="str">
        <f t="shared" si="540"/>
        <v>TEAR</v>
      </c>
      <c r="D285" s="19" t="str">
        <f t="shared" si="541"/>
        <v xml:space="preserve"> 1026</v>
      </c>
      <c r="E285" s="1" t="str">
        <f t="shared" si="542"/>
        <v>300280237</v>
      </c>
      <c r="F285" s="1" t="str">
        <f t="shared" si="543"/>
        <v xml:space="preserve">JOSENI MARIA DE MEDEIROS </v>
      </c>
      <c r="G285" s="1" t="str">
        <f t="shared" si="544"/>
        <v>Etiqueta de Composição</v>
      </c>
      <c r="H285" s="13" t="s">
        <v>7827</v>
      </c>
      <c r="I285" s="21">
        <f t="shared" si="545"/>
        <v>46213.584409722222</v>
      </c>
      <c r="J285" s="25" t="s">
        <v>7828</v>
      </c>
      <c r="K285" s="1" t="s">
        <v>6795</v>
      </c>
    </row>
    <row r="286" spans="1:11" ht="279.75" hidden="1">
      <c r="A286" s="1" t="e" cm="1">
        <f t="array" aca="1" ref="A286" ca="1">---dgbpSpEynBk9rN5YfrGQAAk0Z</f>
        <v>#NAME?</v>
      </c>
      <c r="B286" s="1" t="s">
        <v>7735</v>
      </c>
      <c r="C286" s="1" t="str">
        <f>IFERROR(IF(ISNUMBER(VALUE(_xlfn.TEXTBEFORE(B286,"-"))),"",_xlfn.TEXTBEFORE(B286,"-")),"")</f>
        <v/>
      </c>
      <c r="D286" s="19" t="str">
        <f>IFERROR(IF(ISNUMBER(VALUE(_xlfn.TEXTBEFORE(B286,"-"))),_xlfn.TEXTBEFORE(B286,"-"),_xlfn.TEXTBEFORE(_xlfn.TEXTAFTER(B286,"-"),"-")),"")</f>
        <v>519</v>
      </c>
      <c r="E286" s="1" t="str">
        <f>IFERROR(IF(ISNUMBER(VALUE(_xlfn.TEXTBEFORE(B286,"-"))),_xlfn.TEXTBEFORE(_xlfn.TEXTAFTER(B286,"-"),"-"),_xlfn.TEXTBEFORE(_xlfn.TEXTAFTER(B286,"-",2),"-")),"")</f>
        <v>300271507</v>
      </c>
      <c r="F286" s="1" t="str">
        <f>IFERROR(IF(ISNUMBER(VALUE(_xlfn.TEXTBEFORE(B286,"-"))),_xlfn.TEXTBEFORE(_xlfn.TEXTAFTER(B286,"-",2)," - "),_xlfn.TEXTBEFORE(_xlfn.TEXTAFTER(B286,"-",3)," - ")),"")</f>
        <v xml:space="preserve">CONFECCAO G. B. DA SILVA JUNIOR &amp; CIA LTDA </v>
      </c>
      <c r="G286" s="1" t="str">
        <f>IFERROR(_xlfn.TEXTAFTER(B286," - ",-1),"")</f>
        <v>Bolso traseiro</v>
      </c>
      <c r="H286" s="13" t="s">
        <v>7736</v>
      </c>
      <c r="I286" s="21">
        <f>DATE(LEFT(H286,4),MID(H286,6,2),MID(H286,9,2))+TIME(MID(H286,12,2),MID(H286,15,2),MID(H286,18,2))</f>
        <v>46197.711053240739</v>
      </c>
      <c r="J286" s="25" t="s">
        <v>7737</v>
      </c>
      <c r="K286" s="1" t="s">
        <v>6795</v>
      </c>
    </row>
    <row r="287" spans="1:11" ht="213.75" hidden="1">
      <c r="A287" s="1" t="e" cm="1">
        <f t="array" aca="1" ref="A287" ca="1">-k6jKxjV90KrYV__-_UL7mQAPjAC</f>
        <v>#NAME?</v>
      </c>
      <c r="B287" s="1" t="s">
        <v>7119</v>
      </c>
      <c r="C287" s="1" t="str">
        <f>IFERROR(IF(ISNUMBER(VALUE(_xlfn.TEXTBEFORE(B287,"-"))),"",_xlfn.TEXTBEFORE(B287,"-")),"")</f>
        <v>TEAR</v>
      </c>
      <c r="D287" s="19" t="str">
        <f>IFERROR(IF(ISNUMBER(VALUE(_xlfn.TEXTBEFORE(B287,"-"))),_xlfn.TEXTBEFORE(B287,"-"),_xlfn.TEXTBEFORE(_xlfn.TEXTAFTER(B287,"-"),"-")),"")</f>
        <v xml:space="preserve"> 1296</v>
      </c>
      <c r="E287" s="1" t="str">
        <f>IFERROR(IF(ISNUMBER(VALUE(_xlfn.TEXTBEFORE(B287,"-"))),_xlfn.TEXTBEFORE(_xlfn.TEXTAFTER(B287,"-"),"-"),_xlfn.TEXTBEFORE(_xlfn.TEXTAFTER(B287,"-",2),"-")),"")</f>
        <v>300282856</v>
      </c>
      <c r="F287" s="1" t="str">
        <f>IFERROR(IF(ISNUMBER(VALUE(_xlfn.TEXTBEFORE(B287,"-"))),_xlfn.TEXTBEFORE(_xlfn.TEXTAFTER(B287,"-",2)," - "),_xlfn.TEXTBEFORE(_xlfn.TEXTAFTER(B287,"-",3)," - ")),"")</f>
        <v xml:space="preserve">CONFECCOES GENESIS LTDA </v>
      </c>
      <c r="G287" s="1" t="str">
        <f>IFERROR(_xlfn.TEXTAFTER(B287," - ",-1),"")</f>
        <v>Etiqueta de Composição</v>
      </c>
      <c r="H287" s="13" t="s">
        <v>7120</v>
      </c>
      <c r="I287" s="21">
        <f>DATE(LEFT(H287,4),MID(H287,6,2),MID(H287,9,2))+TIME(MID(H287,12,2),MID(H287,15,2),MID(H287,18,2))</f>
        <v>46223.59747685185</v>
      </c>
      <c r="J287" s="25" t="s">
        <v>7121</v>
      </c>
      <c r="K287" s="1" t="s">
        <v>6795</v>
      </c>
    </row>
    <row r="288" spans="1:11" ht="197.25" hidden="1">
      <c r="A288" s="1" t="e" cm="1">
        <f t="array" aca="1" ref="A288" ca="1">-_x3DTmhSUqzOT-t28cb52QAPAPo</f>
        <v>#NAME?</v>
      </c>
      <c r="B288" s="1" t="s">
        <v>7221</v>
      </c>
      <c r="C288" s="1" t="str">
        <f>IFERROR(IF(ISNUMBER(VALUE(_xlfn.TEXTBEFORE(B288,"-"))),"",_xlfn.TEXTBEFORE(B288,"-")),"")</f>
        <v>MALHA</v>
      </c>
      <c r="D288" s="19" t="str">
        <f>IFERROR(IF(ISNUMBER(VALUE(_xlfn.TEXTBEFORE(B288,"-"))),_xlfn.TEXTBEFORE(B288,"-"),_xlfn.TEXTBEFORE(_xlfn.TEXTAFTER(B288,"-"),"-")),"")</f>
        <v xml:space="preserve"> 1251</v>
      </c>
      <c r="E288" s="1" t="str">
        <f>IFERROR(IF(ISNUMBER(VALUE(_xlfn.TEXTBEFORE(B288,"-"))),_xlfn.TEXTBEFORE(_xlfn.TEXTAFTER(B288,"-"),"-"),_xlfn.TEXTBEFORE(_xlfn.TEXTAFTER(B288,"-",2),"-")),"")</f>
        <v>300281662</v>
      </c>
      <c r="F288" s="1" t="str">
        <f>IFERROR(IF(ISNUMBER(VALUE(_xlfn.TEXTBEFORE(B288,"-"))),_xlfn.TEXTBEFORE(_xlfn.TEXTAFTER(B288,"-",2)," - "),_xlfn.TEXTBEFORE(_xlfn.TEXTAFTER(B288,"-",3)," - ")),"")</f>
        <v xml:space="preserve">F &amp; L AZEVEDO CONFECCAO LTDA FILIAL </v>
      </c>
      <c r="G288" s="1" t="str">
        <f>IFERROR(_xlfn.TEXTAFTER(B288," - ",-1),"")</f>
        <v>Etiqueta de Composição</v>
      </c>
      <c r="H288" s="13" t="s">
        <v>7222</v>
      </c>
      <c r="I288" s="21">
        <f>DATE(LEFT(H288,4),MID(H288,6,2),MID(H288,9,2))+TIME(MID(H288,12,2),MID(H288,15,2),MID(H288,18,2))</f>
        <v>46220.563506944447</v>
      </c>
      <c r="J288" s="25" t="s">
        <v>7223</v>
      </c>
      <c r="K288" s="1" t="s">
        <v>6795</v>
      </c>
    </row>
    <row r="289" spans="1:11" ht="213.75" hidden="1">
      <c r="A289" s="1" t="e" cm="1">
        <f t="array" aca="1" ref="A289" ca="1">-q2c_Z-UFkmhLdfGVYIY-GQAMJan</f>
        <v>#NAME?</v>
      </c>
      <c r="B289" s="1" t="s">
        <v>7826</v>
      </c>
      <c r="C289" s="1" t="str">
        <f>IFERROR(IF(ISNUMBER(VALUE(_xlfn.TEXTBEFORE(B289,"-"))),"",_xlfn.TEXTBEFORE(B289,"-")),"")</f>
        <v>TEAR</v>
      </c>
      <c r="D289" s="19" t="str">
        <f>IFERROR(IF(ISNUMBER(VALUE(_xlfn.TEXTBEFORE(B289,"-"))),_xlfn.TEXTBEFORE(B289,"-"),_xlfn.TEXTBEFORE(_xlfn.TEXTAFTER(B289,"-"),"-")),"")</f>
        <v xml:space="preserve"> 1026</v>
      </c>
      <c r="E289" s="1" t="str">
        <f>IFERROR(IF(ISNUMBER(VALUE(_xlfn.TEXTBEFORE(B289,"-"))),_xlfn.TEXTBEFORE(_xlfn.TEXTAFTER(B289,"-"),"-"),_xlfn.TEXTBEFORE(_xlfn.TEXTAFTER(B289,"-",2),"-")),"")</f>
        <v>300280237</v>
      </c>
      <c r="F289" s="1" t="str">
        <f>IFERROR(IF(ISNUMBER(VALUE(_xlfn.TEXTBEFORE(B289,"-"))),_xlfn.TEXTBEFORE(_xlfn.TEXTAFTER(B289,"-",2)," - "),_xlfn.TEXTBEFORE(_xlfn.TEXTAFTER(B289,"-",3)," - ")),"")</f>
        <v xml:space="preserve">JOSENI MARIA DE MEDEIROS </v>
      </c>
      <c r="G289" s="1" t="str">
        <f>IFERROR(_xlfn.TEXTAFTER(B289," - ",-1),"")</f>
        <v>Etiqueta de Composição</v>
      </c>
      <c r="H289" s="13" t="s">
        <v>7827</v>
      </c>
      <c r="I289" s="21">
        <f>DATE(LEFT(H289,4),MID(H289,6,2),MID(H289,9,2))+TIME(MID(H289,12,2),MID(H289,15,2),MID(H289,18,2))</f>
        <v>46213.584409722222</v>
      </c>
      <c r="J289" s="25" t="s">
        <v>7828</v>
      </c>
      <c r="K289" s="1" t="s">
        <v>6795</v>
      </c>
    </row>
    <row r="290" spans="1:11" ht="246.75" hidden="1">
      <c r="A290" s="1" t="e" cm="1">
        <f t="array" aca="1" ref="A290" ca="1">-hBD8LnLfkqEMcmz5eNnP2QAM7jM</f>
        <v>#NAME?</v>
      </c>
      <c r="B290" s="1" t="s">
        <v>7186</v>
      </c>
      <c r="C290" s="1" t="str">
        <f>IFERROR(IF(ISNUMBER(VALUE(_xlfn.TEXTBEFORE(B290,"-"))),"",_xlfn.TEXTBEFORE(B290,"-")),"")</f>
        <v/>
      </c>
      <c r="D290" s="19" t="str">
        <f>IFERROR(IF(ISNUMBER(VALUE(_xlfn.TEXTBEFORE(B290,"-"))),_xlfn.TEXTBEFORE(B290,"-"),_xlfn.TEXTBEFORE(_xlfn.TEXTAFTER(B290,"-"),"-")),"")</f>
        <v>762</v>
      </c>
      <c r="E290" s="1" t="str">
        <f>IFERROR(IF(ISNUMBER(VALUE(_xlfn.TEXTBEFORE(B290,"-"))),_xlfn.TEXTBEFORE(_xlfn.TEXTAFTER(B290,"-"),"-"),_xlfn.TEXTBEFORE(_xlfn.TEXTAFTER(B290,"-",2),"-")),"")</f>
        <v>300270294</v>
      </c>
      <c r="F290" s="1" t="str">
        <f>IFERROR(IF(ISNUMBER(VALUE(_xlfn.TEXTBEFORE(B290,"-"))),_xlfn.TEXTBEFORE(_xlfn.TEXTAFTER(B290,"-",2)," - "),_xlfn.TEXTBEFORE(_xlfn.TEXTAFTER(B290,"-",3)," - ")),"")</f>
        <v xml:space="preserve">F &amp; L AZEVEDO CONFECCAO LTDA MATRIZ </v>
      </c>
      <c r="G290" s="1" t="str">
        <f>IFERROR(_xlfn.TEXTAFTER(B290," - ",-1),"")</f>
        <v>Etiqueta de Composição</v>
      </c>
      <c r="H290" s="13" t="s">
        <v>7187</v>
      </c>
      <c r="I290" s="21">
        <f>DATE(LEFT(H290,4),MID(H290,6,2),MID(H290,9,2))+TIME(MID(H290,12,2),MID(H290,15,2),MID(H290,18,2))</f>
        <v>46205.866261574076</v>
      </c>
      <c r="J290" s="25" t="s">
        <v>7188</v>
      </c>
      <c r="K290" s="1" t="s">
        <v>6795</v>
      </c>
    </row>
    <row r="291" spans="1:11" ht="246.75" hidden="1">
      <c r="A291" s="1" t="e" cm="1">
        <f t="array" aca="1" ref="A291" ca="1">-hBD8LnLfkqEMcmz5eNnP2QAM7jM</f>
        <v>#NAME?</v>
      </c>
      <c r="B291" s="1" t="s">
        <v>7186</v>
      </c>
      <c r="C291" s="1" t="str">
        <f>IFERROR(IF(ISNUMBER(VALUE(_xlfn.TEXTBEFORE(B291,"-"))),"",_xlfn.TEXTBEFORE(B291,"-")),"")</f>
        <v/>
      </c>
      <c r="D291" s="19" t="str">
        <f>IFERROR(IF(ISNUMBER(VALUE(_xlfn.TEXTBEFORE(B291,"-"))),_xlfn.TEXTBEFORE(B291,"-"),_xlfn.TEXTBEFORE(_xlfn.TEXTAFTER(B291,"-"),"-")),"")</f>
        <v>762</v>
      </c>
      <c r="E291" s="1" t="str">
        <f>IFERROR(IF(ISNUMBER(VALUE(_xlfn.TEXTBEFORE(B291,"-"))),_xlfn.TEXTBEFORE(_xlfn.TEXTAFTER(B291,"-"),"-"),_xlfn.TEXTBEFORE(_xlfn.TEXTAFTER(B291,"-",2),"-")),"")</f>
        <v>300270294</v>
      </c>
      <c r="F291" s="1" t="str">
        <f>IFERROR(IF(ISNUMBER(VALUE(_xlfn.TEXTBEFORE(B291,"-"))),_xlfn.TEXTBEFORE(_xlfn.TEXTAFTER(B291,"-",2)," - "),_xlfn.TEXTBEFORE(_xlfn.TEXTAFTER(B291,"-",3)," - ")),"")</f>
        <v xml:space="preserve">F &amp; L AZEVEDO CONFECCAO LTDA MATRIZ </v>
      </c>
      <c r="G291" s="1" t="str">
        <f>IFERROR(_xlfn.TEXTAFTER(B291," - ",-1),"")</f>
        <v>Etiqueta de Composição</v>
      </c>
      <c r="H291" s="13" t="s">
        <v>7187</v>
      </c>
      <c r="I291" s="21">
        <f>DATE(LEFT(H291,4),MID(H291,6,2),MID(H291,9,2))+TIME(MID(H291,12,2),MID(H291,15,2),MID(H291,18,2))</f>
        <v>46205.866261574076</v>
      </c>
      <c r="J291" s="25" t="s">
        <v>7188</v>
      </c>
      <c r="K291" s="1" t="s">
        <v>6795</v>
      </c>
    </row>
    <row r="292" spans="1:11" ht="213.75" hidden="1">
      <c r="A292" s="1" t="e" cm="1">
        <f t="array" aca="1" ref="A292" ca="1">-q2c_Z-UFkmhLdfGVYIY-GQAMJan</f>
        <v>#NAME?</v>
      </c>
      <c r="B292" s="1" t="s">
        <v>7826</v>
      </c>
      <c r="C292" s="1" t="str">
        <f>IFERROR(IF(ISNUMBER(VALUE(_xlfn.TEXTBEFORE(B292,"-"))),"",_xlfn.TEXTBEFORE(B292,"-")),"")</f>
        <v>TEAR</v>
      </c>
      <c r="D292" s="19" t="str">
        <f>IFERROR(IF(ISNUMBER(VALUE(_xlfn.TEXTBEFORE(B292,"-"))),_xlfn.TEXTBEFORE(B292,"-"),_xlfn.TEXTBEFORE(_xlfn.TEXTAFTER(B292,"-"),"-")),"")</f>
        <v xml:space="preserve"> 1026</v>
      </c>
      <c r="E292" s="1" t="str">
        <f>IFERROR(IF(ISNUMBER(VALUE(_xlfn.TEXTBEFORE(B292,"-"))),_xlfn.TEXTBEFORE(_xlfn.TEXTAFTER(B292,"-"),"-"),_xlfn.TEXTBEFORE(_xlfn.TEXTAFTER(B292,"-",2),"-")),"")</f>
        <v>300280237</v>
      </c>
      <c r="F292" s="1" t="str">
        <f>IFERROR(IF(ISNUMBER(VALUE(_xlfn.TEXTBEFORE(B292,"-"))),_xlfn.TEXTBEFORE(_xlfn.TEXTAFTER(B292,"-",2)," - "),_xlfn.TEXTBEFORE(_xlfn.TEXTAFTER(B292,"-",3)," - ")),"")</f>
        <v xml:space="preserve">JOSENI MARIA DE MEDEIROS </v>
      </c>
      <c r="G292" s="1" t="str">
        <f>IFERROR(_xlfn.TEXTAFTER(B292," - ",-1),"")</f>
        <v>Etiqueta de Composição</v>
      </c>
      <c r="H292" s="13" t="s">
        <v>7827</v>
      </c>
      <c r="I292" s="21">
        <f>DATE(LEFT(H292,4),MID(H292,6,2),MID(H292,9,2))+TIME(MID(H292,12,2),MID(H292,15,2),MID(H292,18,2))</f>
        <v>46213.584409722222</v>
      </c>
      <c r="J292" s="25" t="s">
        <v>7828</v>
      </c>
      <c r="K292" s="1" t="s">
        <v>6795</v>
      </c>
    </row>
    <row r="293" spans="1:11" ht="246.75" hidden="1">
      <c r="A293" s="1" t="e" cm="1">
        <f t="array" aca="1" ref="A293" ca="1">-hBD8LnLfkqEMcmz5eNnP2QAM7jM</f>
        <v>#NAME?</v>
      </c>
      <c r="B293" s="1" t="s">
        <v>7186</v>
      </c>
      <c r="C293" s="1" t="str">
        <f>IFERROR(IF(ISNUMBER(VALUE(_xlfn.TEXTBEFORE(B293,"-"))),"",_xlfn.TEXTBEFORE(B293,"-")),"")</f>
        <v/>
      </c>
      <c r="D293" s="19" t="str">
        <f>IFERROR(IF(ISNUMBER(VALUE(_xlfn.TEXTBEFORE(B293,"-"))),_xlfn.TEXTBEFORE(B293,"-"),_xlfn.TEXTBEFORE(_xlfn.TEXTAFTER(B293,"-"),"-")),"")</f>
        <v>762</v>
      </c>
      <c r="E293" s="1" t="str">
        <f>IFERROR(IF(ISNUMBER(VALUE(_xlfn.TEXTBEFORE(B293,"-"))),_xlfn.TEXTBEFORE(_xlfn.TEXTAFTER(B293,"-"),"-"),_xlfn.TEXTBEFORE(_xlfn.TEXTAFTER(B293,"-",2),"-")),"")</f>
        <v>300270294</v>
      </c>
      <c r="F293" s="1" t="str">
        <f>IFERROR(IF(ISNUMBER(VALUE(_xlfn.TEXTBEFORE(B293,"-"))),_xlfn.TEXTBEFORE(_xlfn.TEXTAFTER(B293,"-",2)," - "),_xlfn.TEXTBEFORE(_xlfn.TEXTAFTER(B293,"-",3)," - ")),"")</f>
        <v xml:space="preserve">F &amp; L AZEVEDO CONFECCAO LTDA MATRIZ </v>
      </c>
      <c r="G293" s="1" t="str">
        <f>IFERROR(_xlfn.TEXTAFTER(B293," - ",-1),"")</f>
        <v>Etiqueta de Composição</v>
      </c>
      <c r="H293" s="13" t="s">
        <v>7187</v>
      </c>
      <c r="I293" s="21">
        <f>DATE(LEFT(H293,4),MID(H293,6,2),MID(H293,9,2))+TIME(MID(H293,12,2),MID(H293,15,2),MID(H293,18,2))</f>
        <v>46205.866261574076</v>
      </c>
      <c r="J293" s="25" t="s">
        <v>7188</v>
      </c>
      <c r="K293" s="1" t="s">
        <v>6795</v>
      </c>
    </row>
    <row r="294" spans="1:11" ht="279.75" hidden="1">
      <c r="A294" s="1" t="e" cm="1">
        <f t="array" aca="1" ref="A294" ca="1">---dgbpSpEynBk9rN5YfrGQAAk0Z</f>
        <v>#NAME?</v>
      </c>
      <c r="B294" s="1" t="s">
        <v>7735</v>
      </c>
      <c r="C294" s="1" t="str">
        <f>IFERROR(IF(ISNUMBER(VALUE(_xlfn.TEXTBEFORE(B294,"-"))),"",_xlfn.TEXTBEFORE(B294,"-")),"")</f>
        <v/>
      </c>
      <c r="D294" s="19" t="str">
        <f>IFERROR(IF(ISNUMBER(VALUE(_xlfn.TEXTBEFORE(B294,"-"))),_xlfn.TEXTBEFORE(B294,"-"),_xlfn.TEXTBEFORE(_xlfn.TEXTAFTER(B294,"-"),"-")),"")</f>
        <v>519</v>
      </c>
      <c r="E294" s="1" t="str">
        <f>IFERROR(IF(ISNUMBER(VALUE(_xlfn.TEXTBEFORE(B294,"-"))),_xlfn.TEXTBEFORE(_xlfn.TEXTAFTER(B294,"-"),"-"),_xlfn.TEXTBEFORE(_xlfn.TEXTAFTER(B294,"-",2),"-")),"")</f>
        <v>300271507</v>
      </c>
      <c r="F294" s="1" t="str">
        <f>IFERROR(IF(ISNUMBER(VALUE(_xlfn.TEXTBEFORE(B294,"-"))),_xlfn.TEXTBEFORE(_xlfn.TEXTAFTER(B294,"-",2)," - "),_xlfn.TEXTBEFORE(_xlfn.TEXTAFTER(B294,"-",3)," - ")),"")</f>
        <v xml:space="preserve">CONFECCAO G. B. DA SILVA JUNIOR &amp; CIA LTDA </v>
      </c>
      <c r="G294" s="1" t="str">
        <f>IFERROR(_xlfn.TEXTAFTER(B294," - ",-1),"")</f>
        <v>Bolso traseiro</v>
      </c>
      <c r="H294" s="13" t="s">
        <v>7736</v>
      </c>
      <c r="I294" s="21">
        <f>DATE(LEFT(H294,4),MID(H294,6,2),MID(H294,9,2))+TIME(MID(H294,12,2),MID(H294,15,2),MID(H294,18,2))</f>
        <v>46197.711053240739</v>
      </c>
      <c r="J294" s="25" t="s">
        <v>7737</v>
      </c>
      <c r="K294" s="1" t="s">
        <v>6795</v>
      </c>
    </row>
    <row r="295" spans="1:11" ht="246.75" hidden="1">
      <c r="A295" s="1" t="e" cm="1">
        <f t="array" aca="1" ref="A295" ca="1">-hBD8LnLfkqEMcmz5eNnP2QAM7jM</f>
        <v>#NAME?</v>
      </c>
      <c r="B295" s="1" t="s">
        <v>7186</v>
      </c>
      <c r="C295" s="1" t="str">
        <f>IFERROR(IF(ISNUMBER(VALUE(_xlfn.TEXTBEFORE(B295,"-"))),"",_xlfn.TEXTBEFORE(B295,"-")),"")</f>
        <v/>
      </c>
      <c r="D295" s="19" t="str">
        <f>IFERROR(IF(ISNUMBER(VALUE(_xlfn.TEXTBEFORE(B295,"-"))),_xlfn.TEXTBEFORE(B295,"-"),_xlfn.TEXTBEFORE(_xlfn.TEXTAFTER(B295,"-"),"-")),"")</f>
        <v>762</v>
      </c>
      <c r="E295" s="1" t="str">
        <f>IFERROR(IF(ISNUMBER(VALUE(_xlfn.TEXTBEFORE(B295,"-"))),_xlfn.TEXTBEFORE(_xlfn.TEXTAFTER(B295,"-"),"-"),_xlfn.TEXTBEFORE(_xlfn.TEXTAFTER(B295,"-",2),"-")),"")</f>
        <v>300270294</v>
      </c>
      <c r="F295" s="1" t="str">
        <f>IFERROR(IF(ISNUMBER(VALUE(_xlfn.TEXTBEFORE(B295,"-"))),_xlfn.TEXTBEFORE(_xlfn.TEXTAFTER(B295,"-",2)," - "),_xlfn.TEXTBEFORE(_xlfn.TEXTAFTER(B295,"-",3)," - ")),"")</f>
        <v xml:space="preserve">F &amp; L AZEVEDO CONFECCAO LTDA MATRIZ </v>
      </c>
      <c r="G295" s="1" t="str">
        <f>IFERROR(_xlfn.TEXTAFTER(B295," - ",-1),"")</f>
        <v>Etiqueta de Composição</v>
      </c>
      <c r="H295" s="13" t="s">
        <v>7187</v>
      </c>
      <c r="I295" s="21">
        <f>DATE(LEFT(H295,4),MID(H295,6,2),MID(H295,9,2))+TIME(MID(H295,12,2),MID(H295,15,2),MID(H295,18,2))</f>
        <v>46205.866261574076</v>
      </c>
      <c r="J295" s="25" t="s">
        <v>7188</v>
      </c>
      <c r="K295" s="1" t="s">
        <v>6795</v>
      </c>
    </row>
    <row r="296" spans="1:11" ht="230.25" hidden="1">
      <c r="A296" s="1" t="s">
        <v>7880</v>
      </c>
      <c r="B296" s="1" t="s">
        <v>7881</v>
      </c>
      <c r="C296" s="1" t="str">
        <f>IFERROR(IF(ISNUMBER(VALUE(_xlfn.TEXTBEFORE(B296,"-"))),"",_xlfn.TEXTBEFORE(B296,"-")),"")</f>
        <v>MALHA</v>
      </c>
      <c r="D296" s="19" t="str">
        <f>IFERROR(IF(ISNUMBER(VALUE(_xlfn.TEXTBEFORE(B296,"-"))),_xlfn.TEXTBEFORE(B296,"-"),_xlfn.TEXTBEFORE(_xlfn.TEXTAFTER(B296,"-"),"-")),"")</f>
        <v xml:space="preserve"> 1728</v>
      </c>
      <c r="E296" s="1" t="str">
        <f>IFERROR(IF(ISNUMBER(VALUE(_xlfn.TEXTBEFORE(B296,"-"))),_xlfn.TEXTBEFORE(_xlfn.TEXTAFTER(B296,"-"),"-"),_xlfn.TEXTBEFORE(_xlfn.TEXTAFTER(B296,"-",2),"-")),"")</f>
        <v>300285834</v>
      </c>
      <c r="F296" s="1" t="str">
        <f>IFERROR(IF(ISNUMBER(VALUE(_xlfn.TEXTBEFORE(B296,"-"))),_xlfn.TEXTBEFORE(_xlfn.TEXTAFTER(B296,"-",2)," - "),_xlfn.TEXTBEFORE(_xlfn.TEXTAFTER(B296,"-",3)," - ")),"")</f>
        <v xml:space="preserve">SOLIS CONFECCOES LTDA </v>
      </c>
      <c r="G296" s="1" t="str">
        <f>IFERROR(_xlfn.TEXTAFTER(B296," - ",-1),"")</f>
        <v>Viés </v>
      </c>
      <c r="H296" s="13" t="s">
        <v>7882</v>
      </c>
      <c r="I296" s="21">
        <f>DATE(LEFT(H296,4),MID(H296,6,2),MID(H296,9,2))+TIME(MID(H296,12,2),MID(H296,15,2),MID(H296,18,2))</f>
        <v>46234.831921296296</v>
      </c>
      <c r="J296" s="25" t="s">
        <v>7883</v>
      </c>
      <c r="K296" s="1" t="s">
        <v>6795</v>
      </c>
    </row>
    <row r="297" spans="1:11" ht="230.25" hidden="1">
      <c r="A297" s="1" t="s">
        <v>7884</v>
      </c>
      <c r="B297" s="1" t="s">
        <v>7885</v>
      </c>
      <c r="C297" s="1" t="str">
        <f>IFERROR(IF(ISNUMBER(VALUE(_xlfn.TEXTBEFORE(B297,"-"))),"",_xlfn.TEXTBEFORE(B297,"-")),"")</f>
        <v>MALHA</v>
      </c>
      <c r="D297" s="19" t="str">
        <f>IFERROR(IF(ISNUMBER(VALUE(_xlfn.TEXTBEFORE(B297,"-"))),_xlfn.TEXTBEFORE(B297,"-"),_xlfn.TEXTBEFORE(_xlfn.TEXTAFTER(B297,"-"),"-")),"")</f>
        <v xml:space="preserve"> 1720</v>
      </c>
      <c r="E297" s="1" t="str">
        <f>IFERROR(IF(ISNUMBER(VALUE(_xlfn.TEXTBEFORE(B297,"-"))),_xlfn.TEXTBEFORE(_xlfn.TEXTAFTER(B297,"-"),"-"),_xlfn.TEXTBEFORE(_xlfn.TEXTAFTER(B297,"-",2),"-")),"")</f>
        <v>300284927</v>
      </c>
      <c r="F297" s="1" t="str">
        <f>IFERROR(IF(ISNUMBER(VALUE(_xlfn.TEXTBEFORE(B297,"-"))),_xlfn.TEXTBEFORE(_xlfn.TEXTAFTER(B297,"-",2)," - "),_xlfn.TEXTBEFORE(_xlfn.TEXTAFTER(B297,"-",3)," - ")),"")</f>
        <v xml:space="preserve">DONA TICA CONFECCOES LTDA MATRIZ </v>
      </c>
      <c r="G297" s="1" t="str">
        <f>IFERROR(_xlfn.TEXTAFTER(B297," - ",-1),"")</f>
        <v>Etiqueta de Composição</v>
      </c>
      <c r="H297" s="13" t="s">
        <v>7886</v>
      </c>
      <c r="I297" s="21">
        <f>DATE(LEFT(H297,4),MID(H297,6,2),MID(H297,9,2))+TIME(MID(H297,12,2),MID(H297,15,2),MID(H297,18,2))</f>
        <v>46234.699224537035</v>
      </c>
      <c r="J297" s="25" t="s">
        <v>7887</v>
      </c>
      <c r="K297" s="1" t="s">
        <v>6795</v>
      </c>
    </row>
    <row r="298" spans="1:11" ht="213.75" hidden="1">
      <c r="A298" s="1" t="s">
        <v>7888</v>
      </c>
      <c r="B298" s="1" t="s">
        <v>7889</v>
      </c>
      <c r="C298" s="1" t="str">
        <f>IFERROR(IF(ISNUMBER(VALUE(_xlfn.TEXTBEFORE(B298,"-"))),"",_xlfn.TEXTBEFORE(B298,"-")),"")</f>
        <v>MALHA</v>
      </c>
      <c r="D298" s="19" t="str">
        <f>IFERROR(IF(ISNUMBER(VALUE(_xlfn.TEXTBEFORE(B298,"-"))),_xlfn.TEXTBEFORE(B298,"-"),_xlfn.TEXTBEFORE(_xlfn.TEXTAFTER(B298,"-"),"-")),"")</f>
        <v xml:space="preserve"> 1719</v>
      </c>
      <c r="E298" s="1" t="str">
        <f>IFERROR(IF(ISNUMBER(VALUE(_xlfn.TEXTBEFORE(B298,"-"))),_xlfn.TEXTBEFORE(_xlfn.TEXTAFTER(B298,"-"),"-"),_xlfn.TEXTBEFORE(_xlfn.TEXTAFTER(B298,"-",2),"-")),"")</f>
        <v>300280737</v>
      </c>
      <c r="F298" s="1" t="str">
        <f>IFERROR(IF(ISNUMBER(VALUE(_xlfn.TEXTBEFORE(B298,"-"))),_xlfn.TEXTBEFORE(_xlfn.TEXTAFTER(B298,"-",2)," - "),_xlfn.TEXTBEFORE(_xlfn.TEXTAFTER(B298,"-",3)," - ")),"")</f>
        <v xml:space="preserve">JOSE MEDEIROS DE ARAUJO </v>
      </c>
      <c r="G298" s="1" t="str">
        <f>IFERROR(_xlfn.TEXTAFTER(B298," - ",-1),"")</f>
        <v>Gola</v>
      </c>
      <c r="H298" s="13" t="s">
        <v>7890</v>
      </c>
      <c r="I298" s="21">
        <f>DATE(LEFT(H298,4),MID(H298,6,2),MID(H298,9,2))+TIME(MID(H298,12,2),MID(H298,15,2),MID(H298,18,2))</f>
        <v>46234.687083333331</v>
      </c>
      <c r="J298" s="25" t="s">
        <v>7891</v>
      </c>
      <c r="K298" s="1" t="s">
        <v>6795</v>
      </c>
    </row>
    <row r="299" spans="1:11" ht="197.25" hidden="1">
      <c r="A299" s="1" t="s">
        <v>7892</v>
      </c>
      <c r="B299" s="1" t="s">
        <v>7893</v>
      </c>
      <c r="C299" s="1" t="str">
        <f>IFERROR(IF(ISNUMBER(VALUE(_xlfn.TEXTBEFORE(B299,"-"))),"",_xlfn.TEXTBEFORE(B299,"-")),"")</f>
        <v>MALHA</v>
      </c>
      <c r="D299" s="19" t="str">
        <f>IFERROR(IF(ISNUMBER(VALUE(_xlfn.TEXTBEFORE(B299,"-"))),_xlfn.TEXTBEFORE(B299,"-"),_xlfn.TEXTBEFORE(_xlfn.TEXTAFTER(B299,"-"),"-")),"")</f>
        <v xml:space="preserve"> 1718</v>
      </c>
      <c r="E299" s="1" t="str">
        <f>IFERROR(IF(ISNUMBER(VALUE(_xlfn.TEXTBEFORE(B299,"-"))),_xlfn.TEXTBEFORE(_xlfn.TEXTAFTER(B299,"-"),"-"),_xlfn.TEXTBEFORE(_xlfn.TEXTAFTER(B299,"-",2),"-")),"")</f>
        <v>300284138</v>
      </c>
      <c r="F299" s="1" t="str">
        <f>IFERROR(IF(ISNUMBER(VALUE(_xlfn.TEXTBEFORE(B299,"-"))),_xlfn.TEXTBEFORE(_xlfn.TEXTAFTER(B299,"-",2)," - "),_xlfn.TEXTBEFORE(_xlfn.TEXTAFTER(B299,"-",3)," - ")),"")</f>
        <v xml:space="preserve">F &amp; L AZEVEDO CONFECCAO LTDA FILIAL </v>
      </c>
      <c r="G299" s="1" t="str">
        <f>IFERROR(_xlfn.TEXTAFTER(B299," - ",-1),"")</f>
        <v>Etiqueta de Composição</v>
      </c>
      <c r="H299" s="13" t="s">
        <v>7894</v>
      </c>
      <c r="I299" s="21">
        <f>DATE(LEFT(H299,4),MID(H299,6,2),MID(H299,9,2))+TIME(MID(H299,12,2),MID(H299,15,2),MID(H299,18,2))</f>
        <v>46234.678333333337</v>
      </c>
      <c r="J299" s="25" t="s">
        <v>7895</v>
      </c>
      <c r="K299" s="1" t="s">
        <v>6795</v>
      </c>
    </row>
    <row r="300" spans="1:11" ht="213.75" hidden="1">
      <c r="A300" s="1" t="s">
        <v>7896</v>
      </c>
      <c r="B300" s="1" t="s">
        <v>7897</v>
      </c>
      <c r="C300" s="1" t="str">
        <f>IFERROR(IF(ISNUMBER(VALUE(_xlfn.TEXTBEFORE(B300,"-"))),"",_xlfn.TEXTBEFORE(B300,"-")),"")</f>
        <v>POLO</v>
      </c>
      <c r="D300" s="19" t="str">
        <f>IFERROR(IF(ISNUMBER(VALUE(_xlfn.TEXTBEFORE(B300,"-"))),_xlfn.TEXTBEFORE(B300,"-"),_xlfn.TEXTBEFORE(_xlfn.TEXTAFTER(B300,"-"),"-")),"")</f>
        <v xml:space="preserve"> 1714</v>
      </c>
      <c r="E300" s="1" t="str">
        <f>IFERROR(IF(ISNUMBER(VALUE(_xlfn.TEXTBEFORE(B300,"-"))),_xlfn.TEXTBEFORE(_xlfn.TEXTAFTER(B300,"-"),"-"),_xlfn.TEXTBEFORE(_xlfn.TEXTAFTER(B300,"-",2),"-")),"")</f>
        <v>300281466</v>
      </c>
      <c r="F300" s="1" t="str">
        <f>IFERROR(IF(ISNUMBER(VALUE(_xlfn.TEXTBEFORE(B300,"-"))),_xlfn.TEXTBEFORE(_xlfn.TEXTAFTER(B300,"-",2)," - "),_xlfn.TEXTBEFORE(_xlfn.TEXTAFTER(B300,"-",3)," - ")),"")</f>
        <v xml:space="preserve">TECE COSTURAS E CONFECCOES LTDA </v>
      </c>
      <c r="G300" s="1" t="str">
        <f>IFERROR(_xlfn.TEXTAFTER(B300," - ",-1),"")</f>
        <v>Etiqueta de Composição</v>
      </c>
      <c r="H300" s="13" t="s">
        <v>7898</v>
      </c>
      <c r="I300" s="21">
        <f>DATE(LEFT(H300,4),MID(H300,6,2),MID(H300,9,2))+TIME(MID(H300,12,2),MID(H300,15,2),MID(H300,18,2))</f>
        <v>46234.610150462962</v>
      </c>
      <c r="J300" s="25" t="s">
        <v>7899</v>
      </c>
      <c r="K300" s="1" t="s">
        <v>6795</v>
      </c>
    </row>
    <row r="301" spans="1:11" ht="246.75" hidden="1">
      <c r="A301" s="1" t="s">
        <v>7900</v>
      </c>
      <c r="B301" s="1" t="s">
        <v>7901</v>
      </c>
      <c r="C301" s="1" t="str">
        <f>IFERROR(IF(ISNUMBER(VALUE(_xlfn.TEXTBEFORE(B301,"-"))),"",_xlfn.TEXTBEFORE(B301,"-")),"")</f>
        <v>JEANS</v>
      </c>
      <c r="D301" s="19" t="str">
        <f>IFERROR(IF(ISNUMBER(VALUE(_xlfn.TEXTBEFORE(B301,"-"))),_xlfn.TEXTBEFORE(B301,"-"),_xlfn.TEXTBEFORE(_xlfn.TEXTAFTER(B301,"-"),"-")),"")</f>
        <v xml:space="preserve"> 1707</v>
      </c>
      <c r="E301" s="1" t="str">
        <f>IFERROR(IF(ISNUMBER(VALUE(_xlfn.TEXTBEFORE(B301,"-"))),_xlfn.TEXTBEFORE(_xlfn.TEXTAFTER(B301,"-"),"-"),_xlfn.TEXTBEFORE(_xlfn.TEXTAFTER(B301,"-",2),"-")),"")</f>
        <v>300276224</v>
      </c>
      <c r="F301" s="1" t="str">
        <f>IFERROR(IF(ISNUMBER(VALUE(_xlfn.TEXTBEFORE(B301,"-"))),_xlfn.TEXTBEFORE(_xlfn.TEXTAFTER(B301,"-",2)," - "),_xlfn.TEXTBEFORE(_xlfn.TEXTAFTER(B301,"-",3)," - ")),"")</f>
        <v xml:space="preserve">A S CONFECCOES LTDA </v>
      </c>
      <c r="G301" s="1" t="str">
        <f>IFERROR(_xlfn.TEXTAFTER(B301," - ",-1),"")</f>
        <v>Etiqueta de Composição</v>
      </c>
      <c r="H301" s="13" t="s">
        <v>7902</v>
      </c>
      <c r="I301" s="21">
        <f>DATE(LEFT(H301,4),MID(H301,6,2),MID(H301,9,2))+TIME(MID(H301,12,2),MID(H301,15,2),MID(H301,18,2))</f>
        <v>46234.531504629631</v>
      </c>
      <c r="J301" s="25" t="s">
        <v>7903</v>
      </c>
      <c r="K301" s="1" t="s">
        <v>6795</v>
      </c>
    </row>
    <row r="302" spans="1:11" ht="230.25" hidden="1">
      <c r="A302" s="1" t="s">
        <v>7904</v>
      </c>
      <c r="B302" s="1" t="s">
        <v>7905</v>
      </c>
      <c r="C302" s="1" t="str">
        <f>IFERROR(IF(ISNUMBER(VALUE(_xlfn.TEXTBEFORE(B302,"-"))),"",_xlfn.TEXTBEFORE(B302,"-")),"")</f>
        <v>JEANS</v>
      </c>
      <c r="D302" s="19" t="str">
        <f>IFERROR(IF(ISNUMBER(VALUE(_xlfn.TEXTBEFORE(B302,"-"))),_xlfn.TEXTBEFORE(B302,"-"),_xlfn.TEXTBEFORE(_xlfn.TEXTAFTER(B302,"-"),"-")),"")</f>
        <v xml:space="preserve"> 1700</v>
      </c>
      <c r="E302" s="1" t="str">
        <f>IFERROR(IF(ISNUMBER(VALUE(_xlfn.TEXTBEFORE(B302,"-"))),_xlfn.TEXTBEFORE(_xlfn.TEXTAFTER(B302,"-"),"-"),_xlfn.TEXTBEFORE(_xlfn.TEXTAFTER(B302,"-",2),"-")),"")</f>
        <v>300280615</v>
      </c>
      <c r="F302" s="1" t="str">
        <f>IFERROR(IF(ISNUMBER(VALUE(_xlfn.TEXTBEFORE(B302,"-"))),_xlfn.TEXTBEFORE(_xlfn.TEXTAFTER(B302,"-",2)," - "),_xlfn.TEXTBEFORE(_xlfn.TEXTAFTER(B302,"-",3)," - ")),"")</f>
        <v xml:space="preserve">FACCAO ELLO LTDA </v>
      </c>
      <c r="G302" s="1" t="str">
        <f>IFERROR(_xlfn.TEXTAFTER(B302," - ",-1),"")</f>
        <v>Frente</v>
      </c>
      <c r="H302" s="13" t="s">
        <v>7906</v>
      </c>
      <c r="I302" s="21">
        <f>DATE(LEFT(H302,4),MID(H302,6,2),MID(H302,9,2))+TIME(MID(H302,12,2),MID(H302,15,2),MID(H302,18,2))</f>
        <v>46233.807337962964</v>
      </c>
      <c r="J302" s="25" t="s">
        <v>7907</v>
      </c>
      <c r="K302" s="1" t="s">
        <v>6795</v>
      </c>
    </row>
    <row r="303" spans="1:11" ht="246.75" hidden="1">
      <c r="A303" s="1" t="s">
        <v>7908</v>
      </c>
      <c r="B303" s="1" t="s">
        <v>7909</v>
      </c>
      <c r="C303" s="1" t="str">
        <f>IFERROR(IF(ISNUMBER(VALUE(_xlfn.TEXTBEFORE(B303,"-"))),"",_xlfn.TEXTBEFORE(B303,"-")),"")</f>
        <v>MALHA</v>
      </c>
      <c r="D303" s="19" t="str">
        <f>IFERROR(IF(ISNUMBER(VALUE(_xlfn.TEXTBEFORE(B303,"-"))),_xlfn.TEXTBEFORE(B303,"-"),_xlfn.TEXTBEFORE(_xlfn.TEXTAFTER(B303,"-"),"-")),"")</f>
        <v xml:space="preserve"> 1699</v>
      </c>
      <c r="E303" s="1" t="str">
        <f>IFERROR(IF(ISNUMBER(VALUE(_xlfn.TEXTBEFORE(B303,"-"))),_xlfn.TEXTBEFORE(_xlfn.TEXTAFTER(B303,"-"),"-"),_xlfn.TEXTBEFORE(_xlfn.TEXTAFTER(B303,"-",2),"-")),"")</f>
        <v>300282458</v>
      </c>
      <c r="F303" s="1" t="str">
        <f>IFERROR(IF(ISNUMBER(VALUE(_xlfn.TEXTBEFORE(B303,"-"))),_xlfn.TEXTBEFORE(_xlfn.TEXTAFTER(B303,"-",2)," - "),_xlfn.TEXTBEFORE(_xlfn.TEXTAFTER(B303,"-",3)," - ")),"")</f>
        <v xml:space="preserve">CONFECCOES GENESIS LTDA </v>
      </c>
      <c r="G303" s="1" t="str">
        <f>IFERROR(_xlfn.TEXTAFTER(B303," - ",-1),"")</f>
        <v>Etiqueta de Composição</v>
      </c>
      <c r="H303" s="13" t="s">
        <v>7910</v>
      </c>
      <c r="I303" s="21">
        <f>DATE(LEFT(H303,4),MID(H303,6,2),MID(H303,9,2))+TIME(MID(H303,12,2),MID(H303,15,2),MID(H303,18,2))</f>
        <v>46233.800520833334</v>
      </c>
      <c r="J303" s="25" t="s">
        <v>7911</v>
      </c>
      <c r="K303" s="1" t="s">
        <v>6795</v>
      </c>
    </row>
    <row r="304" spans="1:11" ht="279.75" hidden="1">
      <c r="A304" s="1" t="e" cm="1">
        <f t="array" aca="1" ref="A304" ca="1">---dgbpSpEynBk9rN5YfrGQAAk0Z</f>
        <v>#NAME?</v>
      </c>
      <c r="B304" s="1" t="s">
        <v>7735</v>
      </c>
      <c r="C304" s="1" t="str">
        <f>IFERROR(IF(ISNUMBER(VALUE(_xlfn.TEXTBEFORE(B304,"-"))),"",_xlfn.TEXTBEFORE(B304,"-")),"")</f>
        <v/>
      </c>
      <c r="D304" s="19" t="str">
        <f>IFERROR(IF(ISNUMBER(VALUE(_xlfn.TEXTBEFORE(B304,"-"))),_xlfn.TEXTBEFORE(B304,"-"),_xlfn.TEXTBEFORE(_xlfn.TEXTAFTER(B304,"-"),"-")),"")</f>
        <v>519</v>
      </c>
      <c r="E304" s="1" t="str">
        <f>IFERROR(IF(ISNUMBER(VALUE(_xlfn.TEXTBEFORE(B304,"-"))),_xlfn.TEXTBEFORE(_xlfn.TEXTAFTER(B304,"-"),"-"),_xlfn.TEXTBEFORE(_xlfn.TEXTAFTER(B304,"-",2),"-")),"")</f>
        <v>300271507</v>
      </c>
      <c r="F304" s="1" t="str">
        <f>IFERROR(IF(ISNUMBER(VALUE(_xlfn.TEXTBEFORE(B304,"-"))),_xlfn.TEXTBEFORE(_xlfn.TEXTAFTER(B304,"-",2)," - "),_xlfn.TEXTBEFORE(_xlfn.TEXTAFTER(B304,"-",3)," - ")),"")</f>
        <v xml:space="preserve">CONFECCAO G. B. DA SILVA JUNIOR &amp; CIA LTDA </v>
      </c>
      <c r="G304" s="1" t="str">
        <f>IFERROR(_xlfn.TEXTAFTER(B304," - ",-1),"")</f>
        <v>Bolso traseiro</v>
      </c>
      <c r="H304" s="13" t="s">
        <v>7736</v>
      </c>
      <c r="I304" s="21">
        <f>DATE(LEFT(H304,4),MID(H304,6,2),MID(H304,9,2))+TIME(MID(H304,12,2),MID(H304,15,2),MID(H304,18,2))</f>
        <v>46197.711053240739</v>
      </c>
      <c r="J304" s="25" t="s">
        <v>7737</v>
      </c>
      <c r="K304" s="1" t="s">
        <v>6795</v>
      </c>
    </row>
    <row r="305" spans="1:11" ht="246.75" hidden="1">
      <c r="A305" s="1" t="s">
        <v>7912</v>
      </c>
      <c r="B305" s="1" t="s">
        <v>7913</v>
      </c>
      <c r="C305" s="1" t="str">
        <f>IFERROR(IF(ISNUMBER(VALUE(_xlfn.TEXTBEFORE(B305,"-"))),"",_xlfn.TEXTBEFORE(B305,"-")),"")</f>
        <v>JEANS</v>
      </c>
      <c r="D305" s="19" t="str">
        <f>IFERROR(IF(ISNUMBER(VALUE(_xlfn.TEXTBEFORE(B305,"-"))),_xlfn.TEXTBEFORE(B305,"-"),_xlfn.TEXTBEFORE(_xlfn.TEXTAFTER(B305,"-"),"-")),"")</f>
        <v xml:space="preserve"> 1696</v>
      </c>
      <c r="E305" s="1" t="str">
        <f>IFERROR(IF(ISNUMBER(VALUE(_xlfn.TEXTBEFORE(B305,"-"))),_xlfn.TEXTBEFORE(_xlfn.TEXTAFTER(B305,"-"),"-"),_xlfn.TEXTBEFORE(_xlfn.TEXTAFTER(B305,"-",2),"-")),"")</f>
        <v>300274635</v>
      </c>
      <c r="F305" s="1" t="str">
        <f>IFERROR(IF(ISNUMBER(VALUE(_xlfn.TEXTBEFORE(B305,"-"))),_xlfn.TEXTBEFORE(_xlfn.TEXTAFTER(B305,"-",2)," - "),_xlfn.TEXTBEFORE(_xlfn.TEXTAFTER(B305,"-",3)," - ")),"")</f>
        <v xml:space="preserve">JANUNCIO NOBREGA DE AZEVEDO </v>
      </c>
      <c r="G305" s="1" t="str">
        <f>IFERROR(_xlfn.TEXTAFTER(B305," - ",-1),"")</f>
        <v>Etiqueta de Composição</v>
      </c>
      <c r="H305" s="13" t="s">
        <v>7914</v>
      </c>
      <c r="I305" s="21">
        <f>DATE(LEFT(H305,4),MID(H305,6,2),MID(H305,9,2))+TIME(MID(H305,12,2),MID(H305,15,2),MID(H305,18,2))</f>
        <v>46233.773206018515</v>
      </c>
      <c r="J305" s="25" t="s">
        <v>7915</v>
      </c>
      <c r="K305" s="1" t="s">
        <v>6795</v>
      </c>
    </row>
    <row r="306" spans="1:11" ht="230.25" hidden="1">
      <c r="A306" s="1" t="s">
        <v>7916</v>
      </c>
      <c r="B306" s="1" t="s">
        <v>7917</v>
      </c>
      <c r="C306" s="1" t="str">
        <f>IFERROR(IF(ISNUMBER(VALUE(_xlfn.TEXTBEFORE(B306,"-"))),"",_xlfn.TEXTBEFORE(B306,"-")),"")</f>
        <v>MALHA</v>
      </c>
      <c r="D306" s="19" t="str">
        <f>IFERROR(IF(ISNUMBER(VALUE(_xlfn.TEXTBEFORE(B306,"-"))),_xlfn.TEXTBEFORE(B306,"-"),_xlfn.TEXTBEFORE(_xlfn.TEXTAFTER(B306,"-"),"-")),"")</f>
        <v xml:space="preserve"> 1689</v>
      </c>
      <c r="E306" s="1" t="str">
        <f>IFERROR(IF(ISNUMBER(VALUE(_xlfn.TEXTBEFORE(B306,"-"))),_xlfn.TEXTBEFORE(_xlfn.TEXTAFTER(B306,"-"),"-"),_xlfn.TEXTBEFORE(_xlfn.TEXTAFTER(B306,"-",2),"-")),"")</f>
        <v>300280735</v>
      </c>
      <c r="F306" s="1" t="str">
        <f>IFERROR(IF(ISNUMBER(VALUE(_xlfn.TEXTBEFORE(B306,"-"))),_xlfn.TEXTBEFORE(_xlfn.TEXTAFTER(B306,"-",2)," - "),_xlfn.TEXTBEFORE(_xlfn.TEXTAFTER(B306,"-",3)," - ")),"")</f>
        <v xml:space="preserve">JOLI TEXTIL SERVICOS E COMERCIO LTD </v>
      </c>
      <c r="G306" s="1" t="str">
        <f>IFERROR(_xlfn.TEXTAFTER(B306," - ",-1),"")</f>
        <v>Traseiro</v>
      </c>
      <c r="H306" s="13" t="s">
        <v>7918</v>
      </c>
      <c r="I306" s="21">
        <f>DATE(LEFT(H306,4),MID(H306,6,2),MID(H306,9,2))+TIME(MID(H306,12,2),MID(H306,15,2),MID(H306,18,2))</f>
        <v>46233.751481481479</v>
      </c>
      <c r="J306" s="25" t="s">
        <v>7919</v>
      </c>
      <c r="K306" s="1" t="s">
        <v>6795</v>
      </c>
    </row>
    <row r="307" spans="1:11" ht="230.25" hidden="1">
      <c r="A307" s="1" t="s">
        <v>7920</v>
      </c>
      <c r="B307" s="1" t="s">
        <v>7921</v>
      </c>
      <c r="C307" s="1" t="str">
        <f>IFERROR(IF(ISNUMBER(VALUE(_xlfn.TEXTBEFORE(B307,"-"))),"",_xlfn.TEXTBEFORE(B307,"-")),"")</f>
        <v>MALHA</v>
      </c>
      <c r="D307" s="19" t="str">
        <f>IFERROR(IF(ISNUMBER(VALUE(_xlfn.TEXTBEFORE(B307,"-"))),_xlfn.TEXTBEFORE(B307,"-"),_xlfn.TEXTBEFORE(_xlfn.TEXTAFTER(B307,"-"),"-")),"")</f>
        <v xml:space="preserve"> 1687</v>
      </c>
      <c r="E307" s="1" t="str">
        <f>IFERROR(IF(ISNUMBER(VALUE(_xlfn.TEXTBEFORE(B307,"-"))),_xlfn.TEXTBEFORE(_xlfn.TEXTAFTER(B307,"-"),"-"),_xlfn.TEXTBEFORE(_xlfn.TEXTAFTER(B307,"-",2),"-")),"")</f>
        <v>300283444</v>
      </c>
      <c r="F307" s="1" t="str">
        <f>IFERROR(IF(ISNUMBER(VALUE(_xlfn.TEXTBEFORE(B307,"-"))),_xlfn.TEXTBEFORE(_xlfn.TEXTAFTER(B307,"-",2)," - "),_xlfn.TEXTBEFORE(_xlfn.TEXTAFTER(B307,"-",3)," - ")),"")</f>
        <v xml:space="preserve">JOLI TEXTIL SERVICOS E COMERCIO LTD </v>
      </c>
      <c r="G307" s="1" t="str">
        <f>IFERROR(_xlfn.TEXTAFTER(B307," - ",-1),"")</f>
        <v>Manga</v>
      </c>
      <c r="H307" s="13" t="s">
        <v>7922</v>
      </c>
      <c r="I307" s="21">
        <f>DATE(LEFT(H307,4),MID(H307,6,2),MID(H307,9,2))+TIME(MID(H307,12,2),MID(H307,15,2),MID(H307,18,2))</f>
        <v>46233.735972222225</v>
      </c>
      <c r="J307" s="25" t="s">
        <v>7923</v>
      </c>
      <c r="K307" s="1" t="s">
        <v>6795</v>
      </c>
    </row>
    <row r="308" spans="1:11" ht="213.75" hidden="1">
      <c r="A308" s="1" t="s">
        <v>7924</v>
      </c>
      <c r="B308" s="1" t="s">
        <v>7925</v>
      </c>
      <c r="C308" s="1" t="str">
        <f>IFERROR(IF(ISNUMBER(VALUE(_xlfn.TEXTBEFORE(B308,"-"))),"",_xlfn.TEXTBEFORE(B308,"-")),"")</f>
        <v>MALHA</v>
      </c>
      <c r="D308" s="19" t="str">
        <f>IFERROR(IF(ISNUMBER(VALUE(_xlfn.TEXTBEFORE(B308,"-"))),_xlfn.TEXTBEFORE(B308,"-"),_xlfn.TEXTBEFORE(_xlfn.TEXTAFTER(B308,"-"),"-")),"")</f>
        <v xml:space="preserve"> 1685</v>
      </c>
      <c r="E308" s="1" t="str">
        <f>IFERROR(IF(ISNUMBER(VALUE(_xlfn.TEXTBEFORE(B308,"-"))),_xlfn.TEXTBEFORE(_xlfn.TEXTAFTER(B308,"-"),"-"),_xlfn.TEXTBEFORE(_xlfn.TEXTAFTER(B308,"-",2),"-")),"")</f>
        <v>300286230</v>
      </c>
      <c r="F308" s="1" t="str">
        <f>IFERROR(IF(ISNUMBER(VALUE(_xlfn.TEXTBEFORE(B308,"-"))),_xlfn.TEXTBEFORE(_xlfn.TEXTAFTER(B308,"-",2)," - "),_xlfn.TEXTBEFORE(_xlfn.TEXTAFTER(B308,"-",3)," - ")),"")</f>
        <v xml:space="preserve">JOSENI MARIA DE MEDEIROS </v>
      </c>
      <c r="G308" s="1" t="str">
        <f>IFERROR(_xlfn.TEXTAFTER(B308," - ",-1),"")</f>
        <v>Etiqueta de Composição</v>
      </c>
      <c r="H308" s="13" t="s">
        <v>7926</v>
      </c>
      <c r="I308" s="21">
        <f>DATE(LEFT(H308,4),MID(H308,6,2),MID(H308,9,2))+TIME(MID(H308,12,2),MID(H308,15,2),MID(H308,18,2))</f>
        <v>46233.718356481484</v>
      </c>
      <c r="J308" s="25" t="s">
        <v>7927</v>
      </c>
      <c r="K308" s="1" t="s">
        <v>6795</v>
      </c>
    </row>
    <row r="309" spans="1:11" ht="230.25" hidden="1">
      <c r="A309" s="1" t="s">
        <v>7928</v>
      </c>
      <c r="B309" s="1" t="s">
        <v>7929</v>
      </c>
      <c r="C309" s="1" t="str">
        <f>IFERROR(IF(ISNUMBER(VALUE(_xlfn.TEXTBEFORE(B309,"-"))),"",_xlfn.TEXTBEFORE(B309,"-")),"")</f>
        <v>MALHA</v>
      </c>
      <c r="D309" s="19" t="str">
        <f>IFERROR(IF(ISNUMBER(VALUE(_xlfn.TEXTBEFORE(B309,"-"))),_xlfn.TEXTBEFORE(B309,"-"),_xlfn.TEXTBEFORE(_xlfn.TEXTAFTER(B309,"-"),"-")),"")</f>
        <v xml:space="preserve"> 1678</v>
      </c>
      <c r="E309" s="1" t="str">
        <f>IFERROR(IF(ISNUMBER(VALUE(_xlfn.TEXTBEFORE(B309,"-"))),_xlfn.TEXTBEFORE(_xlfn.TEXTAFTER(B309,"-"),"-"),_xlfn.TEXTBEFORE(_xlfn.TEXTAFTER(B309,"-",2),"-")),"")</f>
        <v>300283438</v>
      </c>
      <c r="F309" s="1" t="str">
        <f>IFERROR(IF(ISNUMBER(VALUE(_xlfn.TEXTBEFORE(B309,"-"))),_xlfn.TEXTBEFORE(_xlfn.TEXTAFTER(B309,"-",2)," - "),_xlfn.TEXTBEFORE(_xlfn.TEXTAFTER(B309,"-",3)," - ")),"")</f>
        <v xml:space="preserve">JOLI TEXTIL SERVICOS E COMERCIO LTD </v>
      </c>
      <c r="G309" s="1" t="str">
        <f>IFERROR(_xlfn.TEXTAFTER(B309," - ",-1),"")</f>
        <v>Manga</v>
      </c>
      <c r="H309" s="13" t="s">
        <v>7930</v>
      </c>
      <c r="I309" s="21">
        <f>DATE(LEFT(H309,4),MID(H309,6,2),MID(H309,9,2))+TIME(MID(H309,12,2),MID(H309,15,2),MID(H309,18,2))</f>
        <v>46233.564340277779</v>
      </c>
      <c r="J309" s="25" t="s">
        <v>7931</v>
      </c>
      <c r="K309" s="1" t="s">
        <v>6795</v>
      </c>
    </row>
    <row r="310" spans="1:11" ht="213.75" hidden="1">
      <c r="A310" s="1" t="s">
        <v>7932</v>
      </c>
      <c r="B310" s="1" t="s">
        <v>7933</v>
      </c>
      <c r="C310" s="1" t="str">
        <f>IFERROR(IF(ISNUMBER(VALUE(_xlfn.TEXTBEFORE(B310,"-"))),"",_xlfn.TEXTBEFORE(B310,"-")),"")</f>
        <v>JEANS</v>
      </c>
      <c r="D310" s="19" t="str">
        <f>IFERROR(IF(ISNUMBER(VALUE(_xlfn.TEXTBEFORE(B310,"-"))),_xlfn.TEXTBEFORE(B310,"-"),_xlfn.TEXTBEFORE(_xlfn.TEXTAFTER(B310,"-"),"-")),"")</f>
        <v xml:space="preserve"> 1675</v>
      </c>
      <c r="E310" s="1" t="str">
        <f>IFERROR(IF(ISNUMBER(VALUE(_xlfn.TEXTBEFORE(B310,"-"))),_xlfn.TEXTBEFORE(_xlfn.TEXTAFTER(B310,"-"),"-"),_xlfn.TEXTBEFORE(_xlfn.TEXTAFTER(B310,"-",2),"-")),"")</f>
        <v>300280210</v>
      </c>
      <c r="F310" s="1" t="str">
        <f>IFERROR(IF(ISNUMBER(VALUE(_xlfn.TEXTBEFORE(B310,"-"))),_xlfn.TEXTBEFORE(_xlfn.TEXTAFTER(B310,"-",2)," - "),_xlfn.TEXTBEFORE(_xlfn.TEXTAFTER(B310,"-",3)," - ")),"")</f>
        <v xml:space="preserve">JOSE MEDEIROS DE ARAUJO </v>
      </c>
      <c r="G310" s="1" t="str">
        <f>IFERROR(_xlfn.TEXTAFTER(B310," - ",-1),"")</f>
        <v>Etiqueta de Composição</v>
      </c>
      <c r="H310" s="13" t="s">
        <v>7934</v>
      </c>
      <c r="I310" s="21">
        <f>DATE(LEFT(H310,4),MID(H310,6,2),MID(H310,9,2))+TIME(MID(H310,12,2),MID(H310,15,2),MID(H310,18,2))</f>
        <v>46233.53019675926</v>
      </c>
      <c r="J310" s="25" t="s">
        <v>7935</v>
      </c>
      <c r="K310" s="1" t="s">
        <v>6795</v>
      </c>
    </row>
    <row r="311" spans="1:11" ht="263.25" hidden="1">
      <c r="A311" s="1" t="s">
        <v>7936</v>
      </c>
      <c r="B311" s="1" t="s">
        <v>7937</v>
      </c>
      <c r="C311" s="1" t="str">
        <f>IFERROR(IF(ISNUMBER(VALUE(_xlfn.TEXTBEFORE(B311,"-"))),"",_xlfn.TEXTBEFORE(B311,"-")),"")</f>
        <v>MALHA</v>
      </c>
      <c r="D311" s="19" t="str">
        <f>IFERROR(IF(ISNUMBER(VALUE(_xlfn.TEXTBEFORE(B311,"-"))),_xlfn.TEXTBEFORE(B311,"-"),_xlfn.TEXTBEFORE(_xlfn.TEXTAFTER(B311,"-"),"-")),"")</f>
        <v xml:space="preserve"> 1674</v>
      </c>
      <c r="E311" s="1" t="str">
        <f>IFERROR(IF(ISNUMBER(VALUE(_xlfn.TEXTBEFORE(B311,"-"))),_xlfn.TEXTBEFORE(_xlfn.TEXTAFTER(B311,"-"),"-"),_xlfn.TEXTBEFORE(_xlfn.TEXTAFTER(B311,"-",2),"-")),"")</f>
        <v>300284533</v>
      </c>
      <c r="F311" s="1" t="str">
        <f>IFERROR(IF(ISNUMBER(VALUE(_xlfn.TEXTBEFORE(B311,"-"))),_xlfn.TEXTBEFORE(_xlfn.TEXTAFTER(B311,"-",2)," - "),_xlfn.TEXTBEFORE(_xlfn.TEXTAFTER(B311,"-",3)," - ")),"")</f>
        <v xml:space="preserve">AJG CONFECCOES LTDA </v>
      </c>
      <c r="G311" s="1" t="str">
        <f>IFERROR(_xlfn.TEXTAFTER(B311," - ",-1),"")</f>
        <v>Etiqueta de Composição</v>
      </c>
      <c r="H311" s="13" t="s">
        <v>7938</v>
      </c>
      <c r="I311" s="21">
        <f>DATE(LEFT(H311,4),MID(H311,6,2),MID(H311,9,2))+TIME(MID(H311,12,2),MID(H311,15,2),MID(H311,18,2))</f>
        <v>46233.529618055552</v>
      </c>
      <c r="J311" s="25" t="s">
        <v>7939</v>
      </c>
      <c r="K311" s="1" t="s">
        <v>6795</v>
      </c>
    </row>
    <row r="312" spans="1:11" ht="213.75" hidden="1">
      <c r="A312" s="1" t="s">
        <v>7940</v>
      </c>
      <c r="B312" s="1" t="s">
        <v>7941</v>
      </c>
      <c r="C312" s="1" t="str">
        <f>IFERROR(IF(ISNUMBER(VALUE(_xlfn.TEXTBEFORE(B312,"-"))),"",_xlfn.TEXTBEFORE(B312,"-")),"")</f>
        <v>MALHA</v>
      </c>
      <c r="D312" s="19" t="str">
        <f>IFERROR(IF(ISNUMBER(VALUE(_xlfn.TEXTBEFORE(B312,"-"))),_xlfn.TEXTBEFORE(B312,"-"),_xlfn.TEXTBEFORE(_xlfn.TEXTAFTER(B312,"-"),"-")),"")</f>
        <v xml:space="preserve"> 1673</v>
      </c>
      <c r="E312" s="1" t="str">
        <f>IFERROR(IF(ISNUMBER(VALUE(_xlfn.TEXTBEFORE(B312,"-"))),_xlfn.TEXTBEFORE(_xlfn.TEXTAFTER(B312,"-"),"-"),_xlfn.TEXTBEFORE(_xlfn.TEXTAFTER(B312,"-",2),"-")),"")</f>
        <v>300286263</v>
      </c>
      <c r="F312" s="1" t="str">
        <f>IFERROR(IF(ISNUMBER(VALUE(_xlfn.TEXTBEFORE(B312,"-"))),_xlfn.TEXTBEFORE(_xlfn.TEXTAFTER(B312,"-",2)," - "),_xlfn.TEXTBEFORE(_xlfn.TEXTAFTER(B312,"-",3)," - ")),"")</f>
        <v xml:space="preserve">JOSENI MARIA DE MEDEIROS </v>
      </c>
      <c r="G312" s="1" t="str">
        <f>IFERROR(_xlfn.TEXTAFTER(B312," - ",-1),"")</f>
        <v>Etiqueta de Composição</v>
      </c>
      <c r="H312" s="13" t="s">
        <v>7942</v>
      </c>
      <c r="I312" s="21">
        <f>DATE(LEFT(H312,4),MID(H312,6,2),MID(H312,9,2))+TIME(MID(H312,12,2),MID(H312,15,2),MID(H312,18,2))</f>
        <v>46233.525810185187</v>
      </c>
      <c r="J312" s="25" t="s">
        <v>7943</v>
      </c>
      <c r="K312" s="1" t="s">
        <v>6795</v>
      </c>
    </row>
    <row r="313" spans="1:11" ht="230.25" hidden="1">
      <c r="A313" s="1" t="s">
        <v>7944</v>
      </c>
      <c r="B313" s="1" t="s">
        <v>7945</v>
      </c>
      <c r="C313" s="1" t="str">
        <f>IFERROR(IF(ISNUMBER(VALUE(_xlfn.TEXTBEFORE(B313,"-"))),"",_xlfn.TEXTBEFORE(B313,"-")),"")</f>
        <v>MALHA</v>
      </c>
      <c r="D313" s="19" t="str">
        <f>IFERROR(IF(ISNUMBER(VALUE(_xlfn.TEXTBEFORE(B313,"-"))),_xlfn.TEXTBEFORE(B313,"-"),_xlfn.TEXTBEFORE(_xlfn.TEXTAFTER(B313,"-"),"-")),"")</f>
        <v xml:space="preserve"> 1670</v>
      </c>
      <c r="E313" s="1" t="str">
        <f>IFERROR(IF(ISNUMBER(VALUE(_xlfn.TEXTBEFORE(B313,"-"))),_xlfn.TEXTBEFORE(_xlfn.TEXTAFTER(B313,"-"),"-"),_xlfn.TEXTBEFORE(_xlfn.TEXTAFTER(B313,"-",2),"-")),"")</f>
        <v>300280243</v>
      </c>
      <c r="F313" s="1" t="str">
        <f>IFERROR(IF(ISNUMBER(VALUE(_xlfn.TEXTBEFORE(B313,"-"))),_xlfn.TEXTBEFORE(_xlfn.TEXTAFTER(B313,"-",2)," - "),_xlfn.TEXTBEFORE(_xlfn.TEXTAFTER(B313,"-",3)," - ")),"")</f>
        <v xml:space="preserve">F &amp; L AZEVEDO CONFECCAO LTDA FILIAL </v>
      </c>
      <c r="G313" s="1" t="str">
        <f>IFERROR(_xlfn.TEXTAFTER(B313," - ",-1),"")</f>
        <v>Etiqueta de Composição</v>
      </c>
      <c r="H313" s="13" t="s">
        <v>7946</v>
      </c>
      <c r="I313" s="21">
        <f>DATE(LEFT(H313,4),MID(H313,6,2),MID(H313,9,2))+TIME(MID(H313,12,2),MID(H313,15,2),MID(H313,18,2))</f>
        <v>46233.498657407406</v>
      </c>
      <c r="J313" s="25" t="s">
        <v>7947</v>
      </c>
      <c r="K313" s="1" t="s">
        <v>6795</v>
      </c>
    </row>
    <row r="314" spans="1:11" ht="197.25" hidden="1">
      <c r="A314" s="1" t="s">
        <v>7948</v>
      </c>
      <c r="B314" s="1" t="s">
        <v>7949</v>
      </c>
      <c r="C314" s="1" t="str">
        <f>IFERROR(IF(ISNUMBER(VALUE(_xlfn.TEXTBEFORE(B314,"-"))),"",_xlfn.TEXTBEFORE(B314,"-")),"")</f>
        <v>MALHA</v>
      </c>
      <c r="D314" s="19" t="str">
        <f>IFERROR(IF(ISNUMBER(VALUE(_xlfn.TEXTBEFORE(B314,"-"))),_xlfn.TEXTBEFORE(B314,"-"),_xlfn.TEXTBEFORE(_xlfn.TEXTAFTER(B314,"-"),"-")),"")</f>
        <v xml:space="preserve"> 1669</v>
      </c>
      <c r="E314" s="1" t="str">
        <f>IFERROR(IF(ISNUMBER(VALUE(_xlfn.TEXTBEFORE(B314,"-"))),_xlfn.TEXTBEFORE(_xlfn.TEXTAFTER(B314,"-"),"-"),_xlfn.TEXTBEFORE(_xlfn.TEXTAFTER(B314,"-",2),"-")),"")</f>
        <v>300280243</v>
      </c>
      <c r="F314" s="1" t="str">
        <f>IFERROR(IF(ISNUMBER(VALUE(_xlfn.TEXTBEFORE(B314,"-"))),_xlfn.TEXTBEFORE(_xlfn.TEXTAFTER(B314,"-",2)," - "),_xlfn.TEXTBEFORE(_xlfn.TEXTAFTER(B314,"-",3)," - ")),"")</f>
        <v xml:space="preserve">F &amp; L AZEVEDO CONFECCAO LTDA FILIAL </v>
      </c>
      <c r="G314" s="1" t="str">
        <f>IFERROR(_xlfn.TEXTAFTER(B314," - ",-1),"")</f>
        <v>Gola</v>
      </c>
      <c r="H314" s="13" t="s">
        <v>7950</v>
      </c>
      <c r="I314" s="21">
        <f>DATE(LEFT(H314,4),MID(H314,6,2),MID(H314,9,2))+TIME(MID(H314,12,2),MID(H314,15,2),MID(H314,18,2))</f>
        <v>46233.494895833333</v>
      </c>
      <c r="J314" s="25" t="s">
        <v>7951</v>
      </c>
      <c r="K314" s="1" t="s">
        <v>6795</v>
      </c>
    </row>
    <row r="315" spans="1:11" ht="213.75" hidden="1">
      <c r="A315" s="1" t="s">
        <v>7952</v>
      </c>
      <c r="B315" s="1" t="s">
        <v>7953</v>
      </c>
      <c r="C315" s="1" t="str">
        <f>IFERROR(IF(ISNUMBER(VALUE(_xlfn.TEXTBEFORE(B315,"-"))),"",_xlfn.TEXTBEFORE(B315,"-")),"")</f>
        <v>JEANS</v>
      </c>
      <c r="D315" s="19" t="str">
        <f>IFERROR(IF(ISNUMBER(VALUE(_xlfn.TEXTBEFORE(B315,"-"))),_xlfn.TEXTBEFORE(B315,"-"),_xlfn.TEXTBEFORE(_xlfn.TEXTAFTER(B315,"-"),"-")),"")</f>
        <v xml:space="preserve"> 1668</v>
      </c>
      <c r="E315" s="1" t="str">
        <f>IFERROR(IF(ISNUMBER(VALUE(_xlfn.TEXTBEFORE(B315,"-"))),_xlfn.TEXTBEFORE(_xlfn.TEXTAFTER(B315,"-"),"-"),_xlfn.TEXTBEFORE(_xlfn.TEXTAFTER(B315,"-",2),"-")),"")</f>
        <v>300283158</v>
      </c>
      <c r="F315" s="1" t="str">
        <f>IFERROR(IF(ISNUMBER(VALUE(_xlfn.TEXTBEFORE(B315,"-"))),_xlfn.TEXTBEFORE(_xlfn.TEXTAFTER(B315,"-",2)," - "),_xlfn.TEXTBEFORE(_xlfn.TEXTAFTER(B315,"-",3)," - ")),"")</f>
        <v xml:space="preserve">JOSE MEDEIROS DE ARAUJO </v>
      </c>
      <c r="G315" s="1" t="str">
        <f>IFERROR(_xlfn.TEXTAFTER(B315," - ",-1),"")</f>
        <v>Etiqueta de Composição</v>
      </c>
      <c r="H315" s="13" t="s">
        <v>7954</v>
      </c>
      <c r="I315" s="21">
        <f>DATE(LEFT(H315,4),MID(H315,6,2),MID(H315,9,2))+TIME(MID(H315,12,2),MID(H315,15,2),MID(H315,18,2))</f>
        <v>46233.485717592594</v>
      </c>
      <c r="J315" s="25" t="s">
        <v>7955</v>
      </c>
      <c r="K315" s="1" t="s">
        <v>6795</v>
      </c>
    </row>
    <row r="316" spans="1:11" ht="378.75" hidden="1">
      <c r="A316" s="1" t="s">
        <v>7956</v>
      </c>
      <c r="B316" s="1" t="s">
        <v>7957</v>
      </c>
      <c r="C316" s="1" t="str">
        <f>IFERROR(IF(ISNUMBER(VALUE(_xlfn.TEXTBEFORE(B316,"-"))),"",_xlfn.TEXTBEFORE(B316,"-")),"")</f>
        <v>JEANS</v>
      </c>
      <c r="D316" s="19" t="str">
        <f>IFERROR(IF(ISNUMBER(VALUE(_xlfn.TEXTBEFORE(B316,"-"))),_xlfn.TEXTBEFORE(B316,"-"),_xlfn.TEXTBEFORE(_xlfn.TEXTAFTER(B316,"-"),"-")),"")</f>
        <v xml:space="preserve"> 1666</v>
      </c>
      <c r="E316" s="1" t="str">
        <f>IFERROR(IF(ISNUMBER(VALUE(_xlfn.TEXTBEFORE(B316,"-"))),_xlfn.TEXTBEFORE(_xlfn.TEXTAFTER(B316,"-"),"-"),_xlfn.TEXTBEFORE(_xlfn.TEXTAFTER(B316,"-",2),"-")),"")</f>
        <v>300282323</v>
      </c>
      <c r="F316" s="1" t="str">
        <f>IFERROR(IF(ISNUMBER(VALUE(_xlfn.TEXTBEFORE(B316,"-"))),_xlfn.TEXTBEFORE(_xlfn.TEXTAFTER(B316,"-",2)," - "),_xlfn.TEXTBEFORE(_xlfn.TEXTAFTER(B316,"-",3)," - ")),"")</f>
        <v xml:space="preserve">CONFECCAO G. B. DA SILVA JUNIOR &amp; CIA LTDA </v>
      </c>
      <c r="G316" s="1" t="str">
        <f>IFERROR(_xlfn.TEXTAFTER(B316," - ",-1),"")</f>
        <v>Etiqueta de Composição</v>
      </c>
      <c r="H316" s="13" t="s">
        <v>7958</v>
      </c>
      <c r="I316" s="21">
        <f>DATE(LEFT(H316,4),MID(H316,6,2),MID(H316,9,2))+TIME(MID(H316,12,2),MID(H316,15,2),MID(H316,18,2))</f>
        <v>46233.46465277778</v>
      </c>
      <c r="J316" s="25" t="s">
        <v>7959</v>
      </c>
      <c r="K316" s="1" t="s">
        <v>6795</v>
      </c>
    </row>
    <row r="317" spans="1:11" ht="230.25" hidden="1">
      <c r="A317" s="1" t="s">
        <v>7960</v>
      </c>
      <c r="B317" s="1" t="s">
        <v>7961</v>
      </c>
      <c r="C317" s="1" t="str">
        <f>IFERROR(IF(ISNUMBER(VALUE(_xlfn.TEXTBEFORE(B317,"-"))),"",_xlfn.TEXTBEFORE(B317,"-")),"")</f>
        <v>MALHA</v>
      </c>
      <c r="D317" s="19" t="str">
        <f>IFERROR(IF(ISNUMBER(VALUE(_xlfn.TEXTBEFORE(B317,"-"))),_xlfn.TEXTBEFORE(B317,"-"),_xlfn.TEXTBEFORE(_xlfn.TEXTAFTER(B317,"-"),"-")),"")</f>
        <v xml:space="preserve"> 1664</v>
      </c>
      <c r="E317" s="1" t="str">
        <f>IFERROR(IF(ISNUMBER(VALUE(_xlfn.TEXTBEFORE(B317,"-"))),_xlfn.TEXTBEFORE(_xlfn.TEXTAFTER(B317,"-"),"-"),_xlfn.TEXTBEFORE(_xlfn.TEXTAFTER(B317,"-",2),"-")),"")</f>
        <v>300280242</v>
      </c>
      <c r="F317" s="1" t="str">
        <f>IFERROR(IF(ISNUMBER(VALUE(_xlfn.TEXTBEFORE(B317,"-"))),_xlfn.TEXTBEFORE(_xlfn.TEXTAFTER(B317,"-",2)," - "),_xlfn.TEXTBEFORE(_xlfn.TEXTAFTER(B317,"-",3)," - ")),"")</f>
        <v xml:space="preserve">POTENGI TEXTIL LTDA </v>
      </c>
      <c r="G317" s="1" t="str">
        <f>IFERROR(_xlfn.TEXTAFTER(B317," - ",-1),"")</f>
        <v>Etiqueta de Composição</v>
      </c>
      <c r="H317" s="13" t="s">
        <v>7962</v>
      </c>
      <c r="I317" s="21">
        <f>DATE(LEFT(H317,4),MID(H317,6,2),MID(H317,9,2))+TIME(MID(H317,12,2),MID(H317,15,2),MID(H317,18,2))</f>
        <v>46233.461446759262</v>
      </c>
      <c r="J317" s="25" t="s">
        <v>7963</v>
      </c>
      <c r="K317" s="1" t="s">
        <v>6795</v>
      </c>
    </row>
    <row r="318" spans="1:11" ht="409.6" hidden="1">
      <c r="A318" s="1" t="s">
        <v>7964</v>
      </c>
      <c r="B318" s="1" t="s">
        <v>7965</v>
      </c>
      <c r="C318" s="1" t="str">
        <f>IFERROR(IF(ISNUMBER(VALUE(_xlfn.TEXTBEFORE(B318,"-"))),"",_xlfn.TEXTBEFORE(B318,"-")),"")</f>
        <v>JEANS</v>
      </c>
      <c r="D318" s="19" t="str">
        <f>IFERROR(IF(ISNUMBER(VALUE(_xlfn.TEXTBEFORE(B318,"-"))),_xlfn.TEXTBEFORE(B318,"-"),_xlfn.TEXTBEFORE(_xlfn.TEXTAFTER(B318,"-"),"-")),"")</f>
        <v xml:space="preserve"> 1656</v>
      </c>
      <c r="E318" s="1" t="str">
        <f>IFERROR(IF(ISNUMBER(VALUE(_xlfn.TEXTBEFORE(B318,"-"))),_xlfn.TEXTBEFORE(_xlfn.TEXTAFTER(B318,"-"),"-"),_xlfn.TEXTBEFORE(_xlfn.TEXTAFTER(B318,"-",2),"-")),"")</f>
        <v>300284282</v>
      </c>
      <c r="F318" s="1" t="str">
        <f>IFERROR(IF(ISNUMBER(VALUE(_xlfn.TEXTBEFORE(B318,"-"))),_xlfn.TEXTBEFORE(_xlfn.TEXTAFTER(B318,"-",2)," - "),_xlfn.TEXTBEFORE(_xlfn.TEXTAFTER(B318,"-",3)," - ")),"")</f>
        <v xml:space="preserve">IVANILDO JOSE DE SOUZA </v>
      </c>
      <c r="G318" s="1" t="str">
        <f>IFERROR(_xlfn.TEXTAFTER(B318," - ",-1),"")</f>
        <v>Etiqueta de Composição</v>
      </c>
      <c r="H318" s="13" t="s">
        <v>7966</v>
      </c>
      <c r="I318" s="21">
        <f>DATE(LEFT(H318,4),MID(H318,6,2),MID(H318,9,2))+TIME(MID(H318,12,2),MID(H318,15,2),MID(H318,18,2))</f>
        <v>46232.820925925924</v>
      </c>
      <c r="J318" s="25" t="s">
        <v>7967</v>
      </c>
      <c r="K318" s="1" t="s">
        <v>6795</v>
      </c>
    </row>
    <row r="319" spans="1:11" ht="230.25" hidden="1">
      <c r="A319" s="1" t="s">
        <v>7968</v>
      </c>
      <c r="B319" s="1" t="s">
        <v>7969</v>
      </c>
      <c r="C319" s="1" t="str">
        <f>IFERROR(IF(ISNUMBER(VALUE(_xlfn.TEXTBEFORE(B319,"-"))),"",_xlfn.TEXTBEFORE(B319,"-")),"")</f>
        <v>JEANS</v>
      </c>
      <c r="D319" s="19" t="str">
        <f>IFERROR(IF(ISNUMBER(VALUE(_xlfn.TEXTBEFORE(B319,"-"))),_xlfn.TEXTBEFORE(B319,"-"),_xlfn.TEXTBEFORE(_xlfn.TEXTAFTER(B319,"-"),"-")),"")</f>
        <v xml:space="preserve"> 1651</v>
      </c>
      <c r="E319" s="1" t="str">
        <f>IFERROR(IF(ISNUMBER(VALUE(_xlfn.TEXTBEFORE(B319,"-"))),_xlfn.TEXTBEFORE(_xlfn.TEXTAFTER(B319,"-"),"-"),_xlfn.TEXTBEFORE(_xlfn.TEXTAFTER(B319,"-",2),"-")),"")</f>
        <v>300279730</v>
      </c>
      <c r="F319" s="1" t="str">
        <f>IFERROR(IF(ISNUMBER(VALUE(_xlfn.TEXTBEFORE(B319,"-"))),_xlfn.TEXTBEFORE(_xlfn.TEXTAFTER(B319,"-",2)," - "),_xlfn.TEXTBEFORE(_xlfn.TEXTAFTER(B319,"-",3)," - ")),"")</f>
        <v xml:space="preserve">LUIZ LUPERCIO DA SILVA JUNIOR </v>
      </c>
      <c r="G319" s="1" t="str">
        <f>IFERROR(_xlfn.TEXTAFTER(B319," - ",-1),"")</f>
        <v>Cós</v>
      </c>
      <c r="H319" s="13" t="s">
        <v>7970</v>
      </c>
      <c r="I319" s="21">
        <f>DATE(LEFT(H319,4),MID(H319,6,2),MID(H319,9,2))+TIME(MID(H319,12,2),MID(H319,15,2),MID(H319,18,2))</f>
        <v>46232.731493055559</v>
      </c>
      <c r="J319" s="25" t="s">
        <v>7971</v>
      </c>
      <c r="K319" s="1" t="s">
        <v>6795</v>
      </c>
    </row>
    <row r="320" spans="1:11" ht="296.25" hidden="1">
      <c r="A320" s="1" t="s">
        <v>7972</v>
      </c>
      <c r="B320" s="1" t="s">
        <v>7973</v>
      </c>
      <c r="C320" s="1" t="str">
        <f>IFERROR(IF(ISNUMBER(VALUE(_xlfn.TEXTBEFORE(B320,"-"))),"",_xlfn.TEXTBEFORE(B320,"-")),"")</f>
        <v>MALHA</v>
      </c>
      <c r="D320" s="19" t="str">
        <f>IFERROR(IF(ISNUMBER(VALUE(_xlfn.TEXTBEFORE(B320,"-"))),_xlfn.TEXTBEFORE(B320,"-"),_xlfn.TEXTBEFORE(_xlfn.TEXTAFTER(B320,"-"),"-")),"")</f>
        <v xml:space="preserve"> 1636</v>
      </c>
      <c r="E320" s="1" t="str">
        <f>IFERROR(IF(ISNUMBER(VALUE(_xlfn.TEXTBEFORE(B320,"-"))),_xlfn.TEXTBEFORE(_xlfn.TEXTAFTER(B320,"-"),"-"),_xlfn.TEXTBEFORE(_xlfn.TEXTAFTER(B320,"-",2),"-")),"")</f>
        <v>300280766</v>
      </c>
      <c r="F320" s="1" t="str">
        <f>IFERROR(IF(ISNUMBER(VALUE(_xlfn.TEXTBEFORE(B320,"-"))),_xlfn.TEXTBEFORE(_xlfn.TEXTAFTER(B320,"-",2)," - "),_xlfn.TEXTBEFORE(_xlfn.TEXTAFTER(B320,"-",3)," - ")),"")</f>
        <v xml:space="preserve">CONFECCOES GENESIS LTDA </v>
      </c>
      <c r="G320" s="1" t="str">
        <f>IFERROR(_xlfn.TEXTAFTER(B320," - ",-1),"")</f>
        <v>Etiqueta de Gola</v>
      </c>
      <c r="H320" s="13" t="s">
        <v>7974</v>
      </c>
      <c r="I320" s="21">
        <f>DATE(LEFT(H320,4),MID(H320,6,2),MID(H320,9,2))+TIME(MID(H320,12,2),MID(H320,15,2),MID(H320,18,2))</f>
        <v>46232.525868055556</v>
      </c>
      <c r="J320" s="25" t="s">
        <v>7975</v>
      </c>
      <c r="K320" s="1" t="s">
        <v>6795</v>
      </c>
    </row>
    <row r="321" spans="1:11" ht="296.25" hidden="1">
      <c r="A321" s="1" t="s">
        <v>7976</v>
      </c>
      <c r="B321" s="1" t="s">
        <v>7977</v>
      </c>
      <c r="C321" s="1" t="str">
        <f>IFERROR(IF(ISNUMBER(VALUE(_xlfn.TEXTBEFORE(B321,"-"))),"",_xlfn.TEXTBEFORE(B321,"-")),"")</f>
        <v>MALHA</v>
      </c>
      <c r="D321" s="19" t="str">
        <f>IFERROR(IF(ISNUMBER(VALUE(_xlfn.TEXTBEFORE(B321,"-"))),_xlfn.TEXTBEFORE(B321,"-"),_xlfn.TEXTBEFORE(_xlfn.TEXTAFTER(B321,"-"),"-")),"")</f>
        <v xml:space="preserve"> 1635</v>
      </c>
      <c r="E321" s="1" t="str">
        <f>IFERROR(IF(ISNUMBER(VALUE(_xlfn.TEXTBEFORE(B321,"-"))),_xlfn.TEXTBEFORE(_xlfn.TEXTAFTER(B321,"-"),"-"),_xlfn.TEXTBEFORE(_xlfn.TEXTAFTER(B321,"-",2),"-")),"")</f>
        <v>300280767</v>
      </c>
      <c r="F321" s="1" t="str">
        <f>IFERROR(IF(ISNUMBER(VALUE(_xlfn.TEXTBEFORE(B321,"-"))),_xlfn.TEXTBEFORE(_xlfn.TEXTAFTER(B321,"-",2)," - "),_xlfn.TEXTBEFORE(_xlfn.TEXTAFTER(B321,"-",3)," - ")),"")</f>
        <v xml:space="preserve">CONFECCOES GENESIS LTDA </v>
      </c>
      <c r="G321" s="1" t="str">
        <f>IFERROR(_xlfn.TEXTAFTER(B321," - ",-1),"")</f>
        <v>Etiqueta de Gola</v>
      </c>
      <c r="H321" s="13" t="s">
        <v>7978</v>
      </c>
      <c r="I321" s="21">
        <f>DATE(LEFT(H321,4),MID(H321,6,2),MID(H321,9,2))+TIME(MID(H321,12,2),MID(H321,15,2),MID(H321,18,2))</f>
        <v>46232.52380787037</v>
      </c>
      <c r="J321" s="25" t="s">
        <v>7979</v>
      </c>
      <c r="K321" s="1" t="s">
        <v>6795</v>
      </c>
    </row>
    <row r="322" spans="1:11" ht="230.25" hidden="1">
      <c r="A322" s="1" t="s">
        <v>7980</v>
      </c>
      <c r="B322" s="1" t="s">
        <v>7981</v>
      </c>
      <c r="C322" s="1" t="str">
        <f>IFERROR(IF(ISNUMBER(VALUE(_xlfn.TEXTBEFORE(B322,"-"))),"",_xlfn.TEXTBEFORE(B322,"-")),"")</f>
        <v>POLO</v>
      </c>
      <c r="D322" s="19" t="str">
        <f>IFERROR(IF(ISNUMBER(VALUE(_xlfn.TEXTBEFORE(B322,"-"))),_xlfn.TEXTBEFORE(B322,"-"),_xlfn.TEXTBEFORE(_xlfn.TEXTAFTER(B322,"-"),"-")),"")</f>
        <v xml:space="preserve"> 1627</v>
      </c>
      <c r="E322" s="1" t="str">
        <f>IFERROR(IF(ISNUMBER(VALUE(_xlfn.TEXTBEFORE(B322,"-"))),_xlfn.TEXTBEFORE(_xlfn.TEXTAFTER(B322,"-"),"-"),_xlfn.TEXTBEFORE(_xlfn.TEXTAFTER(B322,"-",2),"-")),"")</f>
        <v>300283297</v>
      </c>
      <c r="F322" s="1" t="str">
        <f>IFERROR(IF(ISNUMBER(VALUE(_xlfn.TEXTBEFORE(B322,"-"))),_xlfn.TEXTBEFORE(_xlfn.TEXTAFTER(B322,"-",2)," - "),_xlfn.TEXTBEFORE(_xlfn.TEXTAFTER(B322,"-",3)," - ")),"")</f>
        <v xml:space="preserve">FLAVIA GEORGIA BRAGA SILVA CONFECCOES LTDA </v>
      </c>
      <c r="G322" s="1" t="str">
        <f>IFERROR(_xlfn.TEXTAFTER(B322," - ",-1),"")</f>
        <v>Frente</v>
      </c>
      <c r="H322" s="13" t="s">
        <v>7982</v>
      </c>
      <c r="I322" s="21">
        <f>DATE(LEFT(H322,4),MID(H322,6,2),MID(H322,9,2))+TIME(MID(H322,12,2),MID(H322,15,2),MID(H322,18,2))</f>
        <v>46232.502465277779</v>
      </c>
      <c r="J322" s="25" t="s">
        <v>7983</v>
      </c>
      <c r="K322" s="1" t="s">
        <v>6795</v>
      </c>
    </row>
    <row r="323" spans="1:11" ht="230.25" hidden="1">
      <c r="A323" s="1" t="s">
        <v>7984</v>
      </c>
      <c r="B323" s="1" t="s">
        <v>7985</v>
      </c>
      <c r="C323" s="1" t="str">
        <f>IFERROR(IF(ISNUMBER(VALUE(_xlfn.TEXTBEFORE(B323,"-"))),"",_xlfn.TEXTBEFORE(B323,"-")),"")</f>
        <v>POLO</v>
      </c>
      <c r="D323" s="19" t="str">
        <f>IFERROR(IF(ISNUMBER(VALUE(_xlfn.TEXTBEFORE(B323,"-"))),_xlfn.TEXTBEFORE(B323,"-"),_xlfn.TEXTBEFORE(_xlfn.TEXTAFTER(B323,"-"),"-")),"")</f>
        <v xml:space="preserve"> 1626</v>
      </c>
      <c r="E323" s="1" t="str">
        <f>IFERROR(IF(ISNUMBER(VALUE(_xlfn.TEXTBEFORE(B323,"-"))),_xlfn.TEXTBEFORE(_xlfn.TEXTAFTER(B323,"-"),"-"),_xlfn.TEXTBEFORE(_xlfn.TEXTAFTER(B323,"-",2),"-")),"")</f>
        <v>300284029</v>
      </c>
      <c r="F323" s="1" t="str">
        <f>IFERROR(IF(ISNUMBER(VALUE(_xlfn.TEXTBEFORE(B323,"-"))),_xlfn.TEXTBEFORE(_xlfn.TEXTAFTER(B323,"-",2)," - "),_xlfn.TEXTBEFORE(_xlfn.TEXTAFTER(B323,"-",3)," - ")),"")</f>
        <v xml:space="preserve">POTENGI TEXTIL LTDA </v>
      </c>
      <c r="G323" s="1" t="str">
        <f>IFERROR(_xlfn.TEXTAFTER(B323," - ",-1),"")</f>
        <v>Etiqueta de Composição</v>
      </c>
      <c r="H323" s="13" t="s">
        <v>7986</v>
      </c>
      <c r="I323" s="21">
        <f>DATE(LEFT(H323,4),MID(H323,6,2),MID(H323,9,2))+TIME(MID(H323,12,2),MID(H323,15,2),MID(H323,18,2))</f>
        <v>46232.476238425923</v>
      </c>
      <c r="J323" s="25" t="s">
        <v>7987</v>
      </c>
      <c r="K323" s="1" t="s">
        <v>6795</v>
      </c>
    </row>
    <row r="324" spans="1:11" ht="213.75" hidden="1">
      <c r="A324" s="1" t="s">
        <v>7988</v>
      </c>
      <c r="B324" s="1" t="s">
        <v>7989</v>
      </c>
      <c r="C324" s="1" t="str">
        <f>IFERROR(IF(ISNUMBER(VALUE(_xlfn.TEXTBEFORE(B324,"-"))),"",_xlfn.TEXTBEFORE(B324,"-")),"")</f>
        <v>JEANS</v>
      </c>
      <c r="D324" s="19" t="str">
        <f>IFERROR(IF(ISNUMBER(VALUE(_xlfn.TEXTBEFORE(B324,"-"))),_xlfn.TEXTBEFORE(B324,"-"),_xlfn.TEXTBEFORE(_xlfn.TEXTAFTER(B324,"-"),"-")),"")</f>
        <v xml:space="preserve"> 1621</v>
      </c>
      <c r="E324" s="1" t="str">
        <f>IFERROR(IF(ISNUMBER(VALUE(_xlfn.TEXTBEFORE(B324,"-"))),_xlfn.TEXTBEFORE(_xlfn.TEXTAFTER(B324,"-"),"-"),_xlfn.TEXTBEFORE(_xlfn.TEXTAFTER(B324,"-",2),"-")),"")</f>
        <v>300279617</v>
      </c>
      <c r="F324" s="1" t="str">
        <f>IFERROR(IF(ISNUMBER(VALUE(_xlfn.TEXTBEFORE(B324,"-"))),_xlfn.TEXTBEFORE(_xlfn.TEXTAFTER(B324,"-",2)," - "),_xlfn.TEXTBEFORE(_xlfn.TEXTAFTER(B324,"-",3)," - ")),"")</f>
        <v xml:space="preserve">ACARI TÊXTIL LTDA </v>
      </c>
      <c r="G324" s="1" t="str">
        <f>IFERROR(_xlfn.TEXTAFTER(B324," - ",-1),"")</f>
        <v>Cós</v>
      </c>
      <c r="H324" s="13" t="s">
        <v>7990</v>
      </c>
      <c r="I324" s="21">
        <f>DATE(LEFT(H324,4),MID(H324,6,2),MID(H324,9,2))+TIME(MID(H324,12,2),MID(H324,15,2),MID(H324,18,2))</f>
        <v>46232.454016203701</v>
      </c>
      <c r="J324" s="25" t="s">
        <v>7991</v>
      </c>
      <c r="K324" s="1" t="s">
        <v>6795</v>
      </c>
    </row>
    <row r="325" spans="1:11" ht="213.75" hidden="1">
      <c r="A325" s="1" t="s">
        <v>7992</v>
      </c>
      <c r="B325" s="1" t="s">
        <v>7993</v>
      </c>
      <c r="C325" s="1" t="str">
        <f>IFERROR(IF(ISNUMBER(VALUE(_xlfn.TEXTBEFORE(B325,"-"))),"",_xlfn.TEXTBEFORE(B325,"-")),"")</f>
        <v>MALHA</v>
      </c>
      <c r="D325" s="19" t="str">
        <f>IFERROR(IF(ISNUMBER(VALUE(_xlfn.TEXTBEFORE(B325,"-"))),_xlfn.TEXTBEFORE(B325,"-"),_xlfn.TEXTBEFORE(_xlfn.TEXTAFTER(B325,"-"),"-")),"")</f>
        <v xml:space="preserve"> 1618</v>
      </c>
      <c r="E325" s="1" t="str">
        <f>IFERROR(IF(ISNUMBER(VALUE(_xlfn.TEXTBEFORE(B325,"-"))),_xlfn.TEXTBEFORE(_xlfn.TEXTAFTER(B325,"-"),"-"),_xlfn.TEXTBEFORE(_xlfn.TEXTAFTER(B325,"-",2),"-")),"")</f>
        <v>300286264</v>
      </c>
      <c r="F325" s="1" t="str">
        <f>IFERROR(IF(ISNUMBER(VALUE(_xlfn.TEXTBEFORE(B325,"-"))),_xlfn.TEXTBEFORE(_xlfn.TEXTAFTER(B325,"-",2)," - "),_xlfn.TEXTBEFORE(_xlfn.TEXTAFTER(B325,"-",3)," - ")),"")</f>
        <v xml:space="preserve">JOSENI MARIA DE MEDEIROS </v>
      </c>
      <c r="G325" s="1" t="str">
        <f>IFERROR(_xlfn.TEXTAFTER(B325," - ",-1),"")</f>
        <v>Etiqueta de Composição</v>
      </c>
      <c r="H325" s="13" t="s">
        <v>7994</v>
      </c>
      <c r="I325" s="21">
        <f>DATE(LEFT(H325,4),MID(H325,6,2),MID(H325,9,2))+TIME(MID(H325,12,2),MID(H325,15,2),MID(H325,18,2))</f>
        <v>46232.431712962964</v>
      </c>
      <c r="J325" s="25" t="s">
        <v>7995</v>
      </c>
      <c r="K325" s="1" t="s">
        <v>6795</v>
      </c>
    </row>
    <row r="326" spans="1:11" ht="213.75" hidden="1">
      <c r="A326" s="1" t="s">
        <v>7996</v>
      </c>
      <c r="B326" s="1" t="s">
        <v>7997</v>
      </c>
      <c r="C326" s="1" t="str">
        <f>IFERROR(IF(ISNUMBER(VALUE(_xlfn.TEXTBEFORE(B326,"-"))),"",_xlfn.TEXTBEFORE(B326,"-")),"")</f>
        <v>MALHA</v>
      </c>
      <c r="D326" s="19" t="str">
        <f>IFERROR(IF(ISNUMBER(VALUE(_xlfn.TEXTBEFORE(B326,"-"))),_xlfn.TEXTBEFORE(B326,"-"),_xlfn.TEXTBEFORE(_xlfn.TEXTAFTER(B326,"-"),"-")),"")</f>
        <v xml:space="preserve"> 1614</v>
      </c>
      <c r="E326" s="1" t="str">
        <f>IFERROR(IF(ISNUMBER(VALUE(_xlfn.TEXTBEFORE(B326,"-"))),_xlfn.TEXTBEFORE(_xlfn.TEXTAFTER(B326,"-"),"-"),_xlfn.TEXTBEFORE(_xlfn.TEXTAFTER(B326,"-",2),"-")),"")</f>
        <v>300284834</v>
      </c>
      <c r="F326" s="1" t="str">
        <f>IFERROR(IF(ISNUMBER(VALUE(_xlfn.TEXTBEFORE(B326,"-"))),_xlfn.TEXTBEFORE(_xlfn.TEXTAFTER(B326,"-",2)," - "),_xlfn.TEXTBEFORE(_xlfn.TEXTAFTER(B326,"-",3)," - ")),"")</f>
        <v xml:space="preserve">JOSE MEDEIROS DE ARAUJO </v>
      </c>
      <c r="G326" s="1" t="str">
        <f>IFERROR(_xlfn.TEXTAFTER(B326," - ",-1),"")</f>
        <v>Etiqueta de Composição</v>
      </c>
      <c r="H326" s="13" t="s">
        <v>7998</v>
      </c>
      <c r="I326" s="21">
        <f>DATE(LEFT(H326,4),MID(H326,6,2),MID(H326,9,2))+TIME(MID(H326,12,2),MID(H326,15,2),MID(H326,18,2))</f>
        <v>46231.821423611109</v>
      </c>
      <c r="J326" s="25" t="s">
        <v>7999</v>
      </c>
      <c r="K326" s="1" t="s">
        <v>6795</v>
      </c>
    </row>
    <row r="327" spans="1:11" ht="180.75" hidden="1">
      <c r="A327" s="1" t="s">
        <v>8000</v>
      </c>
      <c r="B327" s="1" t="s">
        <v>8001</v>
      </c>
      <c r="C327" s="1" t="str">
        <f>IFERROR(IF(ISNUMBER(VALUE(_xlfn.TEXTBEFORE(B327,"-"))),"",_xlfn.TEXTBEFORE(B327,"-")),"")</f>
        <v>JEANS</v>
      </c>
      <c r="D327" s="19" t="str">
        <f>IFERROR(IF(ISNUMBER(VALUE(_xlfn.TEXTBEFORE(B327,"-"))),_xlfn.TEXTBEFORE(B327,"-"),_xlfn.TEXTBEFORE(_xlfn.TEXTAFTER(B327,"-"),"-")),"")</f>
        <v xml:space="preserve"> 1611</v>
      </c>
      <c r="E327" s="1" t="str">
        <f>IFERROR(IF(ISNUMBER(VALUE(_xlfn.TEXTBEFORE(B327,"-"))),_xlfn.TEXTBEFORE(_xlfn.TEXTAFTER(B327,"-"),"-"),_xlfn.TEXTBEFORE(_xlfn.TEXTAFTER(B327,"-",2),"-")),"")</f>
        <v>300281956</v>
      </c>
      <c r="F327" s="1" t="str">
        <f>IFERROR(IF(ISNUMBER(VALUE(_xlfn.TEXTBEFORE(B327,"-"))),_xlfn.TEXTBEFORE(_xlfn.TEXTAFTER(B327,"-",2)," - "),_xlfn.TEXTBEFORE(_xlfn.TEXTAFTER(B327,"-",3)," - ")),"")</f>
        <v xml:space="preserve">DI3 CONFECCOES LTDA </v>
      </c>
      <c r="G327" s="1" t="str">
        <f>IFERROR(_xlfn.TEXTAFTER(B327," - ",-1),"")</f>
        <v>Frente</v>
      </c>
      <c r="H327" s="13" t="s">
        <v>8002</v>
      </c>
      <c r="I327" s="21">
        <f>DATE(LEFT(H327,4),MID(H327,6,2),MID(H327,9,2))+TIME(MID(H327,12,2),MID(H327,15,2),MID(H327,18,2))</f>
        <v>46231.733449074076</v>
      </c>
      <c r="J327" s="25" t="s">
        <v>8003</v>
      </c>
      <c r="K327" s="1" t="s">
        <v>6795</v>
      </c>
    </row>
    <row r="328" spans="1:11" ht="213.75" hidden="1">
      <c r="A328" s="1" t="s">
        <v>8004</v>
      </c>
      <c r="B328" s="1" t="s">
        <v>8005</v>
      </c>
      <c r="C328" s="1" t="str">
        <f>IFERROR(IF(ISNUMBER(VALUE(_xlfn.TEXTBEFORE(B328,"-"))),"",_xlfn.TEXTBEFORE(B328,"-")),"")</f>
        <v>MALHA</v>
      </c>
      <c r="D328" s="19" t="str">
        <f>IFERROR(IF(ISNUMBER(VALUE(_xlfn.TEXTBEFORE(B328,"-"))),_xlfn.TEXTBEFORE(B328,"-"),_xlfn.TEXTBEFORE(_xlfn.TEXTAFTER(B328,"-"),"-")),"")</f>
        <v xml:space="preserve"> 1610</v>
      </c>
      <c r="E328" s="1" t="str">
        <f>IFERROR(IF(ISNUMBER(VALUE(_xlfn.TEXTBEFORE(B328,"-"))),_xlfn.TEXTBEFORE(_xlfn.TEXTAFTER(B328,"-"),"-"),_xlfn.TEXTBEFORE(_xlfn.TEXTAFTER(B328,"-",2),"-")),"")</f>
        <v>300281660</v>
      </c>
      <c r="F328" s="1" t="str">
        <f>IFERROR(IF(ISNUMBER(VALUE(_xlfn.TEXTBEFORE(B328,"-"))),_xlfn.TEXTBEFORE(_xlfn.TEXTAFTER(B328,"-",2)," - "),_xlfn.TEXTBEFORE(_xlfn.TEXTAFTER(B328,"-",3)," - ")),"")</f>
        <v xml:space="preserve">F &amp; L AZEVEDO CONFECCAO LTDA FILIAL </v>
      </c>
      <c r="G328" s="1" t="str">
        <f>IFERROR(_xlfn.TEXTAFTER(B328," - ",-1),"")</f>
        <v>Etiqueta de Composição</v>
      </c>
      <c r="H328" s="13" t="s">
        <v>8006</v>
      </c>
      <c r="I328" s="21">
        <f>DATE(LEFT(H328,4),MID(H328,6,2),MID(H328,9,2))+TIME(MID(H328,12,2),MID(H328,15,2),MID(H328,18,2))</f>
        <v>46231.732048611113</v>
      </c>
      <c r="J328" s="25" t="s">
        <v>8007</v>
      </c>
      <c r="K328" s="1" t="s">
        <v>6795</v>
      </c>
    </row>
    <row r="329" spans="1:11" ht="197.25" hidden="1">
      <c r="A329" s="1" t="s">
        <v>8008</v>
      </c>
      <c r="B329" s="1" t="s">
        <v>8009</v>
      </c>
      <c r="C329" s="1" t="str">
        <f>IFERROR(IF(ISNUMBER(VALUE(_xlfn.TEXTBEFORE(B329,"-"))),"",_xlfn.TEXTBEFORE(B329,"-")),"")</f>
        <v>JEANS</v>
      </c>
      <c r="D329" s="19" t="str">
        <f>IFERROR(IF(ISNUMBER(VALUE(_xlfn.TEXTBEFORE(B329,"-"))),_xlfn.TEXTBEFORE(B329,"-"),_xlfn.TEXTBEFORE(_xlfn.TEXTAFTER(B329,"-"),"-")),"")</f>
        <v xml:space="preserve"> 1606</v>
      </c>
      <c r="E329" s="1" t="str">
        <f>IFERROR(IF(ISNUMBER(VALUE(_xlfn.TEXTBEFORE(B329,"-"))),_xlfn.TEXTBEFORE(_xlfn.TEXTAFTER(B329,"-"),"-"),_xlfn.TEXTBEFORE(_xlfn.TEXTAFTER(B329,"-",2),"-")),"")</f>
        <v>300284299</v>
      </c>
      <c r="F329" s="1" t="str">
        <f>IFERROR(IF(ISNUMBER(VALUE(_xlfn.TEXTBEFORE(B329,"-"))),_xlfn.TEXTBEFORE(_xlfn.TEXTAFTER(B329,"-",2)," - "),_xlfn.TEXTBEFORE(_xlfn.TEXTAFTER(B329,"-",3)," - ")),"")</f>
        <v xml:space="preserve">J M CONFECCOES &amp; CIA LTDA </v>
      </c>
      <c r="G329" s="1" t="str">
        <f>IFERROR(_xlfn.TEXTAFTER(B329," - ",-1),"")</f>
        <v>Etiqueta de Composição</v>
      </c>
      <c r="H329" s="13" t="s">
        <v>8010</v>
      </c>
      <c r="I329" s="21">
        <f>DATE(LEFT(H329,4),MID(H329,6,2),MID(H329,9,2))+TIME(MID(H329,12,2),MID(H329,15,2),MID(H329,18,2))</f>
        <v>46231.628831018519</v>
      </c>
      <c r="J329" s="25" t="s">
        <v>8011</v>
      </c>
      <c r="K329" s="1" t="s">
        <v>6795</v>
      </c>
    </row>
    <row r="330" spans="1:11" ht="213.75" hidden="1">
      <c r="A330" s="1" t="s">
        <v>8012</v>
      </c>
      <c r="B330" s="1" t="s">
        <v>8013</v>
      </c>
      <c r="C330" s="1" t="str">
        <f>IFERROR(IF(ISNUMBER(VALUE(_xlfn.TEXTBEFORE(B330,"-"))),"",_xlfn.TEXTBEFORE(B330,"-")),"")</f>
        <v>JEANS</v>
      </c>
      <c r="D330" s="19" t="str">
        <f>IFERROR(IF(ISNUMBER(VALUE(_xlfn.TEXTBEFORE(B330,"-"))),_xlfn.TEXTBEFORE(B330,"-"),_xlfn.TEXTBEFORE(_xlfn.TEXTAFTER(B330,"-"),"-")),"")</f>
        <v xml:space="preserve"> 1604</v>
      </c>
      <c r="E330" s="1" t="str">
        <f>IFERROR(IF(ISNUMBER(VALUE(_xlfn.TEXTBEFORE(B330,"-"))),_xlfn.TEXTBEFORE(_xlfn.TEXTAFTER(B330,"-"),"-"),_xlfn.TEXTBEFORE(_xlfn.TEXTAFTER(B330,"-",2),"-")),"")</f>
        <v>300277529</v>
      </c>
      <c r="F330" s="1" t="str">
        <f>IFERROR(IF(ISNUMBER(VALUE(_xlfn.TEXTBEFORE(B330,"-"))),_xlfn.TEXTBEFORE(_xlfn.TEXTAFTER(B330,"-",2)," - "),_xlfn.TEXTBEFORE(_xlfn.TEXTAFTER(B330,"-",3)," - ")),"")</f>
        <v xml:space="preserve">JOSENI MARIA DE MEDEIROS </v>
      </c>
      <c r="G330" s="1" t="str">
        <f>IFERROR(_xlfn.TEXTAFTER(B330," - ",-1),"")</f>
        <v>Etiqueta de Composição</v>
      </c>
      <c r="H330" s="13" t="s">
        <v>8014</v>
      </c>
      <c r="I330" s="21">
        <f>DATE(LEFT(H330,4),MID(H330,6,2),MID(H330,9,2))+TIME(MID(H330,12,2),MID(H330,15,2),MID(H330,18,2))</f>
        <v>46231.572870370372</v>
      </c>
      <c r="J330" s="25" t="s">
        <v>8015</v>
      </c>
      <c r="K330" s="1" t="s">
        <v>6795</v>
      </c>
    </row>
    <row r="331" spans="1:11" ht="213.75" hidden="1">
      <c r="A331" s="1" t="s">
        <v>8016</v>
      </c>
      <c r="B331" s="1" t="s">
        <v>8017</v>
      </c>
      <c r="C331" s="1" t="str">
        <f>IFERROR(IF(ISNUMBER(VALUE(_xlfn.TEXTBEFORE(B331,"-"))),"",_xlfn.TEXTBEFORE(B331,"-")),"")</f>
        <v>MALHA</v>
      </c>
      <c r="D331" s="19" t="str">
        <f>IFERROR(IF(ISNUMBER(VALUE(_xlfn.TEXTBEFORE(B331,"-"))),_xlfn.TEXTBEFORE(B331,"-"),_xlfn.TEXTBEFORE(_xlfn.TEXTAFTER(B331,"-"),"-")),"")</f>
        <v xml:space="preserve"> 1603</v>
      </c>
      <c r="E331" s="1" t="str">
        <f>IFERROR(IF(ISNUMBER(VALUE(_xlfn.TEXTBEFORE(B331,"-"))),_xlfn.TEXTBEFORE(_xlfn.TEXTAFTER(B331,"-"),"-"),_xlfn.TEXTBEFORE(_xlfn.TEXTAFTER(B331,"-",2),"-")),"")</f>
        <v>300280742</v>
      </c>
      <c r="F331" s="1" t="str">
        <f>IFERROR(IF(ISNUMBER(VALUE(_xlfn.TEXTBEFORE(B331,"-"))),_xlfn.TEXTBEFORE(_xlfn.TEXTAFTER(B331,"-",2)," - "),_xlfn.TEXTBEFORE(_xlfn.TEXTAFTER(B331,"-",3)," - ")),"")</f>
        <v xml:space="preserve">F &amp; L AZEVEDO CONFECCAO LTDA FILIAL </v>
      </c>
      <c r="G331" s="1" t="str">
        <f>IFERROR(_xlfn.TEXTAFTER(B331," - ",-1),"")</f>
        <v>Etiqueta de Composição</v>
      </c>
      <c r="H331" s="13" t="s">
        <v>8018</v>
      </c>
      <c r="I331" s="21">
        <f>DATE(LEFT(H331,4),MID(H331,6,2),MID(H331,9,2))+TIME(MID(H331,12,2),MID(H331,15,2),MID(H331,18,2))</f>
        <v>46231.571111111109</v>
      </c>
      <c r="J331" s="25" t="s">
        <v>8019</v>
      </c>
      <c r="K331" s="1" t="s">
        <v>6795</v>
      </c>
    </row>
    <row r="332" spans="1:11" ht="197.25" hidden="1">
      <c r="A332" s="1" t="s">
        <v>8020</v>
      </c>
      <c r="B332" s="1" t="s">
        <v>8021</v>
      </c>
      <c r="C332" s="1" t="str">
        <f>IFERROR(IF(ISNUMBER(VALUE(_xlfn.TEXTBEFORE(B332,"-"))),"",_xlfn.TEXTBEFORE(B332,"-")),"")</f>
        <v>MALHA</v>
      </c>
      <c r="D332" s="19" t="str">
        <f>IFERROR(IF(ISNUMBER(VALUE(_xlfn.TEXTBEFORE(B332,"-"))),_xlfn.TEXTBEFORE(B332,"-"),_xlfn.TEXTBEFORE(_xlfn.TEXTAFTER(B332,"-"),"-")),"")</f>
        <v xml:space="preserve"> 1596</v>
      </c>
      <c r="E332" s="1" t="str">
        <f>IFERROR(IF(ISNUMBER(VALUE(_xlfn.TEXTBEFORE(B332,"-"))),_xlfn.TEXTBEFORE(_xlfn.TEXTAFTER(B332,"-"),"-"),_xlfn.TEXTBEFORE(_xlfn.TEXTAFTER(B332,"-",2),"-")),"")</f>
        <v>300272210</v>
      </c>
      <c r="F332" s="1" t="str">
        <f>IFERROR(IF(ISNUMBER(VALUE(_xlfn.TEXTBEFORE(B332,"-"))),_xlfn.TEXTBEFORE(_xlfn.TEXTAFTER(B332,"-",2)," - "),_xlfn.TEXTBEFORE(_xlfn.TEXTAFTER(B332,"-",3)," - ")),"")</f>
        <v xml:space="preserve">F &amp; L AZEVEDO CONFECCAO LTDA FILIAL </v>
      </c>
      <c r="G332" s="1" t="str">
        <f>IFERROR(_xlfn.TEXTAFTER(B332," - ",-1),"")</f>
        <v>Traseiro</v>
      </c>
      <c r="H332" s="13" t="s">
        <v>8022</v>
      </c>
      <c r="I332" s="21">
        <f>DATE(LEFT(H332,4),MID(H332,6,2),MID(H332,9,2))+TIME(MID(H332,12,2),MID(H332,15,2),MID(H332,18,2))</f>
        <v>46231.561921296299</v>
      </c>
      <c r="J332" s="25" t="s">
        <v>8023</v>
      </c>
      <c r="K332" s="1" t="s">
        <v>6795</v>
      </c>
    </row>
    <row r="333" spans="1:11" ht="197.25" hidden="1">
      <c r="A333" s="1" t="s">
        <v>8024</v>
      </c>
      <c r="B333" s="1" t="s">
        <v>8025</v>
      </c>
      <c r="C333" s="1" t="str">
        <f>IFERROR(IF(ISNUMBER(VALUE(_xlfn.TEXTBEFORE(B333,"-"))),"",_xlfn.TEXTBEFORE(B333,"-")),"")</f>
        <v>MALHA</v>
      </c>
      <c r="D333" s="19" t="str">
        <f>IFERROR(IF(ISNUMBER(VALUE(_xlfn.TEXTBEFORE(B333,"-"))),_xlfn.TEXTBEFORE(B333,"-"),_xlfn.TEXTBEFORE(_xlfn.TEXTAFTER(B333,"-"),"-")),"")</f>
        <v xml:space="preserve"> 1595</v>
      </c>
      <c r="E333" s="1" t="str">
        <f>IFERROR(IF(ISNUMBER(VALUE(_xlfn.TEXTBEFORE(B333,"-"))),_xlfn.TEXTBEFORE(_xlfn.TEXTAFTER(B333,"-"),"-"),_xlfn.TEXTBEFORE(_xlfn.TEXTAFTER(B333,"-",2),"-")),"")</f>
        <v>300272210</v>
      </c>
      <c r="F333" s="1" t="str">
        <f>IFERROR(IF(ISNUMBER(VALUE(_xlfn.TEXTBEFORE(B333,"-"))),_xlfn.TEXTBEFORE(_xlfn.TEXTAFTER(B333,"-",2)," - "),_xlfn.TEXTBEFORE(_xlfn.TEXTAFTER(B333,"-",3)," - ")),"")</f>
        <v xml:space="preserve">F &amp; L AZEVEDO CONFECCAO LTDA FILIAL </v>
      </c>
      <c r="G333" s="1" t="str">
        <f>IFERROR(_xlfn.TEXTAFTER(B333," - ",-1),"")</f>
        <v>Manga</v>
      </c>
      <c r="H333" s="13" t="s">
        <v>8026</v>
      </c>
      <c r="I333" s="21">
        <f>DATE(LEFT(H333,4),MID(H333,6,2),MID(H333,9,2))+TIME(MID(H333,12,2),MID(H333,15,2),MID(H333,18,2))</f>
        <v>46231.561273148145</v>
      </c>
      <c r="J333" s="25" t="s">
        <v>8027</v>
      </c>
      <c r="K333" s="1" t="s">
        <v>6795</v>
      </c>
    </row>
    <row r="334" spans="1:11" ht="197.25" hidden="1">
      <c r="A334" s="1" t="s">
        <v>8028</v>
      </c>
      <c r="B334" s="1" t="s">
        <v>8029</v>
      </c>
      <c r="C334" s="1" t="str">
        <f>IFERROR(IF(ISNUMBER(VALUE(_xlfn.TEXTBEFORE(B334,"-"))),"",_xlfn.TEXTBEFORE(B334,"-")),"")</f>
        <v>MALHA</v>
      </c>
      <c r="D334" s="19" t="str">
        <f>IFERROR(IF(ISNUMBER(VALUE(_xlfn.TEXTBEFORE(B334,"-"))),_xlfn.TEXTBEFORE(B334,"-"),_xlfn.TEXTBEFORE(_xlfn.TEXTAFTER(B334,"-"),"-")),"")</f>
        <v xml:space="preserve"> 1593</v>
      </c>
      <c r="E334" s="1" t="str">
        <f>IFERROR(IF(ISNUMBER(VALUE(_xlfn.TEXTBEFORE(B334,"-"))),_xlfn.TEXTBEFORE(_xlfn.TEXTAFTER(B334,"-"),"-"),_xlfn.TEXTBEFORE(_xlfn.TEXTAFTER(B334,"-",2),"-")),"")</f>
        <v>300272210</v>
      </c>
      <c r="F334" s="1" t="str">
        <f>IFERROR(IF(ISNUMBER(VALUE(_xlfn.TEXTBEFORE(B334,"-"))),_xlfn.TEXTBEFORE(_xlfn.TEXTAFTER(B334,"-",2)," - "),_xlfn.TEXTBEFORE(_xlfn.TEXTAFTER(B334,"-",3)," - ")),"")</f>
        <v xml:space="preserve">F &amp; L AZEVEDO CONFECCAO LTDA FILIAL </v>
      </c>
      <c r="G334" s="1" t="str">
        <f>IFERROR(_xlfn.TEXTAFTER(B334," - ",-1),"")</f>
        <v>Frente</v>
      </c>
      <c r="H334" s="13" t="s">
        <v>8030</v>
      </c>
      <c r="I334" s="21">
        <f>DATE(LEFT(H334,4),MID(H334,6,2),MID(H334,9,2))+TIME(MID(H334,12,2),MID(H334,15,2),MID(H334,18,2))</f>
        <v>46231.560601851852</v>
      </c>
      <c r="J334" s="25" t="s">
        <v>8031</v>
      </c>
      <c r="K334" s="1" t="s">
        <v>6795</v>
      </c>
    </row>
    <row r="335" spans="1:11" ht="197.25" hidden="1">
      <c r="A335" s="1" t="s">
        <v>8032</v>
      </c>
      <c r="B335" s="1" t="s">
        <v>8033</v>
      </c>
      <c r="C335" s="1" t="str">
        <f>IFERROR(IF(ISNUMBER(VALUE(_xlfn.TEXTBEFORE(B335,"-"))),"",_xlfn.TEXTBEFORE(B335,"-")),"")</f>
        <v>MALHA</v>
      </c>
      <c r="D335" s="19" t="str">
        <f>IFERROR(IF(ISNUMBER(VALUE(_xlfn.TEXTBEFORE(B335,"-"))),_xlfn.TEXTBEFORE(B335,"-"),_xlfn.TEXTBEFORE(_xlfn.TEXTAFTER(B335,"-"),"-")),"")</f>
        <v xml:space="preserve"> 1592</v>
      </c>
      <c r="E335" s="1" t="str">
        <f>IFERROR(IF(ISNUMBER(VALUE(_xlfn.TEXTBEFORE(B335,"-"))),_xlfn.TEXTBEFORE(_xlfn.TEXTAFTER(B335,"-"),"-"),_xlfn.TEXTBEFORE(_xlfn.TEXTAFTER(B335,"-",2),"-")),"")</f>
        <v>300282889</v>
      </c>
      <c r="F335" s="1" t="str">
        <f>IFERROR(IF(ISNUMBER(VALUE(_xlfn.TEXTBEFORE(B335,"-"))),_xlfn.TEXTBEFORE(_xlfn.TEXTAFTER(B335,"-",2)," - "),_xlfn.TEXTBEFORE(_xlfn.TEXTAFTER(B335,"-",3)," - ")),"")</f>
        <v xml:space="preserve">F &amp; L AZEVEDO CONFECCAO LTDA FILIAL </v>
      </c>
      <c r="G335" s="1" t="str">
        <f>IFERROR(_xlfn.TEXTAFTER(B335," - ",-1),"")</f>
        <v>Traseiro</v>
      </c>
      <c r="H335" s="13" t="s">
        <v>8034</v>
      </c>
      <c r="I335" s="21">
        <f>DATE(LEFT(H335,4),MID(H335,6,2),MID(H335,9,2))+TIME(MID(H335,12,2),MID(H335,15,2),MID(H335,18,2))</f>
        <v>46231.559745370374</v>
      </c>
      <c r="J335" s="25" t="s">
        <v>8035</v>
      </c>
      <c r="K335" s="1" t="s">
        <v>6795</v>
      </c>
    </row>
    <row r="336" spans="1:11" ht="197.25" hidden="1">
      <c r="A336" s="1" t="s">
        <v>8036</v>
      </c>
      <c r="B336" s="1" t="s">
        <v>8037</v>
      </c>
      <c r="C336" s="1" t="str">
        <f>IFERROR(IF(ISNUMBER(VALUE(_xlfn.TEXTBEFORE(B336,"-"))),"",_xlfn.TEXTBEFORE(B336,"-")),"")</f>
        <v>MALHA</v>
      </c>
      <c r="D336" s="19" t="str">
        <f>IFERROR(IF(ISNUMBER(VALUE(_xlfn.TEXTBEFORE(B336,"-"))),_xlfn.TEXTBEFORE(B336,"-"),_xlfn.TEXTBEFORE(_xlfn.TEXTAFTER(B336,"-"),"-")),"")</f>
        <v xml:space="preserve"> 1591</v>
      </c>
      <c r="E336" s="1" t="str">
        <f>IFERROR(IF(ISNUMBER(VALUE(_xlfn.TEXTBEFORE(B336,"-"))),_xlfn.TEXTBEFORE(_xlfn.TEXTAFTER(B336,"-"),"-"),_xlfn.TEXTBEFORE(_xlfn.TEXTAFTER(B336,"-",2),"-")),"")</f>
        <v>300282889</v>
      </c>
      <c r="F336" s="1" t="str">
        <f>IFERROR(IF(ISNUMBER(VALUE(_xlfn.TEXTBEFORE(B336,"-"))),_xlfn.TEXTBEFORE(_xlfn.TEXTAFTER(B336,"-",2)," - "),_xlfn.TEXTBEFORE(_xlfn.TEXTAFTER(B336,"-",3)," - ")),"")</f>
        <v xml:space="preserve">F &amp; L AZEVEDO CONFECCAO LTDA FILIAL </v>
      </c>
      <c r="G336" s="1" t="str">
        <f>IFERROR(_xlfn.TEXTAFTER(B336," - ",-1),"")</f>
        <v>Frente</v>
      </c>
      <c r="H336" s="13" t="s">
        <v>8038</v>
      </c>
      <c r="I336" s="21">
        <f>DATE(LEFT(H336,4),MID(H336,6,2),MID(H336,9,2))+TIME(MID(H336,12,2),MID(H336,15,2),MID(H336,18,2))</f>
        <v>46231.558865740742</v>
      </c>
      <c r="J336" s="25" t="s">
        <v>8039</v>
      </c>
      <c r="K336" s="1" t="s">
        <v>6795</v>
      </c>
    </row>
    <row r="337" spans="1:11" ht="213.75" hidden="1">
      <c r="A337" s="1" t="s">
        <v>8040</v>
      </c>
      <c r="B337" s="1" t="s">
        <v>8041</v>
      </c>
      <c r="C337" s="1" t="str">
        <f>IFERROR(IF(ISNUMBER(VALUE(_xlfn.TEXTBEFORE(B337,"-"))),"",_xlfn.TEXTBEFORE(B337,"-")),"")</f>
        <v>MALHA</v>
      </c>
      <c r="D337" s="19" t="str">
        <f>IFERROR(IF(ISNUMBER(VALUE(_xlfn.TEXTBEFORE(B337,"-"))),_xlfn.TEXTBEFORE(B337,"-"),_xlfn.TEXTBEFORE(_xlfn.TEXTAFTER(B337,"-"),"-")),"")</f>
        <v xml:space="preserve"> 1588</v>
      </c>
      <c r="E337" s="1" t="str">
        <f>IFERROR(IF(ISNUMBER(VALUE(_xlfn.TEXTBEFORE(B337,"-"))),_xlfn.TEXTBEFORE(_xlfn.TEXTAFTER(B337,"-"),"-"),_xlfn.TEXTBEFORE(_xlfn.TEXTAFTER(B337,"-",2),"-")),"")</f>
        <v>300276882</v>
      </c>
      <c r="F337" s="1" t="str">
        <f>IFERROR(IF(ISNUMBER(VALUE(_xlfn.TEXTBEFORE(B337,"-"))),_xlfn.TEXTBEFORE(_xlfn.TEXTAFTER(B337,"-",2)," - "),_xlfn.TEXTBEFORE(_xlfn.TEXTAFTER(B337,"-",3)," - ")),"")</f>
        <v xml:space="preserve">POTENGI TEXTIL LTDA </v>
      </c>
      <c r="G337" s="1" t="str">
        <f>IFERROR(_xlfn.TEXTAFTER(B337," - ",-1),"")</f>
        <v>Gola</v>
      </c>
      <c r="H337" s="13" t="s">
        <v>8042</v>
      </c>
      <c r="I337" s="21">
        <f>DATE(LEFT(H337,4),MID(H337,6,2),MID(H337,9,2))+TIME(MID(H337,12,2),MID(H337,15,2),MID(H337,18,2))</f>
        <v>46231.546400462961</v>
      </c>
      <c r="J337" s="25" t="s">
        <v>8043</v>
      </c>
      <c r="K337" s="1" t="s">
        <v>6795</v>
      </c>
    </row>
    <row r="338" spans="1:11" ht="180.75" hidden="1">
      <c r="A338" s="1" t="s">
        <v>8044</v>
      </c>
      <c r="B338" s="1" t="s">
        <v>8045</v>
      </c>
      <c r="C338" s="1" t="str">
        <f>IFERROR(IF(ISNUMBER(VALUE(_xlfn.TEXTBEFORE(B338,"-"))),"",_xlfn.TEXTBEFORE(B338,"-")),"")</f>
        <v>MALHA</v>
      </c>
      <c r="D338" s="19" t="str">
        <f>IFERROR(IF(ISNUMBER(VALUE(_xlfn.TEXTBEFORE(B338,"-"))),_xlfn.TEXTBEFORE(B338,"-"),_xlfn.TEXTBEFORE(_xlfn.TEXTAFTER(B338,"-"),"-")),"")</f>
        <v xml:space="preserve"> 1587</v>
      </c>
      <c r="E338" s="1" t="str">
        <f>IFERROR(IF(ISNUMBER(VALUE(_xlfn.TEXTBEFORE(B338,"-"))),_xlfn.TEXTBEFORE(_xlfn.TEXTAFTER(B338,"-"),"-"),_xlfn.TEXTBEFORE(_xlfn.TEXTAFTER(B338,"-",2),"-")),"")</f>
        <v>300284835</v>
      </c>
      <c r="F338" s="1" t="str">
        <f>IFERROR(IF(ISNUMBER(VALUE(_xlfn.TEXTBEFORE(B338,"-"))),_xlfn.TEXTBEFORE(_xlfn.TEXTAFTER(B338,"-",2)," - "),_xlfn.TEXTBEFORE(_xlfn.TEXTAFTER(B338,"-",3)," - ")),"")</f>
        <v xml:space="preserve">DI3 CONFECCOES LTDA </v>
      </c>
      <c r="G338" s="1" t="str">
        <f>IFERROR(_xlfn.TEXTAFTER(B338," - ",-1),"")</f>
        <v>Frente</v>
      </c>
      <c r="H338" s="13" t="s">
        <v>8046</v>
      </c>
      <c r="I338" s="21">
        <f>DATE(LEFT(H338,4),MID(H338,6,2),MID(H338,9,2))+TIME(MID(H338,12,2),MID(H338,15,2),MID(H338,18,2))</f>
        <v>46231.535057870373</v>
      </c>
      <c r="J338" s="25" t="s">
        <v>8047</v>
      </c>
      <c r="K338" s="1" t="s">
        <v>6795</v>
      </c>
    </row>
    <row r="339" spans="1:11" ht="230.25" hidden="1">
      <c r="A339" s="1" t="e" cm="1">
        <f t="array" aca="1" ref="A339" ca="1">-UWik9Vy3kaNhCco5qzt72QADxAq</f>
        <v>#NAME?</v>
      </c>
      <c r="B339" s="1" t="s">
        <v>8048</v>
      </c>
      <c r="C339" s="1" t="str">
        <f>IFERROR(IF(ISNUMBER(VALUE(_xlfn.TEXTBEFORE(B339,"-"))),"",_xlfn.TEXTBEFORE(B339,"-")),"")</f>
        <v>JEANS</v>
      </c>
      <c r="D339" s="19" t="str">
        <f>IFERROR(IF(ISNUMBER(VALUE(_xlfn.TEXTBEFORE(B339,"-"))),_xlfn.TEXTBEFORE(B339,"-"),_xlfn.TEXTBEFORE(_xlfn.TEXTAFTER(B339,"-"),"-")),"")</f>
        <v xml:space="preserve"> 1585</v>
      </c>
      <c r="E339" s="1" t="str">
        <f>IFERROR(IF(ISNUMBER(VALUE(_xlfn.TEXTBEFORE(B339,"-"))),_xlfn.TEXTBEFORE(_xlfn.TEXTAFTER(B339,"-"),"-"),_xlfn.TEXTBEFORE(_xlfn.TEXTAFTER(B339,"-",2),"-")),"")</f>
        <v>300284338</v>
      </c>
      <c r="F339" s="1" t="str">
        <f>IFERROR(IF(ISNUMBER(VALUE(_xlfn.TEXTBEFORE(B339,"-"))),_xlfn.TEXTBEFORE(_xlfn.TEXTAFTER(B339,"-",2)," - "),_xlfn.TEXTBEFORE(_xlfn.TEXTAFTER(B339,"-",3)," - ")),"")</f>
        <v xml:space="preserve">FACCAO ELLO LTDA </v>
      </c>
      <c r="G339" s="1" t="str">
        <f>IFERROR(_xlfn.TEXTAFTER(B339," - ",-1),"")</f>
        <v>Etiqueta de Composição</v>
      </c>
      <c r="H339" s="13" t="s">
        <v>8049</v>
      </c>
      <c r="I339" s="21">
        <f>DATE(LEFT(H339,4),MID(H339,6,2),MID(H339,9,2))+TIME(MID(H339,12,2),MID(H339,15,2),MID(H339,18,2))</f>
        <v>46231.532592592594</v>
      </c>
      <c r="J339" s="25" t="s">
        <v>8050</v>
      </c>
      <c r="K339" s="1" t="s">
        <v>6795</v>
      </c>
    </row>
    <row r="340" spans="1:11" ht="197.25" hidden="1">
      <c r="A340" s="1" t="s">
        <v>8051</v>
      </c>
      <c r="B340" s="1" t="s">
        <v>8052</v>
      </c>
      <c r="C340" s="1" t="str">
        <f>IFERROR(IF(ISNUMBER(VALUE(_xlfn.TEXTBEFORE(B340,"-"))),"",_xlfn.TEXTBEFORE(B340,"-")),"")</f>
        <v>JEANS</v>
      </c>
      <c r="D340" s="19" t="str">
        <f>IFERROR(IF(ISNUMBER(VALUE(_xlfn.TEXTBEFORE(B340,"-"))),_xlfn.TEXTBEFORE(B340,"-"),_xlfn.TEXTBEFORE(_xlfn.TEXTAFTER(B340,"-"),"-")),"")</f>
        <v xml:space="preserve"> 1575</v>
      </c>
      <c r="E340" s="1" t="str">
        <f>IFERROR(IF(ISNUMBER(VALUE(_xlfn.TEXTBEFORE(B340,"-"))),_xlfn.TEXTBEFORE(_xlfn.TEXTAFTER(B340,"-"),"-"),_xlfn.TEXTBEFORE(_xlfn.TEXTAFTER(B340,"-",2),"-")),"")</f>
        <v>300284299</v>
      </c>
      <c r="F340" s="1" t="str">
        <f>IFERROR(IF(ISNUMBER(VALUE(_xlfn.TEXTBEFORE(B340,"-"))),_xlfn.TEXTBEFORE(_xlfn.TEXTAFTER(B340,"-",2)," - "),_xlfn.TEXTBEFORE(_xlfn.TEXTAFTER(B340,"-",3)," - ")),"")</f>
        <v xml:space="preserve">J M CONFECCOES &amp; CIA LTDA </v>
      </c>
      <c r="G340" s="1" t="str">
        <f>IFERROR(_xlfn.TEXTAFTER(B340," - ",-1),"")</f>
        <v>Etiqueta de Composição</v>
      </c>
      <c r="H340" s="13" t="s">
        <v>8053</v>
      </c>
      <c r="I340" s="21">
        <f>DATE(LEFT(H340,4),MID(H340,6,2),MID(H340,9,2))+TIME(MID(H340,12,2),MID(H340,15,2),MID(H340,18,2))</f>
        <v>46231.513703703706</v>
      </c>
      <c r="J340" s="25" t="s">
        <v>8054</v>
      </c>
      <c r="K340" s="1" t="s">
        <v>6795</v>
      </c>
    </row>
    <row r="341" spans="1:11" ht="246.75" hidden="1">
      <c r="A341" s="1" t="s">
        <v>8055</v>
      </c>
      <c r="B341" s="1" t="s">
        <v>8056</v>
      </c>
      <c r="C341" s="1" t="str">
        <f>IFERROR(IF(ISNUMBER(VALUE(_xlfn.TEXTBEFORE(B341,"-"))),"",_xlfn.TEXTBEFORE(B341,"-")),"")</f>
        <v>MALHA</v>
      </c>
      <c r="D341" s="19" t="str">
        <f>IFERROR(IF(ISNUMBER(VALUE(_xlfn.TEXTBEFORE(B341,"-"))),_xlfn.TEXTBEFORE(B341,"-"),_xlfn.TEXTBEFORE(_xlfn.TEXTAFTER(B341,"-"),"-")),"")</f>
        <v xml:space="preserve"> 1574</v>
      </c>
      <c r="E341" s="1" t="str">
        <f>IFERROR(IF(ISNUMBER(VALUE(_xlfn.TEXTBEFORE(B341,"-"))),_xlfn.TEXTBEFORE(_xlfn.TEXTAFTER(B341,"-"),"-"),_xlfn.TEXTBEFORE(_xlfn.TEXTAFTER(B341,"-",2),"-")),"")</f>
        <v>300282865</v>
      </c>
      <c r="F341" s="1" t="str">
        <f>IFERROR(IF(ISNUMBER(VALUE(_xlfn.TEXTBEFORE(B341,"-"))),_xlfn.TEXTBEFORE(_xlfn.TEXTAFTER(B341,"-",2)," - "),_xlfn.TEXTBEFORE(_xlfn.TEXTAFTER(B341,"-",3)," - ")),"")</f>
        <v xml:space="preserve">N S CONSTANTINO LTDA </v>
      </c>
      <c r="G341" s="1" t="str">
        <f>IFERROR(_xlfn.TEXTAFTER(B341," - ",-1),"")</f>
        <v>Etiqueta de Composição</v>
      </c>
      <c r="H341" s="13" t="s">
        <v>8057</v>
      </c>
      <c r="I341" s="21">
        <f>DATE(LEFT(H341,4),MID(H341,6,2),MID(H341,9,2))+TIME(MID(H341,12,2),MID(H341,15,2),MID(H341,18,2))</f>
        <v>46231.50949074074</v>
      </c>
      <c r="J341" s="25" t="s">
        <v>8058</v>
      </c>
      <c r="K341" s="1" t="s">
        <v>6795</v>
      </c>
    </row>
    <row r="342" spans="1:11" ht="246.75" hidden="1">
      <c r="A342" s="1" t="s">
        <v>8059</v>
      </c>
      <c r="B342" s="1" t="s">
        <v>8060</v>
      </c>
      <c r="C342" s="1" t="str">
        <f>IFERROR(IF(ISNUMBER(VALUE(_xlfn.TEXTBEFORE(B342,"-"))),"",_xlfn.TEXTBEFORE(B342,"-")),"")</f>
        <v>JEANS</v>
      </c>
      <c r="D342" s="19" t="str">
        <f>IFERROR(IF(ISNUMBER(VALUE(_xlfn.TEXTBEFORE(B342,"-"))),_xlfn.TEXTBEFORE(B342,"-"),_xlfn.TEXTBEFORE(_xlfn.TEXTAFTER(B342,"-"),"-")),"")</f>
        <v xml:space="preserve"> 1570</v>
      </c>
      <c r="E342" s="1" t="str">
        <f>IFERROR(IF(ISNUMBER(VALUE(_xlfn.TEXTBEFORE(B342,"-"))),_xlfn.TEXTBEFORE(_xlfn.TEXTAFTER(B342,"-"),"-"),_xlfn.TEXTBEFORE(_xlfn.TEXTAFTER(B342,"-",2),"-")),"")</f>
        <v>300278585</v>
      </c>
      <c r="F342" s="1" t="str">
        <f>IFERROR(IF(ISNUMBER(VALUE(_xlfn.TEXTBEFORE(B342,"-"))),_xlfn.TEXTBEFORE(_xlfn.TEXTAFTER(B342,"-",2)," - "),_xlfn.TEXTBEFORE(_xlfn.TEXTAFTER(B342,"-",3)," - ")),"")</f>
        <v xml:space="preserve">M &amp; F EMPREENDIMENTOS LTDA </v>
      </c>
      <c r="G342" s="1" t="str">
        <f>IFERROR(_xlfn.TEXTAFTER(B342," - ",-1),"")</f>
        <v>Etiqueta de Composição</v>
      </c>
      <c r="H342" s="13" t="s">
        <v>8061</v>
      </c>
      <c r="I342" s="21">
        <f>DATE(LEFT(H342,4),MID(H342,6,2),MID(H342,9,2))+TIME(MID(H342,12,2),MID(H342,15,2),MID(H342,18,2))</f>
        <v>46231.454629629632</v>
      </c>
      <c r="J342" s="25" t="s">
        <v>8062</v>
      </c>
      <c r="K342" s="1" t="s">
        <v>6795</v>
      </c>
    </row>
    <row r="343" spans="1:11" ht="230.25" hidden="1">
      <c r="A343" s="1" t="s">
        <v>8063</v>
      </c>
      <c r="B343" s="1" t="s">
        <v>8064</v>
      </c>
      <c r="C343" s="1" t="str">
        <f>IFERROR(IF(ISNUMBER(VALUE(_xlfn.TEXTBEFORE(B343,"-"))),"",_xlfn.TEXTBEFORE(B343,"-")),"")</f>
        <v>TEAR</v>
      </c>
      <c r="D343" s="19" t="str">
        <f>IFERROR(IF(ISNUMBER(VALUE(_xlfn.TEXTBEFORE(B343,"-"))),_xlfn.TEXTBEFORE(B343,"-"),_xlfn.TEXTBEFORE(_xlfn.TEXTAFTER(B343,"-"),"-")),"")</f>
        <v xml:space="preserve"> 1568</v>
      </c>
      <c r="E343" s="1" t="str">
        <f>IFERROR(IF(ISNUMBER(VALUE(_xlfn.TEXTBEFORE(B343,"-"))),_xlfn.TEXTBEFORE(_xlfn.TEXTAFTER(B343,"-"),"-"),_xlfn.TEXTBEFORE(_xlfn.TEXTAFTER(B343,"-",2),"-")),"")</f>
        <v>300279747</v>
      </c>
      <c r="F343" s="1" t="str">
        <f>IFERROR(IF(ISNUMBER(VALUE(_xlfn.TEXTBEFORE(B343,"-"))),_xlfn.TEXTBEFORE(_xlfn.TEXTAFTER(B343,"-",2)," - "),_xlfn.TEXTBEFORE(_xlfn.TEXTAFTER(B343,"-",3)," - ")),"")</f>
        <v xml:space="preserve">FREIRE SILVA CONFECCOES LTDA </v>
      </c>
      <c r="G343" s="1" t="str">
        <f>IFERROR(_xlfn.TEXTAFTER(B343," - ",-1),"")</f>
        <v>Etiqueta de Composição</v>
      </c>
      <c r="H343" s="13" t="s">
        <v>8065</v>
      </c>
      <c r="I343" s="21">
        <f>DATE(LEFT(H343,4),MID(H343,6,2),MID(H343,9,2))+TIME(MID(H343,12,2),MID(H343,15,2),MID(H343,18,2))</f>
        <v>46231.444456018522</v>
      </c>
      <c r="J343" s="25" t="s">
        <v>8066</v>
      </c>
      <c r="K343" s="1" t="s">
        <v>6795</v>
      </c>
    </row>
    <row r="344" spans="1:11" ht="213.75" hidden="1">
      <c r="A344" s="1" t="s">
        <v>8067</v>
      </c>
      <c r="B344" s="1" t="s">
        <v>8068</v>
      </c>
      <c r="C344" s="1" t="str">
        <f>IFERROR(IF(ISNUMBER(VALUE(_xlfn.TEXTBEFORE(B344,"-"))),"",_xlfn.TEXTBEFORE(B344,"-")),"")</f>
        <v>MALHA</v>
      </c>
      <c r="D344" s="19" t="str">
        <f>IFERROR(IF(ISNUMBER(VALUE(_xlfn.TEXTBEFORE(B344,"-"))),_xlfn.TEXTBEFORE(B344,"-"),_xlfn.TEXTBEFORE(_xlfn.TEXTAFTER(B344,"-"),"-")),"")</f>
        <v xml:space="preserve"> 1562</v>
      </c>
      <c r="E344" s="1" t="str">
        <f>IFERROR(IF(ISNUMBER(VALUE(_xlfn.TEXTBEFORE(B344,"-"))),_xlfn.TEXTBEFORE(_xlfn.TEXTAFTER(B344,"-"),"-"),_xlfn.TEXTBEFORE(_xlfn.TEXTAFTER(B344,"-",2),"-")),"")</f>
        <v>300274892</v>
      </c>
      <c r="F344" s="1" t="str">
        <f>IFERROR(IF(ISNUMBER(VALUE(_xlfn.TEXTBEFORE(B344,"-"))),_xlfn.TEXTBEFORE(_xlfn.TEXTAFTER(B344,"-",2)," - "),_xlfn.TEXTBEFORE(_xlfn.TEXTAFTER(B344,"-",3)," - ")),"")</f>
        <v xml:space="preserve">LC TEXTIL LTDA </v>
      </c>
      <c r="G344" s="1" t="str">
        <f>IFERROR(_xlfn.TEXTAFTER(B344," - ",-1),"")</f>
        <v>Etiqueta de Composição</v>
      </c>
      <c r="H344" s="13" t="s">
        <v>8069</v>
      </c>
      <c r="I344" s="21">
        <f>DATE(LEFT(H344,4),MID(H344,6,2),MID(H344,9,2))+TIME(MID(H344,12,2),MID(H344,15,2),MID(H344,18,2))</f>
        <v>46230.839618055557</v>
      </c>
      <c r="J344" s="25" t="s">
        <v>8070</v>
      </c>
      <c r="K344" s="1" t="s">
        <v>6795</v>
      </c>
    </row>
    <row r="345" spans="1:11" ht="213.75" hidden="1">
      <c r="A345" s="1" t="s">
        <v>8071</v>
      </c>
      <c r="B345" s="1" t="s">
        <v>8072</v>
      </c>
      <c r="C345" s="1" t="str">
        <f>IFERROR(IF(ISNUMBER(VALUE(_xlfn.TEXTBEFORE(B345,"-"))),"",_xlfn.TEXTBEFORE(B345,"-")),"")</f>
        <v>MALHA</v>
      </c>
      <c r="D345" s="19" t="str">
        <f>IFERROR(IF(ISNUMBER(VALUE(_xlfn.TEXTBEFORE(B345,"-"))),_xlfn.TEXTBEFORE(B345,"-"),_xlfn.TEXTBEFORE(_xlfn.TEXTAFTER(B345,"-"),"-")),"")</f>
        <v xml:space="preserve"> 1549</v>
      </c>
      <c r="E345" s="1" t="str">
        <f>IFERROR(IF(ISNUMBER(VALUE(_xlfn.TEXTBEFORE(B345,"-"))),_xlfn.TEXTBEFORE(_xlfn.TEXTAFTER(B345,"-"),"-"),_xlfn.TEXTBEFORE(_xlfn.TEXTAFTER(B345,"-",2),"-")),"")</f>
        <v>300284834</v>
      </c>
      <c r="F345" s="1" t="str">
        <f>IFERROR(IF(ISNUMBER(VALUE(_xlfn.TEXTBEFORE(B345,"-"))),_xlfn.TEXTBEFORE(_xlfn.TEXTAFTER(B345,"-",2)," - "),_xlfn.TEXTBEFORE(_xlfn.TEXTAFTER(B345,"-",3)," - ")),"")</f>
        <v xml:space="preserve">JOSE MEDEIROS DE ARAUJO </v>
      </c>
      <c r="G345" s="1" t="str">
        <f>IFERROR(_xlfn.TEXTAFTER(B345," - ",-1),"")</f>
        <v>Etiqueta de Composição</v>
      </c>
      <c r="H345" s="13" t="s">
        <v>8073</v>
      </c>
      <c r="I345" s="21">
        <f>DATE(LEFT(H345,4),MID(H345,6,2),MID(H345,9,2))+TIME(MID(H345,12,2),MID(H345,15,2),MID(H345,18,2))</f>
        <v>46230.71365740741</v>
      </c>
      <c r="J345" s="25" t="s">
        <v>8074</v>
      </c>
      <c r="K345" s="1" t="s">
        <v>6795</v>
      </c>
    </row>
    <row r="346" spans="1:11" ht="409.6" hidden="1">
      <c r="A346" s="1" t="s">
        <v>8075</v>
      </c>
      <c r="B346" s="1" t="s">
        <v>8076</v>
      </c>
      <c r="C346" s="1" t="str">
        <f>IFERROR(IF(ISNUMBER(VALUE(_xlfn.TEXTBEFORE(B346,"-"))),"",_xlfn.TEXTBEFORE(B346,"-")),"")</f>
        <v>JEANS</v>
      </c>
      <c r="D346" s="19" t="str">
        <f>IFERROR(IF(ISNUMBER(VALUE(_xlfn.TEXTBEFORE(B346,"-"))),_xlfn.TEXTBEFORE(B346,"-"),_xlfn.TEXTBEFORE(_xlfn.TEXTAFTER(B346,"-"),"-")),"")</f>
        <v xml:space="preserve"> 1548</v>
      </c>
      <c r="E346" s="1" t="str">
        <f>IFERROR(IF(ISNUMBER(VALUE(_xlfn.TEXTBEFORE(B346,"-"))),_xlfn.TEXTBEFORE(_xlfn.TEXTAFTER(B346,"-"),"-"),_xlfn.TEXTBEFORE(_xlfn.TEXTAFTER(B346,"-",2),"-")),"")</f>
        <v>300281498</v>
      </c>
      <c r="F346" s="1" t="str">
        <f>IFERROR(IF(ISNUMBER(VALUE(_xlfn.TEXTBEFORE(B346,"-"))),_xlfn.TEXTBEFORE(_xlfn.TEXTAFTER(B346,"-",2)," - "),_xlfn.TEXTBEFORE(_xlfn.TEXTAFTER(B346,"-",3)," - ")),"")</f>
        <v xml:space="preserve">IVANILDO JOSE DE SOUZA </v>
      </c>
      <c r="G346" s="1" t="str">
        <f>IFERROR(_xlfn.TEXTAFTER(B346," - ",-1),"")</f>
        <v>Aviamento Completo</v>
      </c>
      <c r="H346" s="13" t="s">
        <v>8077</v>
      </c>
      <c r="I346" s="21">
        <f>DATE(LEFT(H346,4),MID(H346,6,2),MID(H346,9,2))+TIME(MID(H346,12,2),MID(H346,15,2),MID(H346,18,2))</f>
        <v>46230.708402777775</v>
      </c>
      <c r="J346" s="25" t="s">
        <v>8078</v>
      </c>
      <c r="K346" s="1" t="s">
        <v>6795</v>
      </c>
    </row>
    <row r="347" spans="1:11" ht="213.75" hidden="1">
      <c r="A347" s="1" t="s">
        <v>8079</v>
      </c>
      <c r="B347" s="1" t="s">
        <v>8080</v>
      </c>
      <c r="C347" s="1" t="str">
        <f>IFERROR(IF(ISNUMBER(VALUE(_xlfn.TEXTBEFORE(B347,"-"))),"",_xlfn.TEXTBEFORE(B347,"-")),"")</f>
        <v>MALHA</v>
      </c>
      <c r="D347" s="19" t="str">
        <f>IFERROR(IF(ISNUMBER(VALUE(_xlfn.TEXTBEFORE(B347,"-"))),_xlfn.TEXTBEFORE(B347,"-"),_xlfn.TEXTBEFORE(_xlfn.TEXTAFTER(B347,"-"),"-")),"")</f>
        <v xml:space="preserve"> 1547</v>
      </c>
      <c r="E347" s="1" t="str">
        <f>IFERROR(IF(ISNUMBER(VALUE(_xlfn.TEXTBEFORE(B347,"-"))),_xlfn.TEXTBEFORE(_xlfn.TEXTAFTER(B347,"-"),"-"),_xlfn.TEXTBEFORE(_xlfn.TEXTAFTER(B347,"-",2),"-")),"")</f>
        <v>300283628</v>
      </c>
      <c r="F347" s="1" t="str">
        <f>IFERROR(IF(ISNUMBER(VALUE(_xlfn.TEXTBEFORE(B347,"-"))),_xlfn.TEXTBEFORE(_xlfn.TEXTAFTER(B347,"-",2)," - "),_xlfn.TEXTBEFORE(_xlfn.TEXTAFTER(B347,"-",3)," - ")),"")</f>
        <v xml:space="preserve">LC TEXTIL LTDA </v>
      </c>
      <c r="G347" s="1" t="str">
        <f>IFERROR(_xlfn.TEXTAFTER(B347," - ",-1),"")</f>
        <v>Etiqueta de Composição</v>
      </c>
      <c r="H347" s="13" t="s">
        <v>8081</v>
      </c>
      <c r="I347" s="21">
        <f>DATE(LEFT(H347,4),MID(H347,6,2),MID(H347,9,2))+TIME(MID(H347,12,2),MID(H347,15,2),MID(H347,18,2))</f>
        <v>46230.708298611113</v>
      </c>
      <c r="J347" s="25" t="s">
        <v>8082</v>
      </c>
      <c r="K347" s="1" t="s">
        <v>6795</v>
      </c>
    </row>
    <row r="348" spans="1:11" ht="279.75" hidden="1">
      <c r="A348" s="1" t="s">
        <v>8083</v>
      </c>
      <c r="B348" s="1" t="s">
        <v>8084</v>
      </c>
      <c r="C348" s="1" t="str">
        <f>IFERROR(IF(ISNUMBER(VALUE(_xlfn.TEXTBEFORE(B348,"-"))),"",_xlfn.TEXTBEFORE(B348,"-")),"")</f>
        <v>JEANS</v>
      </c>
      <c r="D348" s="19" t="str">
        <f>IFERROR(IF(ISNUMBER(VALUE(_xlfn.TEXTBEFORE(B348,"-"))),_xlfn.TEXTBEFORE(B348,"-"),_xlfn.TEXTBEFORE(_xlfn.TEXTAFTER(B348,"-"),"-")),"")</f>
        <v xml:space="preserve"> 1545</v>
      </c>
      <c r="E348" s="1" t="str">
        <f>IFERROR(IF(ISNUMBER(VALUE(_xlfn.TEXTBEFORE(B348,"-"))),_xlfn.TEXTBEFORE(_xlfn.TEXTAFTER(B348,"-"),"-"),_xlfn.TEXTBEFORE(_xlfn.TEXTAFTER(B348,"-",2),"-")),"")</f>
        <v>300281498</v>
      </c>
      <c r="F348" s="1" t="str">
        <f>IFERROR(IF(ISNUMBER(VALUE(_xlfn.TEXTBEFORE(B348,"-"))),_xlfn.TEXTBEFORE(_xlfn.TEXTAFTER(B348,"-",2)," - "),_xlfn.TEXTBEFORE(_xlfn.TEXTAFTER(B348,"-",3)," - ")),"")</f>
        <v xml:space="preserve">IVANILDO JOSE DE SOUZA </v>
      </c>
      <c r="G348" s="1" t="str">
        <f>IFERROR(_xlfn.TEXTAFTER(B348," - ",-1),"")</f>
        <v>Aviamento Completo</v>
      </c>
      <c r="H348" s="13" t="s">
        <v>8085</v>
      </c>
      <c r="I348" s="21">
        <f>DATE(LEFT(H348,4),MID(H348,6,2),MID(H348,9,2))+TIME(MID(H348,12,2),MID(H348,15,2),MID(H348,18,2))</f>
        <v>46230.695671296293</v>
      </c>
      <c r="J348" s="25" t="s">
        <v>8086</v>
      </c>
      <c r="K348" s="1" t="s">
        <v>6795</v>
      </c>
    </row>
    <row r="349" spans="1:11" ht="213.75" hidden="1">
      <c r="A349" s="1" t="s">
        <v>8087</v>
      </c>
      <c r="B349" s="1" t="s">
        <v>8088</v>
      </c>
      <c r="C349" s="1" t="str">
        <f>IFERROR(IF(ISNUMBER(VALUE(_xlfn.TEXTBEFORE(B349,"-"))),"",_xlfn.TEXTBEFORE(B349,"-")),"")</f>
        <v>POLO</v>
      </c>
      <c r="D349" s="19" t="str">
        <f>IFERROR(IF(ISNUMBER(VALUE(_xlfn.TEXTBEFORE(B349,"-"))),_xlfn.TEXTBEFORE(B349,"-"),_xlfn.TEXTBEFORE(_xlfn.TEXTAFTER(B349,"-"),"-")),"")</f>
        <v xml:space="preserve"> 1543</v>
      </c>
      <c r="E349" s="1" t="str">
        <f>IFERROR(IF(ISNUMBER(VALUE(_xlfn.TEXTBEFORE(B349,"-"))),_xlfn.TEXTBEFORE(_xlfn.TEXTAFTER(B349,"-"),"-"),_xlfn.TEXTBEFORE(_xlfn.TEXTAFTER(B349,"-",2),"-")),"")</f>
        <v>300282552</v>
      </c>
      <c r="F349" s="1" t="str">
        <f>IFERROR(IF(ISNUMBER(VALUE(_xlfn.TEXTBEFORE(B349,"-"))),_xlfn.TEXTBEFORE(_xlfn.TEXTAFTER(B349,"-",2)," - "),_xlfn.TEXTBEFORE(_xlfn.TEXTAFTER(B349,"-",3)," - ")),"")</f>
        <v xml:space="preserve">TECE COSTURAS E CONFECCOES LTDA </v>
      </c>
      <c r="G349" s="1" t="str">
        <f>IFERROR(_xlfn.TEXTAFTER(B349," - ",-1),"")</f>
        <v>Etiqueta de Composição</v>
      </c>
      <c r="H349" s="13" t="s">
        <v>8089</v>
      </c>
      <c r="I349" s="21">
        <f>DATE(LEFT(H349,4),MID(H349,6,2),MID(H349,9,2))+TIME(MID(H349,12,2),MID(H349,15,2),MID(H349,18,2))</f>
        <v>46230.689675925925</v>
      </c>
      <c r="J349" s="25" t="s">
        <v>8090</v>
      </c>
      <c r="K349" s="1" t="s">
        <v>6795</v>
      </c>
    </row>
    <row r="350" spans="1:11" ht="246.75" hidden="1">
      <c r="A350" s="1" t="e" cm="1">
        <f t="array" aca="1" ref="A350" ca="1">-trtUhf04km_ltGnupYZ_WQAFcpW</f>
        <v>#NAME?</v>
      </c>
      <c r="B350" s="1" t="s">
        <v>6800</v>
      </c>
      <c r="C350" s="1" t="str">
        <f>IFERROR(IF(ISNUMBER(VALUE(_xlfn.TEXTBEFORE(B350,"-"))),"",_xlfn.TEXTBEFORE(B350,"-")),"")</f>
        <v>POLO</v>
      </c>
      <c r="D350" s="19" t="str">
        <f>IFERROR(IF(ISNUMBER(VALUE(_xlfn.TEXTBEFORE(B350,"-"))),_xlfn.TEXTBEFORE(B350,"-"),_xlfn.TEXTBEFORE(_xlfn.TEXTAFTER(B350,"-"),"-")),"")</f>
        <v xml:space="preserve"> 1383</v>
      </c>
      <c r="E350" s="1" t="str">
        <f>IFERROR(IF(ISNUMBER(VALUE(_xlfn.TEXTBEFORE(B350,"-"))),_xlfn.TEXTBEFORE(_xlfn.TEXTAFTER(B350,"-"),"-"),_xlfn.TEXTBEFORE(_xlfn.TEXTAFTER(B350,"-",2),"-")),"")</f>
        <v>300281371</v>
      </c>
      <c r="F350" s="1" t="str">
        <f>IFERROR(IF(ISNUMBER(VALUE(_xlfn.TEXTBEFORE(B350,"-"))),_xlfn.TEXTBEFORE(_xlfn.TEXTAFTER(B350,"-",2)," - "),_xlfn.TEXTBEFORE(_xlfn.TEXTAFTER(B350,"-",3)," - ")),"")</f>
        <v xml:space="preserve">POTENGI TEXTIL LTDA </v>
      </c>
      <c r="G350" s="1" t="str">
        <f>IFERROR(_xlfn.TEXTAFTER(B350," - ",-1),"")</f>
        <v>Etiqueta de Composição</v>
      </c>
      <c r="H350" s="13" t="s">
        <v>6801</v>
      </c>
      <c r="I350" s="21">
        <f>DATE(LEFT(H350,4),MID(H350,6,2),MID(H350,9,2))+TIME(MID(H350,12,2),MID(H350,15,2),MID(H350,18,2))</f>
        <v>46225.71770833333</v>
      </c>
      <c r="J350" s="25" t="s">
        <v>6802</v>
      </c>
      <c r="K350" s="1" t="s">
        <v>6795</v>
      </c>
    </row>
    <row r="351" spans="1:11" ht="213.75" hidden="1">
      <c r="A351" s="1" t="e" cm="1">
        <f t="array" aca="1" ref="A351" ca="1">-k6jKxjV90KrYV__-_UL7mQAPjAC</f>
        <v>#NAME?</v>
      </c>
      <c r="B351" s="1" t="s">
        <v>7119</v>
      </c>
      <c r="C351" s="1" t="str">
        <f>IFERROR(IF(ISNUMBER(VALUE(_xlfn.TEXTBEFORE(B351,"-"))),"",_xlfn.TEXTBEFORE(B351,"-")),"")</f>
        <v>TEAR</v>
      </c>
      <c r="D351" s="19" t="str">
        <f>IFERROR(IF(ISNUMBER(VALUE(_xlfn.TEXTBEFORE(B351,"-"))),_xlfn.TEXTBEFORE(B351,"-"),_xlfn.TEXTBEFORE(_xlfn.TEXTAFTER(B351,"-"),"-")),"")</f>
        <v xml:space="preserve"> 1296</v>
      </c>
      <c r="E351" s="1" t="str">
        <f>IFERROR(IF(ISNUMBER(VALUE(_xlfn.TEXTBEFORE(B351,"-"))),_xlfn.TEXTBEFORE(_xlfn.TEXTAFTER(B351,"-"),"-"),_xlfn.TEXTBEFORE(_xlfn.TEXTAFTER(B351,"-",2),"-")),"")</f>
        <v>300282856</v>
      </c>
      <c r="F351" s="1" t="str">
        <f>IFERROR(IF(ISNUMBER(VALUE(_xlfn.TEXTBEFORE(B351,"-"))),_xlfn.TEXTBEFORE(_xlfn.TEXTAFTER(B351,"-",2)," - "),_xlfn.TEXTBEFORE(_xlfn.TEXTAFTER(B351,"-",3)," - ")),"")</f>
        <v xml:space="preserve">CONFECCOES GENESIS LTDA </v>
      </c>
      <c r="G351" s="1" t="str">
        <f>IFERROR(_xlfn.TEXTAFTER(B351," - ",-1),"")</f>
        <v>Etiqueta de Composição</v>
      </c>
      <c r="H351" s="13" t="s">
        <v>7120</v>
      </c>
      <c r="I351" s="21">
        <f>DATE(LEFT(H351,4),MID(H351,6,2),MID(H351,9,2))+TIME(MID(H351,12,2),MID(H351,15,2),MID(H351,18,2))</f>
        <v>46223.59747685185</v>
      </c>
      <c r="J351" s="25" t="s">
        <v>7121</v>
      </c>
      <c r="K351" s="1" t="s">
        <v>6795</v>
      </c>
    </row>
    <row r="352" spans="1:11" ht="197.25" hidden="1">
      <c r="A352" s="1" t="e" cm="1">
        <f t="array" aca="1" ref="A352" ca="1">-_x3DTmhSUqzOT-t28cb52QAPAPo</f>
        <v>#NAME?</v>
      </c>
      <c r="B352" s="1" t="s">
        <v>7221</v>
      </c>
      <c r="C352" s="1" t="str">
        <f>IFERROR(IF(ISNUMBER(VALUE(_xlfn.TEXTBEFORE(B352,"-"))),"",_xlfn.TEXTBEFORE(B352,"-")),"")</f>
        <v>MALHA</v>
      </c>
      <c r="D352" s="19" t="str">
        <f>IFERROR(IF(ISNUMBER(VALUE(_xlfn.TEXTBEFORE(B352,"-"))),_xlfn.TEXTBEFORE(B352,"-"),_xlfn.TEXTBEFORE(_xlfn.TEXTAFTER(B352,"-"),"-")),"")</f>
        <v xml:space="preserve"> 1251</v>
      </c>
      <c r="E352" s="1" t="str">
        <f>IFERROR(IF(ISNUMBER(VALUE(_xlfn.TEXTBEFORE(B352,"-"))),_xlfn.TEXTBEFORE(_xlfn.TEXTAFTER(B352,"-"),"-"),_xlfn.TEXTBEFORE(_xlfn.TEXTAFTER(B352,"-",2),"-")),"")</f>
        <v>300281662</v>
      </c>
      <c r="F352" s="1" t="str">
        <f>IFERROR(IF(ISNUMBER(VALUE(_xlfn.TEXTBEFORE(B352,"-"))),_xlfn.TEXTBEFORE(_xlfn.TEXTAFTER(B352,"-",2)," - "),_xlfn.TEXTBEFORE(_xlfn.TEXTAFTER(B352,"-",3)," - ")),"")</f>
        <v xml:space="preserve">F &amp; L AZEVEDO CONFECCAO LTDA FILIAL </v>
      </c>
      <c r="G352" s="1" t="str">
        <f>IFERROR(_xlfn.TEXTAFTER(B352," - ",-1),"")</f>
        <v>Etiqueta de Composição</v>
      </c>
      <c r="H352" s="13" t="s">
        <v>7222</v>
      </c>
      <c r="I352" s="21">
        <f>DATE(LEFT(H352,4),MID(H352,6,2),MID(H352,9,2))+TIME(MID(H352,12,2),MID(H352,15,2),MID(H352,18,2))</f>
        <v>46220.563506944447</v>
      </c>
      <c r="J352" s="25" t="s">
        <v>7223</v>
      </c>
      <c r="K352" s="1" t="s">
        <v>6795</v>
      </c>
    </row>
    <row r="353" spans="1:11" ht="213.75" hidden="1">
      <c r="A353" s="1" t="e" cm="1">
        <f t="array" aca="1" ref="A353" ca="1">-q2c_Z-UFkmhLdfGVYIY-GQAMJan</f>
        <v>#NAME?</v>
      </c>
      <c r="B353" s="1" t="s">
        <v>7826</v>
      </c>
      <c r="C353" s="1" t="str">
        <f>IFERROR(IF(ISNUMBER(VALUE(_xlfn.TEXTBEFORE(B353,"-"))),"",_xlfn.TEXTBEFORE(B353,"-")),"")</f>
        <v>TEAR</v>
      </c>
      <c r="D353" s="19" t="str">
        <f>IFERROR(IF(ISNUMBER(VALUE(_xlfn.TEXTBEFORE(B353,"-"))),_xlfn.TEXTBEFORE(B353,"-"),_xlfn.TEXTBEFORE(_xlfn.TEXTAFTER(B353,"-"),"-")),"")</f>
        <v xml:space="preserve"> 1026</v>
      </c>
      <c r="E353" s="1" t="str">
        <f>IFERROR(IF(ISNUMBER(VALUE(_xlfn.TEXTBEFORE(B353,"-"))),_xlfn.TEXTBEFORE(_xlfn.TEXTAFTER(B353,"-"),"-"),_xlfn.TEXTBEFORE(_xlfn.TEXTAFTER(B353,"-",2),"-")),"")</f>
        <v>300280237</v>
      </c>
      <c r="F353" s="1" t="str">
        <f>IFERROR(IF(ISNUMBER(VALUE(_xlfn.TEXTBEFORE(B353,"-"))),_xlfn.TEXTBEFORE(_xlfn.TEXTAFTER(B353,"-",2)," - "),_xlfn.TEXTBEFORE(_xlfn.TEXTAFTER(B353,"-",3)," - ")),"")</f>
        <v xml:space="preserve">JOSENI MARIA DE MEDEIROS </v>
      </c>
      <c r="G353" s="1" t="str">
        <f>IFERROR(_xlfn.TEXTAFTER(B353," - ",-1),"")</f>
        <v>Etiqueta de Composição</v>
      </c>
      <c r="H353" s="13" t="s">
        <v>7827</v>
      </c>
      <c r="I353" s="21">
        <f>DATE(LEFT(H353,4),MID(H353,6,2),MID(H353,9,2))+TIME(MID(H353,12,2),MID(H353,15,2),MID(H353,18,2))</f>
        <v>46213.584409722222</v>
      </c>
      <c r="J353" s="25" t="s">
        <v>7828</v>
      </c>
      <c r="K353" s="1" t="s">
        <v>6795</v>
      </c>
    </row>
    <row r="354" spans="1:11" ht="246.75" hidden="1">
      <c r="A354" s="1" t="e" cm="1">
        <f t="array" aca="1" ref="A354" ca="1">-hBD8LnLfkqEMcmz5eNnP2QAM7jM</f>
        <v>#NAME?</v>
      </c>
      <c r="B354" s="1" t="s">
        <v>7186</v>
      </c>
      <c r="C354" s="1" t="str">
        <f>IFERROR(IF(ISNUMBER(VALUE(_xlfn.TEXTBEFORE(B354,"-"))),"",_xlfn.TEXTBEFORE(B354,"-")),"")</f>
        <v/>
      </c>
      <c r="D354" s="19" t="str">
        <f>IFERROR(IF(ISNUMBER(VALUE(_xlfn.TEXTBEFORE(B354,"-"))),_xlfn.TEXTBEFORE(B354,"-"),_xlfn.TEXTBEFORE(_xlfn.TEXTAFTER(B354,"-"),"-")),"")</f>
        <v>762</v>
      </c>
      <c r="E354" s="1" t="str">
        <f>IFERROR(IF(ISNUMBER(VALUE(_xlfn.TEXTBEFORE(B354,"-"))),_xlfn.TEXTBEFORE(_xlfn.TEXTAFTER(B354,"-"),"-"),_xlfn.TEXTBEFORE(_xlfn.TEXTAFTER(B354,"-",2),"-")),"")</f>
        <v>300270294</v>
      </c>
      <c r="F354" s="1" t="str">
        <f>IFERROR(IF(ISNUMBER(VALUE(_xlfn.TEXTBEFORE(B354,"-"))),_xlfn.TEXTBEFORE(_xlfn.TEXTAFTER(B354,"-",2)," - "),_xlfn.TEXTBEFORE(_xlfn.TEXTAFTER(B354,"-",3)," - ")),"")</f>
        <v xml:space="preserve">F &amp; L AZEVEDO CONFECCAO LTDA MATRIZ </v>
      </c>
      <c r="G354" s="1" t="str">
        <f>IFERROR(_xlfn.TEXTAFTER(B354," - ",-1),"")</f>
        <v>Etiqueta de Composição</v>
      </c>
      <c r="H354" s="13" t="s">
        <v>7187</v>
      </c>
      <c r="I354" s="21">
        <f>DATE(LEFT(H354,4),MID(H354,6,2),MID(H354,9,2))+TIME(MID(H354,12,2),MID(H354,15,2),MID(H354,18,2))</f>
        <v>46205.866261574076</v>
      </c>
      <c r="J354" s="25" t="s">
        <v>7188</v>
      </c>
      <c r="K354" s="1" t="s">
        <v>6795</v>
      </c>
    </row>
    <row r="355" spans="1:11" ht="279.75" hidden="1">
      <c r="A355" s="1" t="e" cm="1">
        <f t="array" aca="1" ref="A355" ca="1">---dgbpSpEynBk9rN5YfrGQAAk0Z</f>
        <v>#NAME?</v>
      </c>
      <c r="B355" s="1" t="s">
        <v>7735</v>
      </c>
      <c r="C355" s="1" t="str">
        <f>IFERROR(IF(ISNUMBER(VALUE(_xlfn.TEXTBEFORE(B355,"-"))),"",_xlfn.TEXTBEFORE(B355,"-")),"")</f>
        <v/>
      </c>
      <c r="D355" s="19" t="str">
        <f>IFERROR(IF(ISNUMBER(VALUE(_xlfn.TEXTBEFORE(B355,"-"))),_xlfn.TEXTBEFORE(B355,"-"),_xlfn.TEXTBEFORE(_xlfn.TEXTAFTER(B355,"-"),"-")),"")</f>
        <v>519</v>
      </c>
      <c r="E355" s="1" t="str">
        <f>IFERROR(IF(ISNUMBER(VALUE(_xlfn.TEXTBEFORE(B355,"-"))),_xlfn.TEXTBEFORE(_xlfn.TEXTAFTER(B355,"-"),"-"),_xlfn.TEXTBEFORE(_xlfn.TEXTAFTER(B355,"-",2),"-")),"")</f>
        <v>300271507</v>
      </c>
      <c r="F355" s="1" t="str">
        <f>IFERROR(IF(ISNUMBER(VALUE(_xlfn.TEXTBEFORE(B355,"-"))),_xlfn.TEXTBEFORE(_xlfn.TEXTAFTER(B355,"-",2)," - "),_xlfn.TEXTBEFORE(_xlfn.TEXTAFTER(B355,"-",3)," - ")),"")</f>
        <v xml:space="preserve">CONFECCAO G. B. DA SILVA JUNIOR &amp; CIA LTDA </v>
      </c>
      <c r="G355" s="1" t="str">
        <f>IFERROR(_xlfn.TEXTAFTER(B355," - ",-1),"")</f>
        <v>Bolso traseiro</v>
      </c>
      <c r="H355" s="13" t="s">
        <v>7736</v>
      </c>
      <c r="I355" s="21">
        <f>DATE(LEFT(H355,4),MID(H355,6,2),MID(H355,9,2))+TIME(MID(H355,12,2),MID(H355,15,2),MID(H355,18,2))</f>
        <v>46197.711053240739</v>
      </c>
      <c r="J355" s="25" t="s">
        <v>7737</v>
      </c>
      <c r="K355" s="1" t="s">
        <v>6795</v>
      </c>
    </row>
    <row r="356" spans="1:11" ht="213.75" hidden="1">
      <c r="A356" s="1" t="e" cm="1">
        <f t="array" aca="1" ref="A356" ca="1">-q2c_Z-UFkmhLdfGVYIY-GQAMJan</f>
        <v>#NAME?</v>
      </c>
      <c r="B356" s="1" t="s">
        <v>7826</v>
      </c>
      <c r="C356" s="1" t="str">
        <f>IFERROR(IF(ISNUMBER(VALUE(_xlfn.TEXTBEFORE(B356,"-"))),"",_xlfn.TEXTBEFORE(B356,"-")),"")</f>
        <v>TEAR</v>
      </c>
      <c r="D356" s="19" t="str">
        <f>IFERROR(IF(ISNUMBER(VALUE(_xlfn.TEXTBEFORE(B356,"-"))),_xlfn.TEXTBEFORE(B356,"-"),_xlfn.TEXTBEFORE(_xlfn.TEXTAFTER(B356,"-"),"-")),"")</f>
        <v xml:space="preserve"> 1026</v>
      </c>
      <c r="E356" s="1" t="str">
        <f>IFERROR(IF(ISNUMBER(VALUE(_xlfn.TEXTBEFORE(B356,"-"))),_xlfn.TEXTBEFORE(_xlfn.TEXTAFTER(B356,"-"),"-"),_xlfn.TEXTBEFORE(_xlfn.TEXTAFTER(B356,"-",2),"-")),"")</f>
        <v>300280237</v>
      </c>
      <c r="F356" s="1" t="str">
        <f>IFERROR(IF(ISNUMBER(VALUE(_xlfn.TEXTBEFORE(B356,"-"))),_xlfn.TEXTBEFORE(_xlfn.TEXTAFTER(B356,"-",2)," - "),_xlfn.TEXTBEFORE(_xlfn.TEXTAFTER(B356,"-",3)," - ")),"")</f>
        <v xml:space="preserve">JOSENI MARIA DE MEDEIROS </v>
      </c>
      <c r="G356" s="1" t="str">
        <f>IFERROR(_xlfn.TEXTAFTER(B356," - ",-1),"")</f>
        <v>Etiqueta de Composição</v>
      </c>
      <c r="H356" s="13" t="s">
        <v>7827</v>
      </c>
      <c r="I356" s="21">
        <f>DATE(LEFT(H356,4),MID(H356,6,2),MID(H356,9,2))+TIME(MID(H356,12,2),MID(H356,15,2),MID(H356,18,2))</f>
        <v>46213.584409722222</v>
      </c>
      <c r="J356" s="25" t="s">
        <v>7828</v>
      </c>
      <c r="K356" s="1" t="s">
        <v>6795</v>
      </c>
    </row>
    <row r="357" spans="1:11" ht="246.75" hidden="1">
      <c r="A357" s="1" t="e" cm="1">
        <f t="array" aca="1" ref="A357" ca="1">-hBD8LnLfkqEMcmz5eNnP2QAM7jM</f>
        <v>#NAME?</v>
      </c>
      <c r="B357" s="1" t="s">
        <v>7186</v>
      </c>
      <c r="C357" s="1" t="str">
        <f>IFERROR(IF(ISNUMBER(VALUE(_xlfn.TEXTBEFORE(B357,"-"))),"",_xlfn.TEXTBEFORE(B357,"-")),"")</f>
        <v/>
      </c>
      <c r="D357" s="19" t="str">
        <f>IFERROR(IF(ISNUMBER(VALUE(_xlfn.TEXTBEFORE(B357,"-"))),_xlfn.TEXTBEFORE(B357,"-"),_xlfn.TEXTBEFORE(_xlfn.TEXTAFTER(B357,"-"),"-")),"")</f>
        <v>762</v>
      </c>
      <c r="E357" s="1" t="str">
        <f>IFERROR(IF(ISNUMBER(VALUE(_xlfn.TEXTBEFORE(B357,"-"))),_xlfn.TEXTBEFORE(_xlfn.TEXTAFTER(B357,"-"),"-"),_xlfn.TEXTBEFORE(_xlfn.TEXTAFTER(B357,"-",2),"-")),"")</f>
        <v>300270294</v>
      </c>
      <c r="F357" s="1" t="str">
        <f>IFERROR(IF(ISNUMBER(VALUE(_xlfn.TEXTBEFORE(B357,"-"))),_xlfn.TEXTBEFORE(_xlfn.TEXTAFTER(B357,"-",2)," - "),_xlfn.TEXTBEFORE(_xlfn.TEXTAFTER(B357,"-",3)," - ")),"")</f>
        <v xml:space="preserve">F &amp; L AZEVEDO CONFECCAO LTDA MATRIZ </v>
      </c>
      <c r="G357" s="1" t="str">
        <f>IFERROR(_xlfn.TEXTAFTER(B357," - ",-1),"")</f>
        <v>Etiqueta de Composição</v>
      </c>
      <c r="H357" s="13" t="s">
        <v>7187</v>
      </c>
      <c r="I357" s="21">
        <f>DATE(LEFT(H357,4),MID(H357,6,2),MID(H357,9,2))+TIME(MID(H357,12,2),MID(H357,15,2),MID(H357,18,2))</f>
        <v>46205.866261574076</v>
      </c>
      <c r="J357" s="25" t="s">
        <v>7188</v>
      </c>
      <c r="K357" s="1" t="s">
        <v>6795</v>
      </c>
    </row>
    <row r="358" spans="1:11" ht="279.75" hidden="1">
      <c r="A358" s="1" t="e" cm="1">
        <f t="array" aca="1" ref="A358" ca="1">---dgbpSpEynBk9rN5YfrGQAAk0Z</f>
        <v>#NAME?</v>
      </c>
      <c r="B358" s="1" t="s">
        <v>7735</v>
      </c>
      <c r="C358" s="1" t="str">
        <f>IFERROR(IF(ISNUMBER(VALUE(_xlfn.TEXTBEFORE(B358,"-"))),"",_xlfn.TEXTBEFORE(B358,"-")),"")</f>
        <v/>
      </c>
      <c r="D358" s="19" t="str">
        <f>IFERROR(IF(ISNUMBER(VALUE(_xlfn.TEXTBEFORE(B358,"-"))),_xlfn.TEXTBEFORE(B358,"-"),_xlfn.TEXTBEFORE(_xlfn.TEXTAFTER(B358,"-"),"-")),"")</f>
        <v>519</v>
      </c>
      <c r="E358" s="1" t="str">
        <f>IFERROR(IF(ISNUMBER(VALUE(_xlfn.TEXTBEFORE(B358,"-"))),_xlfn.TEXTBEFORE(_xlfn.TEXTAFTER(B358,"-"),"-"),_xlfn.TEXTBEFORE(_xlfn.TEXTAFTER(B358,"-",2),"-")),"")</f>
        <v>300271507</v>
      </c>
      <c r="F358" s="1" t="str">
        <f>IFERROR(IF(ISNUMBER(VALUE(_xlfn.TEXTBEFORE(B358,"-"))),_xlfn.TEXTBEFORE(_xlfn.TEXTAFTER(B358,"-",2)," - "),_xlfn.TEXTBEFORE(_xlfn.TEXTAFTER(B358,"-",3)," - ")),"")</f>
        <v xml:space="preserve">CONFECCAO G. B. DA SILVA JUNIOR &amp; CIA LTDA </v>
      </c>
      <c r="G358" s="1" t="str">
        <f>IFERROR(_xlfn.TEXTAFTER(B358," - ",-1),"")</f>
        <v>Bolso traseiro</v>
      </c>
      <c r="H358" s="13" t="s">
        <v>7736</v>
      </c>
      <c r="I358" s="21">
        <f>DATE(LEFT(H358,4),MID(H358,6,2),MID(H358,9,2))+TIME(MID(H358,12,2),MID(H358,15,2),MID(H358,18,2))</f>
        <v>46197.711053240739</v>
      </c>
      <c r="J358" s="25" t="s">
        <v>7737</v>
      </c>
      <c r="K358" s="1" t="s">
        <v>6795</v>
      </c>
    </row>
    <row r="359" spans="1:11" ht="230.25" hidden="1">
      <c r="A359" s="1" t="e" cm="1">
        <f t="array" aca="1" ref="A359" ca="1">-UWik9Vy3kaNhCco5qzt72QADxAq</f>
        <v>#NAME?</v>
      </c>
      <c r="B359" s="1" t="s">
        <v>8048</v>
      </c>
      <c r="C359" s="1" t="str">
        <f>IFERROR(IF(ISNUMBER(VALUE(_xlfn.TEXTBEFORE(B359,"-"))),"",_xlfn.TEXTBEFORE(B359,"-")),"")</f>
        <v>JEANS</v>
      </c>
      <c r="D359" s="19" t="str">
        <f>IFERROR(IF(ISNUMBER(VALUE(_xlfn.TEXTBEFORE(B359,"-"))),_xlfn.TEXTBEFORE(B359,"-"),_xlfn.TEXTBEFORE(_xlfn.TEXTAFTER(B359,"-"),"-")),"")</f>
        <v xml:space="preserve"> 1585</v>
      </c>
      <c r="E359" s="1" t="str">
        <f>IFERROR(IF(ISNUMBER(VALUE(_xlfn.TEXTBEFORE(B359,"-"))),_xlfn.TEXTBEFORE(_xlfn.TEXTAFTER(B359,"-"),"-"),_xlfn.TEXTBEFORE(_xlfn.TEXTAFTER(B359,"-",2),"-")),"")</f>
        <v>300284338</v>
      </c>
      <c r="F359" s="1" t="str">
        <f>IFERROR(IF(ISNUMBER(VALUE(_xlfn.TEXTBEFORE(B359,"-"))),_xlfn.TEXTBEFORE(_xlfn.TEXTAFTER(B359,"-",2)," - "),_xlfn.TEXTBEFORE(_xlfn.TEXTAFTER(B359,"-",3)," - ")),"")</f>
        <v xml:space="preserve">FACCAO ELLO LTDA </v>
      </c>
      <c r="G359" s="1" t="str">
        <f>IFERROR(_xlfn.TEXTAFTER(B359," - ",-1),"")</f>
        <v>Etiqueta de Composição</v>
      </c>
      <c r="H359" s="13" t="s">
        <v>8049</v>
      </c>
      <c r="I359" s="21">
        <f>DATE(LEFT(H359,4),MID(H359,6,2),MID(H359,9,2))+TIME(MID(H359,12,2),MID(H359,15,2),MID(H359,18,2))</f>
        <v>46231.532592592594</v>
      </c>
      <c r="J359" s="25" t="s">
        <v>8050</v>
      </c>
      <c r="K359" s="1" t="s">
        <v>6795</v>
      </c>
    </row>
    <row r="360" spans="1:11" ht="246.75" hidden="1">
      <c r="A360" s="1" t="e" cm="1">
        <f t="array" aca="1" ref="A360" ca="1">-trtUhf04km_ltGnupYZ_WQAFcpW</f>
        <v>#NAME?</v>
      </c>
      <c r="B360" s="1" t="s">
        <v>6800</v>
      </c>
      <c r="C360" s="1" t="str">
        <f>IFERROR(IF(ISNUMBER(VALUE(_xlfn.TEXTBEFORE(B360,"-"))),"",_xlfn.TEXTBEFORE(B360,"-")),"")</f>
        <v>POLO</v>
      </c>
      <c r="D360" s="19" t="str">
        <f>IFERROR(IF(ISNUMBER(VALUE(_xlfn.TEXTBEFORE(B360,"-"))),_xlfn.TEXTBEFORE(B360,"-"),_xlfn.TEXTBEFORE(_xlfn.TEXTAFTER(B360,"-"),"-")),"")</f>
        <v xml:space="preserve"> 1383</v>
      </c>
      <c r="E360" s="1" t="str">
        <f>IFERROR(IF(ISNUMBER(VALUE(_xlfn.TEXTBEFORE(B360,"-"))),_xlfn.TEXTBEFORE(_xlfn.TEXTAFTER(B360,"-"),"-"),_xlfn.TEXTBEFORE(_xlfn.TEXTAFTER(B360,"-",2),"-")),"")</f>
        <v>300281371</v>
      </c>
      <c r="F360" s="1" t="str">
        <f>IFERROR(IF(ISNUMBER(VALUE(_xlfn.TEXTBEFORE(B360,"-"))),_xlfn.TEXTBEFORE(_xlfn.TEXTAFTER(B360,"-",2)," - "),_xlfn.TEXTBEFORE(_xlfn.TEXTAFTER(B360,"-",3)," - ")),"")</f>
        <v xml:space="preserve">POTENGI TEXTIL LTDA </v>
      </c>
      <c r="G360" s="1" t="str">
        <f>IFERROR(_xlfn.TEXTAFTER(B360," - ",-1),"")</f>
        <v>Etiqueta de Composição</v>
      </c>
      <c r="H360" s="13" t="s">
        <v>6801</v>
      </c>
      <c r="I360" s="21">
        <f>DATE(LEFT(H360,4),MID(H360,6,2),MID(H360,9,2))+TIME(MID(H360,12,2),MID(H360,15,2),MID(H360,18,2))</f>
        <v>46225.71770833333</v>
      </c>
      <c r="J360" s="25" t="s">
        <v>6802</v>
      </c>
      <c r="K360" s="1" t="s">
        <v>6795</v>
      </c>
    </row>
    <row r="361" spans="1:11" ht="213.75" hidden="1">
      <c r="A361" s="1" t="e" cm="1">
        <f t="array" aca="1" ref="A361" ca="1">-k6jKxjV90KrYV__-_UL7mQAPjAC</f>
        <v>#NAME?</v>
      </c>
      <c r="B361" s="1" t="s">
        <v>7119</v>
      </c>
      <c r="C361" s="1" t="str">
        <f>IFERROR(IF(ISNUMBER(VALUE(_xlfn.TEXTBEFORE(B361,"-"))),"",_xlfn.TEXTBEFORE(B361,"-")),"")</f>
        <v>TEAR</v>
      </c>
      <c r="D361" s="19" t="str">
        <f>IFERROR(IF(ISNUMBER(VALUE(_xlfn.TEXTBEFORE(B361,"-"))),_xlfn.TEXTBEFORE(B361,"-"),_xlfn.TEXTBEFORE(_xlfn.TEXTAFTER(B361,"-"),"-")),"")</f>
        <v xml:space="preserve"> 1296</v>
      </c>
      <c r="E361" s="1" t="str">
        <f>IFERROR(IF(ISNUMBER(VALUE(_xlfn.TEXTBEFORE(B361,"-"))),_xlfn.TEXTBEFORE(_xlfn.TEXTAFTER(B361,"-"),"-"),_xlfn.TEXTBEFORE(_xlfn.TEXTAFTER(B361,"-",2),"-")),"")</f>
        <v>300282856</v>
      </c>
      <c r="F361" s="1" t="str">
        <f>IFERROR(IF(ISNUMBER(VALUE(_xlfn.TEXTBEFORE(B361,"-"))),_xlfn.TEXTBEFORE(_xlfn.TEXTAFTER(B361,"-",2)," - "),_xlfn.TEXTBEFORE(_xlfn.TEXTAFTER(B361,"-",3)," - ")),"")</f>
        <v xml:space="preserve">CONFECCOES GENESIS LTDA </v>
      </c>
      <c r="G361" s="1" t="str">
        <f>IFERROR(_xlfn.TEXTAFTER(B361," - ",-1),"")</f>
        <v>Etiqueta de Composição</v>
      </c>
      <c r="H361" s="13" t="s">
        <v>7120</v>
      </c>
      <c r="I361" s="21">
        <f>DATE(LEFT(H361,4),MID(H361,6,2),MID(H361,9,2))+TIME(MID(H361,12,2),MID(H361,15,2),MID(H361,18,2))</f>
        <v>46223.59747685185</v>
      </c>
      <c r="J361" s="25" t="s">
        <v>7121</v>
      </c>
      <c r="K361" s="1" t="s">
        <v>6795</v>
      </c>
    </row>
    <row r="362" spans="1:11" ht="197.25" hidden="1">
      <c r="A362" s="1" t="e" cm="1">
        <f t="array" aca="1" ref="A362" ca="1">-_x3DTmhSUqzOT-t28cb52QAPAPo</f>
        <v>#NAME?</v>
      </c>
      <c r="B362" s="1" t="s">
        <v>7221</v>
      </c>
      <c r="C362" s="1" t="str">
        <f>IFERROR(IF(ISNUMBER(VALUE(_xlfn.TEXTBEFORE(B362,"-"))),"",_xlfn.TEXTBEFORE(B362,"-")),"")</f>
        <v>MALHA</v>
      </c>
      <c r="D362" s="19" t="str">
        <f>IFERROR(IF(ISNUMBER(VALUE(_xlfn.TEXTBEFORE(B362,"-"))),_xlfn.TEXTBEFORE(B362,"-"),_xlfn.TEXTBEFORE(_xlfn.TEXTAFTER(B362,"-"),"-")),"")</f>
        <v xml:space="preserve"> 1251</v>
      </c>
      <c r="E362" s="1" t="str">
        <f>IFERROR(IF(ISNUMBER(VALUE(_xlfn.TEXTBEFORE(B362,"-"))),_xlfn.TEXTBEFORE(_xlfn.TEXTAFTER(B362,"-"),"-"),_xlfn.TEXTBEFORE(_xlfn.TEXTAFTER(B362,"-",2),"-")),"")</f>
        <v>300281662</v>
      </c>
      <c r="F362" s="1" t="str">
        <f>IFERROR(IF(ISNUMBER(VALUE(_xlfn.TEXTBEFORE(B362,"-"))),_xlfn.TEXTBEFORE(_xlfn.TEXTAFTER(B362,"-",2)," - "),_xlfn.TEXTBEFORE(_xlfn.TEXTAFTER(B362,"-",3)," - ")),"")</f>
        <v xml:space="preserve">F &amp; L AZEVEDO CONFECCAO LTDA FILIAL </v>
      </c>
      <c r="G362" s="1" t="str">
        <f>IFERROR(_xlfn.TEXTAFTER(B362," - ",-1),"")</f>
        <v>Etiqueta de Composição</v>
      </c>
      <c r="H362" s="13" t="s">
        <v>7222</v>
      </c>
      <c r="I362" s="21">
        <f>DATE(LEFT(H362,4),MID(H362,6,2),MID(H362,9,2))+TIME(MID(H362,12,2),MID(H362,15,2),MID(H362,18,2))</f>
        <v>46220.563506944447</v>
      </c>
      <c r="J362" s="25" t="s">
        <v>7223</v>
      </c>
      <c r="K362" s="1" t="s">
        <v>6795</v>
      </c>
    </row>
    <row r="363" spans="1:11" ht="213.75" hidden="1">
      <c r="A363" s="1" t="e" cm="1">
        <f t="array" aca="1" ref="A363" ca="1">-q2c_Z-UFkmhLdfGVYIY-GQAMJan</f>
        <v>#NAME?</v>
      </c>
      <c r="B363" s="1" t="s">
        <v>7826</v>
      </c>
      <c r="C363" s="1" t="str">
        <f>IFERROR(IF(ISNUMBER(VALUE(_xlfn.TEXTBEFORE(B363,"-"))),"",_xlfn.TEXTBEFORE(B363,"-")),"")</f>
        <v>TEAR</v>
      </c>
      <c r="D363" s="19" t="str">
        <f>IFERROR(IF(ISNUMBER(VALUE(_xlfn.TEXTBEFORE(B363,"-"))),_xlfn.TEXTBEFORE(B363,"-"),_xlfn.TEXTBEFORE(_xlfn.TEXTAFTER(B363,"-"),"-")),"")</f>
        <v xml:space="preserve"> 1026</v>
      </c>
      <c r="E363" s="1" t="str">
        <f>IFERROR(IF(ISNUMBER(VALUE(_xlfn.TEXTBEFORE(B363,"-"))),_xlfn.TEXTBEFORE(_xlfn.TEXTAFTER(B363,"-"),"-"),_xlfn.TEXTBEFORE(_xlfn.TEXTAFTER(B363,"-",2),"-")),"")</f>
        <v>300280237</v>
      </c>
      <c r="F363" s="1" t="str">
        <f>IFERROR(IF(ISNUMBER(VALUE(_xlfn.TEXTBEFORE(B363,"-"))),_xlfn.TEXTBEFORE(_xlfn.TEXTAFTER(B363,"-",2)," - "),_xlfn.TEXTBEFORE(_xlfn.TEXTAFTER(B363,"-",3)," - ")),"")</f>
        <v xml:space="preserve">JOSENI MARIA DE MEDEIROS </v>
      </c>
      <c r="G363" s="1" t="str">
        <f>IFERROR(_xlfn.TEXTAFTER(B363," - ",-1),"")</f>
        <v>Etiqueta de Composição</v>
      </c>
      <c r="H363" s="13" t="s">
        <v>7827</v>
      </c>
      <c r="I363" s="21">
        <f>DATE(LEFT(H363,4),MID(H363,6,2),MID(H363,9,2))+TIME(MID(H363,12,2),MID(H363,15,2),MID(H363,18,2))</f>
        <v>46213.584409722222</v>
      </c>
      <c r="J363" s="25" t="s">
        <v>7828</v>
      </c>
      <c r="K363" s="1" t="s">
        <v>6795</v>
      </c>
    </row>
    <row r="364" spans="1:11" ht="246.75" hidden="1">
      <c r="A364" s="1" t="e" cm="1">
        <f t="array" aca="1" ref="A364" ca="1">-hBD8LnLfkqEMcmz5eNnP2QAM7jM</f>
        <v>#NAME?</v>
      </c>
      <c r="B364" s="1" t="s">
        <v>7186</v>
      </c>
      <c r="C364" s="1" t="str">
        <f>IFERROR(IF(ISNUMBER(VALUE(_xlfn.TEXTBEFORE(B364,"-"))),"",_xlfn.TEXTBEFORE(B364,"-")),"")</f>
        <v/>
      </c>
      <c r="D364" s="19" t="str">
        <f>IFERROR(IF(ISNUMBER(VALUE(_xlfn.TEXTBEFORE(B364,"-"))),_xlfn.TEXTBEFORE(B364,"-"),_xlfn.TEXTBEFORE(_xlfn.TEXTAFTER(B364,"-"),"-")),"")</f>
        <v>762</v>
      </c>
      <c r="E364" s="1" t="str">
        <f>IFERROR(IF(ISNUMBER(VALUE(_xlfn.TEXTBEFORE(B364,"-"))),_xlfn.TEXTBEFORE(_xlfn.TEXTAFTER(B364,"-"),"-"),_xlfn.TEXTBEFORE(_xlfn.TEXTAFTER(B364,"-",2),"-")),"")</f>
        <v>300270294</v>
      </c>
      <c r="F364" s="1" t="str">
        <f>IFERROR(IF(ISNUMBER(VALUE(_xlfn.TEXTBEFORE(B364,"-"))),_xlfn.TEXTBEFORE(_xlfn.TEXTAFTER(B364,"-",2)," - "),_xlfn.TEXTBEFORE(_xlfn.TEXTAFTER(B364,"-",3)," - ")),"")</f>
        <v xml:space="preserve">F &amp; L AZEVEDO CONFECCAO LTDA MATRIZ </v>
      </c>
      <c r="G364" s="1" t="str">
        <f>IFERROR(_xlfn.TEXTAFTER(B364," - ",-1),"")</f>
        <v>Etiqueta de Composição</v>
      </c>
      <c r="H364" s="13" t="s">
        <v>7187</v>
      </c>
      <c r="I364" s="21">
        <f>DATE(LEFT(H364,4),MID(H364,6,2),MID(H364,9,2))+TIME(MID(H364,12,2),MID(H364,15,2),MID(H364,18,2))</f>
        <v>46205.866261574076</v>
      </c>
      <c r="J364" s="25" t="s">
        <v>7188</v>
      </c>
      <c r="K364" s="1" t="s">
        <v>6795</v>
      </c>
    </row>
    <row r="365" spans="1:11" ht="279.75" hidden="1">
      <c r="A365" s="1" t="e" cm="1">
        <f t="array" aca="1" ref="A365" ca="1">---dgbpSpEynBk9rN5YfrGQAAk0Z</f>
        <v>#NAME?</v>
      </c>
      <c r="B365" s="1" t="s">
        <v>7735</v>
      </c>
      <c r="C365" s="1" t="str">
        <f>IFERROR(IF(ISNUMBER(VALUE(_xlfn.TEXTBEFORE(B365,"-"))),"",_xlfn.TEXTBEFORE(B365,"-")),"")</f>
        <v/>
      </c>
      <c r="D365" s="19" t="str">
        <f>IFERROR(IF(ISNUMBER(VALUE(_xlfn.TEXTBEFORE(B365,"-"))),_xlfn.TEXTBEFORE(B365,"-"),_xlfn.TEXTBEFORE(_xlfn.TEXTAFTER(B365,"-"),"-")),"")</f>
        <v>519</v>
      </c>
      <c r="E365" s="1" t="str">
        <f>IFERROR(IF(ISNUMBER(VALUE(_xlfn.TEXTBEFORE(B365,"-"))),_xlfn.TEXTBEFORE(_xlfn.TEXTAFTER(B365,"-"),"-"),_xlfn.TEXTBEFORE(_xlfn.TEXTAFTER(B365,"-",2),"-")),"")</f>
        <v>300271507</v>
      </c>
      <c r="F365" s="1" t="str">
        <f>IFERROR(IF(ISNUMBER(VALUE(_xlfn.TEXTBEFORE(B365,"-"))),_xlfn.TEXTBEFORE(_xlfn.TEXTAFTER(B365,"-",2)," - "),_xlfn.TEXTBEFORE(_xlfn.TEXTAFTER(B365,"-",3)," - ")),"")</f>
        <v xml:space="preserve">CONFECCAO G. B. DA SILVA JUNIOR &amp; CIA LTDA </v>
      </c>
      <c r="G365" s="1" t="str">
        <f>IFERROR(_xlfn.TEXTAFTER(B365," - ",-1),"")</f>
        <v>Bolso traseiro</v>
      </c>
      <c r="H365" s="13" t="s">
        <v>7736</v>
      </c>
      <c r="I365" s="21">
        <f>DATE(LEFT(H365,4),MID(H365,6,2),MID(H365,9,2))+TIME(MID(H365,12,2),MID(H365,15,2),MID(H365,18,2))</f>
        <v>46197.711053240739</v>
      </c>
      <c r="J365" s="25" t="s">
        <v>7737</v>
      </c>
      <c r="K365" s="1" t="s">
        <v>6795</v>
      </c>
    </row>
    <row r="366" spans="1:11" ht="213.75" hidden="1">
      <c r="A366" s="1" t="e" cm="1">
        <f t="array" aca="1" ref="A366" ca="1">-q2c_Z-UFkmhLdfGVYIY-GQAMJan</f>
        <v>#NAME?</v>
      </c>
      <c r="B366" s="1" t="s">
        <v>7826</v>
      </c>
      <c r="C366" s="1" t="str">
        <f>IFERROR(IF(ISNUMBER(VALUE(_xlfn.TEXTBEFORE(B366,"-"))),"",_xlfn.TEXTBEFORE(B366,"-")),"")</f>
        <v>TEAR</v>
      </c>
      <c r="D366" s="19" t="str">
        <f>IFERROR(IF(ISNUMBER(VALUE(_xlfn.TEXTBEFORE(B366,"-"))),_xlfn.TEXTBEFORE(B366,"-"),_xlfn.TEXTBEFORE(_xlfn.TEXTAFTER(B366,"-"),"-")),"")</f>
        <v xml:space="preserve"> 1026</v>
      </c>
      <c r="E366" s="1" t="str">
        <f>IFERROR(IF(ISNUMBER(VALUE(_xlfn.TEXTBEFORE(B366,"-"))),_xlfn.TEXTBEFORE(_xlfn.TEXTAFTER(B366,"-"),"-"),_xlfn.TEXTBEFORE(_xlfn.TEXTAFTER(B366,"-",2),"-")),"")</f>
        <v>300280237</v>
      </c>
      <c r="F366" s="1" t="str">
        <f>IFERROR(IF(ISNUMBER(VALUE(_xlfn.TEXTBEFORE(B366,"-"))),_xlfn.TEXTBEFORE(_xlfn.TEXTAFTER(B366,"-",2)," - "),_xlfn.TEXTBEFORE(_xlfn.TEXTAFTER(B366,"-",3)," - ")),"")</f>
        <v xml:space="preserve">JOSENI MARIA DE MEDEIROS </v>
      </c>
      <c r="G366" s="1" t="str">
        <f>IFERROR(_xlfn.TEXTAFTER(B366," - ",-1),"")</f>
        <v>Etiqueta de Composição</v>
      </c>
      <c r="H366" s="13" t="s">
        <v>7827</v>
      </c>
      <c r="I366" s="21">
        <f>DATE(LEFT(H366,4),MID(H366,6,2),MID(H366,9,2))+TIME(MID(H366,12,2),MID(H366,15,2),MID(H366,18,2))</f>
        <v>46213.584409722222</v>
      </c>
      <c r="J366" s="25" t="s">
        <v>7828</v>
      </c>
      <c r="K366" s="1" t="s">
        <v>6795</v>
      </c>
    </row>
    <row r="367" spans="1:11" ht="246.75" hidden="1">
      <c r="A367" s="1" t="e" cm="1">
        <f t="array" aca="1" ref="A367" ca="1">-hBD8LnLfkqEMcmz5eNnP2QAM7jM</f>
        <v>#NAME?</v>
      </c>
      <c r="B367" s="1" t="s">
        <v>7186</v>
      </c>
      <c r="C367" s="1" t="str">
        <f>IFERROR(IF(ISNUMBER(VALUE(_xlfn.TEXTBEFORE(B367,"-"))),"",_xlfn.TEXTBEFORE(B367,"-")),"")</f>
        <v/>
      </c>
      <c r="D367" s="19" t="str">
        <f>IFERROR(IF(ISNUMBER(VALUE(_xlfn.TEXTBEFORE(B367,"-"))),_xlfn.TEXTBEFORE(B367,"-"),_xlfn.TEXTBEFORE(_xlfn.TEXTAFTER(B367,"-"),"-")),"")</f>
        <v>762</v>
      </c>
      <c r="E367" s="1" t="str">
        <f>IFERROR(IF(ISNUMBER(VALUE(_xlfn.TEXTBEFORE(B367,"-"))),_xlfn.TEXTBEFORE(_xlfn.TEXTAFTER(B367,"-"),"-"),_xlfn.TEXTBEFORE(_xlfn.TEXTAFTER(B367,"-",2),"-")),"")</f>
        <v>300270294</v>
      </c>
      <c r="F367" s="1" t="str">
        <f>IFERROR(IF(ISNUMBER(VALUE(_xlfn.TEXTBEFORE(B367,"-"))),_xlfn.TEXTBEFORE(_xlfn.TEXTAFTER(B367,"-",2)," - "),_xlfn.TEXTBEFORE(_xlfn.TEXTAFTER(B367,"-",3)," - ")),"")</f>
        <v xml:space="preserve">F &amp; L AZEVEDO CONFECCAO LTDA MATRIZ </v>
      </c>
      <c r="G367" s="1" t="str">
        <f>IFERROR(_xlfn.TEXTAFTER(B367," - ",-1),"")</f>
        <v>Etiqueta de Composição</v>
      </c>
      <c r="H367" s="13" t="s">
        <v>7187</v>
      </c>
      <c r="I367" s="21">
        <f>DATE(LEFT(H367,4),MID(H367,6,2),MID(H367,9,2))+TIME(MID(H367,12,2),MID(H367,15,2),MID(H367,18,2))</f>
        <v>46205.866261574076</v>
      </c>
      <c r="J367" s="25" t="s">
        <v>7188</v>
      </c>
      <c r="K367" s="1" t="s">
        <v>6795</v>
      </c>
    </row>
    <row r="368" spans="1:11" ht="279.75" hidden="1">
      <c r="A368" s="1" t="e" cm="1">
        <f t="array" aca="1" ref="A368" ca="1">---dgbpSpEynBk9rN5YfrGQAAk0Z</f>
        <v>#NAME?</v>
      </c>
      <c r="B368" s="1" t="s">
        <v>7735</v>
      </c>
      <c r="C368" s="1" t="str">
        <f>IFERROR(IF(ISNUMBER(VALUE(_xlfn.TEXTBEFORE(B368,"-"))),"",_xlfn.TEXTBEFORE(B368,"-")),"")</f>
        <v/>
      </c>
      <c r="D368" s="19" t="str">
        <f>IFERROR(IF(ISNUMBER(VALUE(_xlfn.TEXTBEFORE(B368,"-"))),_xlfn.TEXTBEFORE(B368,"-"),_xlfn.TEXTBEFORE(_xlfn.TEXTAFTER(B368,"-"),"-")),"")</f>
        <v>519</v>
      </c>
      <c r="E368" s="1" t="str">
        <f>IFERROR(IF(ISNUMBER(VALUE(_xlfn.TEXTBEFORE(B368,"-"))),_xlfn.TEXTBEFORE(_xlfn.TEXTAFTER(B368,"-"),"-"),_xlfn.TEXTBEFORE(_xlfn.TEXTAFTER(B368,"-",2),"-")),"")</f>
        <v>300271507</v>
      </c>
      <c r="F368" s="1" t="str">
        <f>IFERROR(IF(ISNUMBER(VALUE(_xlfn.TEXTBEFORE(B368,"-"))),_xlfn.TEXTBEFORE(_xlfn.TEXTAFTER(B368,"-",2)," - "),_xlfn.TEXTBEFORE(_xlfn.TEXTAFTER(B368,"-",3)," - ")),"")</f>
        <v xml:space="preserve">CONFECCAO G. B. DA SILVA JUNIOR &amp; CIA LTDA </v>
      </c>
      <c r="G368" s="1" t="str">
        <f>IFERROR(_xlfn.TEXTAFTER(B368," - ",-1),"")</f>
        <v>Bolso traseiro</v>
      </c>
      <c r="H368" s="13" t="s">
        <v>7736</v>
      </c>
      <c r="I368" s="21">
        <f>DATE(LEFT(H368,4),MID(H368,6,2),MID(H368,9,2))+TIME(MID(H368,12,2),MID(H368,15,2),MID(H368,18,2))</f>
        <v>46197.711053240739</v>
      </c>
      <c r="J368" s="25" t="s">
        <v>7737</v>
      </c>
      <c r="K368" s="1" t="s">
        <v>6795</v>
      </c>
    </row>
    <row r="369" spans="1:11" ht="213.75" hidden="1">
      <c r="A369" s="1" t="e" cm="1">
        <f t="array" aca="1" ref="A369" ca="1">-q2c_Z-UFkmhLdfGVYIY-GQAMJan</f>
        <v>#NAME?</v>
      </c>
      <c r="B369" s="1" t="s">
        <v>7826</v>
      </c>
      <c r="C369" s="1" t="str">
        <f>IFERROR(IF(ISNUMBER(VALUE(_xlfn.TEXTBEFORE(B369,"-"))),"",_xlfn.TEXTBEFORE(B369,"-")),"")</f>
        <v>TEAR</v>
      </c>
      <c r="D369" s="19" t="str">
        <f>IFERROR(IF(ISNUMBER(VALUE(_xlfn.TEXTBEFORE(B369,"-"))),_xlfn.TEXTBEFORE(B369,"-"),_xlfn.TEXTBEFORE(_xlfn.TEXTAFTER(B369,"-"),"-")),"")</f>
        <v xml:space="preserve"> 1026</v>
      </c>
      <c r="E369" s="1" t="str">
        <f>IFERROR(IF(ISNUMBER(VALUE(_xlfn.TEXTBEFORE(B369,"-"))),_xlfn.TEXTBEFORE(_xlfn.TEXTAFTER(B369,"-"),"-"),_xlfn.TEXTBEFORE(_xlfn.TEXTAFTER(B369,"-",2),"-")),"")</f>
        <v>300280237</v>
      </c>
      <c r="F369" s="1" t="str">
        <f>IFERROR(IF(ISNUMBER(VALUE(_xlfn.TEXTBEFORE(B369,"-"))),_xlfn.TEXTBEFORE(_xlfn.TEXTAFTER(B369,"-",2)," - "),_xlfn.TEXTBEFORE(_xlfn.TEXTAFTER(B369,"-",3)," - ")),"")</f>
        <v xml:space="preserve">JOSENI MARIA DE MEDEIROS </v>
      </c>
      <c r="G369" s="1" t="str">
        <f>IFERROR(_xlfn.TEXTAFTER(B369," - ",-1),"")</f>
        <v>Etiqueta de Composição</v>
      </c>
      <c r="H369" s="13" t="s">
        <v>7827</v>
      </c>
      <c r="I369" s="21">
        <f>DATE(LEFT(H369,4),MID(H369,6,2),MID(H369,9,2))+TIME(MID(H369,12,2),MID(H369,15,2),MID(H369,18,2))</f>
        <v>46213.584409722222</v>
      </c>
      <c r="J369" s="25" t="s">
        <v>7828</v>
      </c>
      <c r="K369" s="1" t="s">
        <v>6795</v>
      </c>
    </row>
    <row r="370" spans="1:11" ht="246.75" hidden="1">
      <c r="A370" s="1" t="e" cm="1">
        <f t="array" aca="1" ref="A370" ca="1">-hBD8LnLfkqEMcmz5eNnP2QAM7jM</f>
        <v>#NAME?</v>
      </c>
      <c r="B370" s="1" t="s">
        <v>7186</v>
      </c>
      <c r="C370" s="1" t="str">
        <f>IFERROR(IF(ISNUMBER(VALUE(_xlfn.TEXTBEFORE(B370,"-"))),"",_xlfn.TEXTBEFORE(B370,"-")),"")</f>
        <v/>
      </c>
      <c r="D370" s="19" t="str">
        <f>IFERROR(IF(ISNUMBER(VALUE(_xlfn.TEXTBEFORE(B370,"-"))),_xlfn.TEXTBEFORE(B370,"-"),_xlfn.TEXTBEFORE(_xlfn.TEXTAFTER(B370,"-"),"-")),"")</f>
        <v>762</v>
      </c>
      <c r="E370" s="1" t="str">
        <f>IFERROR(IF(ISNUMBER(VALUE(_xlfn.TEXTBEFORE(B370,"-"))),_xlfn.TEXTBEFORE(_xlfn.TEXTAFTER(B370,"-"),"-"),_xlfn.TEXTBEFORE(_xlfn.TEXTAFTER(B370,"-",2),"-")),"")</f>
        <v>300270294</v>
      </c>
      <c r="F370" s="1" t="str">
        <f>IFERROR(IF(ISNUMBER(VALUE(_xlfn.TEXTBEFORE(B370,"-"))),_xlfn.TEXTBEFORE(_xlfn.TEXTAFTER(B370,"-",2)," - "),_xlfn.TEXTBEFORE(_xlfn.TEXTAFTER(B370,"-",3)," - ")),"")</f>
        <v xml:space="preserve">F &amp; L AZEVEDO CONFECCAO LTDA MATRIZ </v>
      </c>
      <c r="G370" s="1" t="str">
        <f>IFERROR(_xlfn.TEXTAFTER(B370," - ",-1),"")</f>
        <v>Etiqueta de Composição</v>
      </c>
      <c r="H370" s="13" t="s">
        <v>7187</v>
      </c>
      <c r="I370" s="21">
        <f>DATE(LEFT(H370,4),MID(H370,6,2),MID(H370,9,2))+TIME(MID(H370,12,2),MID(H370,15,2),MID(H370,18,2))</f>
        <v>46205.866261574076</v>
      </c>
      <c r="J370" s="25" t="s">
        <v>7188</v>
      </c>
      <c r="K370" s="1" t="s">
        <v>6795</v>
      </c>
    </row>
    <row r="371" spans="1:11" ht="279.75" hidden="1">
      <c r="A371" s="1" t="e" cm="1">
        <f t="array" aca="1" ref="A371" ca="1">---dgbpSpEynBk9rN5YfrGQAAk0Z</f>
        <v>#NAME?</v>
      </c>
      <c r="B371" s="1" t="s">
        <v>7735</v>
      </c>
      <c r="C371" s="1" t="str">
        <f>IFERROR(IF(ISNUMBER(VALUE(_xlfn.TEXTBEFORE(B371,"-"))),"",_xlfn.TEXTBEFORE(B371,"-")),"")</f>
        <v/>
      </c>
      <c r="D371" s="19" t="str">
        <f>IFERROR(IF(ISNUMBER(VALUE(_xlfn.TEXTBEFORE(B371,"-"))),_xlfn.TEXTBEFORE(B371,"-"),_xlfn.TEXTBEFORE(_xlfn.TEXTAFTER(B371,"-"),"-")),"")</f>
        <v>519</v>
      </c>
      <c r="E371" s="1" t="str">
        <f>IFERROR(IF(ISNUMBER(VALUE(_xlfn.TEXTBEFORE(B371,"-"))),_xlfn.TEXTBEFORE(_xlfn.TEXTAFTER(B371,"-"),"-"),_xlfn.TEXTBEFORE(_xlfn.TEXTAFTER(B371,"-",2),"-")),"")</f>
        <v>300271507</v>
      </c>
      <c r="F371" s="1" t="str">
        <f>IFERROR(IF(ISNUMBER(VALUE(_xlfn.TEXTBEFORE(B371,"-"))),_xlfn.TEXTBEFORE(_xlfn.TEXTAFTER(B371,"-",2)," - "),_xlfn.TEXTBEFORE(_xlfn.TEXTAFTER(B371,"-",3)," - ")),"")</f>
        <v xml:space="preserve">CONFECCAO G. B. DA SILVA JUNIOR &amp; CIA LTDA </v>
      </c>
      <c r="G371" s="1" t="str">
        <f>IFERROR(_xlfn.TEXTAFTER(B371," - ",-1),"")</f>
        <v>Bolso traseiro</v>
      </c>
      <c r="H371" s="13" t="s">
        <v>7736</v>
      </c>
      <c r="I371" s="21">
        <f>DATE(LEFT(H371,4),MID(H371,6,2),MID(H371,9,2))+TIME(MID(H371,12,2),MID(H371,15,2),MID(H371,18,2))</f>
        <v>46197.711053240739</v>
      </c>
      <c r="J371" s="25" t="s">
        <v>7737</v>
      </c>
      <c r="K371" s="1" t="s">
        <v>6795</v>
      </c>
    </row>
    <row r="372" spans="1:11" ht="279.75" hidden="1">
      <c r="A372" s="1" t="e" cm="1">
        <f t="array" aca="1" ref="A372" ca="1">---dgbpSpEynBk9rN5YfrGQAAk0Z</f>
        <v>#NAME?</v>
      </c>
      <c r="B372" s="1" t="s">
        <v>7735</v>
      </c>
      <c r="C372" s="1" t="str">
        <f>IFERROR(IF(ISNUMBER(VALUE(_xlfn.TEXTBEFORE(B372,"-"))),"",_xlfn.TEXTBEFORE(B372,"-")),"")</f>
        <v/>
      </c>
      <c r="D372" s="19" t="str">
        <f>IFERROR(IF(ISNUMBER(VALUE(_xlfn.TEXTBEFORE(B372,"-"))),_xlfn.TEXTBEFORE(B372,"-"),_xlfn.TEXTBEFORE(_xlfn.TEXTAFTER(B372,"-"),"-")),"")</f>
        <v>519</v>
      </c>
      <c r="E372" s="1" t="str">
        <f>IFERROR(IF(ISNUMBER(VALUE(_xlfn.TEXTBEFORE(B372,"-"))),_xlfn.TEXTBEFORE(_xlfn.TEXTAFTER(B372,"-"),"-"),_xlfn.TEXTBEFORE(_xlfn.TEXTAFTER(B372,"-",2),"-")),"")</f>
        <v>300271507</v>
      </c>
      <c r="F372" s="1" t="str">
        <f>IFERROR(IF(ISNUMBER(VALUE(_xlfn.TEXTBEFORE(B372,"-"))),_xlfn.TEXTBEFORE(_xlfn.TEXTAFTER(B372,"-",2)," - "),_xlfn.TEXTBEFORE(_xlfn.TEXTAFTER(B372,"-",3)," - ")),"")</f>
        <v xml:space="preserve">CONFECCAO G. B. DA SILVA JUNIOR &amp; CIA LTDA </v>
      </c>
      <c r="G372" s="1" t="str">
        <f>IFERROR(_xlfn.TEXTAFTER(B372," - ",-1),"")</f>
        <v>Bolso traseiro</v>
      </c>
      <c r="H372" s="13" t="s">
        <v>7736</v>
      </c>
      <c r="I372" s="21">
        <f>DATE(LEFT(H372,4),MID(H372,6,2),MID(H372,9,2))+TIME(MID(H372,12,2),MID(H372,15,2),MID(H372,18,2))</f>
        <v>46197.711053240739</v>
      </c>
      <c r="J372" s="25" t="s">
        <v>7737</v>
      </c>
      <c r="K372" s="1" t="s">
        <v>6795</v>
      </c>
    </row>
    <row r="373" spans="1:11" ht="279.75" hidden="1">
      <c r="A373" s="1" t="e" cm="1">
        <f t="array" aca="1" ref="A373" ca="1">---dgbpSpEynBk9rN5YfrGQAAk0Z</f>
        <v>#NAME?</v>
      </c>
      <c r="B373" s="1" t="s">
        <v>7735</v>
      </c>
      <c r="C373" s="1" t="str">
        <f>IFERROR(IF(ISNUMBER(VALUE(_xlfn.TEXTBEFORE(B373,"-"))),"",_xlfn.TEXTBEFORE(B373,"-")),"")</f>
        <v/>
      </c>
      <c r="D373" s="19" t="str">
        <f>IFERROR(IF(ISNUMBER(VALUE(_xlfn.TEXTBEFORE(B373,"-"))),_xlfn.TEXTBEFORE(B373,"-"),_xlfn.TEXTBEFORE(_xlfn.TEXTAFTER(B373,"-"),"-")),"")</f>
        <v>519</v>
      </c>
      <c r="E373" s="1" t="str">
        <f>IFERROR(IF(ISNUMBER(VALUE(_xlfn.TEXTBEFORE(B373,"-"))),_xlfn.TEXTBEFORE(_xlfn.TEXTAFTER(B373,"-"),"-"),_xlfn.TEXTBEFORE(_xlfn.TEXTAFTER(B373,"-",2),"-")),"")</f>
        <v>300271507</v>
      </c>
      <c r="F373" s="1" t="str">
        <f>IFERROR(IF(ISNUMBER(VALUE(_xlfn.TEXTBEFORE(B373,"-"))),_xlfn.TEXTBEFORE(_xlfn.TEXTAFTER(B373,"-",2)," - "),_xlfn.TEXTBEFORE(_xlfn.TEXTAFTER(B373,"-",3)," - ")),"")</f>
        <v xml:space="preserve">CONFECCAO G. B. DA SILVA JUNIOR &amp; CIA LTDA </v>
      </c>
      <c r="G373" s="1" t="str">
        <f>IFERROR(_xlfn.TEXTAFTER(B373," - ",-1),"")</f>
        <v>Bolso traseiro</v>
      </c>
      <c r="H373" s="13" t="s">
        <v>7736</v>
      </c>
      <c r="I373" s="21">
        <f>DATE(LEFT(H373,4),MID(H373,6,2),MID(H373,9,2))+TIME(MID(H373,12,2),MID(H373,15,2),MID(H373,18,2))</f>
        <v>46197.711053240739</v>
      </c>
      <c r="J373" s="25" t="s">
        <v>7737</v>
      </c>
      <c r="K373" s="1" t="s">
        <v>6795</v>
      </c>
    </row>
    <row r="374" spans="1:11" ht="213.75" hidden="1">
      <c r="A374" s="1" t="e" cm="1">
        <f t="array" aca="1" ref="A374" ca="1">-q2c_Z-UFkmhLdfGVYIY-GQAMJan</f>
        <v>#NAME?</v>
      </c>
      <c r="B374" s="1" t="s">
        <v>7826</v>
      </c>
      <c r="C374" s="1" t="str">
        <f>IFERROR(IF(ISNUMBER(VALUE(_xlfn.TEXTBEFORE(B374,"-"))),"",_xlfn.TEXTBEFORE(B374,"-")),"")</f>
        <v>TEAR</v>
      </c>
      <c r="D374" s="19" t="str">
        <f>IFERROR(IF(ISNUMBER(VALUE(_xlfn.TEXTBEFORE(B374,"-"))),_xlfn.TEXTBEFORE(B374,"-"),_xlfn.TEXTBEFORE(_xlfn.TEXTAFTER(B374,"-"),"-")),"")</f>
        <v xml:space="preserve"> 1026</v>
      </c>
      <c r="E374" s="1" t="str">
        <f>IFERROR(IF(ISNUMBER(VALUE(_xlfn.TEXTBEFORE(B374,"-"))),_xlfn.TEXTBEFORE(_xlfn.TEXTAFTER(B374,"-"),"-"),_xlfn.TEXTBEFORE(_xlfn.TEXTAFTER(B374,"-",2),"-")),"")</f>
        <v>300280237</v>
      </c>
      <c r="F374" s="1" t="str">
        <f>IFERROR(IF(ISNUMBER(VALUE(_xlfn.TEXTBEFORE(B374,"-"))),_xlfn.TEXTBEFORE(_xlfn.TEXTAFTER(B374,"-",2)," - "),_xlfn.TEXTBEFORE(_xlfn.TEXTAFTER(B374,"-",3)," - ")),"")</f>
        <v xml:space="preserve">JOSENI MARIA DE MEDEIROS </v>
      </c>
      <c r="G374" s="1" t="str">
        <f>IFERROR(_xlfn.TEXTAFTER(B374," - ",-1),"")</f>
        <v>Etiqueta de Composição</v>
      </c>
      <c r="H374" s="13" t="s">
        <v>7827</v>
      </c>
      <c r="I374" s="21">
        <f>DATE(LEFT(H374,4),MID(H374,6,2),MID(H374,9,2))+TIME(MID(H374,12,2),MID(H374,15,2),MID(H374,18,2))</f>
        <v>46213.584409722222</v>
      </c>
      <c r="J374" s="25" t="s">
        <v>7828</v>
      </c>
      <c r="K374" s="1" t="s">
        <v>6795</v>
      </c>
    </row>
    <row r="375" spans="1:11" ht="246.75">
      <c r="A375" s="1" t="e" cm="1">
        <f t="array" aca="1" ref="A375" ca="1">-hBD8LnLfkqEMcmz5eNnP2QAM7jM</f>
        <v>#NAME?</v>
      </c>
      <c r="B375" s="1" t="s">
        <v>7186</v>
      </c>
      <c r="C375" s="1" t="str">
        <f>IFERROR(IF(ISNUMBER(VALUE(_xlfn.TEXTBEFORE(B375,"-"))),"",_xlfn.TEXTBEFORE(B375,"-")),"")</f>
        <v/>
      </c>
      <c r="D375" s="19" t="str">
        <f>IFERROR(IF(ISNUMBER(VALUE(_xlfn.TEXTBEFORE(B375,"-"))),_xlfn.TEXTBEFORE(B375,"-"),_xlfn.TEXTBEFORE(_xlfn.TEXTAFTER(B375,"-"),"-")),"")</f>
        <v>762</v>
      </c>
      <c r="E375" s="1" t="str">
        <f>IFERROR(IF(ISNUMBER(VALUE(_xlfn.TEXTBEFORE(B375,"-"))),_xlfn.TEXTBEFORE(_xlfn.TEXTAFTER(B375,"-"),"-"),_xlfn.TEXTBEFORE(_xlfn.TEXTAFTER(B375,"-",2),"-")),"")</f>
        <v>300270294</v>
      </c>
      <c r="F375" s="1" t="str">
        <f>IFERROR(IF(ISNUMBER(VALUE(_xlfn.TEXTBEFORE(B375,"-"))),_xlfn.TEXTBEFORE(_xlfn.TEXTAFTER(B375,"-",2)," - "),_xlfn.TEXTBEFORE(_xlfn.TEXTAFTER(B375,"-",3)," - ")),"")</f>
        <v xml:space="preserve">F &amp; L AZEVEDO CONFECCAO LTDA MATRIZ </v>
      </c>
      <c r="G375" s="1" t="str">
        <f>IFERROR(_xlfn.TEXTAFTER(B375," - ",-1),"")</f>
        <v>Etiqueta de Composição</v>
      </c>
      <c r="H375" s="13" t="s">
        <v>7187</v>
      </c>
      <c r="I375" s="21">
        <f>DATE(LEFT(H375,4),MID(H375,6,2),MID(H375,9,2))+TIME(MID(H375,12,2),MID(H375,15,2),MID(H375,18,2))</f>
        <v>46205.866261574076</v>
      </c>
      <c r="J375" s="25" t="s">
        <v>7188</v>
      </c>
      <c r="K375" s="1" t="s">
        <v>6795</v>
      </c>
    </row>
    <row r="376" spans="1:11" ht="279.75" hidden="1">
      <c r="A376" s="1" t="e" cm="1">
        <f t="array" aca="1" ref="A376" ca="1">---dgbpSpEynBk9rN5YfrGQAAk0Z</f>
        <v>#NAME?</v>
      </c>
      <c r="B376" s="1" t="s">
        <v>7735</v>
      </c>
      <c r="C376" s="1" t="str">
        <f>IFERROR(IF(ISNUMBER(VALUE(_xlfn.TEXTBEFORE(B376,"-"))),"",_xlfn.TEXTBEFORE(B376,"-")),"")</f>
        <v/>
      </c>
      <c r="D376" s="19" t="str">
        <f>IFERROR(IF(ISNUMBER(VALUE(_xlfn.TEXTBEFORE(B376,"-"))),_xlfn.TEXTBEFORE(B376,"-"),_xlfn.TEXTBEFORE(_xlfn.TEXTAFTER(B376,"-"),"-")),"")</f>
        <v>519</v>
      </c>
      <c r="E376" s="1" t="str">
        <f>IFERROR(IF(ISNUMBER(VALUE(_xlfn.TEXTBEFORE(B376,"-"))),_xlfn.TEXTBEFORE(_xlfn.TEXTAFTER(B376,"-"),"-"),_xlfn.TEXTBEFORE(_xlfn.TEXTAFTER(B376,"-",2),"-")),"")</f>
        <v>300271507</v>
      </c>
      <c r="F376" s="1" t="str">
        <f>IFERROR(IF(ISNUMBER(VALUE(_xlfn.TEXTBEFORE(B376,"-"))),_xlfn.TEXTBEFORE(_xlfn.TEXTAFTER(B376,"-",2)," - "),_xlfn.TEXTBEFORE(_xlfn.TEXTAFTER(B376,"-",3)," - ")),"")</f>
        <v xml:space="preserve">CONFECCAO G. B. DA SILVA JUNIOR &amp; CIA LTDA </v>
      </c>
      <c r="G376" s="1" t="str">
        <f>IFERROR(_xlfn.TEXTAFTER(B376," - ",-1),"")</f>
        <v>Bolso traseiro</v>
      </c>
      <c r="H376" s="13" t="s">
        <v>7736</v>
      </c>
      <c r="I376" s="21">
        <f>DATE(LEFT(H376,4),MID(H376,6,2),MID(H376,9,2))+TIME(MID(H376,12,2),MID(H376,15,2),MID(H376,18,2))</f>
        <v>46197.711053240739</v>
      </c>
      <c r="J376" s="25" t="s">
        <v>7737</v>
      </c>
      <c r="K376" s="1" t="s">
        <v>6795</v>
      </c>
    </row>
    <row r="377" spans="1:11" ht="246.75" hidden="1">
      <c r="A377" s="1" t="e" cm="1">
        <f t="array" aca="1" ref="A377" ca="1">-hBD8LnLfkqEMcmz5eNnP2QAM7jM</f>
        <v>#NAME?</v>
      </c>
      <c r="B377" s="1" t="s">
        <v>7186</v>
      </c>
      <c r="C377" s="1" t="str">
        <f>IFERROR(IF(ISNUMBER(VALUE(_xlfn.TEXTBEFORE(B377,"-"))),"",_xlfn.TEXTBEFORE(B377,"-")),"")</f>
        <v/>
      </c>
      <c r="D377" s="19" t="str">
        <f>IFERROR(IF(ISNUMBER(VALUE(_xlfn.TEXTBEFORE(B377,"-"))),_xlfn.TEXTBEFORE(B377,"-"),_xlfn.TEXTBEFORE(_xlfn.TEXTAFTER(B377,"-"),"-")),"")</f>
        <v>762</v>
      </c>
      <c r="E377" s="1" t="str">
        <f>IFERROR(IF(ISNUMBER(VALUE(_xlfn.TEXTBEFORE(B377,"-"))),_xlfn.TEXTBEFORE(_xlfn.TEXTAFTER(B377,"-"),"-"),_xlfn.TEXTBEFORE(_xlfn.TEXTAFTER(B377,"-",2),"-")),"")</f>
        <v>300270294</v>
      </c>
      <c r="F377" s="1" t="str">
        <f>IFERROR(IF(ISNUMBER(VALUE(_xlfn.TEXTBEFORE(B377,"-"))),_xlfn.TEXTBEFORE(_xlfn.TEXTAFTER(B377,"-",2)," - "),_xlfn.TEXTBEFORE(_xlfn.TEXTAFTER(B377,"-",3)," - ")),"")</f>
        <v xml:space="preserve">F &amp; L AZEVEDO CONFECCAO LTDA MATRIZ </v>
      </c>
      <c r="G377" s="1" t="str">
        <f>IFERROR(_xlfn.TEXTAFTER(B377," - ",-1),"")</f>
        <v>Etiqueta de Composição</v>
      </c>
      <c r="H377" s="13" t="s">
        <v>7187</v>
      </c>
      <c r="I377" s="21">
        <f>DATE(LEFT(H377,4),MID(H377,6,2),MID(H377,9,2))+TIME(MID(H377,12,2),MID(H377,15,2),MID(H377,18,2))</f>
        <v>46205.866261574076</v>
      </c>
      <c r="J377" s="25" t="s">
        <v>7188</v>
      </c>
      <c r="K377" s="1" t="s">
        <v>6795</v>
      </c>
    </row>
    <row r="378" spans="1:11" ht="279.75" hidden="1">
      <c r="A378" s="1" t="e" cm="1">
        <f t="array" aca="1" ref="A378" ca="1">---dgbpSpEynBk9rN5YfrGQAAk0Z</f>
        <v>#NAME?</v>
      </c>
      <c r="B378" s="1" t="s">
        <v>7735</v>
      </c>
      <c r="C378" s="1" t="str">
        <f>IFERROR(IF(ISNUMBER(VALUE(_xlfn.TEXTBEFORE(B378,"-"))),"",_xlfn.TEXTBEFORE(B378,"-")),"")</f>
        <v/>
      </c>
      <c r="D378" s="19" t="str">
        <f>IFERROR(IF(ISNUMBER(VALUE(_xlfn.TEXTBEFORE(B378,"-"))),_xlfn.TEXTBEFORE(B378,"-"),_xlfn.TEXTBEFORE(_xlfn.TEXTAFTER(B378,"-"),"-")),"")</f>
        <v>519</v>
      </c>
      <c r="E378" s="1" t="str">
        <f>IFERROR(IF(ISNUMBER(VALUE(_xlfn.TEXTBEFORE(B378,"-"))),_xlfn.TEXTBEFORE(_xlfn.TEXTAFTER(B378,"-"),"-"),_xlfn.TEXTBEFORE(_xlfn.TEXTAFTER(B378,"-",2),"-")),"")</f>
        <v>300271507</v>
      </c>
      <c r="F378" s="1" t="str">
        <f>IFERROR(IF(ISNUMBER(VALUE(_xlfn.TEXTBEFORE(B378,"-"))),_xlfn.TEXTBEFORE(_xlfn.TEXTAFTER(B378,"-",2)," - "),_xlfn.TEXTBEFORE(_xlfn.TEXTAFTER(B378,"-",3)," - ")),"")</f>
        <v xml:space="preserve">CONFECCAO G. B. DA SILVA JUNIOR &amp; CIA LTDA </v>
      </c>
      <c r="G378" s="1" t="str">
        <f>IFERROR(_xlfn.TEXTAFTER(B378," - ",-1),"")</f>
        <v>Bolso traseiro</v>
      </c>
      <c r="H378" s="13" t="s">
        <v>7736</v>
      </c>
      <c r="I378" s="21">
        <f>DATE(LEFT(H378,4),MID(H378,6,2),MID(H378,9,2))+TIME(MID(H378,12,2),MID(H378,15,2),MID(H378,18,2))</f>
        <v>46197.711053240739</v>
      </c>
      <c r="J378" s="25" t="s">
        <v>7737</v>
      </c>
      <c r="K378" s="1" t="s">
        <v>6795</v>
      </c>
    </row>
    <row r="379" spans="1:11" ht="279.75" hidden="1">
      <c r="A379" s="1" t="e" cm="1">
        <f t="array" aca="1" ref="A379" ca="1">---dgbpSpEynBk9rN5YfrGQAAk0Z</f>
        <v>#NAME?</v>
      </c>
      <c r="B379" s="1" t="s">
        <v>7735</v>
      </c>
      <c r="C379" s="1" t="str">
        <f>IFERROR(IF(ISNUMBER(VALUE(_xlfn.TEXTBEFORE(B379,"-"))),"",_xlfn.TEXTBEFORE(B379,"-")),"")</f>
        <v/>
      </c>
      <c r="D379" s="19" t="str">
        <f>IFERROR(IF(ISNUMBER(VALUE(_xlfn.TEXTBEFORE(B379,"-"))),_xlfn.TEXTBEFORE(B379,"-"),_xlfn.TEXTBEFORE(_xlfn.TEXTAFTER(B379,"-"),"-")),"")</f>
        <v>519</v>
      </c>
      <c r="E379" s="1" t="str">
        <f>IFERROR(IF(ISNUMBER(VALUE(_xlfn.TEXTBEFORE(B379,"-"))),_xlfn.TEXTBEFORE(_xlfn.TEXTAFTER(B379,"-"),"-"),_xlfn.TEXTBEFORE(_xlfn.TEXTAFTER(B379,"-",2),"-")),"")</f>
        <v>300271507</v>
      </c>
      <c r="F379" s="1" t="str">
        <f>IFERROR(IF(ISNUMBER(VALUE(_xlfn.TEXTBEFORE(B379,"-"))),_xlfn.TEXTBEFORE(_xlfn.TEXTAFTER(B379,"-",2)," - "),_xlfn.TEXTBEFORE(_xlfn.TEXTAFTER(B379,"-",3)," - ")),"")</f>
        <v xml:space="preserve">CONFECCAO G. B. DA SILVA JUNIOR &amp; CIA LTDA </v>
      </c>
      <c r="G379" s="1" t="str">
        <f>IFERROR(_xlfn.TEXTAFTER(B379," - ",-1),"")</f>
        <v>Bolso traseiro</v>
      </c>
      <c r="H379" s="13" t="s">
        <v>7736</v>
      </c>
      <c r="I379" s="21">
        <f>DATE(LEFT(H379,4),MID(H379,6,2),MID(H379,9,2))+TIME(MID(H379,12,2),MID(H379,15,2),MID(H379,18,2))</f>
        <v>46197.711053240739</v>
      </c>
      <c r="J379" s="25" t="s">
        <v>7737</v>
      </c>
      <c r="K379" s="1" t="s">
        <v>6795</v>
      </c>
    </row>
    <row r="380" spans="1:11" ht="279.75" hidden="1">
      <c r="A380" s="1" t="e" cm="1">
        <f t="array" aca="1" ref="A380" ca="1">---dgbpSpEynBk9rN5YfrGQAAk0Z</f>
        <v>#NAME?</v>
      </c>
      <c r="B380" s="1" t="s">
        <v>7735</v>
      </c>
      <c r="C380" s="1" t="str">
        <f>IFERROR(IF(ISNUMBER(VALUE(_xlfn.TEXTBEFORE(B380,"-"))),"",_xlfn.TEXTBEFORE(B380,"-")),"")</f>
        <v/>
      </c>
      <c r="D380" s="19" t="str">
        <f>IFERROR(IF(ISNUMBER(VALUE(_xlfn.TEXTBEFORE(B380,"-"))),_xlfn.TEXTBEFORE(B380,"-"),_xlfn.TEXTBEFORE(_xlfn.TEXTAFTER(B380,"-"),"-")),"")</f>
        <v>519</v>
      </c>
      <c r="E380" s="1" t="str">
        <f>IFERROR(IF(ISNUMBER(VALUE(_xlfn.TEXTBEFORE(B380,"-"))),_xlfn.TEXTBEFORE(_xlfn.TEXTAFTER(B380,"-"),"-"),_xlfn.TEXTBEFORE(_xlfn.TEXTAFTER(B380,"-",2),"-")),"")</f>
        <v>300271507</v>
      </c>
      <c r="F380" s="1" t="str">
        <f>IFERROR(IF(ISNUMBER(VALUE(_xlfn.TEXTBEFORE(B380,"-"))),_xlfn.TEXTBEFORE(_xlfn.TEXTAFTER(B380,"-",2)," - "),_xlfn.TEXTBEFORE(_xlfn.TEXTAFTER(B380,"-",3)," - ")),"")</f>
        <v xml:space="preserve">CONFECCAO G. B. DA SILVA JUNIOR &amp; CIA LTDA </v>
      </c>
      <c r="G380" s="1" t="str">
        <f>IFERROR(_xlfn.TEXTAFTER(B380," - ",-1),"")</f>
        <v>Bolso traseiro</v>
      </c>
      <c r="H380" s="13" t="s">
        <v>7736</v>
      </c>
      <c r="I380" s="21">
        <f>DATE(LEFT(H380,4),MID(H380,6,2),MID(H380,9,2))+TIME(MID(H380,12,2),MID(H380,15,2),MID(H380,18,2))</f>
        <v>46197.711053240739</v>
      </c>
      <c r="J380" s="25" t="s">
        <v>7737</v>
      </c>
      <c r="K380" s="1" t="s">
        <v>6795</v>
      </c>
    </row>
    <row r="381" spans="1:11" ht="279.75" hidden="1">
      <c r="A381" s="1" t="e" cm="1">
        <f t="array" aca="1" ref="A381" ca="1">---dgbpSpEynBk9rN5YfrGQAAk0Z</f>
        <v>#NAME?</v>
      </c>
      <c r="B381" s="1" t="s">
        <v>7735</v>
      </c>
      <c r="C381" s="1" t="str">
        <f>IFERROR(IF(ISNUMBER(VALUE(_xlfn.TEXTBEFORE(B381,"-"))),"",_xlfn.TEXTBEFORE(B381,"-")),"")</f>
        <v/>
      </c>
      <c r="D381" s="19" t="str">
        <f>IFERROR(IF(ISNUMBER(VALUE(_xlfn.TEXTBEFORE(B381,"-"))),_xlfn.TEXTBEFORE(B381,"-"),_xlfn.TEXTBEFORE(_xlfn.TEXTAFTER(B381,"-"),"-")),"")</f>
        <v>519</v>
      </c>
      <c r="E381" s="1" t="str">
        <f>IFERROR(IF(ISNUMBER(VALUE(_xlfn.TEXTBEFORE(B381,"-"))),_xlfn.TEXTBEFORE(_xlfn.TEXTAFTER(B381,"-"),"-"),_xlfn.TEXTBEFORE(_xlfn.TEXTAFTER(B381,"-",2),"-")),"")</f>
        <v>300271507</v>
      </c>
      <c r="F381" s="1" t="str">
        <f>IFERROR(IF(ISNUMBER(VALUE(_xlfn.TEXTBEFORE(B381,"-"))),_xlfn.TEXTBEFORE(_xlfn.TEXTAFTER(B381,"-",2)," - "),_xlfn.TEXTBEFORE(_xlfn.TEXTAFTER(B381,"-",3)," - ")),"")</f>
        <v xml:space="preserve">CONFECCAO G. B. DA SILVA JUNIOR &amp; CIA LTDA </v>
      </c>
      <c r="G381" s="1" t="str">
        <f>IFERROR(_xlfn.TEXTAFTER(B381," - ",-1),"")</f>
        <v>Bolso traseiro</v>
      </c>
      <c r="H381" s="13" t="s">
        <v>7736</v>
      </c>
      <c r="I381" s="21">
        <f>DATE(LEFT(H381,4),MID(H381,6,2),MID(H381,9,2))+TIME(MID(H381,12,2),MID(H381,15,2),MID(H381,18,2))</f>
        <v>46197.711053240739</v>
      </c>
      <c r="J381" s="25" t="s">
        <v>7737</v>
      </c>
      <c r="K381" s="1" t="s">
        <v>6795</v>
      </c>
    </row>
    <row r="382" spans="1:11" hidden="1"/>
    <row r="383" spans="1:11" hidden="1"/>
    <row r="384" spans="1:11" hidden="1"/>
    <row r="385" hidden="1"/>
    <row r="386" hidden="1"/>
    <row r="387" hidden="1"/>
    <row r="389" hidden="1"/>
    <row r="390" hidden="1"/>
    <row r="391" hidden="1"/>
    <row r="392" hidden="1"/>
    <row r="393" hidden="1"/>
    <row r="394" hidden="1"/>
    <row r="395" hidden="1"/>
    <row r="396" hidden="1"/>
    <row r="398" hidden="1"/>
    <row r="399" hidden="1"/>
    <row r="400" hidden="1"/>
    <row r="401" hidden="1"/>
    <row r="402" hidden="1"/>
    <row r="403" hidden="1"/>
    <row r="404" hidden="1"/>
    <row r="405" hidden="1"/>
    <row r="407" hidden="1"/>
    <row r="408" hidden="1"/>
    <row r="409" hidden="1"/>
    <row r="410" hidden="1"/>
    <row r="411" hidden="1"/>
    <row r="412" hidden="1"/>
    <row r="413" hidden="1"/>
    <row r="414" hidden="1"/>
    <row r="416" hidden="1"/>
    <row r="417" hidden="1"/>
    <row r="418" hidden="1"/>
    <row r="419" hidden="1"/>
    <row r="420" hidden="1"/>
    <row r="421" hidden="1"/>
    <row r="422" hidden="1"/>
    <row r="423" hidden="1"/>
    <row r="425" hidden="1"/>
    <row r="426" hidden="1"/>
    <row r="427" hidden="1"/>
    <row r="428" hidden="1"/>
    <row r="429" hidden="1"/>
    <row r="430" hidden="1"/>
    <row r="431" hidden="1"/>
    <row r="432" hidden="1"/>
    <row r="434" hidden="1"/>
    <row r="435" hidden="1"/>
    <row r="436" hidden="1"/>
    <row r="437" hidden="1"/>
    <row r="438" hidden="1"/>
    <row r="439" hidden="1"/>
    <row r="440" hidden="1"/>
    <row r="441" hidden="1"/>
    <row r="443" hidden="1"/>
    <row r="444" hidden="1"/>
    <row r="445" hidden="1"/>
    <row r="446" hidden="1"/>
    <row r="447" hidden="1"/>
    <row r="448" hidden="1"/>
    <row r="449" hidden="1"/>
    <row r="450" hidden="1"/>
    <row r="452" hidden="1"/>
    <row r="453" hidden="1"/>
    <row r="454" hidden="1"/>
    <row r="455" hidden="1"/>
    <row r="456" hidden="1"/>
    <row r="457" hidden="1"/>
    <row r="458" hidden="1"/>
    <row r="459" hidden="1"/>
    <row r="461" hidden="1"/>
    <row r="462" hidden="1"/>
    <row r="463" hidden="1"/>
    <row r="464" hidden="1"/>
    <row r="465" hidden="1"/>
    <row r="466" hidden="1"/>
    <row r="467" hidden="1"/>
    <row r="468" hidden="1"/>
    <row r="470" hidden="1"/>
    <row r="471" hidden="1"/>
    <row r="472" hidden="1"/>
    <row r="473" hidden="1"/>
    <row r="474" hidden="1"/>
    <row r="475" hidden="1"/>
    <row r="476" hidden="1"/>
    <row r="477" hidden="1"/>
    <row r="479" hidden="1"/>
    <row r="480" hidden="1"/>
    <row r="481" hidden="1"/>
    <row r="482" hidden="1"/>
    <row r="483" hidden="1"/>
    <row r="484" hidden="1"/>
    <row r="485" hidden="1"/>
    <row r="486" hidden="1"/>
    <row r="488" hidden="1"/>
    <row r="489" hidden="1"/>
    <row r="490" hidden="1"/>
    <row r="491" hidden="1"/>
    <row r="492" hidden="1"/>
    <row r="493" hidden="1"/>
    <row r="494" hidden="1"/>
    <row r="495" hidden="1"/>
    <row r="497" hidden="1"/>
    <row r="498" hidden="1"/>
    <row r="499" hidden="1"/>
    <row r="500" hidden="1"/>
    <row r="501" hidden="1"/>
    <row r="502" hidden="1"/>
    <row r="503" hidden="1"/>
    <row r="504" hidden="1"/>
    <row r="506" hidden="1"/>
    <row r="507" hidden="1"/>
    <row r="508" hidden="1"/>
    <row r="509" hidden="1"/>
    <row r="510" hidden="1"/>
    <row r="511" hidden="1"/>
    <row r="512" hidden="1"/>
    <row r="513" hidden="1"/>
    <row r="515" hidden="1"/>
    <row r="516" hidden="1"/>
    <row r="517" hidden="1"/>
    <row r="518" hidden="1"/>
    <row r="519" hidden="1"/>
    <row r="520" hidden="1"/>
    <row r="521" hidden="1"/>
    <row r="522" hidden="1"/>
    <row r="524" hidden="1"/>
    <row r="525" hidden="1"/>
    <row r="526" hidden="1"/>
    <row r="527" hidden="1"/>
    <row r="528" hidden="1"/>
    <row r="529" hidden="1"/>
    <row r="530" hidden="1"/>
    <row r="531" hidden="1"/>
    <row r="533" hidden="1"/>
    <row r="534" hidden="1"/>
    <row r="535" hidden="1"/>
    <row r="536" hidden="1"/>
    <row r="537" hidden="1"/>
    <row r="538" hidden="1"/>
    <row r="539" hidden="1"/>
    <row r="540" hidden="1"/>
    <row r="542" hidden="1"/>
    <row r="543" hidden="1"/>
    <row r="544" hidden="1"/>
    <row r="545" hidden="1"/>
    <row r="546" hidden="1"/>
    <row r="547" hidden="1"/>
    <row r="548" hidden="1"/>
    <row r="549" hidden="1"/>
    <row r="551" hidden="1"/>
    <row r="552" hidden="1"/>
    <row r="553" hidden="1"/>
    <row r="554" hidden="1"/>
    <row r="555" hidden="1"/>
    <row r="556" hidden="1"/>
    <row r="557" hidden="1"/>
    <row r="558" hidden="1"/>
    <row r="560" hidden="1"/>
    <row r="561" hidden="1"/>
    <row r="562" hidden="1"/>
    <row r="563" hidden="1"/>
    <row r="564" hidden="1"/>
    <row r="565" hidden="1"/>
    <row r="566" hidden="1"/>
    <row r="567" hidden="1"/>
    <row r="569" hidden="1"/>
    <row r="570" hidden="1"/>
    <row r="571" hidden="1"/>
    <row r="572" hidden="1"/>
    <row r="573" hidden="1"/>
    <row r="574" hidden="1"/>
    <row r="575" hidden="1"/>
    <row r="576" hidden="1"/>
    <row r="578" hidden="1"/>
    <row r="579" hidden="1"/>
    <row r="580" hidden="1"/>
    <row r="581" hidden="1"/>
    <row r="582" hidden="1"/>
    <row r="583" hidden="1"/>
    <row r="584" hidden="1"/>
    <row r="585" hidden="1"/>
    <row r="587" hidden="1"/>
    <row r="588" hidden="1"/>
    <row r="589" hidden="1"/>
    <row r="590" hidden="1"/>
    <row r="591" hidden="1"/>
    <row r="592" hidden="1"/>
    <row r="593" hidden="1"/>
    <row r="594" hidden="1"/>
    <row r="596" hidden="1"/>
    <row r="597" hidden="1"/>
    <row r="598" hidden="1"/>
    <row r="599" hidden="1"/>
    <row r="600" hidden="1"/>
    <row r="601" hidden="1"/>
    <row r="602" hidden="1"/>
    <row r="603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8" hidden="1"/>
    <row r="619" hidden="1"/>
    <row r="620" hidden="1"/>
    <row r="621" hidden="1"/>
    <row r="622" hidden="1"/>
    <row r="623" hidden="1"/>
    <row r="624" hidden="1"/>
    <row r="625" hidden="1"/>
    <row r="627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40" hidden="1"/>
    <row r="641" hidden="1"/>
    <row r="642" hidden="1"/>
    <row r="643" hidden="1"/>
    <row r="644" hidden="1"/>
    <row r="646" hidden="1"/>
    <row r="647" hidden="1"/>
    <row r="648" hidden="1"/>
    <row r="650" hidden="1"/>
    <row r="651" hidden="1"/>
    <row r="652" hidden="1"/>
    <row r="653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4" hidden="1"/>
    <row r="705" hidden="1"/>
    <row r="706" hidden="1"/>
    <row r="707" hidden="1"/>
    <row r="708" hidden="1"/>
    <row r="709" hidden="1"/>
    <row r="710" hidden="1"/>
    <row r="711" hidden="1"/>
    <row r="713" hidden="1"/>
    <row r="714" hidden="1"/>
    <row r="716" hidden="1"/>
    <row r="717" hidden="1"/>
    <row r="718" hidden="1"/>
    <row r="719" hidden="1"/>
    <row r="720" hidden="1"/>
    <row r="721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3" hidden="1"/>
    <row r="734" hidden="1"/>
    <row r="736" hidden="1"/>
    <row r="737" hidden="1"/>
    <row r="738" hidden="1"/>
    <row r="739" hidden="1"/>
    <row r="740" hidden="1"/>
    <row r="741" hidden="1"/>
    <row r="742" hidden="1"/>
    <row r="743" hidden="1"/>
    <row r="745" hidden="1"/>
    <row r="746" hidden="1"/>
    <row r="747" hidden="1"/>
    <row r="748" hidden="1"/>
    <row r="749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2" hidden="1"/>
    <row r="773" hidden="1"/>
    <row r="774" hidden="1"/>
    <row r="775" hidden="1"/>
    <row r="776" hidden="1"/>
    <row r="778" hidden="1"/>
    <row r="779" hidden="1"/>
    <row r="780" hidden="1"/>
    <row r="781" hidden="1"/>
    <row r="782" hidden="1"/>
    <row r="783" hidden="1"/>
    <row r="784" hidden="1"/>
    <row r="786" hidden="1"/>
    <row r="787" hidden="1"/>
    <row r="788" hidden="1"/>
    <row r="789" hidden="1"/>
    <row r="790" hidden="1"/>
    <row r="791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3" hidden="1"/>
    <row r="804" hidden="1"/>
    <row r="805" hidden="1"/>
    <row r="806" hidden="1"/>
    <row r="807" hidden="1"/>
    <row r="809" hidden="1"/>
    <row r="810" hidden="1"/>
    <row r="811" hidden="1"/>
    <row r="812" hidden="1"/>
    <row r="813" hidden="1"/>
    <row r="815" hidden="1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88D5FD7103CD4C990AC8BEFFED029D" ma:contentTypeVersion="12" ma:contentTypeDescription="Crie um novo documento." ma:contentTypeScope="" ma:versionID="7dd6b1189b4e7189546c79c1f74efd40">
  <xsd:schema xmlns:xsd="http://www.w3.org/2001/XMLSchema" xmlns:xs="http://www.w3.org/2001/XMLSchema" xmlns:p="http://schemas.microsoft.com/office/2006/metadata/properties" xmlns:ns2="7dbd8238-9fef-4336-9eb7-53687de85378" xmlns:ns3="40f960d3-7e02-4196-9ca5-7f3518d7debd" targetNamespace="http://schemas.microsoft.com/office/2006/metadata/properties" ma:root="true" ma:fieldsID="6a9f27f189aa9a27a68dbea20166496c" ns2:_="" ns3:_="">
    <xsd:import namespace="7dbd8238-9fef-4336-9eb7-53687de85378"/>
    <xsd:import namespace="40f960d3-7e02-4196-9ca5-7f3518d7de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d8238-9fef-4336-9eb7-53687de853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5a452b75-a671-46d0-add5-6ae83932ba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960d3-7e02-4196-9ca5-7f3518d7deb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373873e-8a76-4d97-9ea4-f34bf789a9a1}" ma:internalName="TaxCatchAll" ma:showField="CatchAllData" ma:web="40f960d3-7e02-4196-9ca5-7f3518d7de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d8238-9fef-4336-9eb7-53687de85378">
      <Terms xmlns="http://schemas.microsoft.com/office/infopath/2007/PartnerControls"/>
    </lcf76f155ced4ddcb4097134ff3c332f>
    <TaxCatchAll xmlns="40f960d3-7e02-4196-9ca5-7f3518d7de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D8BC3E-C083-418A-8753-65D5F550AF50}"/>
</file>

<file path=customXml/itemProps2.xml><?xml version="1.0" encoding="utf-8"?>
<ds:datastoreItem xmlns:ds="http://schemas.openxmlformats.org/officeDocument/2006/customXml" ds:itemID="{B7624FDE-B321-4472-AE37-D2434278FA6E}"/>
</file>

<file path=customXml/itemProps3.xml><?xml version="1.0" encoding="utf-8"?>
<ds:datastoreItem xmlns:ds="http://schemas.openxmlformats.org/officeDocument/2006/customXml" ds:itemID="{65216763-9D18-4CAD-B11F-8A29EF3FBA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Riachuelo S/A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FARIAS OLIVEIRA DOS SANTOS</dc:creator>
  <cp:keywords/>
  <dc:description/>
  <cp:lastModifiedBy/>
  <cp:revision/>
  <dcterms:created xsi:type="dcterms:W3CDTF">2026-04-23T11:10:24Z</dcterms:created>
  <dcterms:modified xsi:type="dcterms:W3CDTF">2026-08-15T22:41:08Z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0x0101005D88D5FD7103CD4C990AC8BEFFED029D</vt:lpwstr>
  </property>
  <property fmtid="{D5CDD505-2E9C-101B-9397-08002B2CF9AE}" pid="3" name="MediaServiceImageTags">
    <vt:lpwstr/>
  </property>
</Properties>
</file>